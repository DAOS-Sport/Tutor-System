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oshuo/Library/CloudStorage/GoogleDrive-xinsheng@dreamstake.com.tw/共用雲端硬碟/駿斯運動營運部/○●人員資料夾/蔣碩仁/03.家教系統/新舊系統轉移計畫/"/>
    </mc:Choice>
  </mc:AlternateContent>
  <xr:revisionPtr revIDLastSave="0" documentId="13_ncr:1_{A67F949C-246E-854C-8ED4-C79F059E2D49}" xr6:coauthVersionLast="47" xr6:coauthVersionMax="47" xr10:uidLastSave="{00000000-0000-0000-0000-000000000000}"/>
  <bookViews>
    <workbookView xWindow="15680" yWindow="-22420" windowWidth="38400" windowHeight="21600" tabRatio="500" activeTab="1" xr2:uid="{00000000-000D-0000-FFFF-FFFF00000000}"/>
  </bookViews>
  <sheets>
    <sheet name="彙總" sheetId="1" r:id="rId1"/>
    <sheet name="家教課程明細" sheetId="2" r:id="rId2"/>
    <sheet name="工作表4" sheetId="6" r:id="rId3"/>
    <sheet name="學員資料-三民高中" sheetId="3" r:id="rId4"/>
    <sheet name="學員資料-三重商工" sheetId="4" r:id="rId5"/>
    <sheet name="學員資料-新北高中" sheetId="5" r:id="rId6"/>
  </sheets>
  <definedNames>
    <definedName name="_xlnm._FilterDatabase" localSheetId="2" hidden="1">工作表4!$A$1:$L$122</definedName>
    <definedName name="_xlnm._FilterDatabase" localSheetId="1" hidden="1">家教課程明細!$A$1:$T$3020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3020" i="2" l="1" a="1"/>
  <c r="R3020" i="2" a="1"/>
  <c r="Q3020" i="2" a="1"/>
  <c r="S3019" i="2" a="1"/>
  <c r="R3019" i="2" a="1"/>
  <c r="Q3019" i="2" a="1"/>
  <c r="S3018" i="2" a="1"/>
  <c r="R3018" i="2" a="1"/>
  <c r="Q3018" i="2" a="1"/>
  <c r="S3017" i="2" a="1"/>
  <c r="R3017" i="2" a="1"/>
  <c r="Q3017" i="2" a="1"/>
  <c r="S3016" i="2" a="1"/>
  <c r="R3016" i="2" a="1"/>
  <c r="Q3016" i="2" a="1"/>
  <c r="S3015" i="2" a="1"/>
  <c r="R3015" i="2" a="1"/>
  <c r="Q3015" i="2" a="1"/>
  <c r="S3014" i="2" a="1"/>
  <c r="R3014" i="2" a="1"/>
  <c r="Q3014" i="2" a="1"/>
  <c r="S3013" i="2" a="1"/>
  <c r="R3013" i="2" a="1"/>
  <c r="Q3013" i="2" a="1"/>
  <c r="S3012" i="2" a="1"/>
  <c r="R3012" i="2" a="1"/>
  <c r="Q3012" i="2" a="1"/>
  <c r="S3011" i="2" a="1"/>
  <c r="R3011" i="2" a="1"/>
  <c r="Q3011" i="2" a="1"/>
  <c r="S3010" i="2" a="1"/>
  <c r="R3010" i="2" a="1"/>
  <c r="Q3010" i="2" a="1"/>
  <c r="S3009" i="2" a="1"/>
  <c r="R3009" i="2" a="1"/>
  <c r="Q3009" i="2" a="1"/>
  <c r="S3008" i="2" a="1"/>
  <c r="R3008" i="2" a="1"/>
  <c r="Q3008" i="2" a="1"/>
  <c r="S3007" i="2" a="1"/>
  <c r="R3007" i="2" a="1"/>
  <c r="Q3007" i="2" a="1"/>
  <c r="S3006" i="2" a="1"/>
  <c r="R3006" i="2" a="1"/>
  <c r="Q3006" i="2" a="1"/>
  <c r="S3005" i="2" a="1"/>
  <c r="R3005" i="2" a="1"/>
  <c r="Q3005" i="2" a="1"/>
  <c r="S3004" i="2" a="1"/>
  <c r="R3004" i="2" a="1"/>
  <c r="Q3004" i="2" a="1"/>
  <c r="S3003" i="2" a="1"/>
  <c r="R3003" i="2" a="1"/>
  <c r="Q3003" i="2" a="1"/>
  <c r="S3002" i="2" a="1"/>
  <c r="R3002" i="2" a="1"/>
  <c r="Q3002" i="2" a="1"/>
  <c r="S3001" i="2" a="1"/>
  <c r="R3001" i="2" a="1"/>
  <c r="Q3001" i="2" a="1"/>
  <c r="S3000" i="2" a="1"/>
  <c r="R3000" i="2" a="1"/>
  <c r="Q3000" i="2" a="1"/>
  <c r="S2999" i="2" a="1"/>
  <c r="R2999" i="2" a="1"/>
  <c r="Q2999" i="2" a="1"/>
  <c r="S2998" i="2" a="1"/>
  <c r="R2998" i="2" a="1"/>
  <c r="Q2998" i="2" a="1"/>
  <c r="S2997" i="2" a="1"/>
  <c r="R2997" i="2" a="1"/>
  <c r="Q2997" i="2" a="1"/>
  <c r="S2996" i="2" a="1"/>
  <c r="R2996" i="2" a="1"/>
  <c r="Q2996" i="2" a="1"/>
  <c r="S2995" i="2" a="1"/>
  <c r="R2995" i="2" a="1"/>
  <c r="Q2995" i="2" a="1"/>
  <c r="S2994" i="2" a="1"/>
  <c r="R2994" i="2" a="1"/>
  <c r="Q2994" i="2" a="1"/>
  <c r="S2993" i="2" a="1"/>
  <c r="R2993" i="2" a="1"/>
  <c r="Q2993" i="2" a="1"/>
  <c r="S2992" i="2" a="1"/>
  <c r="R2992" i="2" a="1"/>
  <c r="Q2992" i="2" a="1"/>
  <c r="S2991" i="2" a="1"/>
  <c r="R2991" i="2" a="1"/>
  <c r="Q2991" i="2" a="1"/>
  <c r="S2990" i="2" a="1"/>
  <c r="R2990" i="2" a="1"/>
  <c r="Q2990" i="2" a="1"/>
  <c r="S2989" i="2" a="1"/>
  <c r="R2989" i="2" a="1"/>
  <c r="Q2989" i="2" a="1"/>
  <c r="S2988" i="2" a="1"/>
  <c r="R2988" i="2" a="1"/>
  <c r="Q2988" i="2" a="1"/>
  <c r="S2987" i="2" a="1"/>
  <c r="R2987" i="2" a="1"/>
  <c r="Q2987" i="2" a="1"/>
  <c r="S2986" i="2" a="1"/>
  <c r="R2986" i="2" a="1"/>
  <c r="Q2986" i="2" a="1"/>
  <c r="S2985" i="2" a="1"/>
  <c r="R2985" i="2" a="1"/>
  <c r="Q2985" i="2" a="1"/>
  <c r="S2984" i="2" a="1"/>
  <c r="R2984" i="2" a="1"/>
  <c r="Q2984" i="2" a="1"/>
  <c r="S2983" i="2" a="1"/>
  <c r="R2983" i="2" a="1"/>
  <c r="Q2983" i="2" a="1"/>
  <c r="S2982" i="2" a="1"/>
  <c r="R2982" i="2" a="1"/>
  <c r="Q2982" i="2" a="1"/>
  <c r="S2981" i="2" a="1"/>
  <c r="R2981" i="2" a="1"/>
  <c r="Q2981" i="2" a="1"/>
  <c r="S2980" i="2" a="1"/>
  <c r="R2980" i="2" a="1"/>
  <c r="Q2980" i="2" a="1"/>
  <c r="S2979" i="2" a="1"/>
  <c r="R2979" i="2" a="1"/>
  <c r="Q2979" i="2" a="1"/>
  <c r="S2978" i="2" a="1"/>
  <c r="R2978" i="2" a="1"/>
  <c r="Q2978" i="2" a="1"/>
  <c r="S2977" i="2" a="1"/>
  <c r="R2977" i="2" a="1"/>
  <c r="Q2977" i="2" a="1"/>
  <c r="S2976" i="2" a="1"/>
  <c r="R2976" i="2" a="1"/>
  <c r="Q2976" i="2" a="1"/>
  <c r="S2975" i="2" a="1"/>
  <c r="R2975" i="2" a="1"/>
  <c r="Q2975" i="2" a="1"/>
  <c r="S2974" i="2" a="1"/>
  <c r="R2974" i="2" a="1"/>
  <c r="Q2974" i="2" a="1"/>
  <c r="S2973" i="2" a="1"/>
  <c r="R2973" i="2" a="1"/>
  <c r="Q2973" i="2" a="1"/>
  <c r="S2972" i="2" a="1"/>
  <c r="R2972" i="2" a="1"/>
  <c r="Q2972" i="2" a="1"/>
  <c r="S2971" i="2" a="1"/>
  <c r="R2971" i="2" a="1"/>
  <c r="Q2971" i="2" a="1"/>
  <c r="S2970" i="2" a="1"/>
  <c r="R2970" i="2" a="1"/>
  <c r="Q2970" i="2" a="1"/>
  <c r="S2969" i="2" a="1"/>
  <c r="R2969" i="2" a="1"/>
  <c r="Q2969" i="2" a="1"/>
  <c r="S2968" i="2" a="1"/>
  <c r="R2968" i="2" a="1"/>
  <c r="Q2968" i="2" a="1"/>
  <c r="S2967" i="2" a="1"/>
  <c r="R2967" i="2" a="1"/>
  <c r="Q2967" i="2" a="1"/>
  <c r="S2966" i="2" a="1"/>
  <c r="R2966" i="2" a="1"/>
  <c r="Q2966" i="2" a="1"/>
  <c r="S2965" i="2" a="1"/>
  <c r="R2965" i="2" a="1"/>
  <c r="Q2965" i="2" a="1"/>
  <c r="S2964" i="2" a="1"/>
  <c r="R2964" i="2" a="1"/>
  <c r="Q2964" i="2" a="1"/>
  <c r="S2963" i="2" a="1"/>
  <c r="R2963" i="2" a="1"/>
  <c r="Q2963" i="2" a="1"/>
  <c r="S2962" i="2" a="1"/>
  <c r="R2962" i="2" a="1"/>
  <c r="Q2962" i="2" a="1"/>
  <c r="S2961" i="2" a="1"/>
  <c r="R2961" i="2" a="1"/>
  <c r="Q2961" i="2" a="1"/>
  <c r="S2960" i="2" a="1"/>
  <c r="R2960" i="2" a="1"/>
  <c r="Q2960" i="2" a="1"/>
  <c r="S2959" i="2" a="1"/>
  <c r="R2959" i="2" a="1"/>
  <c r="Q2959" i="2" a="1"/>
  <c r="S2958" i="2" a="1"/>
  <c r="R2958" i="2" a="1"/>
  <c r="Q2958" i="2" a="1"/>
  <c r="S2957" i="2" a="1"/>
  <c r="R2957" i="2" a="1"/>
  <c r="Q2957" i="2" a="1"/>
  <c r="S2956" i="2" a="1"/>
  <c r="R2956" i="2" a="1"/>
  <c r="Q2956" i="2" a="1"/>
  <c r="S2955" i="2" a="1"/>
  <c r="R2955" i="2" a="1"/>
  <c r="Q2955" i="2" a="1"/>
  <c r="S2954" i="2" a="1"/>
  <c r="R2954" i="2" a="1"/>
  <c r="Q2954" i="2" a="1"/>
  <c r="S2953" i="2" a="1"/>
  <c r="R2953" i="2" a="1"/>
  <c r="Q2953" i="2" a="1"/>
  <c r="S2952" i="2" a="1"/>
  <c r="R2952" i="2" a="1"/>
  <c r="Q2952" i="2" a="1"/>
  <c r="S2951" i="2" a="1"/>
  <c r="R2951" i="2" a="1"/>
  <c r="Q2951" i="2" a="1"/>
  <c r="S2950" i="2" a="1"/>
  <c r="R2950" i="2" a="1"/>
  <c r="Q2950" i="2" a="1"/>
  <c r="S2949" i="2" a="1"/>
  <c r="R2949" i="2" a="1"/>
  <c r="Q2949" i="2" a="1"/>
  <c r="S2948" i="2" a="1"/>
  <c r="R2948" i="2" a="1"/>
  <c r="Q2948" i="2" a="1"/>
  <c r="S2947" i="2" a="1"/>
  <c r="R2947" i="2" a="1"/>
  <c r="Q2947" i="2" a="1"/>
  <c r="S2946" i="2" a="1"/>
  <c r="R2946" i="2" a="1"/>
  <c r="Q2946" i="2" a="1"/>
  <c r="S2945" i="2" a="1"/>
  <c r="R2945" i="2" a="1"/>
  <c r="Q2945" i="2" a="1"/>
  <c r="S2944" i="2" a="1"/>
  <c r="R2944" i="2" a="1"/>
  <c r="Q2944" i="2" a="1"/>
  <c r="S2943" i="2" a="1"/>
  <c r="R2943" i="2" a="1"/>
  <c r="Q2943" i="2" a="1"/>
  <c r="S2942" i="2" a="1"/>
  <c r="R2942" i="2" a="1"/>
  <c r="Q2942" i="2" a="1"/>
  <c r="S2941" i="2" a="1"/>
  <c r="R2941" i="2" a="1"/>
  <c r="Q2941" i="2" a="1"/>
  <c r="S2940" i="2" a="1"/>
  <c r="R2940" i="2" a="1"/>
  <c r="Q2940" i="2" a="1"/>
  <c r="S2939" i="2" a="1"/>
  <c r="R2939" i="2" a="1"/>
  <c r="Q2939" i="2" a="1"/>
  <c r="S2938" i="2" a="1"/>
  <c r="R2938" i="2" a="1"/>
  <c r="Q2938" i="2" a="1"/>
  <c r="S2937" i="2" a="1"/>
  <c r="R2937" i="2" a="1"/>
  <c r="Q2937" i="2" a="1"/>
  <c r="S2936" i="2" a="1"/>
  <c r="R2936" i="2" a="1"/>
  <c r="Q2936" i="2" a="1"/>
  <c r="S2935" i="2" a="1"/>
  <c r="R2935" i="2" a="1"/>
  <c r="Q2935" i="2" a="1"/>
  <c r="S2934" i="2" a="1"/>
  <c r="R2934" i="2" a="1"/>
  <c r="Q2934" i="2" a="1"/>
  <c r="S2933" i="2" a="1"/>
  <c r="R2933" i="2" a="1"/>
  <c r="Q2933" i="2" a="1"/>
  <c r="S2932" i="2" a="1"/>
  <c r="R2932" i="2" a="1"/>
  <c r="Q2932" i="2" a="1"/>
  <c r="S2931" i="2" a="1"/>
  <c r="R2931" i="2" a="1"/>
  <c r="Q2931" i="2" a="1"/>
  <c r="S2930" i="2" a="1"/>
  <c r="R2930" i="2" a="1"/>
  <c r="Q2930" i="2" a="1"/>
  <c r="S2929" i="2" a="1"/>
  <c r="R2929" i="2" a="1"/>
  <c r="Q2929" i="2" a="1"/>
  <c r="S2928" i="2" a="1"/>
  <c r="R2928" i="2" a="1"/>
  <c r="Q2928" i="2" a="1"/>
  <c r="S2927" i="2" a="1"/>
  <c r="R2927" i="2" a="1"/>
  <c r="Q2927" i="2" a="1"/>
  <c r="S2926" i="2" a="1"/>
  <c r="R2926" i="2" a="1"/>
  <c r="Q2926" i="2" a="1"/>
  <c r="S2925" i="2" a="1"/>
  <c r="R2925" i="2" a="1"/>
  <c r="Q2925" i="2" a="1"/>
  <c r="S2924" i="2" a="1"/>
  <c r="R2924" i="2" a="1"/>
  <c r="Q2924" i="2" a="1"/>
  <c r="S2923" i="2" a="1"/>
  <c r="R2923" i="2" a="1"/>
  <c r="Q2923" i="2" a="1"/>
  <c r="S2922" i="2" a="1"/>
  <c r="R2922" i="2" a="1"/>
  <c r="Q2922" i="2" a="1"/>
  <c r="S2921" i="2" a="1"/>
  <c r="R2921" i="2" a="1"/>
  <c r="Q2921" i="2" a="1"/>
  <c r="S2920" i="2" a="1"/>
  <c r="R2920" i="2" a="1"/>
  <c r="Q2920" i="2" a="1"/>
  <c r="S2919" i="2" a="1"/>
  <c r="R2919" i="2" a="1"/>
  <c r="Q2919" i="2" a="1"/>
  <c r="S2918" i="2" a="1"/>
  <c r="R2918" i="2" a="1"/>
  <c r="Q2918" i="2" a="1"/>
  <c r="S2917" i="2" a="1"/>
  <c r="R2917" i="2" a="1"/>
  <c r="Q2917" i="2" a="1"/>
  <c r="S2916" i="2" a="1"/>
  <c r="R2916" i="2" a="1"/>
  <c r="Q2916" i="2" a="1"/>
  <c r="S2915" i="2" a="1"/>
  <c r="R2915" i="2" a="1"/>
  <c r="Q2915" i="2" a="1"/>
  <c r="S2914" i="2" a="1"/>
  <c r="R2914" i="2" a="1"/>
  <c r="Q2914" i="2" a="1"/>
  <c r="S2913" i="2" a="1"/>
  <c r="R2913" i="2" a="1"/>
  <c r="Q2913" i="2" a="1"/>
  <c r="S2912" i="2" a="1"/>
  <c r="R2912" i="2" a="1"/>
  <c r="Q2912" i="2" a="1"/>
  <c r="S2911" i="2" a="1"/>
  <c r="R2911" i="2" a="1"/>
  <c r="Q2911" i="2" a="1"/>
  <c r="S2910" i="2" a="1"/>
  <c r="R2910" i="2" a="1"/>
  <c r="Q2910" i="2" a="1"/>
  <c r="S2909" i="2" a="1"/>
  <c r="R2909" i="2" a="1"/>
  <c r="Q2909" i="2" a="1"/>
  <c r="S2908" i="2" a="1"/>
  <c r="R2908" i="2" a="1"/>
  <c r="Q2908" i="2" a="1"/>
  <c r="S2907" i="2" a="1"/>
  <c r="R2907" i="2" a="1"/>
  <c r="Q2907" i="2" a="1"/>
  <c r="S2906" i="2" a="1"/>
  <c r="R2906" i="2" a="1"/>
  <c r="Q2906" i="2" a="1"/>
  <c r="S2905" i="2" a="1"/>
  <c r="R2905" i="2" a="1"/>
  <c r="Q2905" i="2" a="1"/>
  <c r="S2904" i="2" a="1"/>
  <c r="R2904" i="2" a="1"/>
  <c r="Q2904" i="2" a="1"/>
  <c r="S2903" i="2" a="1"/>
  <c r="R2903" i="2" a="1"/>
  <c r="Q2903" i="2" a="1"/>
  <c r="S2902" i="2" a="1"/>
  <c r="R2902" i="2" a="1"/>
  <c r="Q2902" i="2" a="1"/>
  <c r="S2901" i="2" a="1"/>
  <c r="R2901" i="2" a="1"/>
  <c r="Q2901" i="2" a="1"/>
  <c r="S2900" i="2" a="1"/>
  <c r="R2900" i="2" a="1"/>
  <c r="Q2900" i="2" a="1"/>
  <c r="S2899" i="2" a="1"/>
  <c r="R2899" i="2" a="1"/>
  <c r="Q2899" i="2" a="1"/>
  <c r="S2898" i="2" a="1"/>
  <c r="R2898" i="2" a="1"/>
  <c r="Q2898" i="2" a="1"/>
  <c r="S2897" i="2" a="1"/>
  <c r="R2897" i="2" a="1"/>
  <c r="Q2897" i="2" a="1"/>
  <c r="S2896" i="2" a="1"/>
  <c r="R2896" i="2" a="1"/>
  <c r="Q2896" i="2" a="1"/>
  <c r="S2895" i="2" a="1"/>
  <c r="R2895" i="2" a="1"/>
  <c r="Q2895" i="2" a="1"/>
  <c r="S2894" i="2" a="1"/>
  <c r="R2894" i="2" a="1"/>
  <c r="Q2894" i="2" a="1"/>
  <c r="S2893" i="2" a="1"/>
  <c r="R2893" i="2" a="1"/>
  <c r="Q2893" i="2" a="1"/>
  <c r="S2892" i="2" a="1"/>
  <c r="R2892" i="2" a="1"/>
  <c r="Q2892" i="2" a="1"/>
  <c r="S2891" i="2" a="1"/>
  <c r="R2891" i="2" a="1"/>
  <c r="Q2891" i="2" a="1"/>
  <c r="S2890" i="2" a="1"/>
  <c r="R2890" i="2" a="1"/>
  <c r="Q2890" i="2" a="1"/>
  <c r="S2889" i="2" a="1"/>
  <c r="R2889" i="2" a="1"/>
  <c r="Q2889" i="2" a="1"/>
  <c r="S2888" i="2" a="1"/>
  <c r="R2888" i="2" a="1"/>
  <c r="Q2888" i="2" a="1"/>
  <c r="S2887" i="2" a="1"/>
  <c r="R2887" i="2" a="1"/>
  <c r="Q2887" i="2" a="1"/>
  <c r="S2886" i="2" a="1"/>
  <c r="R2886" i="2" a="1"/>
  <c r="Q2886" i="2" a="1"/>
  <c r="S2885" i="2" a="1"/>
  <c r="R2885" i="2" a="1"/>
  <c r="Q2885" i="2" a="1"/>
  <c r="S2884" i="2" a="1"/>
  <c r="R2884" i="2" a="1"/>
  <c r="Q2884" i="2" a="1"/>
  <c r="S2883" i="2" a="1"/>
  <c r="R2883" i="2" a="1"/>
  <c r="Q2883" i="2" a="1"/>
  <c r="S2882" i="2" a="1"/>
  <c r="R2882" i="2" a="1"/>
  <c r="Q2882" i="2" a="1"/>
  <c r="S2881" i="2" a="1"/>
  <c r="R2881" i="2" a="1"/>
  <c r="Q2881" i="2" a="1"/>
  <c r="S2880" i="2" a="1"/>
  <c r="R2880" i="2" a="1"/>
  <c r="Q2880" i="2" a="1"/>
  <c r="S2879" i="2" a="1"/>
  <c r="R2879" i="2" a="1"/>
  <c r="Q2879" i="2" a="1"/>
  <c r="S2878" i="2" a="1"/>
  <c r="R2878" i="2" a="1"/>
  <c r="Q2878" i="2" a="1"/>
  <c r="S2877" i="2" a="1"/>
  <c r="R2877" i="2" a="1"/>
  <c r="Q2877" i="2" a="1"/>
  <c r="S2876" i="2" a="1"/>
  <c r="R2876" i="2" a="1"/>
  <c r="Q2876" i="2" a="1"/>
  <c r="S2875" i="2" a="1"/>
  <c r="R2875" i="2" a="1"/>
  <c r="Q2875" i="2" a="1"/>
  <c r="S2874" i="2" a="1"/>
  <c r="R2874" i="2" a="1"/>
  <c r="Q2874" i="2" a="1"/>
  <c r="S2873" i="2" a="1"/>
  <c r="R2873" i="2" a="1"/>
  <c r="Q2873" i="2" a="1"/>
  <c r="S2872" i="2" a="1"/>
  <c r="R2872" i="2" a="1"/>
  <c r="Q2872" i="2" a="1"/>
  <c r="S2871" i="2" a="1"/>
  <c r="R2871" i="2" a="1"/>
  <c r="Q2871" i="2" a="1"/>
  <c r="S2870" i="2" a="1"/>
  <c r="R2870" i="2" a="1"/>
  <c r="Q2870" i="2" a="1"/>
  <c r="S2869" i="2" a="1"/>
  <c r="R2869" i="2" a="1"/>
  <c r="Q2869" i="2" a="1"/>
  <c r="S2868" i="2" a="1"/>
  <c r="R2868" i="2" a="1"/>
  <c r="Q2868" i="2" a="1"/>
  <c r="S2867" i="2" a="1"/>
  <c r="R2867" i="2" a="1"/>
  <c r="Q2867" i="2" a="1"/>
  <c r="S2866" i="2" a="1"/>
  <c r="R2866" i="2" a="1"/>
  <c r="Q2866" i="2" a="1"/>
  <c r="S2865" i="2" a="1"/>
  <c r="R2865" i="2" a="1"/>
  <c r="Q2865" i="2" a="1"/>
  <c r="S2864" i="2" a="1"/>
  <c r="R2864" i="2" a="1"/>
  <c r="Q2864" i="2" a="1"/>
  <c r="S2863" i="2" a="1"/>
  <c r="R2863" i="2" a="1"/>
  <c r="Q2863" i="2" a="1"/>
  <c r="S2862" i="2" a="1"/>
  <c r="R2862" i="2" a="1"/>
  <c r="Q2862" i="2" a="1"/>
  <c r="S2861" i="2" a="1"/>
  <c r="R2861" i="2" a="1"/>
  <c r="Q2861" i="2" a="1"/>
  <c r="S2860" i="2" a="1"/>
  <c r="R2860" i="2" a="1"/>
  <c r="Q2860" i="2" a="1"/>
  <c r="S2859" i="2" a="1"/>
  <c r="R2859" i="2" a="1"/>
  <c r="Q2859" i="2" a="1"/>
  <c r="S2858" i="2" a="1"/>
  <c r="R2858" i="2" a="1"/>
  <c r="Q2858" i="2" a="1"/>
  <c r="S2857" i="2" a="1"/>
  <c r="R2857" i="2" a="1"/>
  <c r="Q2857" i="2" a="1"/>
  <c r="S2856" i="2" a="1"/>
  <c r="R2856" i="2" a="1"/>
  <c r="Q2856" i="2" a="1"/>
  <c r="S2855" i="2" a="1"/>
  <c r="R2855" i="2" a="1"/>
  <c r="Q2855" i="2" a="1"/>
  <c r="S2854" i="2" a="1"/>
  <c r="R2854" i="2" a="1"/>
  <c r="Q2854" i="2" a="1"/>
  <c r="S2853" i="2" a="1"/>
  <c r="R2853" i="2" a="1"/>
  <c r="Q2853" i="2" a="1"/>
  <c r="S2852" i="2" a="1"/>
  <c r="R2852" i="2" a="1"/>
  <c r="Q2852" i="2" a="1"/>
  <c r="S2851" i="2" a="1"/>
  <c r="R2851" i="2" a="1"/>
  <c r="Q2851" i="2" a="1"/>
  <c r="S2850" i="2" a="1"/>
  <c r="R2850" i="2" a="1"/>
  <c r="Q2850" i="2" a="1"/>
  <c r="S2849" i="2" a="1"/>
  <c r="R2849" i="2" a="1"/>
  <c r="Q2849" i="2" a="1"/>
  <c r="S2848" i="2" a="1"/>
  <c r="R2848" i="2" a="1"/>
  <c r="Q2848" i="2" a="1"/>
  <c r="S2847" i="2" a="1"/>
  <c r="R2847" i="2" a="1"/>
  <c r="Q2847" i="2" a="1"/>
  <c r="S2846" i="2" a="1"/>
  <c r="R2846" i="2" a="1"/>
  <c r="Q2846" i="2" a="1"/>
  <c r="S2845" i="2" a="1"/>
  <c r="R2845" i="2" a="1"/>
  <c r="Q2845" i="2" a="1"/>
  <c r="S2844" i="2" a="1"/>
  <c r="R2844" i="2" a="1"/>
  <c r="Q2844" i="2" a="1"/>
  <c r="S2843" i="2" a="1"/>
  <c r="R2843" i="2" a="1"/>
  <c r="Q2843" i="2" a="1"/>
  <c r="S2842" i="2" a="1"/>
  <c r="R2842" i="2" a="1"/>
  <c r="Q2842" i="2" a="1"/>
  <c r="S2841" i="2" a="1"/>
  <c r="R2841" i="2" a="1"/>
  <c r="Q2841" i="2" a="1"/>
  <c r="S2840" i="2" a="1"/>
  <c r="R2840" i="2" a="1"/>
  <c r="Q2840" i="2" a="1"/>
  <c r="S2839" i="2" a="1"/>
  <c r="R2839" i="2" a="1"/>
  <c r="Q2839" i="2" a="1"/>
  <c r="S2838" i="2" a="1"/>
  <c r="R2838" i="2" a="1"/>
  <c r="Q2838" i="2" a="1"/>
  <c r="S2837" i="2" a="1"/>
  <c r="R2837" i="2" a="1"/>
  <c r="Q2837" i="2" a="1"/>
  <c r="S2836" i="2" a="1"/>
  <c r="R2836" i="2" a="1"/>
  <c r="Q2836" i="2" a="1"/>
  <c r="S2835" i="2" a="1"/>
  <c r="R2835" i="2" a="1"/>
  <c r="Q2835" i="2" a="1"/>
  <c r="S2834" i="2" a="1"/>
  <c r="R2834" i="2" a="1"/>
  <c r="Q2834" i="2" a="1"/>
  <c r="T2834" i="2" s="1"/>
  <c r="S2833" i="2" a="1"/>
  <c r="R2833" i="2" a="1"/>
  <c r="Q2833" i="2" a="1"/>
  <c r="T2833" i="2" s="1"/>
  <c r="S2832" i="2" a="1"/>
  <c r="R2832" i="2" a="1"/>
  <c r="Q2832" i="2" a="1"/>
  <c r="T2832" i="2" s="1"/>
  <c r="S2831" i="2" a="1"/>
  <c r="R2831" i="2" a="1"/>
  <c r="Q2831" i="2" a="1"/>
  <c r="S2830" i="2" a="1"/>
  <c r="R2830" i="2" a="1"/>
  <c r="Q2830" i="2" a="1"/>
  <c r="S2829" i="2" a="1"/>
  <c r="R2829" i="2" a="1"/>
  <c r="Q2829" i="2" a="1"/>
  <c r="S2828" i="2" a="1"/>
  <c r="R2828" i="2" a="1"/>
  <c r="Q2828" i="2" a="1"/>
  <c r="S2827" i="2" a="1"/>
  <c r="R2827" i="2" a="1"/>
  <c r="Q2827" i="2" a="1"/>
  <c r="S2826" i="2" a="1"/>
  <c r="R2826" i="2" a="1"/>
  <c r="Q2826" i="2" a="1"/>
  <c r="S2825" i="2" a="1"/>
  <c r="R2825" i="2" a="1"/>
  <c r="Q2825" i="2" a="1"/>
  <c r="S2824" i="2" a="1"/>
  <c r="R2824" i="2" a="1"/>
  <c r="Q2824" i="2" a="1"/>
  <c r="S2823" i="2" a="1"/>
  <c r="R2823" i="2" a="1"/>
  <c r="Q2823" i="2" a="1"/>
  <c r="S2822" i="2" a="1"/>
  <c r="R2822" i="2" a="1"/>
  <c r="Q2822" i="2" a="1"/>
  <c r="S2821" i="2" a="1"/>
  <c r="R2821" i="2" a="1"/>
  <c r="Q2821" i="2" a="1"/>
  <c r="S2820" i="2" a="1"/>
  <c r="R2820" i="2" a="1"/>
  <c r="Q2820" i="2" a="1"/>
  <c r="S2819" i="2" a="1"/>
  <c r="R2819" i="2" a="1"/>
  <c r="Q2819" i="2" a="1"/>
  <c r="S2818" i="2" a="1"/>
  <c r="R2818" i="2" a="1"/>
  <c r="Q2818" i="2" a="1"/>
  <c r="S2817" i="2" a="1"/>
  <c r="R2817" i="2" a="1"/>
  <c r="Q2817" i="2" a="1"/>
  <c r="S2816" i="2" a="1"/>
  <c r="R2816" i="2" a="1"/>
  <c r="Q2816" i="2" a="1"/>
  <c r="S2815" i="2" a="1"/>
  <c r="R2815" i="2" a="1"/>
  <c r="Q2815" i="2" a="1"/>
  <c r="S2814" i="2" a="1"/>
  <c r="R2814" i="2" a="1"/>
  <c r="Q2814" i="2" a="1"/>
  <c r="S2813" i="2" a="1"/>
  <c r="R2813" i="2" a="1"/>
  <c r="Q2813" i="2" a="1"/>
  <c r="S2812" i="2" a="1"/>
  <c r="R2812" i="2" a="1"/>
  <c r="Q2812" i="2" a="1"/>
  <c r="S2811" i="2" a="1"/>
  <c r="R2811" i="2" a="1"/>
  <c r="Q2811" i="2" a="1"/>
  <c r="S2810" i="2" a="1"/>
  <c r="R2810" i="2" a="1"/>
  <c r="Q2810" i="2" a="1"/>
  <c r="S2809" i="2" a="1"/>
  <c r="R2809" i="2" a="1"/>
  <c r="Q2809" i="2" a="1"/>
  <c r="S2808" i="2" a="1"/>
  <c r="R2808" i="2" a="1"/>
  <c r="Q2808" i="2" a="1"/>
  <c r="S2807" i="2" a="1"/>
  <c r="R2807" i="2" a="1"/>
  <c r="Q2807" i="2" a="1"/>
  <c r="S2806" i="2" a="1"/>
  <c r="R2806" i="2" a="1"/>
  <c r="Q2806" i="2" a="1"/>
  <c r="S2805" i="2" a="1"/>
  <c r="R2805" i="2" a="1"/>
  <c r="Q2805" i="2" a="1"/>
  <c r="S2804" i="2" a="1"/>
  <c r="R2804" i="2" a="1"/>
  <c r="Q2804" i="2" a="1"/>
  <c r="S2803" i="2" a="1"/>
  <c r="R2803" i="2" a="1"/>
  <c r="Q2803" i="2" a="1"/>
  <c r="S2802" i="2" a="1"/>
  <c r="R2802" i="2" a="1"/>
  <c r="Q2802" i="2" a="1"/>
  <c r="S2801" i="2" a="1"/>
  <c r="R2801" i="2" a="1"/>
  <c r="Q2801" i="2" a="1"/>
  <c r="S2800" i="2" a="1"/>
  <c r="R2800" i="2" a="1"/>
  <c r="Q2800" i="2" a="1"/>
  <c r="S2799" i="2" a="1"/>
  <c r="R2799" i="2" a="1"/>
  <c r="Q2799" i="2" a="1"/>
  <c r="S2798" i="2" a="1"/>
  <c r="R2798" i="2" a="1"/>
  <c r="Q2798" i="2" a="1"/>
  <c r="S2797" i="2" a="1"/>
  <c r="R2797" i="2" a="1"/>
  <c r="Q2797" i="2" a="1"/>
  <c r="S2796" i="2" a="1"/>
  <c r="R2796" i="2" a="1"/>
  <c r="Q2796" i="2" a="1"/>
  <c r="S2795" i="2" a="1"/>
  <c r="R2795" i="2" a="1"/>
  <c r="Q2795" i="2" a="1"/>
  <c r="S2794" i="2" a="1"/>
  <c r="R2794" i="2" a="1"/>
  <c r="Q2794" i="2" a="1"/>
  <c r="S2793" i="2" a="1"/>
  <c r="R2793" i="2" a="1"/>
  <c r="Q2793" i="2" a="1"/>
  <c r="S2792" i="2" a="1"/>
  <c r="R2792" i="2" a="1"/>
  <c r="Q2792" i="2" a="1"/>
  <c r="S2791" i="2" a="1"/>
  <c r="R2791" i="2" a="1"/>
  <c r="Q2791" i="2" a="1"/>
  <c r="S2790" i="2" a="1"/>
  <c r="R2790" i="2" a="1"/>
  <c r="Q2790" i="2" a="1"/>
  <c r="S2789" i="2" a="1"/>
  <c r="R2789" i="2" a="1"/>
  <c r="Q2789" i="2" a="1"/>
  <c r="S2788" i="2" a="1"/>
  <c r="R2788" i="2" a="1"/>
  <c r="Q2788" i="2" a="1"/>
  <c r="S2787" i="2" a="1"/>
  <c r="R2787" i="2" a="1"/>
  <c r="Q2787" i="2" a="1"/>
  <c r="S2786" i="2" a="1"/>
  <c r="R2786" i="2" a="1"/>
  <c r="Q2786" i="2" a="1"/>
  <c r="S2785" i="2" a="1"/>
  <c r="R2785" i="2" a="1"/>
  <c r="Q2785" i="2" a="1"/>
  <c r="S2784" i="2" a="1"/>
  <c r="R2784" i="2" a="1"/>
  <c r="Q2784" i="2" a="1"/>
  <c r="S2783" i="2" a="1"/>
  <c r="R2783" i="2" a="1"/>
  <c r="Q2783" i="2" a="1"/>
  <c r="S2782" i="2" a="1"/>
  <c r="R2782" i="2" a="1"/>
  <c r="Q2782" i="2" a="1"/>
  <c r="S2781" i="2" a="1"/>
  <c r="R2781" i="2" a="1"/>
  <c r="Q2781" i="2" a="1"/>
  <c r="S2780" i="2" a="1"/>
  <c r="R2780" i="2" a="1"/>
  <c r="Q2780" i="2" a="1"/>
  <c r="S2779" i="2" a="1"/>
  <c r="R2779" i="2" a="1"/>
  <c r="Q2779" i="2" a="1"/>
  <c r="S2778" i="2" a="1"/>
  <c r="R2778" i="2" a="1"/>
  <c r="Q2778" i="2" a="1"/>
  <c r="S2777" i="2" a="1"/>
  <c r="R2777" i="2" a="1"/>
  <c r="Q2777" i="2" a="1"/>
  <c r="S2776" i="2" a="1"/>
  <c r="R2776" i="2" a="1"/>
  <c r="Q2776" i="2" a="1"/>
  <c r="S2775" i="2" a="1"/>
  <c r="R2775" i="2" a="1"/>
  <c r="Q2775" i="2" a="1"/>
  <c r="S2774" i="2" a="1"/>
  <c r="R2774" i="2" a="1"/>
  <c r="Q2774" i="2" a="1"/>
  <c r="S2773" i="2" a="1"/>
  <c r="R2773" i="2" a="1"/>
  <c r="Q2773" i="2" a="1"/>
  <c r="S2772" i="2" a="1"/>
  <c r="R2772" i="2" a="1"/>
  <c r="Q2772" i="2" a="1"/>
  <c r="S2771" i="2" a="1"/>
  <c r="R2771" i="2" a="1"/>
  <c r="Q2771" i="2" a="1"/>
  <c r="S2770" i="2" a="1"/>
  <c r="R2770" i="2" a="1"/>
  <c r="Q2770" i="2" a="1"/>
  <c r="S2769" i="2" a="1"/>
  <c r="R2769" i="2" a="1"/>
  <c r="Q2769" i="2" a="1"/>
  <c r="S2768" i="2" a="1"/>
  <c r="R2768" i="2" a="1"/>
  <c r="Q2768" i="2" a="1"/>
  <c r="S2767" i="2" a="1"/>
  <c r="R2767" i="2" a="1"/>
  <c r="Q2767" i="2" a="1"/>
  <c r="S2766" i="2" a="1"/>
  <c r="R2766" i="2" a="1"/>
  <c r="Q2766" i="2" a="1"/>
  <c r="S2765" i="2" a="1"/>
  <c r="R2765" i="2" a="1"/>
  <c r="Q2765" i="2" a="1"/>
  <c r="S2764" i="2" a="1"/>
  <c r="R2764" i="2" a="1"/>
  <c r="Q2764" i="2" a="1"/>
  <c r="S2763" i="2" a="1"/>
  <c r="R2763" i="2" a="1"/>
  <c r="Q2763" i="2" a="1"/>
  <c r="S2762" i="2" a="1"/>
  <c r="R2762" i="2" a="1"/>
  <c r="Q2762" i="2" a="1"/>
  <c r="S2761" i="2" a="1"/>
  <c r="R2761" i="2" a="1"/>
  <c r="Q2761" i="2" a="1"/>
  <c r="S2760" i="2" a="1"/>
  <c r="R2760" i="2" a="1"/>
  <c r="Q2760" i="2" a="1"/>
  <c r="S2759" i="2" a="1"/>
  <c r="R2759" i="2" a="1"/>
  <c r="Q2759" i="2" a="1"/>
  <c r="S2758" i="2" a="1"/>
  <c r="R2758" i="2" a="1"/>
  <c r="Q2758" i="2" a="1"/>
  <c r="S2757" i="2" a="1"/>
  <c r="R2757" i="2" a="1"/>
  <c r="Q2757" i="2" a="1"/>
  <c r="S2756" i="2" a="1"/>
  <c r="R2756" i="2" a="1"/>
  <c r="Q2756" i="2" a="1"/>
  <c r="S2755" i="2" a="1"/>
  <c r="R2755" i="2" a="1"/>
  <c r="Q2755" i="2" a="1"/>
  <c r="S2754" i="2" a="1"/>
  <c r="R2754" i="2" a="1"/>
  <c r="Q2754" i="2" a="1"/>
  <c r="S2753" i="2" a="1"/>
  <c r="R2753" i="2" a="1"/>
  <c r="Q2753" i="2" a="1"/>
  <c r="S2752" i="2" a="1"/>
  <c r="R2752" i="2" a="1"/>
  <c r="Q2752" i="2" a="1"/>
  <c r="S2751" i="2" a="1"/>
  <c r="R2751" i="2" a="1"/>
  <c r="Q2751" i="2" a="1"/>
  <c r="S2750" i="2" a="1"/>
  <c r="R2750" i="2" a="1"/>
  <c r="Q2750" i="2" a="1"/>
  <c r="S2749" i="2" a="1"/>
  <c r="R2749" i="2" a="1"/>
  <c r="Q2749" i="2" a="1"/>
  <c r="S2748" i="2" a="1"/>
  <c r="R2748" i="2" a="1"/>
  <c r="Q2748" i="2" a="1"/>
  <c r="S2747" i="2" a="1"/>
  <c r="R2747" i="2" a="1"/>
  <c r="Q2747" i="2" a="1"/>
  <c r="S2746" i="2" a="1"/>
  <c r="R2746" i="2" a="1"/>
  <c r="Q2746" i="2" a="1"/>
  <c r="S2745" i="2" a="1"/>
  <c r="R2745" i="2" a="1"/>
  <c r="Q2745" i="2" a="1"/>
  <c r="S2744" i="2" a="1"/>
  <c r="R2744" i="2" a="1"/>
  <c r="Q2744" i="2" a="1"/>
  <c r="S2743" i="2" a="1"/>
  <c r="R2743" i="2" a="1"/>
  <c r="Q2743" i="2" a="1"/>
  <c r="S2742" i="2" a="1"/>
  <c r="R2742" i="2" a="1"/>
  <c r="Q2742" i="2" a="1"/>
  <c r="S2741" i="2" a="1"/>
  <c r="R2741" i="2" a="1"/>
  <c r="Q2741" i="2" a="1"/>
  <c r="S2740" i="2" a="1"/>
  <c r="R2740" i="2" a="1"/>
  <c r="Q2740" i="2" a="1"/>
  <c r="S2739" i="2" a="1"/>
  <c r="R2739" i="2" a="1"/>
  <c r="Q2739" i="2" a="1"/>
  <c r="S2738" i="2" a="1"/>
  <c r="R2738" i="2" a="1"/>
  <c r="Q2738" i="2" a="1"/>
  <c r="S2737" i="2" a="1"/>
  <c r="R2737" i="2" a="1"/>
  <c r="Q2737" i="2" a="1"/>
  <c r="S2736" i="2" a="1"/>
  <c r="R2736" i="2" a="1"/>
  <c r="Q2736" i="2" a="1"/>
  <c r="S2735" i="2" a="1"/>
  <c r="R2735" i="2" a="1"/>
  <c r="Q2735" i="2" a="1"/>
  <c r="S2734" i="2" a="1"/>
  <c r="R2734" i="2" a="1"/>
  <c r="Q2734" i="2" a="1"/>
  <c r="S2733" i="2" a="1"/>
  <c r="R2733" i="2" a="1"/>
  <c r="Q2733" i="2" a="1"/>
  <c r="S2732" i="2" a="1"/>
  <c r="R2732" i="2" a="1"/>
  <c r="Q2732" i="2" a="1"/>
  <c r="S2731" i="2" a="1"/>
  <c r="R2731" i="2" a="1"/>
  <c r="Q2731" i="2" a="1"/>
  <c r="S2730" i="2" a="1"/>
  <c r="R2730" i="2" a="1"/>
  <c r="Q2730" i="2" a="1"/>
  <c r="S2729" i="2" a="1"/>
  <c r="R2729" i="2" a="1"/>
  <c r="Q2729" i="2" a="1"/>
  <c r="S2728" i="2" a="1"/>
  <c r="R2728" i="2" a="1"/>
  <c r="Q2728" i="2" a="1"/>
  <c r="S2727" i="2" a="1"/>
  <c r="R2727" i="2" a="1"/>
  <c r="Q2727" i="2" a="1"/>
  <c r="S2726" i="2" a="1"/>
  <c r="R2726" i="2" a="1"/>
  <c r="Q2726" i="2" a="1"/>
  <c r="S2725" i="2" a="1"/>
  <c r="R2725" i="2" a="1"/>
  <c r="Q2725" i="2" a="1"/>
  <c r="S2724" i="2" a="1"/>
  <c r="R2724" i="2" a="1"/>
  <c r="Q2724" i="2" a="1"/>
  <c r="S2723" i="2" a="1"/>
  <c r="R2723" i="2" a="1"/>
  <c r="Q2723" i="2" a="1"/>
  <c r="S2722" i="2" a="1"/>
  <c r="R2722" i="2" a="1"/>
  <c r="Q2722" i="2" a="1"/>
  <c r="S2721" i="2" a="1"/>
  <c r="R2721" i="2" a="1"/>
  <c r="Q2721" i="2" a="1"/>
  <c r="S2720" i="2" a="1"/>
  <c r="R2720" i="2" a="1"/>
  <c r="Q2720" i="2" a="1"/>
  <c r="S2719" i="2" a="1"/>
  <c r="R2719" i="2" a="1"/>
  <c r="Q2719" i="2" a="1"/>
  <c r="S2718" i="2" a="1"/>
  <c r="R2718" i="2" a="1"/>
  <c r="Q2718" i="2" a="1"/>
  <c r="S2717" i="2" a="1"/>
  <c r="R2717" i="2" a="1"/>
  <c r="Q2717" i="2" a="1"/>
  <c r="S2716" i="2" a="1"/>
  <c r="R2716" i="2" a="1"/>
  <c r="Q2716" i="2" a="1"/>
  <c r="S2715" i="2" a="1"/>
  <c r="R2715" i="2" a="1"/>
  <c r="Q2715" i="2" a="1"/>
  <c r="S2714" i="2" a="1"/>
  <c r="R2714" i="2" a="1"/>
  <c r="Q2714" i="2" a="1"/>
  <c r="S2713" i="2" a="1"/>
  <c r="R2713" i="2" a="1"/>
  <c r="Q2713" i="2" a="1"/>
  <c r="S2712" i="2" a="1"/>
  <c r="R2712" i="2" a="1"/>
  <c r="Q2712" i="2" a="1"/>
  <c r="S2711" i="2" a="1"/>
  <c r="R2711" i="2" a="1"/>
  <c r="Q2711" i="2" a="1"/>
  <c r="S2710" i="2" a="1"/>
  <c r="R2710" i="2" a="1"/>
  <c r="Q2710" i="2" a="1"/>
  <c r="S2709" i="2" a="1"/>
  <c r="R2709" i="2" a="1"/>
  <c r="Q2709" i="2" a="1"/>
  <c r="S2708" i="2" a="1"/>
  <c r="R2708" i="2" a="1"/>
  <c r="Q2708" i="2" a="1"/>
  <c r="S2707" i="2" a="1"/>
  <c r="R2707" i="2" a="1"/>
  <c r="Q2707" i="2" a="1"/>
  <c r="S2706" i="2" a="1"/>
  <c r="R2706" i="2" a="1"/>
  <c r="Q2706" i="2" a="1"/>
  <c r="S2705" i="2" a="1"/>
  <c r="R2705" i="2" a="1"/>
  <c r="Q2705" i="2" a="1"/>
  <c r="S2704" i="2" a="1"/>
  <c r="R2704" i="2" a="1"/>
  <c r="Q2704" i="2" a="1"/>
  <c r="S2703" i="2" a="1"/>
  <c r="R2703" i="2" a="1"/>
  <c r="Q2703" i="2" a="1"/>
  <c r="S2702" i="2" a="1"/>
  <c r="R2702" i="2" a="1"/>
  <c r="Q2702" i="2" a="1"/>
  <c r="S2701" i="2" a="1"/>
  <c r="R2701" i="2" a="1"/>
  <c r="Q2701" i="2" a="1"/>
  <c r="S2700" i="2" a="1"/>
  <c r="R2700" i="2" a="1"/>
  <c r="Q2700" i="2" a="1"/>
  <c r="S2699" i="2" a="1"/>
  <c r="R2699" i="2" a="1"/>
  <c r="Q2699" i="2" a="1"/>
  <c r="S2698" i="2" a="1"/>
  <c r="R2698" i="2" a="1"/>
  <c r="Q2698" i="2" a="1"/>
  <c r="S2697" i="2" a="1"/>
  <c r="R2697" i="2" a="1"/>
  <c r="Q2697" i="2" a="1"/>
  <c r="S2696" i="2" a="1"/>
  <c r="R2696" i="2" a="1"/>
  <c r="Q2696" i="2" a="1"/>
  <c r="S2695" i="2" a="1"/>
  <c r="R2695" i="2" a="1"/>
  <c r="Q2695" i="2" a="1"/>
  <c r="S2694" i="2" a="1"/>
  <c r="R2694" i="2" a="1"/>
  <c r="Q2694" i="2" a="1"/>
  <c r="S2693" i="2" a="1"/>
  <c r="R2693" i="2" a="1"/>
  <c r="Q2693" i="2" a="1"/>
  <c r="S2692" i="2" a="1"/>
  <c r="R2692" i="2" a="1"/>
  <c r="Q2692" i="2" a="1"/>
  <c r="S2691" i="2" a="1"/>
  <c r="R2691" i="2" a="1"/>
  <c r="Q2691" i="2" a="1"/>
  <c r="S2690" i="2" a="1"/>
  <c r="R2690" i="2" a="1"/>
  <c r="Q2690" i="2" a="1"/>
  <c r="S2689" i="2" a="1"/>
  <c r="R2689" i="2" a="1"/>
  <c r="Q2689" i="2" a="1"/>
  <c r="S2688" i="2" a="1"/>
  <c r="R2688" i="2" a="1"/>
  <c r="Q2688" i="2" a="1"/>
  <c r="S2687" i="2" a="1"/>
  <c r="R2687" i="2" a="1"/>
  <c r="Q2687" i="2" a="1"/>
  <c r="S2686" i="2" a="1"/>
  <c r="R2686" i="2" a="1"/>
  <c r="Q2686" i="2" a="1"/>
  <c r="S2685" i="2" a="1"/>
  <c r="R2685" i="2" a="1"/>
  <c r="Q2685" i="2" a="1"/>
  <c r="S2684" i="2" a="1"/>
  <c r="R2684" i="2" a="1"/>
  <c r="Q2684" i="2" a="1"/>
  <c r="S2683" i="2" a="1"/>
  <c r="R2683" i="2" a="1"/>
  <c r="Q2683" i="2" a="1"/>
  <c r="S2682" i="2" a="1"/>
  <c r="R2682" i="2" a="1"/>
  <c r="Q2682" i="2" a="1"/>
  <c r="S2681" i="2" a="1"/>
  <c r="R2681" i="2" a="1"/>
  <c r="Q2681" i="2" a="1"/>
  <c r="S2680" i="2" a="1"/>
  <c r="R2680" i="2" a="1"/>
  <c r="Q2680" i="2" a="1"/>
  <c r="S2679" i="2" a="1"/>
  <c r="R2679" i="2" a="1"/>
  <c r="Q2679" i="2" a="1"/>
  <c r="S2678" i="2" a="1"/>
  <c r="R2678" i="2" a="1"/>
  <c r="Q2678" i="2" a="1"/>
  <c r="S2677" i="2" a="1"/>
  <c r="R2677" i="2" a="1"/>
  <c r="Q2677" i="2" a="1"/>
  <c r="S2676" i="2" a="1"/>
  <c r="R2676" i="2" a="1"/>
  <c r="Q2676" i="2" a="1"/>
  <c r="S2675" i="2" a="1"/>
  <c r="R2675" i="2" a="1"/>
  <c r="Q2675" i="2" a="1"/>
  <c r="S2674" i="2" a="1"/>
  <c r="R2674" i="2" a="1"/>
  <c r="Q2674" i="2" a="1"/>
  <c r="S2673" i="2" a="1"/>
  <c r="R2673" i="2" a="1"/>
  <c r="Q2673" i="2" a="1"/>
  <c r="S2672" i="2" a="1"/>
  <c r="R2672" i="2" a="1"/>
  <c r="Q2672" i="2" a="1"/>
  <c r="S2671" i="2" a="1"/>
  <c r="R2671" i="2" a="1"/>
  <c r="Q2671" i="2" a="1"/>
  <c r="S2670" i="2" a="1"/>
  <c r="R2670" i="2" a="1"/>
  <c r="Q2670" i="2" a="1"/>
  <c r="S2669" i="2" a="1"/>
  <c r="R2669" i="2" a="1"/>
  <c r="Q2669" i="2" a="1"/>
  <c r="S2668" i="2" a="1"/>
  <c r="R2668" i="2" a="1"/>
  <c r="Q2668" i="2" a="1"/>
  <c r="S2667" i="2" a="1"/>
  <c r="R2667" i="2" a="1"/>
  <c r="Q2667" i="2" a="1"/>
  <c r="S2666" i="2" a="1"/>
  <c r="R2666" i="2" a="1"/>
  <c r="Q2666" i="2" a="1"/>
  <c r="S2665" i="2" a="1"/>
  <c r="R2665" i="2" a="1"/>
  <c r="Q2665" i="2" a="1"/>
  <c r="S2664" i="2" a="1"/>
  <c r="R2664" i="2" a="1"/>
  <c r="Q2664" i="2" a="1"/>
  <c r="S2663" i="2" a="1"/>
  <c r="R2663" i="2" a="1"/>
  <c r="Q2663" i="2" a="1"/>
  <c r="S2662" i="2" a="1"/>
  <c r="R2662" i="2" a="1"/>
  <c r="Q2662" i="2" a="1"/>
  <c r="S2661" i="2" a="1"/>
  <c r="R2661" i="2" a="1"/>
  <c r="Q2661" i="2" a="1"/>
  <c r="S2660" i="2" a="1"/>
  <c r="R2660" i="2" a="1"/>
  <c r="Q2660" i="2" a="1"/>
  <c r="S2659" i="2" a="1"/>
  <c r="R2659" i="2" a="1"/>
  <c r="Q2659" i="2" a="1"/>
  <c r="S2658" i="2" a="1"/>
  <c r="R2658" i="2" a="1"/>
  <c r="Q2658" i="2" a="1"/>
  <c r="S2657" i="2" a="1"/>
  <c r="R2657" i="2" a="1"/>
  <c r="Q2657" i="2" a="1"/>
  <c r="S2656" i="2" a="1"/>
  <c r="R2656" i="2" a="1"/>
  <c r="Q2656" i="2" a="1"/>
  <c r="S2655" i="2" a="1"/>
  <c r="R2655" i="2" a="1"/>
  <c r="Q2655" i="2" a="1"/>
  <c r="S2654" i="2" a="1"/>
  <c r="R2654" i="2" a="1"/>
  <c r="Q2654" i="2" a="1"/>
  <c r="S2653" i="2" a="1"/>
  <c r="R2653" i="2" a="1"/>
  <c r="Q2653" i="2" a="1"/>
  <c r="S2652" i="2" a="1"/>
  <c r="R2652" i="2" a="1"/>
  <c r="Q2652" i="2" a="1"/>
  <c r="S2651" i="2" a="1"/>
  <c r="R2651" i="2" a="1"/>
  <c r="Q2651" i="2" a="1"/>
  <c r="S2650" i="2" a="1"/>
  <c r="R2650" i="2" a="1"/>
  <c r="Q2650" i="2" a="1"/>
  <c r="S2649" i="2" a="1"/>
  <c r="R2649" i="2" a="1"/>
  <c r="Q2649" i="2" a="1"/>
  <c r="S2648" i="2" a="1"/>
  <c r="R2648" i="2" a="1"/>
  <c r="Q2648" i="2" a="1"/>
  <c r="S2647" i="2" a="1"/>
  <c r="R2647" i="2" a="1"/>
  <c r="Q2647" i="2" a="1"/>
  <c r="S2646" i="2" a="1"/>
  <c r="R2646" i="2" a="1"/>
  <c r="Q2646" i="2" a="1"/>
  <c r="S2645" i="2" a="1"/>
  <c r="R2645" i="2" a="1"/>
  <c r="Q2645" i="2" a="1"/>
  <c r="S2644" i="2" a="1"/>
  <c r="R2644" i="2" a="1"/>
  <c r="Q2644" i="2" a="1"/>
  <c r="S2643" i="2" a="1"/>
  <c r="R2643" i="2" a="1"/>
  <c r="Q2643" i="2" a="1"/>
  <c r="S2642" i="2" a="1"/>
  <c r="R2642" i="2" a="1"/>
  <c r="Q2642" i="2" a="1"/>
  <c r="S2641" i="2" a="1"/>
  <c r="R2641" i="2" a="1"/>
  <c r="Q2641" i="2" a="1"/>
  <c r="S2640" i="2" a="1"/>
  <c r="R2640" i="2" a="1"/>
  <c r="Q2640" i="2" a="1"/>
  <c r="S2639" i="2" a="1"/>
  <c r="R2639" i="2" a="1"/>
  <c r="Q2639" i="2" a="1"/>
  <c r="S2638" i="2" a="1"/>
  <c r="R2638" i="2" a="1"/>
  <c r="Q2638" i="2" a="1"/>
  <c r="S2637" i="2" a="1"/>
  <c r="R2637" i="2" a="1"/>
  <c r="Q2637" i="2" a="1"/>
  <c r="S2636" i="2" a="1"/>
  <c r="R2636" i="2" a="1"/>
  <c r="Q2636" i="2" a="1"/>
  <c r="S2635" i="2" a="1"/>
  <c r="R2635" i="2" a="1"/>
  <c r="Q2635" i="2" a="1"/>
  <c r="S2634" i="2" a="1"/>
  <c r="R2634" i="2" a="1"/>
  <c r="Q2634" i="2" a="1"/>
  <c r="S2633" i="2" a="1"/>
  <c r="R2633" i="2" a="1"/>
  <c r="Q2633" i="2" a="1"/>
  <c r="S2632" i="2" a="1"/>
  <c r="R2632" i="2" a="1"/>
  <c r="Q2632" i="2" a="1"/>
  <c r="S2631" i="2" a="1"/>
  <c r="R2631" i="2" a="1"/>
  <c r="Q2631" i="2" a="1"/>
  <c r="S2630" i="2" a="1"/>
  <c r="R2630" i="2" a="1"/>
  <c r="Q2630" i="2" a="1"/>
  <c r="T2630" i="2" s="1"/>
  <c r="S2629" i="2" a="1"/>
  <c r="R2629" i="2" a="1"/>
  <c r="Q2629" i="2" a="1"/>
  <c r="T2629" i="2" s="1"/>
  <c r="S2628" i="2" a="1"/>
  <c r="R2628" i="2" a="1"/>
  <c r="Q2628" i="2" a="1"/>
  <c r="T2628" i="2" s="1"/>
  <c r="S2627" i="2" a="1"/>
  <c r="R2627" i="2" a="1"/>
  <c r="Q2627" i="2" a="1"/>
  <c r="T2627" i="2" s="1"/>
  <c r="S2626" i="2" a="1"/>
  <c r="R2626" i="2" a="1"/>
  <c r="Q2626" i="2" a="1"/>
  <c r="T2626" i="2" s="1"/>
  <c r="S2625" i="2" a="1"/>
  <c r="R2625" i="2" a="1"/>
  <c r="Q2625" i="2" a="1"/>
  <c r="T2625" i="2" s="1"/>
  <c r="S2624" i="2" a="1"/>
  <c r="R2624" i="2" a="1"/>
  <c r="Q2624" i="2" a="1"/>
  <c r="T2624" i="2" s="1"/>
  <c r="S2623" i="2" a="1"/>
  <c r="R2623" i="2" a="1"/>
  <c r="Q2623" i="2" a="1"/>
  <c r="T2623" i="2" s="1"/>
  <c r="S2622" i="2" a="1"/>
  <c r="R2622" i="2" a="1"/>
  <c r="Q2622" i="2" a="1"/>
  <c r="T2622" i="2" s="1"/>
  <c r="S2621" i="2" a="1"/>
  <c r="R2621" i="2" a="1"/>
  <c r="Q2621" i="2" a="1"/>
  <c r="T2621" i="2" s="1"/>
  <c r="S2620" i="2" a="1"/>
  <c r="R2620" i="2" a="1"/>
  <c r="Q2620" i="2" a="1"/>
  <c r="T2620" i="2" s="1"/>
  <c r="S2619" i="2" a="1"/>
  <c r="R2619" i="2" a="1"/>
  <c r="Q2619" i="2" a="1"/>
  <c r="T2619" i="2" s="1"/>
  <c r="S2618" i="2" a="1"/>
  <c r="R2618" i="2" a="1"/>
  <c r="Q2618" i="2" a="1"/>
  <c r="T2618" i="2" s="1"/>
  <c r="S2617" i="2" a="1"/>
  <c r="R2617" i="2" a="1"/>
  <c r="Q2617" i="2" a="1"/>
  <c r="T2617" i="2" s="1"/>
  <c r="S2616" i="2" a="1"/>
  <c r="R2616" i="2" a="1"/>
  <c r="Q2616" i="2" a="1"/>
  <c r="T2616" i="2" s="1"/>
  <c r="S2615" i="2" a="1"/>
  <c r="R2615" i="2" a="1"/>
  <c r="Q2615" i="2" a="1"/>
  <c r="T2615" i="2" s="1"/>
  <c r="S2614" i="2" a="1"/>
  <c r="R2614" i="2" a="1"/>
  <c r="Q2614" i="2" a="1"/>
  <c r="T2614" i="2" s="1"/>
  <c r="S2613" i="2" a="1"/>
  <c r="R2613" i="2" a="1"/>
  <c r="Q2613" i="2" a="1"/>
  <c r="T2613" i="2" s="1"/>
  <c r="S2612" i="2" a="1"/>
  <c r="R2612" i="2" a="1"/>
  <c r="Q2612" i="2" a="1"/>
  <c r="T2612" i="2" s="1"/>
  <c r="S2611" i="2" a="1"/>
  <c r="R2611" i="2" a="1"/>
  <c r="Q2611" i="2" a="1"/>
  <c r="T2611" i="2" s="1"/>
  <c r="S2610" i="2" a="1"/>
  <c r="R2610" i="2" a="1"/>
  <c r="Q2610" i="2" a="1"/>
  <c r="T2610" i="2" s="1"/>
  <c r="S2609" i="2" a="1"/>
  <c r="R2609" i="2" a="1"/>
  <c r="Q2609" i="2" a="1"/>
  <c r="T2609" i="2" s="1"/>
  <c r="S2608" i="2" a="1"/>
  <c r="R2608" i="2" a="1"/>
  <c r="Q2608" i="2" a="1"/>
  <c r="T2608" i="2" s="1"/>
  <c r="S2607" i="2" a="1"/>
  <c r="R2607" i="2" a="1"/>
  <c r="Q2607" i="2" a="1"/>
  <c r="T2607" i="2" s="1"/>
  <c r="S2606" i="2" a="1"/>
  <c r="R2606" i="2" a="1"/>
  <c r="Q2606" i="2" a="1"/>
  <c r="S2605" i="2" a="1"/>
  <c r="R2605" i="2" a="1"/>
  <c r="Q2605" i="2" a="1"/>
  <c r="T2605" i="2" s="1"/>
  <c r="S2604" i="2" a="1"/>
  <c r="R2604" i="2" a="1"/>
  <c r="Q2604" i="2" a="1"/>
  <c r="T2604" i="2" s="1"/>
  <c r="S2603" i="2" a="1"/>
  <c r="R2603" i="2" a="1"/>
  <c r="Q2603" i="2" a="1"/>
  <c r="T2603" i="2" s="1"/>
  <c r="S2602" i="2" a="1"/>
  <c r="R2602" i="2" a="1"/>
  <c r="Q2602" i="2" a="1"/>
  <c r="T2602" i="2" s="1"/>
  <c r="S2601" i="2" a="1"/>
  <c r="R2601" i="2" a="1"/>
  <c r="Q2601" i="2" a="1"/>
  <c r="T2601" i="2" s="1"/>
  <c r="S2600" i="2" a="1"/>
  <c r="R2600" i="2" a="1"/>
  <c r="Q2600" i="2" a="1"/>
  <c r="S2599" i="2" a="1"/>
  <c r="R2599" i="2" a="1"/>
  <c r="Q2599" i="2" a="1"/>
  <c r="T2599" i="2" s="1"/>
  <c r="S2598" i="2" a="1"/>
  <c r="R2598" i="2" a="1"/>
  <c r="Q2598" i="2" a="1"/>
  <c r="T2598" i="2" s="1"/>
  <c r="S2597" i="2" a="1"/>
  <c r="R2597" i="2" a="1"/>
  <c r="Q2597" i="2" a="1"/>
  <c r="T2597" i="2" s="1"/>
  <c r="S2596" i="2" a="1"/>
  <c r="R2596" i="2" a="1"/>
  <c r="Q2596" i="2" a="1"/>
  <c r="T2596" i="2" s="1"/>
  <c r="S2595" i="2" a="1"/>
  <c r="R2595" i="2" a="1"/>
  <c r="Q2595" i="2" a="1"/>
  <c r="T2595" i="2" s="1"/>
  <c r="S2594" i="2" a="1"/>
  <c r="R2594" i="2" a="1"/>
  <c r="Q2594" i="2" a="1"/>
  <c r="T2594" i="2" s="1"/>
  <c r="S2593" i="2" a="1"/>
  <c r="R2593" i="2" a="1"/>
  <c r="Q2593" i="2" a="1"/>
  <c r="T2593" i="2" s="1"/>
  <c r="S2592" i="2" a="1"/>
  <c r="R2592" i="2" a="1"/>
  <c r="Q2592" i="2" a="1"/>
  <c r="T2592" i="2" s="1"/>
  <c r="S2591" i="2" a="1"/>
  <c r="R2591" i="2" a="1"/>
  <c r="Q2591" i="2" a="1"/>
  <c r="T2591" i="2" s="1"/>
  <c r="S2590" i="2" a="1"/>
  <c r="R2590" i="2" a="1"/>
  <c r="Q2590" i="2" a="1"/>
  <c r="T2590" i="2" s="1"/>
  <c r="S2589" i="2" a="1"/>
  <c r="R2589" i="2" a="1"/>
  <c r="Q2589" i="2" a="1"/>
  <c r="T2589" i="2" s="1"/>
  <c r="S2588" i="2" a="1"/>
  <c r="R2588" i="2" a="1"/>
  <c r="Q2588" i="2" a="1"/>
  <c r="T2588" i="2" s="1"/>
  <c r="S2587" i="2" a="1"/>
  <c r="R2587" i="2" a="1"/>
  <c r="Q2587" i="2" a="1"/>
  <c r="T2587" i="2" s="1"/>
  <c r="S2586" i="2" a="1"/>
  <c r="R2586" i="2" a="1"/>
  <c r="Q2586" i="2" a="1"/>
  <c r="T2586" i="2" s="1"/>
  <c r="S2585" i="2" a="1"/>
  <c r="R2585" i="2" a="1"/>
  <c r="Q2585" i="2" a="1"/>
  <c r="T2585" i="2" s="1"/>
  <c r="S2584" i="2" a="1"/>
  <c r="R2584" i="2" a="1"/>
  <c r="Q2584" i="2" a="1"/>
  <c r="T2584" i="2" s="1"/>
  <c r="S2583" i="2" a="1"/>
  <c r="R2583" i="2" a="1"/>
  <c r="Q2583" i="2" a="1"/>
  <c r="T2583" i="2" s="1"/>
  <c r="S2582" i="2" a="1"/>
  <c r="R2582" i="2" a="1"/>
  <c r="Q2582" i="2" a="1"/>
  <c r="T2582" i="2" s="1"/>
  <c r="S2581" i="2" a="1"/>
  <c r="R2581" i="2" a="1"/>
  <c r="Q2581" i="2" a="1"/>
  <c r="S2580" i="2" a="1"/>
  <c r="R2580" i="2" a="1"/>
  <c r="Q2580" i="2" a="1"/>
  <c r="T2580" i="2" s="1"/>
  <c r="S2579" i="2" a="1"/>
  <c r="R2579" i="2" a="1"/>
  <c r="Q2579" i="2" a="1"/>
  <c r="T2579" i="2" s="1"/>
  <c r="S2578" i="2" a="1"/>
  <c r="R2578" i="2" a="1"/>
  <c r="Q2578" i="2" a="1"/>
  <c r="T2578" i="2" s="1"/>
  <c r="S2577" i="2" a="1"/>
  <c r="R2577" i="2" a="1"/>
  <c r="Q2577" i="2" a="1"/>
  <c r="T2577" i="2" s="1"/>
  <c r="S2576" i="2" a="1"/>
  <c r="R2576" i="2" a="1"/>
  <c r="Q2576" i="2" a="1"/>
  <c r="T2576" i="2" s="1"/>
  <c r="S2575" i="2" a="1"/>
  <c r="R2575" i="2" a="1"/>
  <c r="Q2575" i="2" a="1"/>
  <c r="T2575" i="2" s="1"/>
  <c r="S2574" i="2" a="1"/>
  <c r="R2574" i="2" a="1"/>
  <c r="Q2574" i="2" a="1"/>
  <c r="T2574" i="2" s="1"/>
  <c r="S2573" i="2" a="1"/>
  <c r="R2573" i="2" a="1"/>
  <c r="Q2573" i="2" a="1"/>
  <c r="T2573" i="2" s="1"/>
  <c r="S2572" i="2" a="1"/>
  <c r="R2572" i="2" a="1"/>
  <c r="Q2572" i="2" a="1"/>
  <c r="T2572" i="2" s="1"/>
  <c r="S2571" i="2" a="1"/>
  <c r="R2571" i="2" a="1"/>
  <c r="Q2571" i="2" a="1"/>
  <c r="S2570" i="2" a="1"/>
  <c r="R2570" i="2" a="1"/>
  <c r="Q2570" i="2" a="1"/>
  <c r="T2570" i="2" s="1"/>
  <c r="S2569" i="2" a="1"/>
  <c r="R2569" i="2" a="1"/>
  <c r="Q2569" i="2" a="1"/>
  <c r="T2569" i="2" s="1"/>
  <c r="S2568" i="2" a="1"/>
  <c r="R2568" i="2" a="1"/>
  <c r="Q2568" i="2" a="1"/>
  <c r="T2568" i="2" s="1"/>
  <c r="S2567" i="2" a="1"/>
  <c r="R2567" i="2" a="1"/>
  <c r="Q2567" i="2" a="1"/>
  <c r="T2567" i="2" s="1"/>
  <c r="S2566" i="2" a="1"/>
  <c r="R2566" i="2" a="1"/>
  <c r="Q2566" i="2" a="1"/>
  <c r="T2566" i="2" s="1"/>
  <c r="S2565" i="2" a="1"/>
  <c r="R2565" i="2" a="1"/>
  <c r="Q2565" i="2" a="1"/>
  <c r="T2565" i="2" s="1"/>
  <c r="S2564" i="2" a="1"/>
  <c r="R2564" i="2" a="1"/>
  <c r="Q2564" i="2" a="1"/>
  <c r="T2564" i="2" s="1"/>
  <c r="S2563" i="2" a="1"/>
  <c r="R2563" i="2" a="1"/>
  <c r="Q2563" i="2" a="1"/>
  <c r="T2563" i="2" s="1"/>
  <c r="S2562" i="2" a="1"/>
  <c r="R2562" i="2" a="1"/>
  <c r="Q2562" i="2" a="1"/>
  <c r="T2562" i="2" s="1"/>
  <c r="S2561" i="2" a="1"/>
  <c r="R2561" i="2" a="1"/>
  <c r="Q2561" i="2" a="1"/>
  <c r="T2561" i="2" s="1"/>
  <c r="S2560" i="2" a="1"/>
  <c r="R2560" i="2" a="1"/>
  <c r="Q2560" i="2" a="1"/>
  <c r="T2560" i="2" s="1"/>
  <c r="S2559" i="2" a="1"/>
  <c r="R2559" i="2" a="1"/>
  <c r="Q2559" i="2" a="1"/>
  <c r="T2559" i="2" s="1"/>
  <c r="S2558" i="2" a="1"/>
  <c r="R2558" i="2" a="1"/>
  <c r="Q2558" i="2" a="1"/>
  <c r="T2558" i="2" s="1"/>
  <c r="S2557" i="2" a="1"/>
  <c r="R2557" i="2" a="1"/>
  <c r="Q2557" i="2" a="1"/>
  <c r="T2557" i="2" s="1"/>
  <c r="S2556" i="2" a="1"/>
  <c r="R2556" i="2" a="1"/>
  <c r="Q2556" i="2" a="1"/>
  <c r="T2556" i="2" s="1"/>
  <c r="S2555" i="2" a="1"/>
  <c r="R2555" i="2" a="1"/>
  <c r="Q2555" i="2" a="1"/>
  <c r="S2554" i="2" a="1"/>
  <c r="R2554" i="2" a="1"/>
  <c r="Q2554" i="2" a="1"/>
  <c r="T2554" i="2" s="1"/>
  <c r="S2553" i="2" a="1"/>
  <c r="R2553" i="2" a="1"/>
  <c r="Q2553" i="2" a="1"/>
  <c r="S2552" i="2" a="1"/>
  <c r="R2552" i="2" a="1"/>
  <c r="Q2552" i="2" a="1"/>
  <c r="T2552" i="2" s="1"/>
  <c r="S2551" i="2" a="1"/>
  <c r="R2551" i="2" a="1"/>
  <c r="Q2551" i="2" a="1"/>
  <c r="T2551" i="2" s="1"/>
  <c r="S2550" i="2" a="1"/>
  <c r="R2550" i="2" a="1"/>
  <c r="Q2550" i="2" a="1"/>
  <c r="T2550" i="2" s="1"/>
  <c r="S2549" i="2" a="1"/>
  <c r="R2549" i="2" a="1"/>
  <c r="Q2549" i="2" a="1"/>
  <c r="T2549" i="2" s="1"/>
  <c r="S2548" i="2" a="1"/>
  <c r="R2548" i="2" a="1"/>
  <c r="Q2548" i="2" a="1"/>
  <c r="T2548" i="2" s="1"/>
  <c r="S2547" i="2" a="1"/>
  <c r="R2547" i="2" a="1"/>
  <c r="Q2547" i="2" a="1"/>
  <c r="T2547" i="2" s="1"/>
  <c r="S2546" i="2" a="1"/>
  <c r="R2546" i="2" a="1"/>
  <c r="Q2546" i="2" a="1"/>
  <c r="T2546" i="2" s="1"/>
  <c r="S2545" i="2" a="1"/>
  <c r="R2545" i="2" a="1"/>
  <c r="Q2545" i="2" a="1"/>
  <c r="T2545" i="2" s="1"/>
  <c r="S2544" i="2" a="1"/>
  <c r="R2544" i="2" a="1"/>
  <c r="Q2544" i="2" a="1"/>
  <c r="T2544" i="2" s="1"/>
  <c r="S2543" i="2" a="1"/>
  <c r="R2543" i="2" a="1"/>
  <c r="Q2543" i="2" a="1"/>
  <c r="T2543" i="2" s="1"/>
  <c r="S2542" i="2" a="1"/>
  <c r="R2542" i="2" a="1"/>
  <c r="Q2542" i="2" a="1"/>
  <c r="T2542" i="2" s="1"/>
  <c r="S2541" i="2" a="1"/>
  <c r="R2541" i="2" a="1"/>
  <c r="Q2541" i="2" a="1"/>
  <c r="T2541" i="2" s="1"/>
  <c r="S2540" i="2" a="1"/>
  <c r="R2540" i="2" a="1"/>
  <c r="Q2540" i="2" a="1"/>
  <c r="S2539" i="2" a="1"/>
  <c r="R2539" i="2" a="1"/>
  <c r="Q2539" i="2" a="1"/>
  <c r="T2539" i="2" s="1"/>
  <c r="S2538" i="2" a="1"/>
  <c r="R2538" i="2" a="1"/>
  <c r="Q2538" i="2" a="1"/>
  <c r="T2538" i="2" s="1"/>
  <c r="S2537" i="2" a="1"/>
  <c r="R2537" i="2" a="1"/>
  <c r="Q2537" i="2" a="1"/>
  <c r="T2537" i="2" s="1"/>
  <c r="S2536" i="2" a="1"/>
  <c r="R2536" i="2" a="1"/>
  <c r="Q2536" i="2" a="1"/>
  <c r="T2536" i="2" s="1"/>
  <c r="S2535" i="2" a="1"/>
  <c r="R2535" i="2" a="1"/>
  <c r="Q2535" i="2" a="1"/>
  <c r="T2535" i="2" s="1"/>
  <c r="S2534" i="2" a="1"/>
  <c r="R2534" i="2" a="1"/>
  <c r="Q2534" i="2" a="1"/>
  <c r="T2534" i="2" s="1"/>
  <c r="S2533" i="2" a="1"/>
  <c r="R2533" i="2" a="1"/>
  <c r="Q2533" i="2" a="1"/>
  <c r="T2533" i="2" s="1"/>
  <c r="S2532" i="2" a="1"/>
  <c r="R2532" i="2" a="1"/>
  <c r="Q2532" i="2" a="1"/>
  <c r="T2532" i="2" s="1"/>
  <c r="S2531" i="2" a="1"/>
  <c r="R2531" i="2" a="1"/>
  <c r="Q2531" i="2" a="1"/>
  <c r="T2531" i="2" s="1"/>
  <c r="S2530" i="2" a="1"/>
  <c r="R2530" i="2" a="1"/>
  <c r="Q2530" i="2" a="1"/>
  <c r="T2530" i="2" s="1"/>
  <c r="S2529" i="2" a="1"/>
  <c r="R2529" i="2" a="1"/>
  <c r="Q2529" i="2" a="1"/>
  <c r="T2529" i="2" s="1"/>
  <c r="S2528" i="2" a="1"/>
  <c r="R2528" i="2" a="1"/>
  <c r="Q2528" i="2" a="1"/>
  <c r="T2528" i="2" s="1"/>
  <c r="S2527" i="2" a="1"/>
  <c r="R2527" i="2" a="1"/>
  <c r="Q2527" i="2" a="1"/>
  <c r="T2527" i="2" s="1"/>
  <c r="S2526" i="2" a="1"/>
  <c r="R2526" i="2" a="1"/>
  <c r="Q2526" i="2" a="1"/>
  <c r="T2526" i="2" s="1"/>
  <c r="S2525" i="2" a="1"/>
  <c r="R2525" i="2" a="1"/>
  <c r="Q2525" i="2" a="1"/>
  <c r="T2525" i="2" s="1"/>
  <c r="S2524" i="2" a="1"/>
  <c r="R2524" i="2" a="1"/>
  <c r="Q2524" i="2" a="1"/>
  <c r="T2524" i="2" s="1"/>
  <c r="S2523" i="2" a="1"/>
  <c r="R2523" i="2" a="1"/>
  <c r="Q2523" i="2" a="1"/>
  <c r="S2522" i="2" a="1"/>
  <c r="R2522" i="2" a="1"/>
  <c r="Q2522" i="2" a="1"/>
  <c r="S2521" i="2" a="1"/>
  <c r="R2521" i="2" a="1"/>
  <c r="Q2521" i="2" a="1"/>
  <c r="S2520" i="2" a="1"/>
  <c r="R2520" i="2" a="1"/>
  <c r="Q2520" i="2" a="1"/>
  <c r="S2519" i="2" a="1"/>
  <c r="R2519" i="2" a="1"/>
  <c r="Q2519" i="2" a="1"/>
  <c r="S2518" i="2" a="1"/>
  <c r="R2518" i="2" a="1"/>
  <c r="Q2518" i="2" a="1"/>
  <c r="S2517" i="2" a="1"/>
  <c r="R2517" i="2" a="1"/>
  <c r="Q2517" i="2" a="1"/>
  <c r="S2516" i="2" a="1"/>
  <c r="R2516" i="2" a="1"/>
  <c r="Q2516" i="2" a="1"/>
  <c r="S2515" i="2" a="1"/>
  <c r="R2515" i="2" a="1"/>
  <c r="Q2515" i="2" a="1"/>
  <c r="S2514" i="2" a="1"/>
  <c r="R2514" i="2" a="1"/>
  <c r="Q2514" i="2" a="1"/>
  <c r="S2513" i="2" a="1"/>
  <c r="R2513" i="2" a="1"/>
  <c r="Q2513" i="2" a="1"/>
  <c r="S2512" i="2" a="1"/>
  <c r="R2512" i="2" a="1"/>
  <c r="Q2512" i="2" a="1"/>
  <c r="S2511" i="2" a="1"/>
  <c r="R2511" i="2" a="1"/>
  <c r="Q2511" i="2" a="1"/>
  <c r="S2510" i="2" a="1"/>
  <c r="R2510" i="2" a="1"/>
  <c r="Q2510" i="2" a="1"/>
  <c r="S2509" i="2" a="1"/>
  <c r="R2509" i="2" a="1"/>
  <c r="Q2509" i="2" a="1"/>
  <c r="S2508" i="2" a="1"/>
  <c r="R2508" i="2" a="1"/>
  <c r="Q2508" i="2" a="1"/>
  <c r="S2507" i="2" a="1"/>
  <c r="R2507" i="2" a="1"/>
  <c r="Q2507" i="2" a="1"/>
  <c r="S2506" i="2" a="1"/>
  <c r="R2506" i="2" a="1"/>
  <c r="Q2506" i="2" a="1"/>
  <c r="S2505" i="2" a="1"/>
  <c r="R2505" i="2" a="1"/>
  <c r="Q2505" i="2" a="1"/>
  <c r="S2504" i="2" a="1"/>
  <c r="R2504" i="2" a="1"/>
  <c r="Q2504" i="2" a="1"/>
  <c r="S2503" i="2" a="1"/>
  <c r="R2503" i="2" a="1"/>
  <c r="Q2503" i="2" a="1"/>
  <c r="S2502" i="2" a="1"/>
  <c r="R2502" i="2" a="1"/>
  <c r="Q2502" i="2" a="1"/>
  <c r="S2501" i="2" a="1"/>
  <c r="R2501" i="2" a="1"/>
  <c r="Q2501" i="2" a="1"/>
  <c r="S2500" i="2" a="1"/>
  <c r="R2500" i="2" a="1"/>
  <c r="Q2500" i="2" a="1"/>
  <c r="S2499" i="2" a="1"/>
  <c r="R2499" i="2" a="1"/>
  <c r="Q2499" i="2" a="1"/>
  <c r="S2498" i="2" a="1"/>
  <c r="R2498" i="2" a="1"/>
  <c r="Q2498" i="2" a="1"/>
  <c r="S2497" i="2" a="1"/>
  <c r="R2497" i="2" a="1"/>
  <c r="Q2497" i="2" a="1"/>
  <c r="S2496" i="2" a="1"/>
  <c r="R2496" i="2" a="1"/>
  <c r="Q2496" i="2" a="1"/>
  <c r="S2495" i="2" a="1"/>
  <c r="R2495" i="2" a="1"/>
  <c r="Q2495" i="2" a="1"/>
  <c r="S2494" i="2" a="1"/>
  <c r="R2494" i="2" a="1"/>
  <c r="Q2494" i="2" a="1"/>
  <c r="S2493" i="2" a="1"/>
  <c r="R2493" i="2" a="1"/>
  <c r="Q2493" i="2" a="1"/>
  <c r="S2492" i="2" a="1"/>
  <c r="R2492" i="2" a="1"/>
  <c r="Q2492" i="2" a="1"/>
  <c r="S2491" i="2" a="1"/>
  <c r="R2491" i="2" a="1"/>
  <c r="Q2491" i="2" a="1"/>
  <c r="S2490" i="2" a="1"/>
  <c r="R2490" i="2" a="1"/>
  <c r="Q2490" i="2" a="1"/>
  <c r="S2489" i="2" a="1"/>
  <c r="R2489" i="2" a="1"/>
  <c r="Q2489" i="2" a="1"/>
  <c r="S2488" i="2" a="1"/>
  <c r="R2488" i="2" a="1"/>
  <c r="Q2488" i="2" a="1"/>
  <c r="S2487" i="2" a="1"/>
  <c r="R2487" i="2" a="1"/>
  <c r="Q2487" i="2" a="1"/>
  <c r="S2486" i="2" a="1"/>
  <c r="R2486" i="2" a="1"/>
  <c r="Q2486" i="2" a="1"/>
  <c r="S2485" i="2" a="1"/>
  <c r="R2485" i="2" a="1"/>
  <c r="Q2485" i="2" a="1"/>
  <c r="S2484" i="2" a="1"/>
  <c r="R2484" i="2" a="1"/>
  <c r="Q2484" i="2" a="1"/>
  <c r="S2483" i="2" a="1"/>
  <c r="R2483" i="2" a="1"/>
  <c r="Q2483" i="2" a="1"/>
  <c r="S2482" i="2" a="1"/>
  <c r="R2482" i="2" a="1"/>
  <c r="Q2482" i="2" a="1"/>
  <c r="S2481" i="2" a="1"/>
  <c r="R2481" i="2" a="1"/>
  <c r="Q2481" i="2" a="1"/>
  <c r="S2480" i="2" a="1"/>
  <c r="R2480" i="2" a="1"/>
  <c r="Q2480" i="2" a="1"/>
  <c r="S2479" i="2" a="1"/>
  <c r="R2479" i="2" a="1"/>
  <c r="Q2479" i="2" a="1"/>
  <c r="S2478" i="2" a="1"/>
  <c r="R2478" i="2" a="1"/>
  <c r="Q2478" i="2" a="1"/>
  <c r="S2477" i="2" a="1"/>
  <c r="R2477" i="2" a="1"/>
  <c r="Q2477" i="2" a="1"/>
  <c r="S2476" i="2" a="1"/>
  <c r="R2476" i="2" a="1"/>
  <c r="Q2476" i="2" a="1"/>
  <c r="S2475" i="2" a="1"/>
  <c r="R2475" i="2" a="1"/>
  <c r="Q2475" i="2" a="1"/>
  <c r="S2474" i="2" a="1"/>
  <c r="R2474" i="2" a="1"/>
  <c r="Q2474" i="2" a="1"/>
  <c r="S2473" i="2" a="1"/>
  <c r="R2473" i="2" a="1"/>
  <c r="Q2473" i="2" a="1"/>
  <c r="S2472" i="2" a="1"/>
  <c r="R2472" i="2" a="1"/>
  <c r="Q2472" i="2" a="1"/>
  <c r="S2471" i="2" a="1"/>
  <c r="R2471" i="2" a="1"/>
  <c r="Q2471" i="2" a="1"/>
  <c r="S2470" i="2" a="1"/>
  <c r="R2470" i="2" a="1"/>
  <c r="Q2470" i="2" a="1"/>
  <c r="S2469" i="2" a="1"/>
  <c r="R2469" i="2" a="1"/>
  <c r="Q2469" i="2" a="1"/>
  <c r="S2468" i="2" a="1"/>
  <c r="R2468" i="2" a="1"/>
  <c r="Q2468" i="2" a="1"/>
  <c r="S2467" i="2" a="1"/>
  <c r="R2467" i="2" a="1"/>
  <c r="Q2467" i="2" a="1"/>
  <c r="S2466" i="2" a="1"/>
  <c r="R2466" i="2" a="1"/>
  <c r="Q2466" i="2" a="1"/>
  <c r="S2465" i="2" a="1"/>
  <c r="R2465" i="2" a="1"/>
  <c r="Q2465" i="2" a="1"/>
  <c r="S2464" i="2" a="1"/>
  <c r="R2464" i="2" a="1"/>
  <c r="Q2464" i="2" a="1"/>
  <c r="S2463" i="2" a="1"/>
  <c r="R2463" i="2" a="1"/>
  <c r="Q2463" i="2" a="1"/>
  <c r="S2462" i="2" a="1"/>
  <c r="R2462" i="2" a="1"/>
  <c r="Q2462" i="2" a="1"/>
  <c r="S2461" i="2" a="1"/>
  <c r="R2461" i="2" a="1"/>
  <c r="Q2461" i="2" a="1"/>
  <c r="S2460" i="2" a="1"/>
  <c r="R2460" i="2" a="1"/>
  <c r="Q2460" i="2" a="1"/>
  <c r="S2459" i="2" a="1"/>
  <c r="R2459" i="2" a="1"/>
  <c r="Q2459" i="2" a="1"/>
  <c r="S2458" i="2" a="1"/>
  <c r="R2458" i="2" a="1"/>
  <c r="Q2458" i="2" a="1"/>
  <c r="S2457" i="2" a="1"/>
  <c r="R2457" i="2" a="1"/>
  <c r="Q2457" i="2" a="1"/>
  <c r="S2456" i="2" a="1"/>
  <c r="R2456" i="2" a="1"/>
  <c r="Q2456" i="2" a="1"/>
  <c r="S2455" i="2" a="1"/>
  <c r="R2455" i="2" a="1"/>
  <c r="Q2455" i="2" a="1"/>
  <c r="S2454" i="2" a="1"/>
  <c r="R2454" i="2" a="1"/>
  <c r="Q2454" i="2" a="1"/>
  <c r="T2454" i="2" s="1"/>
  <c r="S2453" i="2" a="1"/>
  <c r="R2453" i="2" a="1"/>
  <c r="Q2453" i="2" a="1"/>
  <c r="T2453" i="2" s="1"/>
  <c r="S2452" i="2" a="1"/>
  <c r="R2452" i="2" a="1"/>
  <c r="Q2452" i="2" a="1"/>
  <c r="T2452" i="2" s="1"/>
  <c r="S2451" i="2" a="1"/>
  <c r="R2451" i="2" a="1"/>
  <c r="Q2451" i="2" a="1"/>
  <c r="T2451" i="2" s="1"/>
  <c r="S2450" i="2" a="1"/>
  <c r="R2450" i="2" a="1"/>
  <c r="Q2450" i="2" a="1"/>
  <c r="T2450" i="2" s="1"/>
  <c r="S2449" i="2" a="1"/>
  <c r="R2449" i="2" a="1"/>
  <c r="Q2449" i="2" a="1"/>
  <c r="T2449" i="2" s="1"/>
  <c r="S2448" i="2" a="1"/>
  <c r="R2448" i="2" a="1"/>
  <c r="Q2448" i="2" a="1"/>
  <c r="T2448" i="2" s="1"/>
  <c r="S2447" i="2" a="1"/>
  <c r="R2447" i="2" a="1"/>
  <c r="Q2447" i="2" a="1"/>
  <c r="T2447" i="2" s="1"/>
  <c r="S2446" i="2" a="1"/>
  <c r="R2446" i="2" a="1"/>
  <c r="Q2446" i="2" a="1"/>
  <c r="T2446" i="2" s="1"/>
  <c r="S2445" i="2" a="1"/>
  <c r="R2445" i="2" a="1"/>
  <c r="Q2445" i="2" a="1"/>
  <c r="S2444" i="2" a="1"/>
  <c r="R2444" i="2" a="1"/>
  <c r="Q2444" i="2" a="1"/>
  <c r="S2443" i="2" a="1"/>
  <c r="R2443" i="2" a="1"/>
  <c r="Q2443" i="2" a="1"/>
  <c r="S2442" i="2" a="1"/>
  <c r="R2442" i="2" a="1"/>
  <c r="Q2442" i="2" a="1"/>
  <c r="S2441" i="2" a="1"/>
  <c r="R2441" i="2" a="1"/>
  <c r="Q2441" i="2" a="1"/>
  <c r="S2440" i="2" a="1"/>
  <c r="R2440" i="2" a="1"/>
  <c r="Q2440" i="2" a="1"/>
  <c r="S2439" i="2" a="1"/>
  <c r="R2439" i="2" a="1"/>
  <c r="Q2439" i="2" a="1"/>
  <c r="S2438" i="2" a="1"/>
  <c r="R2438" i="2" a="1"/>
  <c r="Q2438" i="2" a="1"/>
  <c r="S2437" i="2" a="1"/>
  <c r="R2437" i="2" a="1"/>
  <c r="Q2437" i="2" a="1"/>
  <c r="S2436" i="2" a="1"/>
  <c r="R2436" i="2" a="1"/>
  <c r="Q2436" i="2" a="1"/>
  <c r="S2435" i="2" a="1"/>
  <c r="R2435" i="2" a="1"/>
  <c r="Q2435" i="2" a="1"/>
  <c r="S2434" i="2" a="1"/>
  <c r="R2434" i="2" a="1"/>
  <c r="Q2434" i="2" a="1"/>
  <c r="S2433" i="2" a="1"/>
  <c r="R2433" i="2" a="1"/>
  <c r="Q2433" i="2" a="1"/>
  <c r="S2432" i="2" a="1"/>
  <c r="R2432" i="2" a="1"/>
  <c r="Q2432" i="2" a="1"/>
  <c r="S2431" i="2" a="1"/>
  <c r="R2431" i="2" a="1"/>
  <c r="Q2431" i="2" a="1"/>
  <c r="S2430" i="2" a="1"/>
  <c r="R2430" i="2" a="1"/>
  <c r="Q2430" i="2" a="1"/>
  <c r="S2429" i="2" a="1"/>
  <c r="R2429" i="2" a="1"/>
  <c r="Q2429" i="2" a="1"/>
  <c r="S2428" i="2" a="1"/>
  <c r="R2428" i="2" a="1"/>
  <c r="Q2428" i="2" a="1"/>
  <c r="S2427" i="2" a="1"/>
  <c r="R2427" i="2" a="1"/>
  <c r="Q2427" i="2" a="1"/>
  <c r="S2426" i="2" a="1"/>
  <c r="R2426" i="2" a="1"/>
  <c r="Q2426" i="2" a="1"/>
  <c r="S2425" i="2" a="1"/>
  <c r="R2425" i="2" a="1"/>
  <c r="Q2425" i="2" a="1"/>
  <c r="S2424" i="2" a="1"/>
  <c r="R2424" i="2" a="1"/>
  <c r="Q2424" i="2" a="1"/>
  <c r="S2423" i="2" a="1"/>
  <c r="R2423" i="2" a="1"/>
  <c r="Q2423" i="2" a="1"/>
  <c r="S2422" i="2" a="1"/>
  <c r="R2422" i="2" a="1"/>
  <c r="Q2422" i="2" a="1"/>
  <c r="S2421" i="2" a="1"/>
  <c r="R2421" i="2" a="1"/>
  <c r="Q2421" i="2" a="1"/>
  <c r="S2420" i="2" a="1"/>
  <c r="R2420" i="2" a="1"/>
  <c r="Q2420" i="2" a="1"/>
  <c r="S2419" i="2" a="1"/>
  <c r="R2419" i="2" a="1"/>
  <c r="Q2419" i="2" a="1"/>
  <c r="S2418" i="2" a="1"/>
  <c r="R2418" i="2" a="1"/>
  <c r="Q2418" i="2" a="1"/>
  <c r="S2417" i="2" a="1"/>
  <c r="R2417" i="2" a="1"/>
  <c r="Q2417" i="2" a="1"/>
  <c r="S2416" i="2" a="1"/>
  <c r="R2416" i="2" a="1"/>
  <c r="Q2416" i="2" a="1"/>
  <c r="S2415" i="2" a="1"/>
  <c r="R2415" i="2" a="1"/>
  <c r="Q2415" i="2" a="1"/>
  <c r="S2414" i="2" a="1"/>
  <c r="R2414" i="2" a="1"/>
  <c r="Q2414" i="2" a="1"/>
  <c r="S2413" i="2" a="1"/>
  <c r="R2413" i="2" a="1"/>
  <c r="Q2413" i="2" a="1"/>
  <c r="S2412" i="2" a="1"/>
  <c r="R2412" i="2" a="1"/>
  <c r="Q2412" i="2" a="1"/>
  <c r="S2411" i="2" a="1"/>
  <c r="R2411" i="2" a="1"/>
  <c r="Q2411" i="2" a="1"/>
  <c r="S2410" i="2" a="1"/>
  <c r="R2410" i="2" a="1"/>
  <c r="Q2410" i="2" a="1"/>
  <c r="S2409" i="2" a="1"/>
  <c r="R2409" i="2" a="1"/>
  <c r="Q2409" i="2" a="1"/>
  <c r="S2408" i="2" a="1"/>
  <c r="R2408" i="2" a="1"/>
  <c r="Q2408" i="2" a="1"/>
  <c r="S2407" i="2" a="1"/>
  <c r="R2407" i="2" a="1"/>
  <c r="Q2407" i="2" a="1"/>
  <c r="S2406" i="2" a="1"/>
  <c r="R2406" i="2" a="1"/>
  <c r="Q2406" i="2" a="1"/>
  <c r="S2405" i="2" a="1"/>
  <c r="R2405" i="2" a="1"/>
  <c r="Q2405" i="2" a="1"/>
  <c r="S2404" i="2" a="1"/>
  <c r="R2404" i="2" a="1"/>
  <c r="Q2404" i="2" a="1"/>
  <c r="S2403" i="2" a="1"/>
  <c r="R2403" i="2" a="1"/>
  <c r="Q2403" i="2" a="1"/>
  <c r="S2402" i="2" a="1"/>
  <c r="R2402" i="2" a="1"/>
  <c r="Q2402" i="2" a="1"/>
  <c r="S2401" i="2" a="1"/>
  <c r="R2401" i="2" a="1"/>
  <c r="Q2401" i="2" a="1"/>
  <c r="S2400" i="2" a="1"/>
  <c r="R2400" i="2" a="1"/>
  <c r="Q2400" i="2" a="1"/>
  <c r="S2399" i="2" a="1"/>
  <c r="R2399" i="2" a="1"/>
  <c r="Q2399" i="2" a="1"/>
  <c r="S2398" i="2" a="1"/>
  <c r="R2398" i="2" a="1"/>
  <c r="Q2398" i="2" a="1"/>
  <c r="S2397" i="2" a="1"/>
  <c r="R2397" i="2" a="1"/>
  <c r="Q2397" i="2" a="1"/>
  <c r="S2396" i="2" a="1"/>
  <c r="R2396" i="2" a="1"/>
  <c r="Q2396" i="2" a="1"/>
  <c r="S2395" i="2" a="1"/>
  <c r="R2395" i="2" a="1"/>
  <c r="Q2395" i="2" a="1"/>
  <c r="S2394" i="2" a="1"/>
  <c r="R2394" i="2" a="1"/>
  <c r="Q2394" i="2" a="1"/>
  <c r="S2393" i="2" a="1"/>
  <c r="R2393" i="2" a="1"/>
  <c r="Q2393" i="2" a="1"/>
  <c r="S2392" i="2" a="1"/>
  <c r="R2392" i="2" a="1"/>
  <c r="Q2392" i="2" a="1"/>
  <c r="S2391" i="2" a="1"/>
  <c r="R2391" i="2" a="1"/>
  <c r="Q2391" i="2" a="1"/>
  <c r="S2390" i="2" a="1"/>
  <c r="R2390" i="2" a="1"/>
  <c r="Q2390" i="2" a="1"/>
  <c r="S2389" i="2" a="1"/>
  <c r="R2389" i="2" a="1"/>
  <c r="Q2389" i="2" a="1"/>
  <c r="S2388" i="2" a="1"/>
  <c r="R2388" i="2" a="1"/>
  <c r="Q2388" i="2" a="1"/>
  <c r="S2387" i="2" a="1"/>
  <c r="R2387" i="2" a="1"/>
  <c r="Q2387" i="2" a="1"/>
  <c r="S2386" i="2" a="1"/>
  <c r="R2386" i="2" a="1"/>
  <c r="Q2386" i="2" a="1"/>
  <c r="S2385" i="2" a="1"/>
  <c r="R2385" i="2" a="1"/>
  <c r="Q2385" i="2" a="1"/>
  <c r="S2384" i="2" a="1"/>
  <c r="R2384" i="2" a="1"/>
  <c r="Q2384" i="2" a="1"/>
  <c r="S2383" i="2" a="1"/>
  <c r="R2383" i="2" a="1"/>
  <c r="Q2383" i="2" a="1"/>
  <c r="S2382" i="2" a="1"/>
  <c r="R2382" i="2" a="1"/>
  <c r="Q2382" i="2" a="1"/>
  <c r="S2381" i="2" a="1"/>
  <c r="R2381" i="2" a="1"/>
  <c r="Q2381" i="2" a="1"/>
  <c r="S2380" i="2" a="1"/>
  <c r="R2380" i="2" a="1"/>
  <c r="Q2380" i="2" a="1"/>
  <c r="S2379" i="2" a="1"/>
  <c r="R2379" i="2" a="1"/>
  <c r="Q2379" i="2" a="1"/>
  <c r="S2378" i="2" a="1"/>
  <c r="R2378" i="2" a="1"/>
  <c r="Q2378" i="2" a="1"/>
  <c r="T2378" i="2" s="1"/>
  <c r="S2377" i="2" a="1"/>
  <c r="R2377" i="2" a="1"/>
  <c r="Q2377" i="2" a="1"/>
  <c r="T2377" i="2" s="1"/>
  <c r="S2376" i="2" a="1"/>
  <c r="R2376" i="2" a="1"/>
  <c r="Q2376" i="2" a="1"/>
  <c r="T2376" i="2" s="1"/>
  <c r="S2375" i="2" a="1"/>
  <c r="R2375" i="2" a="1"/>
  <c r="Q2375" i="2" a="1"/>
  <c r="T2375" i="2" s="1"/>
  <c r="S2374" i="2" a="1"/>
  <c r="R2374" i="2" a="1"/>
  <c r="Q2374" i="2" a="1"/>
  <c r="S2373" i="2" a="1"/>
  <c r="R2373" i="2" a="1"/>
  <c r="Q2373" i="2" a="1"/>
  <c r="T2373" i="2" s="1"/>
  <c r="S2372" i="2" a="1"/>
  <c r="R2372" i="2" a="1"/>
  <c r="Q2372" i="2" a="1"/>
  <c r="T2372" i="2" s="1"/>
  <c r="S2371" i="2" a="1"/>
  <c r="R2371" i="2" a="1"/>
  <c r="Q2371" i="2" a="1"/>
  <c r="S2370" i="2" a="1"/>
  <c r="R2370" i="2" a="1"/>
  <c r="Q2370" i="2" a="1"/>
  <c r="T2370" i="2" s="1"/>
  <c r="S2369" i="2" a="1"/>
  <c r="R2369" i="2" a="1"/>
  <c r="Q2369" i="2" a="1"/>
  <c r="T2369" i="2" s="1"/>
  <c r="S2368" i="2" a="1"/>
  <c r="R2368" i="2" a="1"/>
  <c r="Q2368" i="2" a="1"/>
  <c r="T2368" i="2" s="1"/>
  <c r="S2367" i="2" a="1"/>
  <c r="R2367" i="2" a="1"/>
  <c r="Q2367" i="2" a="1"/>
  <c r="S2366" i="2" a="1"/>
  <c r="R2366" i="2" a="1"/>
  <c r="Q2366" i="2" a="1"/>
  <c r="S2365" i="2" a="1"/>
  <c r="R2365" i="2" a="1"/>
  <c r="Q2365" i="2" a="1"/>
  <c r="T2365" i="2" s="1"/>
  <c r="S2364" i="2" a="1"/>
  <c r="R2364" i="2" a="1"/>
  <c r="Q2364" i="2" a="1"/>
  <c r="T2364" i="2" s="1"/>
  <c r="S2363" i="2" a="1"/>
  <c r="R2363" i="2" a="1"/>
  <c r="Q2363" i="2" a="1"/>
  <c r="T2363" i="2" s="1"/>
  <c r="S2362" i="2" a="1"/>
  <c r="R2362" i="2" a="1"/>
  <c r="Q2362" i="2" a="1"/>
  <c r="T2362" i="2" s="1"/>
  <c r="S2361" i="2" a="1"/>
  <c r="R2361" i="2" a="1"/>
  <c r="Q2361" i="2" a="1"/>
  <c r="T2361" i="2" s="1"/>
  <c r="S2360" i="2" a="1"/>
  <c r="R2360" i="2" a="1"/>
  <c r="Q2360" i="2" a="1"/>
  <c r="T2360" i="2" s="1"/>
  <c r="S2359" i="2" a="1"/>
  <c r="R2359" i="2" a="1"/>
  <c r="Q2359" i="2" a="1"/>
  <c r="T2359" i="2" s="1"/>
  <c r="S2358" i="2" a="1"/>
  <c r="R2358" i="2" a="1"/>
  <c r="Q2358" i="2" a="1"/>
  <c r="T2358" i="2" s="1"/>
  <c r="S2357" i="2" a="1"/>
  <c r="R2357" i="2" a="1"/>
  <c r="Q2357" i="2" a="1"/>
  <c r="T2357" i="2" s="1"/>
  <c r="S2356" i="2" a="1"/>
  <c r="R2356" i="2" a="1"/>
  <c r="Q2356" i="2" a="1"/>
  <c r="S2355" i="2" a="1"/>
  <c r="R2355" i="2" a="1"/>
  <c r="Q2355" i="2" a="1"/>
  <c r="S2354" i="2" a="1"/>
  <c r="R2354" i="2" a="1"/>
  <c r="Q2354" i="2" a="1"/>
  <c r="S2353" i="2" a="1"/>
  <c r="R2353" i="2" a="1"/>
  <c r="Q2353" i="2" a="1"/>
  <c r="T2353" i="2" s="1"/>
  <c r="S2352" i="2" a="1"/>
  <c r="R2352" i="2" a="1"/>
  <c r="Q2352" i="2" a="1"/>
  <c r="T2352" i="2" s="1"/>
  <c r="S2351" i="2" a="1"/>
  <c r="R2351" i="2" a="1"/>
  <c r="Q2351" i="2" a="1"/>
  <c r="T2351" i="2" s="1"/>
  <c r="S2350" i="2" a="1"/>
  <c r="R2350" i="2" a="1"/>
  <c r="Q2350" i="2" a="1"/>
  <c r="T2350" i="2" s="1"/>
  <c r="S2349" i="2" a="1"/>
  <c r="R2349" i="2" a="1"/>
  <c r="Q2349" i="2" a="1"/>
  <c r="T2349" i="2" s="1"/>
  <c r="S2348" i="2" a="1"/>
  <c r="R2348" i="2" a="1"/>
  <c r="Q2348" i="2" a="1"/>
  <c r="T2348" i="2" s="1"/>
  <c r="S2347" i="2" a="1"/>
  <c r="R2347" i="2" a="1"/>
  <c r="Q2347" i="2" a="1"/>
  <c r="T2347" i="2" s="1"/>
  <c r="S2346" i="2" a="1"/>
  <c r="R2346" i="2" a="1"/>
  <c r="Q2346" i="2" a="1"/>
  <c r="T2346" i="2" s="1"/>
  <c r="S2345" i="2" a="1"/>
  <c r="R2345" i="2" a="1"/>
  <c r="Q2345" i="2" a="1"/>
  <c r="T2345" i="2" s="1"/>
  <c r="S2344" i="2" a="1"/>
  <c r="R2344" i="2" a="1"/>
  <c r="Q2344" i="2" a="1"/>
  <c r="T2344" i="2" s="1"/>
  <c r="S2343" i="2" a="1"/>
  <c r="R2343" i="2" a="1"/>
  <c r="Q2343" i="2" a="1"/>
  <c r="T2343" i="2" s="1"/>
  <c r="S2342" i="2" a="1"/>
  <c r="R2342" i="2" a="1"/>
  <c r="Q2342" i="2" a="1"/>
  <c r="T2342" i="2" s="1"/>
  <c r="S2341" i="2" a="1"/>
  <c r="R2341" i="2" a="1"/>
  <c r="Q2341" i="2" a="1"/>
  <c r="T2341" i="2" s="1"/>
  <c r="S2340" i="2" a="1"/>
  <c r="R2340" i="2" a="1"/>
  <c r="Q2340" i="2" a="1"/>
  <c r="T2340" i="2" s="1"/>
  <c r="S2339" i="2" a="1"/>
  <c r="R2339" i="2" a="1"/>
  <c r="Q2339" i="2" a="1"/>
  <c r="T2339" i="2" s="1"/>
  <c r="S2338" i="2" a="1"/>
  <c r="R2338" i="2" a="1"/>
  <c r="Q2338" i="2" a="1"/>
  <c r="T2338" i="2" s="1"/>
  <c r="S2337" i="2" a="1"/>
  <c r="R2337" i="2" a="1"/>
  <c r="Q2337" i="2" a="1"/>
  <c r="T2337" i="2" s="1"/>
  <c r="S2336" i="2" a="1"/>
  <c r="R2336" i="2" a="1"/>
  <c r="Q2336" i="2" a="1"/>
  <c r="T2336" i="2" s="1"/>
  <c r="S2335" i="2" a="1"/>
  <c r="R2335" i="2" a="1"/>
  <c r="Q2335" i="2" a="1"/>
  <c r="S2334" i="2" a="1"/>
  <c r="R2334" i="2" a="1"/>
  <c r="Q2334" i="2" a="1"/>
  <c r="T2334" i="2" s="1"/>
  <c r="S2333" i="2" a="1"/>
  <c r="R2333" i="2" a="1"/>
  <c r="Q2333" i="2" a="1"/>
  <c r="S2332" i="2" a="1"/>
  <c r="R2332" i="2" a="1"/>
  <c r="Q2332" i="2" a="1"/>
  <c r="T2332" i="2" s="1"/>
  <c r="S2331" i="2" a="1"/>
  <c r="R2331" i="2" a="1"/>
  <c r="Q2331" i="2" a="1"/>
  <c r="T2331" i="2" s="1"/>
  <c r="S2330" i="2" a="1"/>
  <c r="R2330" i="2" a="1"/>
  <c r="Q2330" i="2" a="1"/>
  <c r="T2330" i="2" s="1"/>
  <c r="S2329" i="2" a="1"/>
  <c r="R2329" i="2" a="1"/>
  <c r="Q2329" i="2" a="1"/>
  <c r="T2329" i="2" s="1"/>
  <c r="S2328" i="2" a="1"/>
  <c r="R2328" i="2" a="1"/>
  <c r="Q2328" i="2" a="1"/>
  <c r="T2328" i="2" s="1"/>
  <c r="S2327" i="2" a="1"/>
  <c r="R2327" i="2" a="1"/>
  <c r="Q2327" i="2" a="1"/>
  <c r="T2327" i="2" s="1"/>
  <c r="S2326" i="2" a="1"/>
  <c r="R2326" i="2" a="1"/>
  <c r="Q2326" i="2" a="1"/>
  <c r="T2326" i="2" s="1"/>
  <c r="S2325" i="2" a="1"/>
  <c r="R2325" i="2" a="1"/>
  <c r="Q2325" i="2" a="1"/>
  <c r="T2325" i="2" s="1"/>
  <c r="S2324" i="2" a="1"/>
  <c r="R2324" i="2" a="1"/>
  <c r="Q2324" i="2" a="1"/>
  <c r="T2324" i="2" s="1"/>
  <c r="S2323" i="2" a="1"/>
  <c r="R2323" i="2" a="1"/>
  <c r="Q2323" i="2" a="1"/>
  <c r="T2323" i="2" s="1"/>
  <c r="S2322" i="2" a="1"/>
  <c r="R2322" i="2" a="1"/>
  <c r="Q2322" i="2" a="1"/>
  <c r="T2322" i="2" s="1"/>
  <c r="S2321" i="2" a="1"/>
  <c r="R2321" i="2" a="1"/>
  <c r="Q2321" i="2" a="1"/>
  <c r="T2321" i="2" s="1"/>
  <c r="S2320" i="2" a="1"/>
  <c r="R2320" i="2" a="1"/>
  <c r="Q2320" i="2" a="1"/>
  <c r="T2320" i="2" s="1"/>
  <c r="S2319" i="2" a="1"/>
  <c r="R2319" i="2" a="1"/>
  <c r="Q2319" i="2" a="1"/>
  <c r="T2319" i="2" s="1"/>
  <c r="S2318" i="2" a="1"/>
  <c r="R2318" i="2" a="1"/>
  <c r="Q2318" i="2" a="1"/>
  <c r="T2318" i="2" s="1"/>
  <c r="S2317" i="2" a="1"/>
  <c r="R2317" i="2" a="1"/>
  <c r="Q2317" i="2" a="1"/>
  <c r="T2317" i="2" s="1"/>
  <c r="S2316" i="2" a="1"/>
  <c r="R2316" i="2" a="1"/>
  <c r="Q2316" i="2" a="1"/>
  <c r="T2316" i="2" s="1"/>
  <c r="S2315" i="2" a="1"/>
  <c r="R2315" i="2" a="1"/>
  <c r="Q2315" i="2" a="1"/>
  <c r="T2315" i="2" s="1"/>
  <c r="S2314" i="2" a="1"/>
  <c r="R2314" i="2" a="1"/>
  <c r="Q2314" i="2" a="1"/>
  <c r="T2314" i="2" s="1"/>
  <c r="S2313" i="2" a="1"/>
  <c r="R2313" i="2" a="1"/>
  <c r="Q2313" i="2" a="1"/>
  <c r="T2313" i="2" s="1"/>
  <c r="S2312" i="2" a="1"/>
  <c r="R2312" i="2" a="1"/>
  <c r="Q2312" i="2" a="1"/>
  <c r="T2312" i="2" s="1"/>
  <c r="S2311" i="2" a="1"/>
  <c r="R2311" i="2" a="1"/>
  <c r="Q2311" i="2" a="1"/>
  <c r="T2311" i="2" s="1"/>
  <c r="S2310" i="2" a="1"/>
  <c r="R2310" i="2" a="1"/>
  <c r="Q2310" i="2" a="1"/>
  <c r="T2310" i="2" s="1"/>
  <c r="S2309" i="2" a="1"/>
  <c r="R2309" i="2" a="1"/>
  <c r="Q2309" i="2" a="1"/>
  <c r="T2309" i="2" s="1"/>
  <c r="S2308" i="2" a="1"/>
  <c r="R2308" i="2" a="1"/>
  <c r="Q2308" i="2" a="1"/>
  <c r="T2308" i="2" s="1"/>
  <c r="S2307" i="2" a="1"/>
  <c r="R2307" i="2" a="1"/>
  <c r="Q2307" i="2" a="1"/>
  <c r="T2307" i="2" s="1"/>
  <c r="S2306" i="2" a="1"/>
  <c r="R2306" i="2" a="1"/>
  <c r="Q2306" i="2" a="1"/>
  <c r="T2306" i="2" s="1"/>
  <c r="S2305" i="2" a="1"/>
  <c r="R2305" i="2" a="1"/>
  <c r="Q2305" i="2" a="1"/>
  <c r="T2305" i="2" s="1"/>
  <c r="S2304" i="2" a="1"/>
  <c r="R2304" i="2" a="1"/>
  <c r="Q2304" i="2" a="1"/>
  <c r="T2304" i="2" s="1"/>
  <c r="S2303" i="2" a="1"/>
  <c r="R2303" i="2" a="1"/>
  <c r="Q2303" i="2" a="1"/>
  <c r="T2303" i="2" s="1"/>
  <c r="S2302" i="2" a="1"/>
  <c r="R2302" i="2" a="1"/>
  <c r="Q2302" i="2" a="1"/>
  <c r="T2302" i="2" s="1"/>
  <c r="S2301" i="2" a="1"/>
  <c r="R2301" i="2" a="1"/>
  <c r="Q2301" i="2" a="1"/>
  <c r="T2301" i="2" s="1"/>
  <c r="S2300" i="2" a="1"/>
  <c r="R2300" i="2" a="1"/>
  <c r="Q2300" i="2" a="1"/>
  <c r="T2300" i="2" s="1"/>
  <c r="S2299" i="2" a="1"/>
  <c r="R2299" i="2" a="1"/>
  <c r="Q2299" i="2" a="1"/>
  <c r="T2299" i="2" s="1"/>
  <c r="S2298" i="2" a="1"/>
  <c r="R2298" i="2" a="1"/>
  <c r="Q2298" i="2" a="1"/>
  <c r="T2298" i="2" s="1"/>
  <c r="S2297" i="2" a="1"/>
  <c r="R2297" i="2" a="1"/>
  <c r="Q2297" i="2" a="1"/>
  <c r="T2297" i="2" s="1"/>
  <c r="S2296" i="2" a="1"/>
  <c r="R2296" i="2" a="1"/>
  <c r="Q2296" i="2" a="1"/>
  <c r="T2296" i="2" s="1"/>
  <c r="S2295" i="2" a="1"/>
  <c r="R2295" i="2" a="1"/>
  <c r="Q2295" i="2" a="1"/>
  <c r="T2295" i="2" s="1"/>
  <c r="S2294" i="2" a="1"/>
  <c r="R2294" i="2" a="1"/>
  <c r="Q2294" i="2" a="1"/>
  <c r="T2294" i="2" s="1"/>
  <c r="S2293" i="2" a="1"/>
  <c r="R2293" i="2" a="1"/>
  <c r="Q2293" i="2" a="1"/>
  <c r="T2293" i="2" s="1"/>
  <c r="S2292" i="2" a="1"/>
  <c r="R2292" i="2" a="1"/>
  <c r="Q2292" i="2" a="1"/>
  <c r="T2292" i="2" s="1"/>
  <c r="S2291" i="2" a="1"/>
  <c r="R2291" i="2" a="1"/>
  <c r="Q2291" i="2" a="1"/>
  <c r="T2291" i="2" s="1"/>
  <c r="S2290" i="2" a="1"/>
  <c r="R2290" i="2" a="1"/>
  <c r="Q2290" i="2" a="1"/>
  <c r="T2290" i="2" s="1"/>
  <c r="S2289" i="2" a="1"/>
  <c r="R2289" i="2" a="1"/>
  <c r="Q2289" i="2" a="1"/>
  <c r="T2289" i="2" s="1"/>
  <c r="S2288" i="2" a="1"/>
  <c r="R2288" i="2" a="1"/>
  <c r="Q2288" i="2" a="1"/>
  <c r="T2288" i="2" s="1"/>
  <c r="S2287" i="2" a="1"/>
  <c r="R2287" i="2" a="1"/>
  <c r="Q2287" i="2" a="1"/>
  <c r="T2287" i="2" s="1"/>
  <c r="S2286" i="2" a="1"/>
  <c r="R2286" i="2" a="1"/>
  <c r="Q2286" i="2" a="1"/>
  <c r="T2286" i="2" s="1"/>
  <c r="S2285" i="2" a="1"/>
  <c r="R2285" i="2" a="1"/>
  <c r="Q2285" i="2" a="1"/>
  <c r="T2285" i="2" s="1"/>
  <c r="S2284" i="2" a="1"/>
  <c r="R2284" i="2" a="1"/>
  <c r="Q2284" i="2" a="1"/>
  <c r="T2284" i="2" s="1"/>
  <c r="S2283" i="2" a="1"/>
  <c r="R2283" i="2" a="1"/>
  <c r="Q2283" i="2" a="1"/>
  <c r="T2283" i="2" s="1"/>
  <c r="S2282" i="2" a="1"/>
  <c r="R2282" i="2" a="1"/>
  <c r="Q2282" i="2" a="1"/>
  <c r="T2282" i="2" s="1"/>
  <c r="S2281" i="2" a="1"/>
  <c r="R2281" i="2" a="1"/>
  <c r="Q2281" i="2" a="1"/>
  <c r="T2281" i="2" s="1"/>
  <c r="S2280" i="2" a="1"/>
  <c r="R2280" i="2" a="1"/>
  <c r="Q2280" i="2" a="1"/>
  <c r="T2280" i="2" s="1"/>
  <c r="S2279" i="2" a="1"/>
  <c r="R2279" i="2" a="1"/>
  <c r="Q2279" i="2" a="1"/>
  <c r="T2279" i="2" s="1"/>
  <c r="S2278" i="2" a="1"/>
  <c r="R2278" i="2" a="1"/>
  <c r="Q2278" i="2" a="1"/>
  <c r="T2278" i="2" s="1"/>
  <c r="S2277" i="2" a="1"/>
  <c r="R2277" i="2" a="1"/>
  <c r="Q2277" i="2" a="1"/>
  <c r="T2277" i="2" s="1"/>
  <c r="S2276" i="2" a="1"/>
  <c r="R2276" i="2" a="1"/>
  <c r="Q2276" i="2" a="1"/>
  <c r="T2276" i="2" s="1"/>
  <c r="S2275" i="2" a="1"/>
  <c r="R2275" i="2" a="1"/>
  <c r="Q2275" i="2" a="1"/>
  <c r="T2275" i="2" s="1"/>
  <c r="S2274" i="2" a="1"/>
  <c r="R2274" i="2" a="1"/>
  <c r="Q2274" i="2" a="1"/>
  <c r="T2274" i="2" s="1"/>
  <c r="S2273" i="2" a="1"/>
  <c r="R2273" i="2" a="1"/>
  <c r="Q2273" i="2" a="1"/>
  <c r="T2273" i="2" s="1"/>
  <c r="S2272" i="2" a="1"/>
  <c r="R2272" i="2" a="1"/>
  <c r="Q2272" i="2" a="1"/>
  <c r="T2272" i="2" s="1"/>
  <c r="S2271" i="2" a="1"/>
  <c r="R2271" i="2" a="1"/>
  <c r="Q2271" i="2" a="1"/>
  <c r="T2271" i="2" s="1"/>
  <c r="S2270" i="2" a="1"/>
  <c r="R2270" i="2" a="1"/>
  <c r="Q2270" i="2" a="1"/>
  <c r="T2270" i="2" s="1"/>
  <c r="S2269" i="2" a="1"/>
  <c r="R2269" i="2" a="1"/>
  <c r="Q2269" i="2" a="1"/>
  <c r="T2269" i="2" s="1"/>
  <c r="S2268" i="2" a="1"/>
  <c r="R2268" i="2" a="1"/>
  <c r="Q2268" i="2" a="1"/>
  <c r="T2268" i="2" s="1"/>
  <c r="S2267" i="2" a="1"/>
  <c r="R2267" i="2" a="1"/>
  <c r="Q2267" i="2" a="1"/>
  <c r="T2267" i="2" s="1"/>
  <c r="S2266" i="2" a="1"/>
  <c r="R2266" i="2" a="1"/>
  <c r="Q2266" i="2" a="1"/>
  <c r="T2266" i="2" s="1"/>
  <c r="S2265" i="2" a="1"/>
  <c r="R2265" i="2" a="1"/>
  <c r="Q2265" i="2" a="1"/>
  <c r="T2265" i="2" s="1"/>
  <c r="S2264" i="2" a="1"/>
  <c r="R2264" i="2" a="1"/>
  <c r="Q2264" i="2" a="1"/>
  <c r="T2264" i="2" s="1"/>
  <c r="S2263" i="2" a="1"/>
  <c r="R2263" i="2" a="1"/>
  <c r="Q2263" i="2" a="1"/>
  <c r="T2263" i="2" s="1"/>
  <c r="S2262" i="2" a="1"/>
  <c r="R2262" i="2" a="1"/>
  <c r="Q2262" i="2" a="1"/>
  <c r="S2261" i="2" a="1"/>
  <c r="R2261" i="2" a="1"/>
  <c r="Q2261" i="2" a="1"/>
  <c r="T2261" i="2" s="1"/>
  <c r="S2260" i="2" a="1"/>
  <c r="R2260" i="2" a="1"/>
  <c r="Q2260" i="2" a="1"/>
  <c r="T2260" i="2" s="1"/>
  <c r="S2259" i="2" a="1"/>
  <c r="R2259" i="2" a="1"/>
  <c r="Q2259" i="2" a="1"/>
  <c r="T2259" i="2" s="1"/>
  <c r="S2258" i="2" a="1"/>
  <c r="R2258" i="2" a="1"/>
  <c r="Q2258" i="2" a="1"/>
  <c r="T2258" i="2" s="1"/>
  <c r="S2257" i="2" a="1"/>
  <c r="R2257" i="2" a="1"/>
  <c r="Q2257" i="2" a="1"/>
  <c r="T2257" i="2" s="1"/>
  <c r="S2256" i="2" a="1"/>
  <c r="R2256" i="2" a="1"/>
  <c r="Q2256" i="2" a="1"/>
  <c r="T2256" i="2" s="1"/>
  <c r="S2255" i="2" a="1"/>
  <c r="R2255" i="2" a="1"/>
  <c r="Q2255" i="2" a="1"/>
  <c r="T2255" i="2" s="1"/>
  <c r="S2254" i="2" a="1"/>
  <c r="R2254" i="2" a="1"/>
  <c r="Q2254" i="2" a="1"/>
  <c r="T2254" i="2" s="1"/>
  <c r="S2253" i="2" a="1"/>
  <c r="R2253" i="2" a="1"/>
  <c r="Q2253" i="2" a="1"/>
  <c r="T2253" i="2" s="1"/>
  <c r="S2252" i="2" a="1"/>
  <c r="R2252" i="2" a="1"/>
  <c r="Q2252" i="2" a="1"/>
  <c r="T2252" i="2" s="1"/>
  <c r="S2251" i="2" a="1"/>
  <c r="R2251" i="2" a="1"/>
  <c r="Q2251" i="2" a="1"/>
  <c r="T2251" i="2" s="1"/>
  <c r="S2250" i="2" a="1"/>
  <c r="R2250" i="2" a="1"/>
  <c r="Q2250" i="2" a="1"/>
  <c r="T2250" i="2" s="1"/>
  <c r="S2249" i="2" a="1"/>
  <c r="R2249" i="2" a="1"/>
  <c r="Q2249" i="2" a="1"/>
  <c r="T2249" i="2" s="1"/>
  <c r="S2248" i="2" a="1"/>
  <c r="R2248" i="2" a="1"/>
  <c r="Q2248" i="2" a="1"/>
  <c r="T2248" i="2" s="1"/>
  <c r="S2247" i="2" a="1"/>
  <c r="R2247" i="2" a="1"/>
  <c r="Q2247" i="2" a="1"/>
  <c r="T2247" i="2" s="1"/>
  <c r="S2246" i="2" a="1"/>
  <c r="R2246" i="2" a="1"/>
  <c r="Q2246" i="2" a="1"/>
  <c r="T2246" i="2" s="1"/>
  <c r="S2245" i="2" a="1"/>
  <c r="R2245" i="2" a="1"/>
  <c r="Q2245" i="2" a="1"/>
  <c r="T2245" i="2" s="1"/>
  <c r="S2244" i="2" a="1"/>
  <c r="R2244" i="2" a="1"/>
  <c r="Q2244" i="2" a="1"/>
  <c r="T2244" i="2" s="1"/>
  <c r="S2243" i="2" a="1"/>
  <c r="R2243" i="2" a="1"/>
  <c r="Q2243" i="2" a="1"/>
  <c r="T2243" i="2" s="1"/>
  <c r="S2242" i="2" a="1"/>
  <c r="R2242" i="2" a="1"/>
  <c r="Q2242" i="2" a="1"/>
  <c r="T2242" i="2" s="1"/>
  <c r="S2241" i="2" a="1"/>
  <c r="R2241" i="2" a="1"/>
  <c r="Q2241" i="2" a="1"/>
  <c r="T2241" i="2" s="1"/>
  <c r="S2240" i="2" a="1"/>
  <c r="R2240" i="2" a="1"/>
  <c r="Q2240" i="2" a="1"/>
  <c r="T2240" i="2" s="1"/>
  <c r="S2239" i="2" a="1"/>
  <c r="R2239" i="2" a="1"/>
  <c r="Q2239" i="2" a="1"/>
  <c r="T2239" i="2" s="1"/>
  <c r="S2238" i="2" a="1"/>
  <c r="R2238" i="2" a="1"/>
  <c r="Q2238" i="2" a="1"/>
  <c r="T2238" i="2" s="1"/>
  <c r="S2237" i="2" a="1"/>
  <c r="R2237" i="2" a="1"/>
  <c r="Q2237" i="2" a="1"/>
  <c r="T2237" i="2" s="1"/>
  <c r="S2236" i="2" a="1"/>
  <c r="R2236" i="2" a="1"/>
  <c r="Q2236" i="2" a="1"/>
  <c r="T2236" i="2" s="1"/>
  <c r="S2235" i="2" a="1"/>
  <c r="R2235" i="2" a="1"/>
  <c r="Q2235" i="2" a="1"/>
  <c r="T2235" i="2" s="1"/>
  <c r="S2234" i="2" a="1"/>
  <c r="R2234" i="2" a="1"/>
  <c r="Q2234" i="2" a="1"/>
  <c r="T2234" i="2" s="1"/>
  <c r="S2233" i="2" a="1"/>
  <c r="R2233" i="2" a="1"/>
  <c r="Q2233" i="2" a="1"/>
  <c r="T2233" i="2" s="1"/>
  <c r="S2232" i="2" a="1"/>
  <c r="R2232" i="2" a="1"/>
  <c r="Q2232" i="2" a="1"/>
  <c r="T2232" i="2" s="1"/>
  <c r="S2231" i="2" a="1"/>
  <c r="R2231" i="2" a="1"/>
  <c r="Q2231" i="2" a="1"/>
  <c r="S2230" i="2" a="1"/>
  <c r="R2230" i="2" a="1"/>
  <c r="Q2230" i="2" a="1"/>
  <c r="T2230" i="2" s="1"/>
  <c r="S2229" i="2" a="1"/>
  <c r="R2229" i="2" a="1"/>
  <c r="Q2229" i="2" a="1"/>
  <c r="T2229" i="2" s="1"/>
  <c r="S2228" i="2" a="1"/>
  <c r="R2228" i="2" a="1"/>
  <c r="Q2228" i="2" a="1"/>
  <c r="T2228" i="2" s="1"/>
  <c r="S2227" i="2" a="1"/>
  <c r="R2227" i="2" a="1"/>
  <c r="Q2227" i="2" a="1"/>
  <c r="S2226" i="2" a="1"/>
  <c r="R2226" i="2" a="1"/>
  <c r="Q2226" i="2" a="1"/>
  <c r="S2225" i="2" a="1"/>
  <c r="R2225" i="2" a="1"/>
  <c r="Q2225" i="2" a="1"/>
  <c r="S2224" i="2" a="1"/>
  <c r="R2224" i="2" a="1"/>
  <c r="Q2224" i="2" a="1"/>
  <c r="S2223" i="2" a="1"/>
  <c r="R2223" i="2" a="1"/>
  <c r="Q2223" i="2" a="1"/>
  <c r="S2222" i="2" a="1"/>
  <c r="R2222" i="2" a="1"/>
  <c r="Q2222" i="2" a="1"/>
  <c r="S2221" i="2" a="1"/>
  <c r="R2221" i="2" a="1"/>
  <c r="Q2221" i="2" a="1"/>
  <c r="S2220" i="2" a="1"/>
  <c r="R2220" i="2" a="1"/>
  <c r="Q2220" i="2" a="1"/>
  <c r="S2219" i="2" a="1"/>
  <c r="R2219" i="2" a="1"/>
  <c r="Q2219" i="2" a="1"/>
  <c r="S2218" i="2" a="1"/>
  <c r="R2218" i="2" a="1"/>
  <c r="Q2218" i="2" a="1"/>
  <c r="S2217" i="2" a="1"/>
  <c r="R2217" i="2" a="1"/>
  <c r="Q2217" i="2" a="1"/>
  <c r="S2216" i="2" a="1"/>
  <c r="R2216" i="2" a="1"/>
  <c r="Q2216" i="2" a="1"/>
  <c r="S2215" i="2" a="1"/>
  <c r="R2215" i="2" a="1"/>
  <c r="Q2215" i="2" a="1"/>
  <c r="S2214" i="2" a="1"/>
  <c r="R2214" i="2" a="1"/>
  <c r="Q2214" i="2" a="1"/>
  <c r="S2213" i="2" a="1"/>
  <c r="R2213" i="2" a="1"/>
  <c r="Q2213" i="2" a="1"/>
  <c r="S2212" i="2" a="1"/>
  <c r="R2212" i="2" a="1"/>
  <c r="Q2212" i="2" a="1"/>
  <c r="S2211" i="2" a="1"/>
  <c r="R2211" i="2" a="1"/>
  <c r="Q2211" i="2" a="1"/>
  <c r="S2210" i="2" a="1"/>
  <c r="R2210" i="2" a="1"/>
  <c r="Q2210" i="2" a="1"/>
  <c r="S2209" i="2" a="1"/>
  <c r="R2209" i="2" a="1"/>
  <c r="Q2209" i="2" a="1"/>
  <c r="S2208" i="2" a="1"/>
  <c r="R2208" i="2" a="1"/>
  <c r="Q2208" i="2" a="1"/>
  <c r="S2207" i="2" a="1"/>
  <c r="R2207" i="2" a="1"/>
  <c r="Q2207" i="2" a="1"/>
  <c r="S2206" i="2" a="1"/>
  <c r="R2206" i="2" a="1"/>
  <c r="Q2206" i="2" a="1"/>
  <c r="S2205" i="2" a="1"/>
  <c r="R2205" i="2" a="1"/>
  <c r="Q2205" i="2" a="1"/>
  <c r="S2204" i="2" a="1"/>
  <c r="R2204" i="2" a="1"/>
  <c r="Q2204" i="2" a="1"/>
  <c r="S2203" i="2" a="1"/>
  <c r="R2203" i="2" a="1"/>
  <c r="Q2203" i="2" a="1"/>
  <c r="S2202" i="2" a="1"/>
  <c r="R2202" i="2" a="1"/>
  <c r="Q2202" i="2" a="1"/>
  <c r="S2201" i="2" a="1"/>
  <c r="R2201" i="2" a="1"/>
  <c r="Q2201" i="2" a="1"/>
  <c r="S2200" i="2" a="1"/>
  <c r="R2200" i="2" a="1"/>
  <c r="Q2200" i="2" a="1"/>
  <c r="S2199" i="2" a="1"/>
  <c r="R2199" i="2" a="1"/>
  <c r="Q2199" i="2" a="1"/>
  <c r="S2198" i="2" a="1"/>
  <c r="R2198" i="2" a="1"/>
  <c r="Q2198" i="2" a="1"/>
  <c r="S2197" i="2" a="1"/>
  <c r="R2197" i="2" a="1"/>
  <c r="Q2197" i="2" a="1"/>
  <c r="S2196" i="2" a="1"/>
  <c r="R2196" i="2" a="1"/>
  <c r="Q2196" i="2" a="1"/>
  <c r="S2195" i="2" a="1"/>
  <c r="R2195" i="2" a="1"/>
  <c r="Q2195" i="2" a="1"/>
  <c r="S2194" i="2" a="1"/>
  <c r="R2194" i="2" a="1"/>
  <c r="Q2194" i="2" a="1"/>
  <c r="S2193" i="2" a="1"/>
  <c r="R2193" i="2" a="1"/>
  <c r="Q2193" i="2" a="1"/>
  <c r="S2192" i="2" a="1"/>
  <c r="R2192" i="2" a="1"/>
  <c r="Q2192" i="2" a="1"/>
  <c r="S2191" i="2" a="1"/>
  <c r="R2191" i="2" a="1"/>
  <c r="Q2191" i="2" a="1"/>
  <c r="S2190" i="2" a="1"/>
  <c r="R2190" i="2" a="1"/>
  <c r="Q2190" i="2" a="1"/>
  <c r="S2189" i="2" a="1"/>
  <c r="R2189" i="2" a="1"/>
  <c r="Q2189" i="2" a="1"/>
  <c r="S2188" i="2" a="1"/>
  <c r="R2188" i="2" a="1"/>
  <c r="Q2188" i="2" a="1"/>
  <c r="S2187" i="2" a="1"/>
  <c r="R2187" i="2" a="1"/>
  <c r="Q2187" i="2" a="1"/>
  <c r="S2186" i="2" a="1"/>
  <c r="R2186" i="2" a="1"/>
  <c r="Q2186" i="2" a="1"/>
  <c r="S2185" i="2" a="1"/>
  <c r="R2185" i="2" a="1"/>
  <c r="Q2185" i="2" a="1"/>
  <c r="S2184" i="2" a="1"/>
  <c r="R2184" i="2" a="1"/>
  <c r="Q2184" i="2" a="1"/>
  <c r="S2183" i="2" a="1"/>
  <c r="R2183" i="2" a="1"/>
  <c r="Q2183" i="2" a="1"/>
  <c r="S2182" i="2" a="1"/>
  <c r="R2182" i="2" a="1"/>
  <c r="Q2182" i="2" a="1"/>
  <c r="S2181" i="2" a="1"/>
  <c r="R2181" i="2" a="1"/>
  <c r="Q2181" i="2" a="1"/>
  <c r="S2180" i="2" a="1"/>
  <c r="R2180" i="2" a="1"/>
  <c r="Q2180" i="2" a="1"/>
  <c r="S2179" i="2" a="1"/>
  <c r="R2179" i="2" a="1"/>
  <c r="Q2179" i="2" a="1"/>
  <c r="S2178" i="2" a="1"/>
  <c r="R2178" i="2" a="1"/>
  <c r="Q2178" i="2" a="1"/>
  <c r="S2177" i="2" a="1"/>
  <c r="R2177" i="2" a="1"/>
  <c r="Q2177" i="2" a="1"/>
  <c r="S2176" i="2" a="1"/>
  <c r="R2176" i="2" a="1"/>
  <c r="Q2176" i="2" a="1"/>
  <c r="T2176" i="2" s="1"/>
  <c r="S2175" i="2" a="1"/>
  <c r="R2175" i="2" a="1"/>
  <c r="Q2175" i="2" a="1"/>
  <c r="T2175" i="2" s="1"/>
  <c r="S2174" i="2" a="1"/>
  <c r="R2174" i="2" a="1"/>
  <c r="Q2174" i="2" a="1"/>
  <c r="T2174" i="2" s="1"/>
  <c r="S2173" i="2" a="1"/>
  <c r="R2173" i="2" a="1"/>
  <c r="Q2173" i="2" a="1"/>
  <c r="T2173" i="2" s="1"/>
  <c r="S2172" i="2" a="1"/>
  <c r="R2172" i="2" a="1"/>
  <c r="Q2172" i="2" a="1"/>
  <c r="T2172" i="2" s="1"/>
  <c r="S2171" i="2" a="1"/>
  <c r="R2171" i="2" a="1"/>
  <c r="Q2171" i="2" a="1"/>
  <c r="T2171" i="2" s="1"/>
  <c r="S2170" i="2" a="1"/>
  <c r="R2170" i="2" a="1"/>
  <c r="Q2170" i="2" a="1"/>
  <c r="T2170" i="2" s="1"/>
  <c r="S2169" i="2" a="1"/>
  <c r="R2169" i="2" a="1"/>
  <c r="Q2169" i="2" a="1"/>
  <c r="T2169" i="2" s="1"/>
  <c r="S2168" i="2" a="1"/>
  <c r="R2168" i="2" a="1"/>
  <c r="Q2168" i="2" a="1"/>
  <c r="T2168" i="2" s="1"/>
  <c r="S2167" i="2" a="1"/>
  <c r="R2167" i="2" a="1"/>
  <c r="Q2167" i="2" a="1"/>
  <c r="S2166" i="2" a="1"/>
  <c r="R2166" i="2" a="1"/>
  <c r="Q2166" i="2" a="1"/>
  <c r="T2166" i="2" s="1"/>
  <c r="S2165" i="2" a="1"/>
  <c r="R2165" i="2" a="1"/>
  <c r="Q2165" i="2" a="1"/>
  <c r="T2165" i="2" s="1"/>
  <c r="S2164" i="2" a="1"/>
  <c r="R2164" i="2" a="1"/>
  <c r="Q2164" i="2" a="1"/>
  <c r="T2164" i="2" s="1"/>
  <c r="S2163" i="2" a="1"/>
  <c r="R2163" i="2" a="1"/>
  <c r="Q2163" i="2" a="1"/>
  <c r="T2163" i="2" s="1"/>
  <c r="S2162" i="2" a="1"/>
  <c r="R2162" i="2" a="1"/>
  <c r="Q2162" i="2" a="1"/>
  <c r="T2162" i="2" s="1"/>
  <c r="S2161" i="2" a="1"/>
  <c r="R2161" i="2" a="1"/>
  <c r="Q2161" i="2" a="1"/>
  <c r="T2161" i="2" s="1"/>
  <c r="S2160" i="2" a="1"/>
  <c r="R2160" i="2" a="1"/>
  <c r="Q2160" i="2" a="1"/>
  <c r="T2160" i="2" s="1"/>
  <c r="S2159" i="2" a="1"/>
  <c r="R2159" i="2" a="1"/>
  <c r="Q2159" i="2" a="1"/>
  <c r="T2159" i="2" s="1"/>
  <c r="S2158" i="2" a="1"/>
  <c r="R2158" i="2" a="1"/>
  <c r="Q2158" i="2" a="1"/>
  <c r="T2158" i="2" s="1"/>
  <c r="S2157" i="2" a="1"/>
  <c r="R2157" i="2" a="1"/>
  <c r="Q2157" i="2" a="1"/>
  <c r="T2157" i="2" s="1"/>
  <c r="S2156" i="2" a="1"/>
  <c r="R2156" i="2" a="1"/>
  <c r="Q2156" i="2" a="1"/>
  <c r="T2156" i="2" s="1"/>
  <c r="S2155" i="2" a="1"/>
  <c r="R2155" i="2" a="1"/>
  <c r="Q2155" i="2" a="1"/>
  <c r="T2155" i="2" s="1"/>
  <c r="S2154" i="2" a="1"/>
  <c r="R2154" i="2" a="1"/>
  <c r="Q2154" i="2" a="1"/>
  <c r="T2154" i="2" s="1"/>
  <c r="S2153" i="2" a="1"/>
  <c r="R2153" i="2" a="1"/>
  <c r="Q2153" i="2" a="1"/>
  <c r="T2153" i="2" s="1"/>
  <c r="S2152" i="2" a="1"/>
  <c r="R2152" i="2" a="1"/>
  <c r="Q2152" i="2" a="1"/>
  <c r="T2152" i="2" s="1"/>
  <c r="S2151" i="2" a="1"/>
  <c r="R2151" i="2" a="1"/>
  <c r="Q2151" i="2" a="1"/>
  <c r="T2151" i="2" s="1"/>
  <c r="S2150" i="2" a="1"/>
  <c r="R2150" i="2" a="1"/>
  <c r="Q2150" i="2" a="1"/>
  <c r="T2150" i="2" s="1"/>
  <c r="S2149" i="2" a="1"/>
  <c r="R2149" i="2" a="1"/>
  <c r="Q2149" i="2" a="1"/>
  <c r="T2149" i="2" s="1"/>
  <c r="S2148" i="2" a="1"/>
  <c r="R2148" i="2" a="1"/>
  <c r="Q2148" i="2" a="1"/>
  <c r="T2148" i="2" s="1"/>
  <c r="S2147" i="2" a="1"/>
  <c r="R2147" i="2" a="1"/>
  <c r="Q2147" i="2" a="1"/>
  <c r="T2147" i="2" s="1"/>
  <c r="S2146" i="2" a="1"/>
  <c r="R2146" i="2" a="1"/>
  <c r="Q2146" i="2" a="1"/>
  <c r="T2146" i="2" s="1"/>
  <c r="S2145" i="2" a="1"/>
  <c r="R2145" i="2" a="1"/>
  <c r="Q2145" i="2" a="1"/>
  <c r="T2145" i="2" s="1"/>
  <c r="S2144" i="2" a="1"/>
  <c r="R2144" i="2" a="1"/>
  <c r="Q2144" i="2" a="1"/>
  <c r="T2144" i="2" s="1"/>
  <c r="S2143" i="2" a="1"/>
  <c r="R2143" i="2" a="1"/>
  <c r="Q2143" i="2" a="1"/>
  <c r="T2143" i="2" s="1"/>
  <c r="S2142" i="2" a="1"/>
  <c r="R2142" i="2" a="1"/>
  <c r="Q2142" i="2" a="1"/>
  <c r="T2142" i="2" s="1"/>
  <c r="S2141" i="2" a="1"/>
  <c r="R2141" i="2" a="1"/>
  <c r="Q2141" i="2" a="1"/>
  <c r="T2141" i="2" s="1"/>
  <c r="S2140" i="2" a="1"/>
  <c r="R2140" i="2" a="1"/>
  <c r="Q2140" i="2" a="1"/>
  <c r="T2140" i="2" s="1"/>
  <c r="S2139" i="2" a="1"/>
  <c r="R2139" i="2" a="1"/>
  <c r="Q2139" i="2" a="1"/>
  <c r="T2139" i="2" s="1"/>
  <c r="S2138" i="2" a="1"/>
  <c r="R2138" i="2" a="1"/>
  <c r="Q2138" i="2" a="1"/>
  <c r="T2138" i="2" s="1"/>
  <c r="S2137" i="2" a="1"/>
  <c r="R2137" i="2" a="1"/>
  <c r="Q2137" i="2" a="1"/>
  <c r="T2137" i="2" s="1"/>
  <c r="S2136" i="2" a="1"/>
  <c r="R2136" i="2" a="1"/>
  <c r="Q2136" i="2" a="1"/>
  <c r="T2136" i="2" s="1"/>
  <c r="S2135" i="2" a="1"/>
  <c r="R2135" i="2" a="1"/>
  <c r="Q2135" i="2" a="1"/>
  <c r="S2134" i="2" a="1"/>
  <c r="R2134" i="2" a="1"/>
  <c r="Q2134" i="2" a="1"/>
  <c r="S2133" i="2" a="1"/>
  <c r="R2133" i="2" a="1"/>
  <c r="Q2133" i="2" a="1"/>
  <c r="S2132" i="2" a="1"/>
  <c r="R2132" i="2" a="1"/>
  <c r="Q2132" i="2" a="1"/>
  <c r="S2131" i="2" a="1"/>
  <c r="R2131" i="2" a="1"/>
  <c r="Q2131" i="2" a="1"/>
  <c r="S2130" i="2" a="1"/>
  <c r="R2130" i="2" a="1"/>
  <c r="Q2130" i="2" a="1"/>
  <c r="S2129" i="2" a="1"/>
  <c r="R2129" i="2" a="1"/>
  <c r="Q2129" i="2" a="1"/>
  <c r="S2128" i="2" a="1"/>
  <c r="R2128" i="2" a="1"/>
  <c r="Q2128" i="2" a="1"/>
  <c r="T2128" i="2" s="1"/>
  <c r="S2127" i="2" a="1"/>
  <c r="R2127" i="2" a="1"/>
  <c r="Q2127" i="2" a="1"/>
  <c r="S2126" i="2" a="1"/>
  <c r="R2126" i="2" a="1"/>
  <c r="Q2126" i="2" a="1"/>
  <c r="T2126" i="2" s="1"/>
  <c r="S2125" i="2" a="1"/>
  <c r="R2125" i="2" a="1"/>
  <c r="Q2125" i="2" a="1"/>
  <c r="S2124" i="2" a="1"/>
  <c r="R2124" i="2" a="1"/>
  <c r="Q2124" i="2" a="1"/>
  <c r="S2123" i="2" a="1"/>
  <c r="R2123" i="2" a="1"/>
  <c r="Q2123" i="2" a="1"/>
  <c r="S2122" i="2" a="1"/>
  <c r="R2122" i="2" a="1"/>
  <c r="Q2122" i="2" a="1"/>
  <c r="T2122" i="2" s="1"/>
  <c r="S2121" i="2" a="1"/>
  <c r="R2121" i="2" a="1"/>
  <c r="Q2121" i="2" a="1"/>
  <c r="T2121" i="2" s="1"/>
  <c r="S2120" i="2" a="1"/>
  <c r="R2120" i="2" a="1"/>
  <c r="Q2120" i="2" a="1"/>
  <c r="T2120" i="2" s="1"/>
  <c r="S2119" i="2" a="1"/>
  <c r="R2119" i="2" a="1"/>
  <c r="Q2119" i="2" a="1"/>
  <c r="T2119" i="2" s="1"/>
  <c r="S2118" i="2" a="1"/>
  <c r="R2118" i="2" a="1"/>
  <c r="Q2118" i="2" a="1"/>
  <c r="S2117" i="2" a="1"/>
  <c r="R2117" i="2" a="1"/>
  <c r="Q2117" i="2" a="1"/>
  <c r="S2116" i="2" a="1"/>
  <c r="R2116" i="2" a="1"/>
  <c r="Q2116" i="2" a="1"/>
  <c r="S2115" i="2" a="1"/>
  <c r="R2115" i="2" a="1"/>
  <c r="Q2115" i="2" a="1"/>
  <c r="S2114" i="2" a="1"/>
  <c r="R2114" i="2" a="1"/>
  <c r="Q2114" i="2" a="1"/>
  <c r="S2113" i="2" a="1"/>
  <c r="R2113" i="2" a="1"/>
  <c r="Q2113" i="2" a="1"/>
  <c r="S2112" i="2" a="1"/>
  <c r="R2112" i="2" a="1"/>
  <c r="Q2112" i="2" a="1"/>
  <c r="S2111" i="2" a="1"/>
  <c r="R2111" i="2" a="1"/>
  <c r="Q2111" i="2" a="1"/>
  <c r="S2110" i="2" a="1"/>
  <c r="R2110" i="2" a="1"/>
  <c r="Q2110" i="2" a="1"/>
  <c r="S2109" i="2" a="1"/>
  <c r="R2109" i="2" a="1"/>
  <c r="Q2109" i="2" a="1"/>
  <c r="S2108" i="2" a="1"/>
  <c r="R2108" i="2" a="1"/>
  <c r="Q2108" i="2" a="1"/>
  <c r="S2107" i="2" a="1"/>
  <c r="R2107" i="2" a="1"/>
  <c r="Q2107" i="2" a="1"/>
  <c r="S2106" i="2" a="1"/>
  <c r="R2106" i="2" a="1"/>
  <c r="Q2106" i="2" a="1"/>
  <c r="S2105" i="2" a="1"/>
  <c r="R2105" i="2" a="1"/>
  <c r="Q2105" i="2" a="1"/>
  <c r="S2104" i="2" a="1"/>
  <c r="R2104" i="2" a="1"/>
  <c r="Q2104" i="2" a="1"/>
  <c r="S2103" i="2" a="1"/>
  <c r="R2103" i="2" a="1"/>
  <c r="Q2103" i="2" a="1"/>
  <c r="S2102" i="2" a="1"/>
  <c r="R2102" i="2" a="1"/>
  <c r="Q2102" i="2" a="1"/>
  <c r="S2101" i="2" a="1"/>
  <c r="R2101" i="2" a="1"/>
  <c r="Q2101" i="2" a="1"/>
  <c r="S2100" i="2" a="1"/>
  <c r="R2100" i="2" a="1"/>
  <c r="Q2100" i="2" a="1"/>
  <c r="T2100" i="2" s="1"/>
  <c r="S2099" i="2" a="1"/>
  <c r="R2099" i="2" a="1"/>
  <c r="Q2099" i="2" a="1"/>
  <c r="T2099" i="2" s="1"/>
  <c r="S2098" i="2" a="1"/>
  <c r="R2098" i="2" a="1"/>
  <c r="Q2098" i="2" a="1"/>
  <c r="T2098" i="2" s="1"/>
  <c r="S2097" i="2" a="1"/>
  <c r="R2097" i="2" a="1"/>
  <c r="Q2097" i="2" a="1"/>
  <c r="T2097" i="2" s="1"/>
  <c r="S2096" i="2" a="1"/>
  <c r="R2096" i="2" a="1"/>
  <c r="Q2096" i="2" a="1"/>
  <c r="T2096" i="2" s="1"/>
  <c r="S2095" i="2" a="1"/>
  <c r="R2095" i="2" a="1"/>
  <c r="Q2095" i="2" a="1"/>
  <c r="T2095" i="2" s="1"/>
  <c r="S2094" i="2" a="1"/>
  <c r="R2094" i="2" a="1"/>
  <c r="Q2094" i="2" a="1"/>
  <c r="T2094" i="2" s="1"/>
  <c r="S2093" i="2" a="1"/>
  <c r="R2093" i="2" a="1"/>
  <c r="Q2093" i="2" a="1"/>
  <c r="T2093" i="2" s="1"/>
  <c r="S2092" i="2" a="1"/>
  <c r="R2092" i="2" a="1"/>
  <c r="Q2092" i="2" a="1"/>
  <c r="T2092" i="2" s="1"/>
  <c r="S2091" i="2" a="1"/>
  <c r="R2091" i="2" a="1"/>
  <c r="Q2091" i="2" a="1"/>
  <c r="T2091" i="2" s="1"/>
  <c r="S2090" i="2" a="1"/>
  <c r="R2090" i="2" a="1"/>
  <c r="Q2090" i="2" a="1"/>
  <c r="T2090" i="2" s="1"/>
  <c r="S2089" i="2" a="1"/>
  <c r="R2089" i="2" a="1"/>
  <c r="Q2089" i="2" a="1"/>
  <c r="T2089" i="2" s="1"/>
  <c r="S2088" i="2" a="1"/>
  <c r="R2088" i="2" a="1"/>
  <c r="Q2088" i="2" a="1"/>
  <c r="T2088" i="2" s="1"/>
  <c r="S2087" i="2" a="1"/>
  <c r="R2087" i="2" a="1"/>
  <c r="Q2087" i="2" a="1"/>
  <c r="T2087" i="2" s="1"/>
  <c r="S2086" i="2" a="1"/>
  <c r="R2086" i="2" a="1"/>
  <c r="Q2086" i="2" a="1"/>
  <c r="T2086" i="2" s="1"/>
  <c r="S2085" i="2" a="1"/>
  <c r="R2085" i="2" a="1"/>
  <c r="Q2085" i="2" a="1"/>
  <c r="T2085" i="2" s="1"/>
  <c r="S2084" i="2" a="1"/>
  <c r="R2084" i="2" a="1"/>
  <c r="Q2084" i="2" a="1"/>
  <c r="T2084" i="2" s="1"/>
  <c r="S2083" i="2" a="1"/>
  <c r="R2083" i="2" a="1"/>
  <c r="Q2083" i="2" a="1"/>
  <c r="T2083" i="2" s="1"/>
  <c r="S2082" i="2" a="1"/>
  <c r="R2082" i="2" a="1"/>
  <c r="Q2082" i="2" a="1"/>
  <c r="T2082" i="2" s="1"/>
  <c r="S2081" i="2" a="1"/>
  <c r="R2081" i="2" a="1"/>
  <c r="Q2081" i="2" a="1"/>
  <c r="T2081" i="2" s="1"/>
  <c r="S2080" i="2" a="1"/>
  <c r="R2080" i="2" a="1"/>
  <c r="Q2080" i="2" a="1"/>
  <c r="T2080" i="2" s="1"/>
  <c r="S2079" i="2" a="1"/>
  <c r="R2079" i="2" a="1"/>
  <c r="Q2079" i="2" a="1"/>
  <c r="T2079" i="2" s="1"/>
  <c r="S2078" i="2" a="1"/>
  <c r="R2078" i="2" a="1"/>
  <c r="Q2078" i="2" a="1"/>
  <c r="T2078" i="2" s="1"/>
  <c r="S2077" i="2" a="1"/>
  <c r="R2077" i="2" a="1"/>
  <c r="Q2077" i="2" a="1"/>
  <c r="T2077" i="2" s="1"/>
  <c r="S2076" i="2" a="1"/>
  <c r="R2076" i="2" a="1"/>
  <c r="Q2076" i="2" a="1"/>
  <c r="T2076" i="2" s="1"/>
  <c r="S2075" i="2" a="1"/>
  <c r="R2075" i="2" a="1"/>
  <c r="Q2075" i="2" a="1"/>
  <c r="T2075" i="2" s="1"/>
  <c r="S2074" i="2" a="1"/>
  <c r="R2074" i="2" a="1"/>
  <c r="Q2074" i="2" a="1"/>
  <c r="T2074" i="2" s="1"/>
  <c r="S2073" i="2" a="1"/>
  <c r="R2073" i="2" a="1"/>
  <c r="Q2073" i="2" a="1"/>
  <c r="T2073" i="2" s="1"/>
  <c r="S2072" i="2" a="1"/>
  <c r="R2072" i="2" a="1"/>
  <c r="Q2072" i="2" a="1"/>
  <c r="T2072" i="2" s="1"/>
  <c r="S2071" i="2" a="1"/>
  <c r="R2071" i="2" a="1"/>
  <c r="Q2071" i="2" a="1"/>
  <c r="T2071" i="2" s="1"/>
  <c r="S2070" i="2" a="1"/>
  <c r="R2070" i="2" a="1"/>
  <c r="Q2070" i="2" a="1"/>
  <c r="T2070" i="2" s="1"/>
  <c r="S2069" i="2" a="1"/>
  <c r="R2069" i="2" a="1"/>
  <c r="Q2069" i="2" a="1"/>
  <c r="T2069" i="2" s="1"/>
  <c r="S2068" i="2" a="1"/>
  <c r="R2068" i="2" a="1"/>
  <c r="Q2068" i="2" a="1"/>
  <c r="T2068" i="2" s="1"/>
  <c r="S2067" i="2" a="1"/>
  <c r="R2067" i="2" a="1"/>
  <c r="Q2067" i="2" a="1"/>
  <c r="T2067" i="2" s="1"/>
  <c r="S2066" i="2" a="1"/>
  <c r="R2066" i="2" a="1"/>
  <c r="Q2066" i="2" a="1"/>
  <c r="T2066" i="2" s="1"/>
  <c r="S2065" i="2" a="1"/>
  <c r="R2065" i="2" a="1"/>
  <c r="Q2065" i="2" a="1"/>
  <c r="T2065" i="2" s="1"/>
  <c r="S2064" i="2" a="1"/>
  <c r="R2064" i="2" a="1"/>
  <c r="Q2064" i="2" a="1"/>
  <c r="T2064" i="2" s="1"/>
  <c r="S2063" i="2" a="1"/>
  <c r="R2063" i="2" a="1"/>
  <c r="Q2063" i="2" a="1"/>
  <c r="T2063" i="2" s="1"/>
  <c r="S2062" i="2" a="1"/>
  <c r="R2062" i="2" a="1"/>
  <c r="Q2062" i="2" a="1"/>
  <c r="T2062" i="2" s="1"/>
  <c r="S2061" i="2" a="1"/>
  <c r="R2061" i="2" a="1"/>
  <c r="Q2061" i="2" a="1"/>
  <c r="T2061" i="2" s="1"/>
  <c r="S2060" i="2" a="1"/>
  <c r="R2060" i="2" a="1"/>
  <c r="Q2060" i="2" a="1"/>
  <c r="T2060" i="2" s="1"/>
  <c r="S2059" i="2" a="1"/>
  <c r="R2059" i="2" a="1"/>
  <c r="Q2059" i="2" a="1"/>
  <c r="T2059" i="2" s="1"/>
  <c r="S2058" i="2" a="1"/>
  <c r="R2058" i="2" a="1"/>
  <c r="Q2058" i="2" a="1"/>
  <c r="T2058" i="2" s="1"/>
  <c r="S2057" i="2" a="1"/>
  <c r="R2057" i="2" a="1"/>
  <c r="Q2057" i="2" a="1"/>
  <c r="T2057" i="2" s="1"/>
  <c r="S2056" i="2" a="1"/>
  <c r="R2056" i="2" a="1"/>
  <c r="Q2056" i="2" a="1"/>
  <c r="T2056" i="2" s="1"/>
  <c r="S2055" i="2" a="1"/>
  <c r="R2055" i="2" a="1"/>
  <c r="Q2055" i="2" a="1"/>
  <c r="T2055" i="2" s="1"/>
  <c r="S2054" i="2" a="1"/>
  <c r="R2054" i="2" a="1"/>
  <c r="Q2054" i="2" a="1"/>
  <c r="T2054" i="2" s="1"/>
  <c r="S2053" i="2" a="1"/>
  <c r="R2053" i="2" a="1"/>
  <c r="Q2053" i="2" a="1"/>
  <c r="T2053" i="2" s="1"/>
  <c r="S2052" i="2" a="1"/>
  <c r="R2052" i="2" a="1"/>
  <c r="Q2052" i="2" a="1"/>
  <c r="T2052" i="2" s="1"/>
  <c r="S2051" i="2" a="1"/>
  <c r="R2051" i="2" a="1"/>
  <c r="Q2051" i="2" a="1"/>
  <c r="T2051" i="2" s="1"/>
  <c r="S2050" i="2" a="1"/>
  <c r="R2050" i="2" a="1"/>
  <c r="Q2050" i="2" a="1"/>
  <c r="T2050" i="2" s="1"/>
  <c r="S2049" i="2" a="1"/>
  <c r="R2049" i="2" a="1"/>
  <c r="Q2049" i="2" a="1"/>
  <c r="T2049" i="2" s="1"/>
  <c r="S2048" i="2" a="1"/>
  <c r="R2048" i="2" a="1"/>
  <c r="Q2048" i="2" a="1"/>
  <c r="T2048" i="2" s="1"/>
  <c r="S2047" i="2" a="1"/>
  <c r="R2047" i="2" a="1"/>
  <c r="Q2047" i="2" a="1"/>
  <c r="T2047" i="2" s="1"/>
  <c r="S2046" i="2" a="1"/>
  <c r="R2046" i="2" a="1"/>
  <c r="Q2046" i="2" a="1"/>
  <c r="T2046" i="2" s="1"/>
  <c r="S2045" i="2" a="1"/>
  <c r="R2045" i="2" a="1"/>
  <c r="Q2045" i="2" a="1"/>
  <c r="T2045" i="2" s="1"/>
  <c r="S2044" i="2" a="1"/>
  <c r="R2044" i="2" a="1"/>
  <c r="Q2044" i="2" a="1"/>
  <c r="T2044" i="2" s="1"/>
  <c r="S2043" i="2" a="1"/>
  <c r="R2043" i="2" a="1"/>
  <c r="Q2043" i="2" a="1"/>
  <c r="T2043" i="2" s="1"/>
  <c r="S2042" i="2" a="1"/>
  <c r="R2042" i="2" a="1"/>
  <c r="Q2042" i="2" a="1"/>
  <c r="T2042" i="2" s="1"/>
  <c r="S2041" i="2" a="1"/>
  <c r="R2041" i="2" a="1"/>
  <c r="Q2041" i="2" a="1"/>
  <c r="T2041" i="2" s="1"/>
  <c r="S2040" i="2" a="1"/>
  <c r="R2040" i="2" a="1"/>
  <c r="Q2040" i="2" a="1"/>
  <c r="T2040" i="2" s="1"/>
  <c r="S2039" i="2" a="1"/>
  <c r="R2039" i="2" a="1"/>
  <c r="Q2039" i="2" a="1"/>
  <c r="T2039" i="2" s="1"/>
  <c r="S2038" i="2" a="1"/>
  <c r="R2038" i="2" a="1"/>
  <c r="Q2038" i="2" a="1"/>
  <c r="T2038" i="2" s="1"/>
  <c r="S2037" i="2" a="1"/>
  <c r="R2037" i="2" a="1"/>
  <c r="Q2037" i="2" a="1"/>
  <c r="T2037" i="2" s="1"/>
  <c r="S2036" i="2" a="1"/>
  <c r="R2036" i="2" a="1"/>
  <c r="Q2036" i="2" a="1"/>
  <c r="T2036" i="2" s="1"/>
  <c r="S2035" i="2" a="1"/>
  <c r="R2035" i="2" a="1"/>
  <c r="Q2035" i="2" a="1"/>
  <c r="T2035" i="2" s="1"/>
  <c r="S2034" i="2" a="1"/>
  <c r="R2034" i="2" a="1"/>
  <c r="Q2034" i="2" a="1"/>
  <c r="T2034" i="2" s="1"/>
  <c r="S2033" i="2" a="1"/>
  <c r="R2033" i="2" a="1"/>
  <c r="Q2033" i="2" a="1"/>
  <c r="T2033" i="2" s="1"/>
  <c r="S2032" i="2" a="1"/>
  <c r="R2032" i="2" a="1"/>
  <c r="Q2032" i="2" a="1"/>
  <c r="T2032" i="2" s="1"/>
  <c r="S2031" i="2" a="1"/>
  <c r="R2031" i="2" a="1"/>
  <c r="Q2031" i="2" a="1"/>
  <c r="T2031" i="2" s="1"/>
  <c r="S2030" i="2" a="1"/>
  <c r="R2030" i="2" a="1"/>
  <c r="Q2030" i="2" a="1"/>
  <c r="T2030" i="2" s="1"/>
  <c r="S2029" i="2" a="1"/>
  <c r="R2029" i="2" a="1"/>
  <c r="Q2029" i="2" a="1"/>
  <c r="T2029" i="2" s="1"/>
  <c r="S2028" i="2" a="1"/>
  <c r="R2028" i="2" a="1"/>
  <c r="Q2028" i="2" a="1"/>
  <c r="T2028" i="2" s="1"/>
  <c r="S2027" i="2" a="1"/>
  <c r="R2027" i="2" a="1"/>
  <c r="Q2027" i="2" a="1"/>
  <c r="T2027" i="2" s="1"/>
  <c r="S2026" i="2" a="1"/>
  <c r="R2026" i="2" a="1"/>
  <c r="Q2026" i="2" a="1"/>
  <c r="T2026" i="2" s="1"/>
  <c r="S2025" i="2" a="1"/>
  <c r="R2025" i="2" a="1"/>
  <c r="Q2025" i="2" a="1"/>
  <c r="T2025" i="2" s="1"/>
  <c r="S2024" i="2" a="1"/>
  <c r="R2024" i="2" a="1"/>
  <c r="Q2024" i="2" a="1"/>
  <c r="T2024" i="2" s="1"/>
  <c r="S2023" i="2" a="1"/>
  <c r="R2023" i="2" a="1"/>
  <c r="Q2023" i="2" a="1"/>
  <c r="T2023" i="2" s="1"/>
  <c r="S2022" i="2" a="1"/>
  <c r="R2022" i="2" a="1"/>
  <c r="Q2022" i="2" a="1"/>
  <c r="T2022" i="2" s="1"/>
  <c r="S2021" i="2" a="1"/>
  <c r="R2021" i="2" a="1"/>
  <c r="Q2021" i="2" a="1"/>
  <c r="T2021" i="2" s="1"/>
  <c r="S2020" i="2" a="1"/>
  <c r="R2020" i="2" a="1"/>
  <c r="Q2020" i="2" a="1"/>
  <c r="T2020" i="2" s="1"/>
  <c r="S2019" i="2" a="1"/>
  <c r="R2019" i="2" a="1"/>
  <c r="Q2019" i="2" a="1"/>
  <c r="T2019" i="2" s="1"/>
  <c r="S2018" i="2" a="1"/>
  <c r="R2018" i="2" a="1"/>
  <c r="Q2018" i="2" a="1"/>
  <c r="T2018" i="2" s="1"/>
  <c r="S2017" i="2" a="1"/>
  <c r="R2017" i="2" a="1"/>
  <c r="Q2017" i="2" a="1"/>
  <c r="T2017" i="2" s="1"/>
  <c r="S2016" i="2" a="1"/>
  <c r="R2016" i="2" a="1"/>
  <c r="Q2016" i="2" a="1"/>
  <c r="T2016" i="2" s="1"/>
  <c r="S2015" i="2" a="1"/>
  <c r="R2015" i="2" a="1"/>
  <c r="Q2015" i="2" a="1"/>
  <c r="T2015" i="2" s="1"/>
  <c r="S2014" i="2" a="1"/>
  <c r="R2014" i="2" a="1"/>
  <c r="Q2014" i="2" a="1"/>
  <c r="T2014" i="2" s="1"/>
  <c r="S2013" i="2" a="1"/>
  <c r="R2013" i="2" a="1"/>
  <c r="Q2013" i="2" a="1"/>
  <c r="T2013" i="2" s="1"/>
  <c r="S2012" i="2" a="1"/>
  <c r="R2012" i="2" a="1"/>
  <c r="Q2012" i="2" a="1"/>
  <c r="T2012" i="2" s="1"/>
  <c r="S2011" i="2" a="1"/>
  <c r="R2011" i="2" a="1"/>
  <c r="Q2011" i="2" a="1"/>
  <c r="T2011" i="2" s="1"/>
  <c r="S2010" i="2" a="1"/>
  <c r="R2010" i="2" a="1"/>
  <c r="Q2010" i="2" a="1"/>
  <c r="T2010" i="2" s="1"/>
  <c r="S2009" i="2" a="1"/>
  <c r="R2009" i="2" a="1"/>
  <c r="Q2009" i="2" a="1"/>
  <c r="T2009" i="2" s="1"/>
  <c r="S2008" i="2" a="1"/>
  <c r="R2008" i="2" a="1"/>
  <c r="Q2008" i="2" a="1"/>
  <c r="T2008" i="2" s="1"/>
  <c r="S2007" i="2" a="1"/>
  <c r="R2007" i="2" a="1"/>
  <c r="Q2007" i="2" a="1"/>
  <c r="T2007" i="2" s="1"/>
  <c r="S2006" i="2" a="1"/>
  <c r="R2006" i="2" a="1"/>
  <c r="Q2006" i="2" a="1"/>
  <c r="T2006" i="2" s="1"/>
  <c r="S2005" i="2" a="1"/>
  <c r="R2005" i="2" a="1"/>
  <c r="Q2005" i="2" a="1"/>
  <c r="T2005" i="2" s="1"/>
  <c r="S2004" i="2" a="1"/>
  <c r="R2004" i="2" a="1"/>
  <c r="Q2004" i="2" a="1"/>
  <c r="T2004" i="2" s="1"/>
  <c r="S2003" i="2" a="1"/>
  <c r="R2003" i="2" a="1"/>
  <c r="Q2003" i="2" a="1"/>
  <c r="T2003" i="2" s="1"/>
  <c r="S2002" i="2" a="1"/>
  <c r="R2002" i="2" a="1"/>
  <c r="Q2002" i="2" a="1"/>
  <c r="T2002" i="2" s="1"/>
  <c r="S2001" i="2" a="1"/>
  <c r="R2001" i="2" a="1"/>
  <c r="Q2001" i="2" a="1"/>
  <c r="T2001" i="2" s="1"/>
  <c r="S2000" i="2" a="1"/>
  <c r="R2000" i="2" a="1"/>
  <c r="Q2000" i="2" a="1"/>
  <c r="T2000" i="2" s="1"/>
  <c r="S1999" i="2" a="1"/>
  <c r="R1999" i="2" a="1"/>
  <c r="Q1999" i="2" a="1"/>
  <c r="T1999" i="2" s="1"/>
  <c r="S1998" i="2" a="1"/>
  <c r="R1998" i="2" a="1"/>
  <c r="Q1998" i="2" a="1"/>
  <c r="T1998" i="2" s="1"/>
  <c r="S1997" i="2" a="1"/>
  <c r="R1997" i="2" a="1"/>
  <c r="Q1997" i="2" a="1"/>
  <c r="T1997" i="2" s="1"/>
  <c r="S1996" i="2" a="1"/>
  <c r="R1996" i="2" a="1"/>
  <c r="Q1996" i="2" a="1"/>
  <c r="T1996" i="2" s="1"/>
  <c r="S1995" i="2" a="1"/>
  <c r="R1995" i="2" a="1"/>
  <c r="Q1995" i="2" a="1"/>
  <c r="T1995" i="2" s="1"/>
  <c r="S1994" i="2" a="1"/>
  <c r="R1994" i="2" a="1"/>
  <c r="Q1994" i="2" a="1"/>
  <c r="T1994" i="2" s="1"/>
  <c r="S1993" i="2" a="1"/>
  <c r="R1993" i="2" a="1"/>
  <c r="Q1993" i="2" a="1"/>
  <c r="T1993" i="2" s="1"/>
  <c r="S1992" i="2" a="1"/>
  <c r="R1992" i="2" a="1"/>
  <c r="Q1992" i="2" a="1"/>
  <c r="T1992" i="2" s="1"/>
  <c r="S1991" i="2" a="1"/>
  <c r="R1991" i="2" a="1"/>
  <c r="Q1991" i="2" a="1"/>
  <c r="T1991" i="2" s="1"/>
  <c r="S1990" i="2" a="1"/>
  <c r="R1990" i="2" a="1"/>
  <c r="Q1990" i="2" a="1"/>
  <c r="T1990" i="2" s="1"/>
  <c r="S1989" i="2" a="1"/>
  <c r="R1989" i="2" a="1"/>
  <c r="Q1989" i="2" a="1"/>
  <c r="T1989" i="2" s="1"/>
  <c r="S1988" i="2" a="1"/>
  <c r="R1988" i="2" a="1"/>
  <c r="Q1988" i="2" a="1"/>
  <c r="T1988" i="2" s="1"/>
  <c r="S1987" i="2" a="1"/>
  <c r="R1987" i="2" a="1"/>
  <c r="Q1987" i="2" a="1"/>
  <c r="T1987" i="2" s="1"/>
  <c r="S1986" i="2" a="1"/>
  <c r="R1986" i="2" a="1"/>
  <c r="Q1986" i="2" a="1"/>
  <c r="T1986" i="2" s="1"/>
  <c r="S1985" i="2" a="1"/>
  <c r="R1985" i="2" a="1"/>
  <c r="Q1985" i="2" a="1"/>
  <c r="S1984" i="2" a="1"/>
  <c r="R1984" i="2" a="1"/>
  <c r="Q1984" i="2" a="1"/>
  <c r="T1984" i="2" s="1"/>
  <c r="S1983" i="2" a="1"/>
  <c r="R1983" i="2" a="1"/>
  <c r="Q1983" i="2" a="1"/>
  <c r="T1983" i="2" s="1"/>
  <c r="S1982" i="2" a="1"/>
  <c r="R1982" i="2" a="1"/>
  <c r="Q1982" i="2" a="1"/>
  <c r="S1981" i="2" a="1"/>
  <c r="R1981" i="2" a="1"/>
  <c r="Q1981" i="2" a="1"/>
  <c r="T1981" i="2" s="1"/>
  <c r="S1980" i="2" a="1"/>
  <c r="R1980" i="2" a="1"/>
  <c r="Q1980" i="2" a="1"/>
  <c r="S1979" i="2" a="1"/>
  <c r="R1979" i="2" a="1"/>
  <c r="Q1979" i="2" a="1"/>
  <c r="T1979" i="2" s="1"/>
  <c r="S1978" i="2" a="1"/>
  <c r="R1978" i="2" a="1"/>
  <c r="Q1978" i="2" a="1"/>
  <c r="T1978" i="2" s="1"/>
  <c r="S1977" i="2" a="1"/>
  <c r="R1977" i="2" a="1"/>
  <c r="Q1977" i="2" a="1"/>
  <c r="T1977" i="2" s="1"/>
  <c r="S1976" i="2" a="1"/>
  <c r="R1976" i="2" a="1"/>
  <c r="Q1976" i="2" a="1"/>
  <c r="S1975" i="2" a="1"/>
  <c r="R1975" i="2" a="1"/>
  <c r="Q1975" i="2" a="1"/>
  <c r="T1975" i="2" s="1"/>
  <c r="S1974" i="2" a="1"/>
  <c r="R1974" i="2" a="1"/>
  <c r="Q1974" i="2" a="1"/>
  <c r="T1974" i="2" s="1"/>
  <c r="S1973" i="2" a="1"/>
  <c r="R1973" i="2" a="1"/>
  <c r="Q1973" i="2" a="1"/>
  <c r="S1972" i="2" a="1"/>
  <c r="R1972" i="2" a="1"/>
  <c r="Q1972" i="2" a="1"/>
  <c r="S1971" i="2" a="1"/>
  <c r="R1971" i="2" a="1"/>
  <c r="Q1971" i="2" a="1"/>
  <c r="T1971" i="2" s="1"/>
  <c r="S1970" i="2" a="1"/>
  <c r="R1970" i="2" a="1"/>
  <c r="Q1970" i="2" a="1"/>
  <c r="T1970" i="2" s="1"/>
  <c r="S1969" i="2" a="1"/>
  <c r="R1969" i="2" a="1"/>
  <c r="Q1969" i="2" a="1"/>
  <c r="S1968" i="2" a="1"/>
  <c r="R1968" i="2" a="1"/>
  <c r="Q1968" i="2" a="1"/>
  <c r="T1968" i="2" s="1"/>
  <c r="S1967" i="2" a="1"/>
  <c r="R1967" i="2" a="1"/>
  <c r="Q1967" i="2" a="1"/>
  <c r="S1966" i="2" a="1"/>
  <c r="R1966" i="2" a="1"/>
  <c r="Q1966" i="2" a="1"/>
  <c r="S1965" i="2" a="1"/>
  <c r="R1965" i="2" a="1"/>
  <c r="Q1965" i="2" a="1"/>
  <c r="T1965" i="2" s="1"/>
  <c r="S1964" i="2" a="1"/>
  <c r="R1964" i="2" a="1"/>
  <c r="Q1964" i="2" a="1"/>
  <c r="T1964" i="2" s="1"/>
  <c r="S1963" i="2" a="1"/>
  <c r="R1963" i="2" a="1"/>
  <c r="Q1963" i="2" a="1"/>
  <c r="T1963" i="2" s="1"/>
  <c r="S1962" i="2" a="1"/>
  <c r="R1962" i="2" a="1"/>
  <c r="Q1962" i="2" a="1"/>
  <c r="T1962" i="2" s="1"/>
  <c r="S1961" i="2" a="1"/>
  <c r="R1961" i="2" a="1"/>
  <c r="Q1961" i="2" a="1"/>
  <c r="S1960" i="2" a="1"/>
  <c r="R1960" i="2" a="1"/>
  <c r="Q1960" i="2" a="1"/>
  <c r="T1960" i="2" s="1"/>
  <c r="S1959" i="2" a="1"/>
  <c r="R1959" i="2" a="1"/>
  <c r="Q1959" i="2" a="1"/>
  <c r="T1959" i="2" s="1"/>
  <c r="S1958" i="2" a="1"/>
  <c r="R1958" i="2" a="1"/>
  <c r="Q1958" i="2" a="1"/>
  <c r="T1958" i="2" s="1"/>
  <c r="S1957" i="2" a="1"/>
  <c r="R1957" i="2" a="1"/>
  <c r="Q1957" i="2" a="1"/>
  <c r="T1957" i="2" s="1"/>
  <c r="S1956" i="2" a="1"/>
  <c r="R1956" i="2" a="1"/>
  <c r="Q1956" i="2" a="1"/>
  <c r="T1956" i="2" s="1"/>
  <c r="S1955" i="2" a="1"/>
  <c r="R1955" i="2" a="1"/>
  <c r="Q1955" i="2" a="1"/>
  <c r="S1954" i="2" a="1"/>
  <c r="R1954" i="2" a="1"/>
  <c r="Q1954" i="2" a="1"/>
  <c r="S1953" i="2" a="1"/>
  <c r="R1953" i="2" a="1"/>
  <c r="Q1953" i="2" a="1"/>
  <c r="S1952" i="2" a="1"/>
  <c r="R1952" i="2" a="1"/>
  <c r="Q1952" i="2" a="1"/>
  <c r="S1951" i="2" a="1"/>
  <c r="R1951" i="2" a="1"/>
  <c r="Q1951" i="2" a="1"/>
  <c r="S1950" i="2" a="1"/>
  <c r="R1950" i="2" a="1"/>
  <c r="Q1950" i="2" a="1"/>
  <c r="T1950" i="2" s="1"/>
  <c r="S1949" i="2" a="1"/>
  <c r="R1949" i="2" a="1"/>
  <c r="Q1949" i="2" a="1"/>
  <c r="S1948" i="2" a="1"/>
  <c r="R1948" i="2" a="1"/>
  <c r="Q1948" i="2" a="1"/>
  <c r="T1948" i="2" s="1"/>
  <c r="S1947" i="2" a="1"/>
  <c r="R1947" i="2" a="1"/>
  <c r="Q1947" i="2" a="1"/>
  <c r="S1946" i="2" a="1"/>
  <c r="R1946" i="2" a="1"/>
  <c r="Q1946" i="2" a="1"/>
  <c r="S1945" i="2" a="1"/>
  <c r="R1945" i="2" a="1"/>
  <c r="Q1945" i="2" a="1"/>
  <c r="T1945" i="2" s="1"/>
  <c r="S1944" i="2" a="1"/>
  <c r="R1944" i="2" a="1"/>
  <c r="Q1944" i="2" a="1"/>
  <c r="S1943" i="2" a="1"/>
  <c r="R1943" i="2" a="1"/>
  <c r="Q1943" i="2" a="1"/>
  <c r="S1942" i="2" a="1"/>
  <c r="R1942" i="2" a="1"/>
  <c r="Q1942" i="2" a="1"/>
  <c r="S1941" i="2" a="1"/>
  <c r="R1941" i="2" a="1"/>
  <c r="Q1941" i="2" a="1"/>
  <c r="S1940" i="2" a="1"/>
  <c r="R1940" i="2" a="1"/>
  <c r="Q1940" i="2" a="1"/>
  <c r="S1939" i="2" a="1"/>
  <c r="R1939" i="2" a="1"/>
  <c r="Q1939" i="2" a="1"/>
  <c r="S1938" i="2" a="1"/>
  <c r="R1938" i="2" a="1"/>
  <c r="Q1938" i="2" a="1"/>
  <c r="T1938" i="2" s="1"/>
  <c r="S1937" i="2" a="1"/>
  <c r="R1937" i="2" a="1"/>
  <c r="Q1937" i="2" a="1"/>
  <c r="S1936" i="2" a="1"/>
  <c r="R1936" i="2" a="1"/>
  <c r="Q1936" i="2" a="1"/>
  <c r="S1935" i="2" a="1"/>
  <c r="R1935" i="2" a="1"/>
  <c r="Q1935" i="2" a="1"/>
  <c r="S1934" i="2" a="1"/>
  <c r="R1934" i="2" a="1"/>
  <c r="Q1934" i="2" a="1"/>
  <c r="S1933" i="2" a="1"/>
  <c r="R1933" i="2" a="1"/>
  <c r="Q1933" i="2" a="1"/>
  <c r="S1932" i="2" a="1"/>
  <c r="R1932" i="2" a="1"/>
  <c r="Q1932" i="2" a="1"/>
  <c r="S1931" i="2" a="1"/>
  <c r="R1931" i="2" a="1"/>
  <c r="Q1931" i="2" a="1"/>
  <c r="S1930" i="2" a="1"/>
  <c r="R1930" i="2" a="1"/>
  <c r="Q1930" i="2" a="1"/>
  <c r="S1929" i="2" a="1"/>
  <c r="R1929" i="2" a="1"/>
  <c r="Q1929" i="2" a="1"/>
  <c r="S1928" i="2" a="1"/>
  <c r="R1928" i="2" a="1"/>
  <c r="Q1928" i="2" a="1"/>
  <c r="S1927" i="2" a="1"/>
  <c r="R1927" i="2" a="1"/>
  <c r="Q1927" i="2" a="1"/>
  <c r="S1926" i="2" a="1"/>
  <c r="R1926" i="2" a="1"/>
  <c r="Q1926" i="2" a="1"/>
  <c r="S1925" i="2" a="1"/>
  <c r="R1925" i="2" a="1"/>
  <c r="Q1925" i="2" a="1"/>
  <c r="S1924" i="2" a="1"/>
  <c r="R1924" i="2" a="1"/>
  <c r="Q1924" i="2" a="1"/>
  <c r="S1923" i="2" a="1"/>
  <c r="R1923" i="2" a="1"/>
  <c r="Q1923" i="2" a="1"/>
  <c r="S1922" i="2" a="1"/>
  <c r="R1922" i="2" a="1"/>
  <c r="Q1922" i="2" a="1"/>
  <c r="S1921" i="2" a="1"/>
  <c r="R1921" i="2" a="1"/>
  <c r="Q1921" i="2" a="1"/>
  <c r="S1920" i="2" a="1"/>
  <c r="R1920" i="2" a="1"/>
  <c r="Q1920" i="2" a="1"/>
  <c r="S1919" i="2" a="1"/>
  <c r="R1919" i="2" a="1"/>
  <c r="Q1919" i="2" a="1"/>
  <c r="S1918" i="2" a="1"/>
  <c r="R1918" i="2" a="1"/>
  <c r="Q1918" i="2" a="1"/>
  <c r="S1917" i="2" a="1"/>
  <c r="R1917" i="2" a="1"/>
  <c r="Q1917" i="2" a="1"/>
  <c r="S1916" i="2" a="1"/>
  <c r="R1916" i="2" a="1"/>
  <c r="Q1916" i="2" a="1"/>
  <c r="T1916" i="2" s="1"/>
  <c r="S1915" i="2" a="1"/>
  <c r="R1915" i="2" a="1"/>
  <c r="Q1915" i="2" a="1"/>
  <c r="S1914" i="2" a="1"/>
  <c r="R1914" i="2" a="1"/>
  <c r="Q1914" i="2" a="1"/>
  <c r="S1913" i="2" a="1"/>
  <c r="R1913" i="2" a="1"/>
  <c r="Q1913" i="2" a="1"/>
  <c r="S1912" i="2" a="1"/>
  <c r="R1912" i="2" a="1"/>
  <c r="Q1912" i="2" a="1"/>
  <c r="S1911" i="2" a="1"/>
  <c r="R1911" i="2" a="1"/>
  <c r="Q1911" i="2" a="1"/>
  <c r="S1910" i="2" a="1"/>
  <c r="R1910" i="2" a="1"/>
  <c r="Q1910" i="2" a="1"/>
  <c r="S1909" i="2" a="1"/>
  <c r="R1909" i="2" a="1"/>
  <c r="Q1909" i="2" a="1"/>
  <c r="S1908" i="2" a="1"/>
  <c r="R1908" i="2" a="1"/>
  <c r="Q1908" i="2" a="1"/>
  <c r="S1907" i="2" a="1"/>
  <c r="R1907" i="2" a="1"/>
  <c r="Q1907" i="2" a="1"/>
  <c r="S1906" i="2" a="1"/>
  <c r="R1906" i="2" a="1"/>
  <c r="Q1906" i="2" a="1"/>
  <c r="S1905" i="2" a="1"/>
  <c r="R1905" i="2" a="1"/>
  <c r="Q1905" i="2" a="1"/>
  <c r="T1905" i="2" s="1"/>
  <c r="S1904" i="2" a="1"/>
  <c r="R1904" i="2" a="1"/>
  <c r="Q1904" i="2" a="1"/>
  <c r="S1903" i="2" a="1"/>
  <c r="R1903" i="2" a="1"/>
  <c r="Q1903" i="2" a="1"/>
  <c r="T1903" i="2" s="1"/>
  <c r="S1902" i="2" a="1"/>
  <c r="R1902" i="2" a="1"/>
  <c r="Q1902" i="2" a="1"/>
  <c r="T1902" i="2" s="1"/>
  <c r="S1901" i="2" a="1"/>
  <c r="R1901" i="2" a="1"/>
  <c r="Q1901" i="2" a="1"/>
  <c r="T1901" i="2" s="1"/>
  <c r="S1900" i="2" a="1"/>
  <c r="R1900" i="2" a="1"/>
  <c r="Q1900" i="2" a="1"/>
  <c r="T1900" i="2" s="1"/>
  <c r="S1899" i="2" a="1"/>
  <c r="R1899" i="2" a="1"/>
  <c r="Q1899" i="2" a="1"/>
  <c r="T1899" i="2" s="1"/>
  <c r="S1898" i="2" a="1"/>
  <c r="R1898" i="2" a="1"/>
  <c r="Q1898" i="2" a="1"/>
  <c r="T1898" i="2" s="1"/>
  <c r="S1897" i="2" a="1"/>
  <c r="R1897" i="2" a="1"/>
  <c r="Q1897" i="2" a="1"/>
  <c r="T1897" i="2" s="1"/>
  <c r="S1896" i="2" a="1"/>
  <c r="R1896" i="2" a="1"/>
  <c r="Q1896" i="2" a="1"/>
  <c r="S1895" i="2" a="1"/>
  <c r="R1895" i="2" a="1"/>
  <c r="Q1895" i="2" a="1"/>
  <c r="S1894" i="2" a="1"/>
  <c r="R1894" i="2" a="1"/>
  <c r="Q1894" i="2" a="1"/>
  <c r="S1893" i="2" a="1"/>
  <c r="R1893" i="2" a="1"/>
  <c r="Q1893" i="2" a="1"/>
  <c r="S1892" i="2" a="1"/>
  <c r="R1892" i="2" a="1"/>
  <c r="Q1892" i="2" a="1"/>
  <c r="S1891" i="2" a="1"/>
  <c r="R1891" i="2" a="1"/>
  <c r="Q1891" i="2" a="1"/>
  <c r="S1890" i="2" a="1"/>
  <c r="R1890" i="2" a="1"/>
  <c r="Q1890" i="2" a="1"/>
  <c r="S1889" i="2" a="1"/>
  <c r="R1889" i="2" a="1"/>
  <c r="Q1889" i="2" a="1"/>
  <c r="S1888" i="2" a="1"/>
  <c r="R1888" i="2" a="1"/>
  <c r="Q1888" i="2" a="1"/>
  <c r="S1887" i="2" a="1"/>
  <c r="R1887" i="2" a="1"/>
  <c r="Q1887" i="2" a="1"/>
  <c r="S1886" i="2" a="1"/>
  <c r="R1886" i="2" a="1"/>
  <c r="Q1886" i="2" a="1"/>
  <c r="S1885" i="2" a="1"/>
  <c r="R1885" i="2" a="1"/>
  <c r="Q1885" i="2" a="1"/>
  <c r="S1884" i="2" a="1"/>
  <c r="R1884" i="2" a="1"/>
  <c r="Q1884" i="2" a="1"/>
  <c r="S1883" i="2" a="1"/>
  <c r="R1883" i="2" a="1"/>
  <c r="Q1883" i="2" a="1"/>
  <c r="S1882" i="2" a="1"/>
  <c r="R1882" i="2" a="1"/>
  <c r="Q1882" i="2" a="1"/>
  <c r="S1881" i="2" a="1"/>
  <c r="R1881" i="2" a="1"/>
  <c r="Q1881" i="2" a="1"/>
  <c r="S1880" i="2" a="1"/>
  <c r="R1880" i="2" a="1"/>
  <c r="Q1880" i="2" a="1"/>
  <c r="S1879" i="2" a="1"/>
  <c r="R1879" i="2" a="1"/>
  <c r="Q1879" i="2" a="1"/>
  <c r="S1878" i="2" a="1"/>
  <c r="R1878" i="2" a="1"/>
  <c r="Q1878" i="2" a="1"/>
  <c r="S1877" i="2" a="1"/>
  <c r="R1877" i="2" a="1"/>
  <c r="Q1877" i="2" a="1"/>
  <c r="S1876" i="2" a="1"/>
  <c r="R1876" i="2" a="1"/>
  <c r="Q1876" i="2" a="1"/>
  <c r="S1875" i="2" a="1"/>
  <c r="R1875" i="2" a="1"/>
  <c r="Q1875" i="2" a="1"/>
  <c r="S1874" i="2" a="1"/>
  <c r="R1874" i="2" a="1"/>
  <c r="Q1874" i="2" a="1"/>
  <c r="S1873" i="2" a="1"/>
  <c r="R1873" i="2" a="1"/>
  <c r="Q1873" i="2" a="1"/>
  <c r="S1872" i="2" a="1"/>
  <c r="R1872" i="2" a="1"/>
  <c r="Q1872" i="2" a="1"/>
  <c r="S1871" i="2" a="1"/>
  <c r="R1871" i="2" a="1"/>
  <c r="Q1871" i="2" a="1"/>
  <c r="S1870" i="2" a="1"/>
  <c r="R1870" i="2" a="1"/>
  <c r="Q1870" i="2" a="1"/>
  <c r="S1869" i="2" a="1"/>
  <c r="R1869" i="2" a="1"/>
  <c r="Q1869" i="2" a="1"/>
  <c r="S1868" i="2" a="1"/>
  <c r="R1868" i="2" a="1"/>
  <c r="Q1868" i="2" a="1"/>
  <c r="S1867" i="2" a="1"/>
  <c r="R1867" i="2" a="1"/>
  <c r="Q1867" i="2" a="1"/>
  <c r="S1866" i="2" a="1"/>
  <c r="R1866" i="2" a="1"/>
  <c r="Q1866" i="2" a="1"/>
  <c r="S1865" i="2" a="1"/>
  <c r="R1865" i="2" a="1"/>
  <c r="Q1865" i="2" a="1"/>
  <c r="S1864" i="2" a="1"/>
  <c r="R1864" i="2" a="1"/>
  <c r="Q1864" i="2" a="1"/>
  <c r="S1863" i="2" a="1"/>
  <c r="R1863" i="2" a="1"/>
  <c r="Q1863" i="2" a="1"/>
  <c r="S1862" i="2" a="1"/>
  <c r="R1862" i="2" a="1"/>
  <c r="Q1862" i="2" a="1"/>
  <c r="S1861" i="2" a="1"/>
  <c r="R1861" i="2" a="1"/>
  <c r="Q1861" i="2" a="1"/>
  <c r="S1860" i="2" a="1"/>
  <c r="R1860" i="2" a="1"/>
  <c r="Q1860" i="2" a="1"/>
  <c r="S1859" i="2" a="1"/>
  <c r="R1859" i="2" a="1"/>
  <c r="Q1859" i="2" a="1"/>
  <c r="S1858" i="2" a="1"/>
  <c r="R1858" i="2" a="1"/>
  <c r="Q1858" i="2" a="1"/>
  <c r="S1857" i="2" a="1"/>
  <c r="R1857" i="2" a="1"/>
  <c r="Q1857" i="2" a="1"/>
  <c r="S1856" i="2" a="1"/>
  <c r="R1856" i="2" a="1"/>
  <c r="Q1856" i="2" a="1"/>
  <c r="S1855" i="2" a="1"/>
  <c r="R1855" i="2" a="1"/>
  <c r="Q1855" i="2" a="1"/>
  <c r="S1854" i="2" a="1"/>
  <c r="R1854" i="2" a="1"/>
  <c r="Q1854" i="2" a="1"/>
  <c r="S1853" i="2" a="1"/>
  <c r="R1853" i="2" a="1"/>
  <c r="Q1853" i="2" a="1"/>
  <c r="S1852" i="2" a="1"/>
  <c r="R1852" i="2" a="1"/>
  <c r="Q1852" i="2" a="1"/>
  <c r="S1851" i="2" a="1"/>
  <c r="R1851" i="2" a="1"/>
  <c r="Q1851" i="2" a="1"/>
  <c r="S1850" i="2" a="1"/>
  <c r="R1850" i="2" a="1"/>
  <c r="Q1850" i="2" a="1"/>
  <c r="S1849" i="2" a="1"/>
  <c r="R1849" i="2" a="1"/>
  <c r="Q1849" i="2" a="1"/>
  <c r="S1848" i="2" a="1"/>
  <c r="R1848" i="2" a="1"/>
  <c r="Q1848" i="2" a="1"/>
  <c r="S1847" i="2" a="1"/>
  <c r="R1847" i="2" a="1"/>
  <c r="Q1847" i="2" a="1"/>
  <c r="S1846" i="2" a="1"/>
  <c r="R1846" i="2" a="1"/>
  <c r="Q1846" i="2" a="1"/>
  <c r="S1845" i="2" a="1"/>
  <c r="R1845" i="2" a="1"/>
  <c r="Q1845" i="2" a="1"/>
  <c r="T1845" i="2" s="1"/>
  <c r="S1844" i="2" a="1"/>
  <c r="R1844" i="2" a="1"/>
  <c r="Q1844" i="2" a="1"/>
  <c r="S1843" i="2" a="1"/>
  <c r="R1843" i="2" a="1"/>
  <c r="Q1843" i="2" a="1"/>
  <c r="T1843" i="2" s="1"/>
  <c r="S1842" i="2" a="1"/>
  <c r="R1842" i="2" a="1"/>
  <c r="Q1842" i="2" a="1"/>
  <c r="T1842" i="2" s="1"/>
  <c r="S1841" i="2" a="1"/>
  <c r="R1841" i="2" a="1"/>
  <c r="Q1841" i="2" a="1"/>
  <c r="T1841" i="2" s="1"/>
  <c r="S1840" i="2" a="1"/>
  <c r="R1840" i="2" a="1"/>
  <c r="Q1840" i="2" a="1"/>
  <c r="T1840" i="2" s="1"/>
  <c r="S1839" i="2" a="1"/>
  <c r="R1839" i="2" a="1"/>
  <c r="Q1839" i="2" a="1"/>
  <c r="T1839" i="2" s="1"/>
  <c r="S1838" i="2" a="1"/>
  <c r="R1838" i="2" a="1"/>
  <c r="Q1838" i="2" a="1"/>
  <c r="T1838" i="2" s="1"/>
  <c r="S1837" i="2" a="1"/>
  <c r="R1837" i="2" a="1"/>
  <c r="Q1837" i="2" a="1"/>
  <c r="T1837" i="2" s="1"/>
  <c r="S1836" i="2" a="1"/>
  <c r="R1836" i="2" a="1"/>
  <c r="Q1836" i="2" a="1"/>
  <c r="S1835" i="2" a="1"/>
  <c r="R1835" i="2" a="1"/>
  <c r="Q1835" i="2" a="1"/>
  <c r="S1834" i="2" a="1"/>
  <c r="R1834" i="2" a="1"/>
  <c r="Q1834" i="2" a="1"/>
  <c r="S1833" i="2" a="1"/>
  <c r="R1833" i="2" a="1"/>
  <c r="Q1833" i="2" a="1"/>
  <c r="S1832" i="2" a="1"/>
  <c r="R1832" i="2" a="1"/>
  <c r="Q1832" i="2" a="1"/>
  <c r="S1831" i="2" a="1"/>
  <c r="R1831" i="2" a="1"/>
  <c r="Q1831" i="2" a="1"/>
  <c r="S1830" i="2" a="1"/>
  <c r="R1830" i="2" a="1"/>
  <c r="Q1830" i="2" a="1"/>
  <c r="S1829" i="2" a="1"/>
  <c r="R1829" i="2" a="1"/>
  <c r="Q1829" i="2" a="1"/>
  <c r="S1828" i="2" a="1"/>
  <c r="R1828" i="2" a="1"/>
  <c r="Q1828" i="2" a="1"/>
  <c r="S1827" i="2" a="1"/>
  <c r="R1827" i="2" a="1"/>
  <c r="Q1827" i="2" a="1"/>
  <c r="S1826" i="2" a="1"/>
  <c r="R1826" i="2" a="1"/>
  <c r="Q1826" i="2" a="1"/>
  <c r="S1825" i="2" a="1"/>
  <c r="R1825" i="2" a="1"/>
  <c r="Q1825" i="2" a="1"/>
  <c r="S1824" i="2" a="1"/>
  <c r="R1824" i="2" a="1"/>
  <c r="Q1824" i="2" a="1"/>
  <c r="S1823" i="2" a="1"/>
  <c r="R1823" i="2" a="1"/>
  <c r="Q1823" i="2" a="1"/>
  <c r="S1822" i="2" a="1"/>
  <c r="R1822" i="2" a="1"/>
  <c r="Q1822" i="2" a="1"/>
  <c r="T1822" i="2" s="1"/>
  <c r="S1821" i="2" a="1"/>
  <c r="R1821" i="2" a="1"/>
  <c r="Q1821" i="2" a="1"/>
  <c r="T1821" i="2" s="1"/>
  <c r="S1820" i="2" a="1"/>
  <c r="R1820" i="2" a="1"/>
  <c r="Q1820" i="2" a="1"/>
  <c r="T1820" i="2" s="1"/>
  <c r="S1819" i="2" a="1"/>
  <c r="R1819" i="2" a="1"/>
  <c r="Q1819" i="2" a="1"/>
  <c r="T1819" i="2" s="1"/>
  <c r="S1818" i="2" a="1"/>
  <c r="R1818" i="2" a="1"/>
  <c r="Q1818" i="2" a="1"/>
  <c r="T1818" i="2" s="1"/>
  <c r="S1817" i="2" a="1"/>
  <c r="R1817" i="2" a="1"/>
  <c r="Q1817" i="2" a="1"/>
  <c r="T1817" i="2" s="1"/>
  <c r="S1816" i="2" a="1"/>
  <c r="R1816" i="2" a="1"/>
  <c r="Q1816" i="2" a="1"/>
  <c r="T1816" i="2" s="1"/>
  <c r="S1815" i="2" a="1"/>
  <c r="R1815" i="2" a="1"/>
  <c r="Q1815" i="2" a="1"/>
  <c r="T1815" i="2" s="1"/>
  <c r="S1814" i="2" a="1"/>
  <c r="R1814" i="2" a="1"/>
  <c r="Q1814" i="2" a="1"/>
  <c r="T1814" i="2" s="1"/>
  <c r="S1813" i="2" a="1"/>
  <c r="R1813" i="2" a="1"/>
  <c r="Q1813" i="2" a="1"/>
  <c r="T1813" i="2" s="1"/>
  <c r="S1812" i="2" a="1"/>
  <c r="R1812" i="2" a="1"/>
  <c r="Q1812" i="2" a="1"/>
  <c r="T1812" i="2" s="1"/>
  <c r="S1811" i="2" a="1"/>
  <c r="R1811" i="2" a="1"/>
  <c r="Q1811" i="2" a="1"/>
  <c r="T1811" i="2" s="1"/>
  <c r="S1810" i="2" a="1"/>
  <c r="R1810" i="2" a="1"/>
  <c r="Q1810" i="2" a="1"/>
  <c r="T1810" i="2" s="1"/>
  <c r="S1809" i="2" a="1"/>
  <c r="R1809" i="2" a="1"/>
  <c r="Q1809" i="2" a="1"/>
  <c r="T1809" i="2" s="1"/>
  <c r="S1808" i="2" a="1"/>
  <c r="R1808" i="2" a="1"/>
  <c r="Q1808" i="2" a="1"/>
  <c r="T1808" i="2" s="1"/>
  <c r="S1807" i="2" a="1"/>
  <c r="R1807" i="2" a="1"/>
  <c r="Q1807" i="2" a="1"/>
  <c r="T1807" i="2" s="1"/>
  <c r="S1806" i="2" a="1"/>
  <c r="R1806" i="2" a="1"/>
  <c r="Q1806" i="2" a="1"/>
  <c r="T1806" i="2" s="1"/>
  <c r="S1805" i="2" a="1"/>
  <c r="R1805" i="2" a="1"/>
  <c r="Q1805" i="2" a="1"/>
  <c r="T1805" i="2" s="1"/>
  <c r="S1804" i="2" a="1"/>
  <c r="R1804" i="2" a="1"/>
  <c r="Q1804" i="2" a="1"/>
  <c r="T1804" i="2" s="1"/>
  <c r="S1803" i="2" a="1"/>
  <c r="R1803" i="2" a="1"/>
  <c r="Q1803" i="2" a="1"/>
  <c r="T1803" i="2" s="1"/>
  <c r="S1802" i="2" a="1"/>
  <c r="R1802" i="2" a="1"/>
  <c r="Q1802" i="2" a="1"/>
  <c r="T1802" i="2" s="1"/>
  <c r="S1801" i="2" a="1"/>
  <c r="R1801" i="2" a="1"/>
  <c r="Q1801" i="2" a="1"/>
  <c r="T1801" i="2" s="1"/>
  <c r="S1800" i="2" a="1"/>
  <c r="R1800" i="2" a="1"/>
  <c r="Q1800" i="2" a="1"/>
  <c r="T1800" i="2" s="1"/>
  <c r="S1799" i="2" a="1"/>
  <c r="R1799" i="2" a="1"/>
  <c r="Q1799" i="2" a="1"/>
  <c r="T1799" i="2" s="1"/>
  <c r="S1798" i="2" a="1"/>
  <c r="R1798" i="2" a="1"/>
  <c r="Q1798" i="2" a="1"/>
  <c r="T1798" i="2" s="1"/>
  <c r="S1797" i="2" a="1"/>
  <c r="R1797" i="2" a="1"/>
  <c r="Q1797" i="2" a="1"/>
  <c r="T1797" i="2" s="1"/>
  <c r="S1796" i="2" a="1"/>
  <c r="R1796" i="2" a="1"/>
  <c r="Q1796" i="2" a="1"/>
  <c r="T1796" i="2" s="1"/>
  <c r="S1795" i="2" a="1"/>
  <c r="R1795" i="2" a="1"/>
  <c r="Q1795" i="2" a="1"/>
  <c r="T1795" i="2" s="1"/>
  <c r="S1794" i="2" a="1"/>
  <c r="R1794" i="2" a="1"/>
  <c r="Q1794" i="2" a="1"/>
  <c r="T1794" i="2" s="1"/>
  <c r="S1793" i="2" a="1"/>
  <c r="R1793" i="2" a="1"/>
  <c r="Q1793" i="2" a="1"/>
  <c r="T1793" i="2" s="1"/>
  <c r="S1792" i="2" a="1"/>
  <c r="R1792" i="2" a="1"/>
  <c r="Q1792" i="2" a="1"/>
  <c r="T1792" i="2" s="1"/>
  <c r="S1791" i="2" a="1"/>
  <c r="R1791" i="2" a="1"/>
  <c r="Q1791" i="2" a="1"/>
  <c r="T1791" i="2" s="1"/>
  <c r="S1790" i="2" a="1"/>
  <c r="R1790" i="2" a="1"/>
  <c r="Q1790" i="2" a="1"/>
  <c r="T1790" i="2" s="1"/>
  <c r="S1789" i="2" a="1"/>
  <c r="R1789" i="2" a="1"/>
  <c r="Q1789" i="2" a="1"/>
  <c r="T1789" i="2" s="1"/>
  <c r="S1788" i="2" a="1"/>
  <c r="R1788" i="2" a="1"/>
  <c r="Q1788" i="2" a="1"/>
  <c r="T1788" i="2" s="1"/>
  <c r="S1787" i="2" a="1"/>
  <c r="R1787" i="2" a="1"/>
  <c r="Q1787" i="2" a="1"/>
  <c r="T1787" i="2" s="1"/>
  <c r="S1786" i="2" a="1"/>
  <c r="R1786" i="2" a="1"/>
  <c r="Q1786" i="2" a="1"/>
  <c r="T1786" i="2" s="1"/>
  <c r="S1785" i="2" a="1"/>
  <c r="R1785" i="2" a="1"/>
  <c r="Q1785" i="2" a="1"/>
  <c r="T1785" i="2" s="1"/>
  <c r="S1784" i="2" a="1"/>
  <c r="R1784" i="2" a="1"/>
  <c r="Q1784" i="2" a="1"/>
  <c r="T1784" i="2" s="1"/>
  <c r="S1783" i="2" a="1"/>
  <c r="R1783" i="2" a="1"/>
  <c r="Q1783" i="2" a="1"/>
  <c r="S1782" i="2" a="1"/>
  <c r="R1782" i="2" a="1"/>
  <c r="Q1782" i="2" a="1"/>
  <c r="T1782" i="2" s="1"/>
  <c r="S1781" i="2" a="1"/>
  <c r="R1781" i="2" a="1"/>
  <c r="Q1781" i="2" a="1"/>
  <c r="T1781" i="2" s="1"/>
  <c r="S1780" i="2" a="1"/>
  <c r="R1780" i="2" a="1"/>
  <c r="Q1780" i="2" a="1"/>
  <c r="T1780" i="2" s="1"/>
  <c r="S1779" i="2" a="1"/>
  <c r="R1779" i="2" a="1"/>
  <c r="Q1779" i="2" a="1"/>
  <c r="T1779" i="2" s="1"/>
  <c r="S1778" i="2" a="1"/>
  <c r="R1778" i="2" a="1"/>
  <c r="Q1778" i="2" a="1"/>
  <c r="T1778" i="2" s="1"/>
  <c r="S1777" i="2" a="1"/>
  <c r="R1777" i="2" a="1"/>
  <c r="Q1777" i="2" a="1"/>
  <c r="T1777" i="2" s="1"/>
  <c r="S1776" i="2" a="1"/>
  <c r="R1776" i="2" a="1"/>
  <c r="Q1776" i="2" a="1"/>
  <c r="T1776" i="2" s="1"/>
  <c r="S1775" i="2" a="1"/>
  <c r="R1775" i="2" a="1"/>
  <c r="Q1775" i="2" a="1"/>
  <c r="T1775" i="2" s="1"/>
  <c r="S1774" i="2" a="1"/>
  <c r="R1774" i="2" a="1"/>
  <c r="Q1774" i="2" a="1"/>
  <c r="T1774" i="2" s="1"/>
  <c r="S1773" i="2" a="1"/>
  <c r="R1773" i="2" a="1"/>
  <c r="Q1773" i="2" a="1"/>
  <c r="T1773" i="2" s="1"/>
  <c r="S1772" i="2" a="1"/>
  <c r="R1772" i="2" a="1"/>
  <c r="Q1772" i="2" a="1"/>
  <c r="T1772" i="2" s="1"/>
  <c r="S1771" i="2" a="1"/>
  <c r="R1771" i="2" a="1"/>
  <c r="Q1771" i="2" a="1"/>
  <c r="T1771" i="2" s="1"/>
  <c r="S1770" i="2" a="1"/>
  <c r="R1770" i="2" a="1"/>
  <c r="Q1770" i="2" a="1"/>
  <c r="T1770" i="2" s="1"/>
  <c r="S1769" i="2" a="1"/>
  <c r="R1769" i="2" a="1"/>
  <c r="Q1769" i="2" a="1"/>
  <c r="T1769" i="2" s="1"/>
  <c r="S1768" i="2" a="1"/>
  <c r="R1768" i="2" a="1"/>
  <c r="Q1768" i="2" a="1"/>
  <c r="T1768" i="2" s="1"/>
  <c r="S1767" i="2" a="1"/>
  <c r="R1767" i="2" a="1"/>
  <c r="Q1767" i="2" a="1"/>
  <c r="T1767" i="2" s="1"/>
  <c r="S1766" i="2" a="1"/>
  <c r="R1766" i="2" a="1"/>
  <c r="Q1766" i="2" a="1"/>
  <c r="S1765" i="2" a="1"/>
  <c r="R1765" i="2" a="1"/>
  <c r="Q1765" i="2" a="1"/>
  <c r="T1765" i="2" s="1"/>
  <c r="S1764" i="2" a="1"/>
  <c r="R1764" i="2" a="1"/>
  <c r="Q1764" i="2" a="1"/>
  <c r="T1764" i="2" s="1"/>
  <c r="S1763" i="2" a="1"/>
  <c r="R1763" i="2" a="1"/>
  <c r="Q1763" i="2" a="1"/>
  <c r="T1763" i="2" s="1"/>
  <c r="S1762" i="2" a="1"/>
  <c r="R1762" i="2" a="1"/>
  <c r="Q1762" i="2" a="1"/>
  <c r="T1762" i="2" s="1"/>
  <c r="S1761" i="2" a="1"/>
  <c r="R1761" i="2" a="1"/>
  <c r="Q1761" i="2" a="1"/>
  <c r="T1761" i="2" s="1"/>
  <c r="S1760" i="2" a="1"/>
  <c r="R1760" i="2" a="1"/>
  <c r="Q1760" i="2" a="1"/>
  <c r="T1760" i="2" s="1"/>
  <c r="S1759" i="2" a="1"/>
  <c r="R1759" i="2" a="1"/>
  <c r="Q1759" i="2" a="1"/>
  <c r="T1759" i="2" s="1"/>
  <c r="S1758" i="2" a="1"/>
  <c r="R1758" i="2" a="1"/>
  <c r="Q1758" i="2" a="1"/>
  <c r="T1758" i="2" s="1"/>
  <c r="S1757" i="2" a="1"/>
  <c r="R1757" i="2" a="1"/>
  <c r="Q1757" i="2" a="1"/>
  <c r="T1757" i="2" s="1"/>
  <c r="S1756" i="2" a="1"/>
  <c r="R1756" i="2" a="1"/>
  <c r="Q1756" i="2" a="1"/>
  <c r="T1756" i="2" s="1"/>
  <c r="S1755" i="2" a="1"/>
  <c r="R1755" i="2" a="1"/>
  <c r="Q1755" i="2" a="1"/>
  <c r="T1755" i="2" s="1"/>
  <c r="S1754" i="2" a="1"/>
  <c r="R1754" i="2" a="1"/>
  <c r="Q1754" i="2" a="1"/>
  <c r="T1754" i="2" s="1"/>
  <c r="S1753" i="2" a="1"/>
  <c r="R1753" i="2" a="1"/>
  <c r="Q1753" i="2" a="1"/>
  <c r="T1753" i="2" s="1"/>
  <c r="S1752" i="2" a="1"/>
  <c r="R1752" i="2" a="1"/>
  <c r="Q1752" i="2" a="1"/>
  <c r="T1752" i="2" s="1"/>
  <c r="S1751" i="2" a="1"/>
  <c r="R1751" i="2" a="1"/>
  <c r="Q1751" i="2" a="1"/>
  <c r="T1751" i="2" s="1"/>
  <c r="S1750" i="2" a="1"/>
  <c r="R1750" i="2" a="1"/>
  <c r="Q1750" i="2" a="1"/>
  <c r="T1750" i="2" s="1"/>
  <c r="S1749" i="2" a="1"/>
  <c r="R1749" i="2" a="1"/>
  <c r="Q1749" i="2" a="1"/>
  <c r="T1749" i="2" s="1"/>
  <c r="S1748" i="2" a="1"/>
  <c r="R1748" i="2" a="1"/>
  <c r="Q1748" i="2" a="1"/>
  <c r="T1748" i="2" s="1"/>
  <c r="S1747" i="2" a="1"/>
  <c r="R1747" i="2" a="1"/>
  <c r="Q1747" i="2" a="1"/>
  <c r="T1747" i="2" s="1"/>
  <c r="S1746" i="2" a="1"/>
  <c r="R1746" i="2" a="1"/>
  <c r="Q1746" i="2" a="1"/>
  <c r="S1745" i="2" a="1"/>
  <c r="R1745" i="2" a="1"/>
  <c r="Q1745" i="2" a="1"/>
  <c r="T1745" i="2" s="1"/>
  <c r="S1744" i="2" a="1"/>
  <c r="R1744" i="2" a="1"/>
  <c r="Q1744" i="2" a="1"/>
  <c r="T1744" i="2" s="1"/>
  <c r="S1743" i="2" a="1"/>
  <c r="R1743" i="2" a="1"/>
  <c r="Q1743" i="2" a="1"/>
  <c r="T1743" i="2" s="1"/>
  <c r="S1742" i="2" a="1"/>
  <c r="R1742" i="2" a="1"/>
  <c r="Q1742" i="2" a="1"/>
  <c r="T1742" i="2" s="1"/>
  <c r="S1741" i="2" a="1"/>
  <c r="R1741" i="2" a="1"/>
  <c r="Q1741" i="2" a="1"/>
  <c r="T1741" i="2" s="1"/>
  <c r="S1740" i="2" a="1"/>
  <c r="R1740" i="2" a="1"/>
  <c r="Q1740" i="2" a="1"/>
  <c r="T1740" i="2" s="1"/>
  <c r="S1739" i="2" a="1"/>
  <c r="R1739" i="2" a="1"/>
  <c r="Q1739" i="2" a="1"/>
  <c r="T1739" i="2" s="1"/>
  <c r="S1738" i="2" a="1"/>
  <c r="R1738" i="2" a="1"/>
  <c r="Q1738" i="2" a="1"/>
  <c r="T1738" i="2" s="1"/>
  <c r="S1737" i="2" a="1"/>
  <c r="R1737" i="2" a="1"/>
  <c r="Q1737" i="2" a="1"/>
  <c r="S1736" i="2" a="1"/>
  <c r="R1736" i="2" a="1"/>
  <c r="Q1736" i="2" a="1"/>
  <c r="T1736" i="2" s="1"/>
  <c r="S1735" i="2" a="1"/>
  <c r="R1735" i="2" a="1"/>
  <c r="Q1735" i="2" a="1"/>
  <c r="T1735" i="2" s="1"/>
  <c r="S1734" i="2" a="1"/>
  <c r="R1734" i="2" a="1"/>
  <c r="Q1734" i="2" a="1"/>
  <c r="T1734" i="2" s="1"/>
  <c r="S1733" i="2" a="1"/>
  <c r="R1733" i="2" a="1"/>
  <c r="Q1733" i="2" a="1"/>
  <c r="T1733" i="2" s="1"/>
  <c r="S1732" i="2" a="1"/>
  <c r="R1732" i="2" a="1"/>
  <c r="Q1732" i="2" a="1"/>
  <c r="T1732" i="2" s="1"/>
  <c r="S1731" i="2" a="1"/>
  <c r="R1731" i="2" a="1"/>
  <c r="Q1731" i="2" a="1"/>
  <c r="T1731" i="2" s="1"/>
  <c r="S1730" i="2" a="1"/>
  <c r="R1730" i="2" a="1"/>
  <c r="Q1730" i="2" a="1"/>
  <c r="T1730" i="2" s="1"/>
  <c r="S1729" i="2" a="1"/>
  <c r="R1729" i="2" a="1"/>
  <c r="Q1729" i="2" a="1"/>
  <c r="T1729" i="2" s="1"/>
  <c r="S1728" i="2" a="1"/>
  <c r="R1728" i="2" a="1"/>
  <c r="Q1728" i="2" a="1"/>
  <c r="T1728" i="2" s="1"/>
  <c r="S1727" i="2" a="1"/>
  <c r="R1727" i="2" a="1"/>
  <c r="Q1727" i="2" a="1"/>
  <c r="T1727" i="2" s="1"/>
  <c r="S1726" i="2" a="1"/>
  <c r="R1726" i="2" a="1"/>
  <c r="Q1726" i="2" a="1"/>
  <c r="T1726" i="2" s="1"/>
  <c r="S1725" i="2" a="1"/>
  <c r="R1725" i="2" a="1"/>
  <c r="Q1725" i="2" a="1"/>
  <c r="T1725" i="2" s="1"/>
  <c r="S1724" i="2" a="1"/>
  <c r="R1724" i="2" a="1"/>
  <c r="Q1724" i="2" a="1"/>
  <c r="T1724" i="2" s="1"/>
  <c r="S1723" i="2" a="1"/>
  <c r="R1723" i="2" a="1"/>
  <c r="Q1723" i="2" a="1"/>
  <c r="T1723" i="2" s="1"/>
  <c r="S1722" i="2" a="1"/>
  <c r="R1722" i="2" a="1"/>
  <c r="Q1722" i="2" a="1"/>
  <c r="T1722" i="2" s="1"/>
  <c r="S1721" i="2" a="1"/>
  <c r="R1721" i="2" a="1"/>
  <c r="Q1721" i="2" a="1"/>
  <c r="T1721" i="2" s="1"/>
  <c r="S1720" i="2" a="1"/>
  <c r="R1720" i="2" a="1"/>
  <c r="Q1720" i="2" a="1"/>
  <c r="T1720" i="2" s="1"/>
  <c r="S1719" i="2" a="1"/>
  <c r="R1719" i="2" a="1"/>
  <c r="Q1719" i="2" a="1"/>
  <c r="T1719" i="2" s="1"/>
  <c r="S1718" i="2" a="1"/>
  <c r="R1718" i="2" a="1"/>
  <c r="Q1718" i="2" a="1"/>
  <c r="T1718" i="2" s="1"/>
  <c r="S1717" i="2" a="1"/>
  <c r="R1717" i="2" a="1"/>
  <c r="Q1717" i="2" a="1"/>
  <c r="T1717" i="2" s="1"/>
  <c r="S1716" i="2" a="1"/>
  <c r="R1716" i="2" a="1"/>
  <c r="Q1716" i="2" a="1"/>
  <c r="T1716" i="2" s="1"/>
  <c r="S1715" i="2" a="1"/>
  <c r="R1715" i="2" a="1"/>
  <c r="Q1715" i="2" a="1"/>
  <c r="T1715" i="2" s="1"/>
  <c r="S1714" i="2" a="1"/>
  <c r="R1714" i="2" a="1"/>
  <c r="Q1714" i="2" a="1"/>
  <c r="T1714" i="2" s="1"/>
  <c r="S1713" i="2" a="1"/>
  <c r="R1713" i="2" a="1"/>
  <c r="Q1713" i="2" a="1"/>
  <c r="T1713" i="2" s="1"/>
  <c r="S1712" i="2" a="1"/>
  <c r="R1712" i="2" a="1"/>
  <c r="Q1712" i="2" a="1"/>
  <c r="T1712" i="2" s="1"/>
  <c r="S1711" i="2" a="1"/>
  <c r="R1711" i="2" a="1"/>
  <c r="Q1711" i="2" a="1"/>
  <c r="T1711" i="2" s="1"/>
  <c r="S1710" i="2" a="1"/>
  <c r="R1710" i="2" a="1"/>
  <c r="Q1710" i="2" a="1"/>
  <c r="T1710" i="2" s="1"/>
  <c r="S1709" i="2" a="1"/>
  <c r="R1709" i="2" a="1"/>
  <c r="Q1709" i="2" a="1"/>
  <c r="T1709" i="2" s="1"/>
  <c r="S1708" i="2" a="1"/>
  <c r="R1708" i="2" a="1"/>
  <c r="Q1708" i="2" a="1"/>
  <c r="T1708" i="2" s="1"/>
  <c r="S1707" i="2" a="1"/>
  <c r="R1707" i="2" a="1"/>
  <c r="Q1707" i="2" a="1"/>
  <c r="T1707" i="2" s="1"/>
  <c r="S1706" i="2" a="1"/>
  <c r="R1706" i="2" a="1"/>
  <c r="Q1706" i="2" a="1"/>
  <c r="T1706" i="2" s="1"/>
  <c r="S1705" i="2" a="1"/>
  <c r="R1705" i="2" a="1"/>
  <c r="Q1705" i="2" a="1"/>
  <c r="T1705" i="2" s="1"/>
  <c r="S1704" i="2" a="1"/>
  <c r="R1704" i="2" a="1"/>
  <c r="Q1704" i="2" a="1"/>
  <c r="T1704" i="2" s="1"/>
  <c r="S1703" i="2" a="1"/>
  <c r="R1703" i="2" a="1"/>
  <c r="Q1703" i="2" a="1"/>
  <c r="T1703" i="2" s="1"/>
  <c r="S1702" i="2" a="1"/>
  <c r="R1702" i="2" a="1"/>
  <c r="Q1702" i="2" a="1"/>
  <c r="T1702" i="2" s="1"/>
  <c r="S1701" i="2" a="1"/>
  <c r="R1701" i="2" a="1"/>
  <c r="Q1701" i="2" a="1"/>
  <c r="S1700" i="2" a="1"/>
  <c r="R1700" i="2" a="1"/>
  <c r="Q1700" i="2" a="1"/>
  <c r="T1700" i="2" s="1"/>
  <c r="S1699" i="2" a="1"/>
  <c r="R1699" i="2" a="1"/>
  <c r="Q1699" i="2" a="1"/>
  <c r="T1699" i="2" s="1"/>
  <c r="S1698" i="2" a="1"/>
  <c r="R1698" i="2" a="1"/>
  <c r="Q1698" i="2" a="1"/>
  <c r="T1698" i="2" s="1"/>
  <c r="S1697" i="2" a="1"/>
  <c r="R1697" i="2" a="1"/>
  <c r="Q1697" i="2" a="1"/>
  <c r="T1697" i="2" s="1"/>
  <c r="S1696" i="2" a="1"/>
  <c r="R1696" i="2" a="1"/>
  <c r="Q1696" i="2" a="1"/>
  <c r="T1696" i="2" s="1"/>
  <c r="S1695" i="2" a="1"/>
  <c r="R1695" i="2" a="1"/>
  <c r="Q1695" i="2" a="1"/>
  <c r="T1695" i="2" s="1"/>
  <c r="S1694" i="2" a="1"/>
  <c r="R1694" i="2" a="1"/>
  <c r="Q1694" i="2" a="1"/>
  <c r="T1694" i="2" s="1"/>
  <c r="S1693" i="2" a="1"/>
  <c r="R1693" i="2" a="1"/>
  <c r="Q1693" i="2" a="1"/>
  <c r="T1693" i="2" s="1"/>
  <c r="S1692" i="2" a="1"/>
  <c r="R1692" i="2" a="1"/>
  <c r="Q1692" i="2" a="1"/>
  <c r="T1692" i="2" s="1"/>
  <c r="S1691" i="2" a="1"/>
  <c r="R1691" i="2" a="1"/>
  <c r="Q1691" i="2" a="1"/>
  <c r="T1691" i="2" s="1"/>
  <c r="S1690" i="2" a="1"/>
  <c r="R1690" i="2" a="1"/>
  <c r="Q1690" i="2" a="1"/>
  <c r="T1690" i="2" s="1"/>
  <c r="S1689" i="2" a="1"/>
  <c r="R1689" i="2" a="1"/>
  <c r="Q1689" i="2" a="1"/>
  <c r="T1689" i="2" s="1"/>
  <c r="S1688" i="2" a="1"/>
  <c r="R1688" i="2" a="1"/>
  <c r="Q1688" i="2" a="1"/>
  <c r="T1688" i="2" s="1"/>
  <c r="S1687" i="2" a="1"/>
  <c r="R1687" i="2" a="1"/>
  <c r="Q1687" i="2" a="1"/>
  <c r="T1687" i="2" s="1"/>
  <c r="S1686" i="2" a="1"/>
  <c r="R1686" i="2" a="1"/>
  <c r="Q1686" i="2" a="1"/>
  <c r="T1686" i="2" s="1"/>
  <c r="S1685" i="2" a="1"/>
  <c r="R1685" i="2" a="1"/>
  <c r="Q1685" i="2" a="1"/>
  <c r="T1685" i="2" s="1"/>
  <c r="S1684" i="2" a="1"/>
  <c r="R1684" i="2" a="1"/>
  <c r="Q1684" i="2" a="1"/>
  <c r="T1684" i="2" s="1"/>
  <c r="S1683" i="2" a="1"/>
  <c r="R1683" i="2" a="1"/>
  <c r="Q1683" i="2" a="1"/>
  <c r="T1683" i="2" s="1"/>
  <c r="S1682" i="2" a="1"/>
  <c r="R1682" i="2" a="1"/>
  <c r="Q1682" i="2" a="1"/>
  <c r="T1682" i="2" s="1"/>
  <c r="S1681" i="2" a="1"/>
  <c r="R1681" i="2" a="1"/>
  <c r="Q1681" i="2" a="1"/>
  <c r="T1681" i="2" s="1"/>
  <c r="S1680" i="2" a="1"/>
  <c r="R1680" i="2" a="1"/>
  <c r="Q1680" i="2" a="1"/>
  <c r="T1680" i="2" s="1"/>
  <c r="S1679" i="2" a="1"/>
  <c r="R1679" i="2" a="1"/>
  <c r="Q1679" i="2" a="1"/>
  <c r="T1679" i="2" s="1"/>
  <c r="S1678" i="2" a="1"/>
  <c r="R1678" i="2" a="1"/>
  <c r="Q1678" i="2" a="1"/>
  <c r="T1678" i="2" s="1"/>
  <c r="S1677" i="2" a="1"/>
  <c r="R1677" i="2" a="1"/>
  <c r="Q1677" i="2" a="1"/>
  <c r="T1677" i="2" s="1"/>
  <c r="S1676" i="2" a="1"/>
  <c r="R1676" i="2" a="1"/>
  <c r="Q1676" i="2" a="1"/>
  <c r="T1676" i="2" s="1"/>
  <c r="S1675" i="2" a="1"/>
  <c r="R1675" i="2" a="1"/>
  <c r="Q1675" i="2" a="1"/>
  <c r="T1675" i="2" s="1"/>
  <c r="S1674" i="2" a="1"/>
  <c r="R1674" i="2" a="1"/>
  <c r="Q1674" i="2" a="1"/>
  <c r="T1674" i="2" s="1"/>
  <c r="S1673" i="2" a="1"/>
  <c r="R1673" i="2" a="1"/>
  <c r="Q1673" i="2" a="1"/>
  <c r="T1673" i="2" s="1"/>
  <c r="S1672" i="2" a="1"/>
  <c r="R1672" i="2" a="1"/>
  <c r="Q1672" i="2" a="1"/>
  <c r="T1672" i="2" s="1"/>
  <c r="S1671" i="2" a="1"/>
  <c r="R1671" i="2" a="1"/>
  <c r="Q1671" i="2" a="1"/>
  <c r="T1671" i="2" s="1"/>
  <c r="S1670" i="2" a="1"/>
  <c r="R1670" i="2" a="1"/>
  <c r="Q1670" i="2" a="1"/>
  <c r="T1670" i="2" s="1"/>
  <c r="S1669" i="2" a="1"/>
  <c r="R1669" i="2" a="1"/>
  <c r="Q1669" i="2" a="1"/>
  <c r="T1669" i="2" s="1"/>
  <c r="S1668" i="2" a="1"/>
  <c r="R1668" i="2" a="1"/>
  <c r="Q1668" i="2" a="1"/>
  <c r="T1668" i="2" s="1"/>
  <c r="S1667" i="2" a="1"/>
  <c r="R1667" i="2" a="1"/>
  <c r="Q1667" i="2" a="1"/>
  <c r="T1667" i="2" s="1"/>
  <c r="S1666" i="2" a="1"/>
  <c r="R1666" i="2" a="1"/>
  <c r="Q1666" i="2" a="1"/>
  <c r="T1666" i="2" s="1"/>
  <c r="S1665" i="2" a="1"/>
  <c r="R1665" i="2" a="1"/>
  <c r="Q1665" i="2" a="1"/>
  <c r="T1665" i="2" s="1"/>
  <c r="S1664" i="2" a="1"/>
  <c r="R1664" i="2" a="1"/>
  <c r="Q1664" i="2" a="1"/>
  <c r="T1664" i="2" s="1"/>
  <c r="S1663" i="2" a="1"/>
  <c r="R1663" i="2" a="1"/>
  <c r="Q1663" i="2" a="1"/>
  <c r="S1662" i="2" a="1"/>
  <c r="R1662" i="2" a="1"/>
  <c r="Q1662" i="2" a="1"/>
  <c r="T1662" i="2" s="1"/>
  <c r="S1661" i="2" a="1"/>
  <c r="R1661" i="2" a="1"/>
  <c r="Q1661" i="2" a="1"/>
  <c r="S1660" i="2" a="1"/>
  <c r="R1660" i="2" a="1"/>
  <c r="Q1660" i="2" a="1"/>
  <c r="S1659" i="2" a="1"/>
  <c r="R1659" i="2" a="1"/>
  <c r="Q1659" i="2" a="1"/>
  <c r="S1658" i="2" a="1"/>
  <c r="R1658" i="2" a="1"/>
  <c r="Q1658" i="2" a="1"/>
  <c r="S1657" i="2" a="1"/>
  <c r="R1657" i="2" a="1"/>
  <c r="Q1657" i="2" a="1"/>
  <c r="T1657" i="2" s="1"/>
  <c r="S1656" i="2" a="1"/>
  <c r="R1656" i="2" a="1"/>
  <c r="Q1656" i="2" a="1"/>
  <c r="S1655" i="2" a="1"/>
  <c r="R1655" i="2" a="1"/>
  <c r="Q1655" i="2" a="1"/>
  <c r="S1654" i="2" a="1"/>
  <c r="R1654" i="2" a="1"/>
  <c r="Q1654" i="2" a="1"/>
  <c r="S1653" i="2" a="1"/>
  <c r="R1653" i="2" a="1"/>
  <c r="Q1653" i="2" a="1"/>
  <c r="S1652" i="2" a="1"/>
  <c r="R1652" i="2" a="1"/>
  <c r="Q1652" i="2" a="1"/>
  <c r="S1651" i="2" a="1"/>
  <c r="R1651" i="2" a="1"/>
  <c r="Q1651" i="2" a="1"/>
  <c r="S1650" i="2" a="1"/>
  <c r="R1650" i="2" a="1"/>
  <c r="Q1650" i="2" a="1"/>
  <c r="S1649" i="2" a="1"/>
  <c r="R1649" i="2" a="1"/>
  <c r="Q1649" i="2" a="1"/>
  <c r="S1648" i="2" a="1"/>
  <c r="R1648" i="2" a="1"/>
  <c r="Q1648" i="2" a="1"/>
  <c r="S1647" i="2" a="1"/>
  <c r="R1647" i="2" a="1"/>
  <c r="Q1647" i="2" a="1"/>
  <c r="S1646" i="2" a="1"/>
  <c r="R1646" i="2" a="1"/>
  <c r="Q1646" i="2" a="1"/>
  <c r="S1645" i="2" a="1"/>
  <c r="R1645" i="2" a="1"/>
  <c r="Q1645" i="2" a="1"/>
  <c r="S1644" i="2" a="1"/>
  <c r="R1644" i="2" a="1"/>
  <c r="Q1644" i="2" a="1"/>
  <c r="S1643" i="2" a="1"/>
  <c r="R1643" i="2" a="1"/>
  <c r="Q1643" i="2" a="1"/>
  <c r="S1642" i="2" a="1"/>
  <c r="R1642" i="2" a="1"/>
  <c r="Q1642" i="2" a="1"/>
  <c r="S1641" i="2" a="1"/>
  <c r="R1641" i="2" a="1"/>
  <c r="Q1641" i="2" a="1"/>
  <c r="S1640" i="2" a="1"/>
  <c r="R1640" i="2" a="1"/>
  <c r="Q1640" i="2" a="1"/>
  <c r="S1639" i="2" a="1"/>
  <c r="R1639" i="2" a="1"/>
  <c r="Q1639" i="2" a="1"/>
  <c r="S1638" i="2" a="1"/>
  <c r="R1638" i="2" a="1"/>
  <c r="Q1638" i="2" a="1"/>
  <c r="S1637" i="2" a="1"/>
  <c r="R1637" i="2" a="1"/>
  <c r="Q1637" i="2" a="1"/>
  <c r="S1636" i="2" a="1"/>
  <c r="R1636" i="2" a="1"/>
  <c r="Q1636" i="2" a="1"/>
  <c r="S1635" i="2" a="1"/>
  <c r="R1635" i="2" a="1"/>
  <c r="Q1635" i="2" a="1"/>
  <c r="S1634" i="2" a="1"/>
  <c r="R1634" i="2" a="1"/>
  <c r="Q1634" i="2" a="1"/>
  <c r="S1633" i="2" a="1"/>
  <c r="R1633" i="2" a="1"/>
  <c r="Q1633" i="2" a="1"/>
  <c r="S1632" i="2" a="1"/>
  <c r="R1632" i="2" a="1"/>
  <c r="Q1632" i="2" a="1"/>
  <c r="S1631" i="2" a="1"/>
  <c r="R1631" i="2" a="1"/>
  <c r="Q1631" i="2" a="1"/>
  <c r="S1630" i="2" a="1"/>
  <c r="R1630" i="2" a="1"/>
  <c r="Q1630" i="2" a="1"/>
  <c r="S1629" i="2" a="1"/>
  <c r="R1629" i="2" a="1"/>
  <c r="Q1629" i="2" a="1"/>
  <c r="T1629" i="2" s="1"/>
  <c r="S1628" i="2" a="1"/>
  <c r="R1628" i="2" a="1"/>
  <c r="Q1628" i="2" a="1"/>
  <c r="S1627" i="2" a="1"/>
  <c r="R1627" i="2" a="1"/>
  <c r="Q1627" i="2" a="1"/>
  <c r="S1626" i="2" a="1"/>
  <c r="R1626" i="2" a="1"/>
  <c r="Q1626" i="2" a="1"/>
  <c r="S1625" i="2" a="1"/>
  <c r="R1625" i="2" a="1"/>
  <c r="Q1625" i="2" a="1"/>
  <c r="S1624" i="2" a="1"/>
  <c r="R1624" i="2" a="1"/>
  <c r="Q1624" i="2" a="1"/>
  <c r="S1623" i="2" a="1"/>
  <c r="R1623" i="2" a="1"/>
  <c r="Q1623" i="2" a="1"/>
  <c r="S1622" i="2" a="1"/>
  <c r="R1622" i="2" a="1"/>
  <c r="Q1622" i="2" a="1"/>
  <c r="S1621" i="2" a="1"/>
  <c r="R1621" i="2" a="1"/>
  <c r="Q1621" i="2" a="1"/>
  <c r="S1620" i="2" a="1"/>
  <c r="R1620" i="2" a="1"/>
  <c r="Q1620" i="2" a="1"/>
  <c r="S1619" i="2" a="1"/>
  <c r="R1619" i="2" a="1"/>
  <c r="Q1619" i="2" a="1"/>
  <c r="S1618" i="2" a="1"/>
  <c r="R1618" i="2" a="1"/>
  <c r="Q1618" i="2" a="1"/>
  <c r="S1617" i="2" a="1"/>
  <c r="R1617" i="2" a="1"/>
  <c r="Q1617" i="2" a="1"/>
  <c r="S1616" i="2" a="1"/>
  <c r="R1616" i="2" a="1"/>
  <c r="Q1616" i="2" a="1"/>
  <c r="S1615" i="2" a="1"/>
  <c r="R1615" i="2" a="1"/>
  <c r="Q1615" i="2" a="1"/>
  <c r="S1614" i="2" a="1"/>
  <c r="R1614" i="2" a="1"/>
  <c r="Q1614" i="2" a="1"/>
  <c r="S1613" i="2" a="1"/>
  <c r="R1613" i="2" a="1"/>
  <c r="Q1613" i="2" a="1"/>
  <c r="S1612" i="2" a="1"/>
  <c r="R1612" i="2" a="1"/>
  <c r="Q1612" i="2" a="1"/>
  <c r="S1611" i="2" a="1"/>
  <c r="R1611" i="2" a="1"/>
  <c r="Q1611" i="2" a="1"/>
  <c r="S1610" i="2" a="1"/>
  <c r="R1610" i="2" a="1"/>
  <c r="Q1610" i="2" a="1"/>
  <c r="S1609" i="2" a="1"/>
  <c r="R1609" i="2" a="1"/>
  <c r="Q1609" i="2" a="1"/>
  <c r="S1608" i="2" a="1"/>
  <c r="R1608" i="2" a="1"/>
  <c r="Q1608" i="2" a="1"/>
  <c r="S1607" i="2" a="1"/>
  <c r="R1607" i="2" a="1"/>
  <c r="Q1607" i="2" a="1"/>
  <c r="S1606" i="2" a="1"/>
  <c r="R1606" i="2" a="1"/>
  <c r="Q1606" i="2" a="1"/>
  <c r="S1605" i="2" a="1"/>
  <c r="R1605" i="2" a="1"/>
  <c r="Q1605" i="2" a="1"/>
  <c r="S1604" i="2" a="1"/>
  <c r="R1604" i="2" a="1"/>
  <c r="Q1604" i="2" a="1"/>
  <c r="S1603" i="2" a="1"/>
  <c r="R1603" i="2" a="1"/>
  <c r="Q1603" i="2" a="1"/>
  <c r="S1602" i="2" a="1"/>
  <c r="R1602" i="2" a="1"/>
  <c r="Q1602" i="2" a="1"/>
  <c r="S1601" i="2" a="1"/>
  <c r="R1601" i="2" a="1"/>
  <c r="Q1601" i="2" a="1"/>
  <c r="S1600" i="2" a="1"/>
  <c r="R1600" i="2" a="1"/>
  <c r="Q1600" i="2" a="1"/>
  <c r="S1599" i="2" a="1"/>
  <c r="R1599" i="2" a="1"/>
  <c r="Q1599" i="2" a="1"/>
  <c r="S1598" i="2" a="1"/>
  <c r="R1598" i="2" a="1"/>
  <c r="Q1598" i="2" a="1"/>
  <c r="S1597" i="2" a="1"/>
  <c r="R1597" i="2" a="1"/>
  <c r="Q1597" i="2" a="1"/>
  <c r="S1596" i="2" a="1"/>
  <c r="R1596" i="2" a="1"/>
  <c r="Q1596" i="2" a="1"/>
  <c r="S1595" i="2" a="1"/>
  <c r="R1595" i="2" a="1"/>
  <c r="Q1595" i="2" a="1"/>
  <c r="S1594" i="2" a="1"/>
  <c r="R1594" i="2" a="1"/>
  <c r="Q1594" i="2" a="1"/>
  <c r="S1593" i="2" a="1"/>
  <c r="R1593" i="2" a="1"/>
  <c r="Q1593" i="2" a="1"/>
  <c r="S1592" i="2" a="1"/>
  <c r="R1592" i="2" a="1"/>
  <c r="Q1592" i="2" a="1"/>
  <c r="S1591" i="2" a="1"/>
  <c r="R1591" i="2" a="1"/>
  <c r="Q1591" i="2" a="1"/>
  <c r="S1590" i="2" a="1"/>
  <c r="R1590" i="2" a="1"/>
  <c r="Q1590" i="2" a="1"/>
  <c r="S1589" i="2" a="1"/>
  <c r="R1589" i="2" a="1"/>
  <c r="Q1589" i="2" a="1"/>
  <c r="S1588" i="2" a="1"/>
  <c r="R1588" i="2" a="1"/>
  <c r="Q1588" i="2" a="1"/>
  <c r="S1587" i="2" a="1"/>
  <c r="R1587" i="2" a="1"/>
  <c r="Q1587" i="2" a="1"/>
  <c r="S1586" i="2" a="1"/>
  <c r="R1586" i="2" a="1"/>
  <c r="Q1586" i="2" a="1"/>
  <c r="S1585" i="2" a="1"/>
  <c r="R1585" i="2" a="1"/>
  <c r="Q1585" i="2" a="1"/>
  <c r="S1584" i="2" a="1"/>
  <c r="R1584" i="2" a="1"/>
  <c r="Q1584" i="2" a="1"/>
  <c r="S1583" i="2" a="1"/>
  <c r="R1583" i="2" a="1"/>
  <c r="Q1583" i="2" a="1"/>
  <c r="S1582" i="2" a="1"/>
  <c r="R1582" i="2" a="1"/>
  <c r="Q1582" i="2" a="1"/>
  <c r="S1581" i="2" a="1"/>
  <c r="R1581" i="2" a="1"/>
  <c r="Q1581" i="2" a="1"/>
  <c r="S1580" i="2" a="1"/>
  <c r="R1580" i="2" a="1"/>
  <c r="Q1580" i="2" a="1"/>
  <c r="S1579" i="2" a="1"/>
  <c r="R1579" i="2" a="1"/>
  <c r="Q1579" i="2" a="1"/>
  <c r="S1578" i="2" a="1"/>
  <c r="R1578" i="2" a="1"/>
  <c r="Q1578" i="2" a="1"/>
  <c r="S1577" i="2" a="1"/>
  <c r="R1577" i="2" a="1"/>
  <c r="Q1577" i="2" a="1"/>
  <c r="S1576" i="2" a="1"/>
  <c r="R1576" i="2" a="1"/>
  <c r="Q1576" i="2" a="1"/>
  <c r="S1575" i="2" a="1"/>
  <c r="R1575" i="2" a="1"/>
  <c r="Q1575" i="2" a="1"/>
  <c r="S1574" i="2" a="1"/>
  <c r="R1574" i="2" a="1"/>
  <c r="Q1574" i="2" a="1"/>
  <c r="S1573" i="2" a="1"/>
  <c r="R1573" i="2" a="1"/>
  <c r="Q1573" i="2" a="1"/>
  <c r="S1572" i="2" a="1"/>
  <c r="R1572" i="2" a="1"/>
  <c r="Q1572" i="2" a="1"/>
  <c r="S1571" i="2" a="1"/>
  <c r="R1571" i="2" a="1"/>
  <c r="Q1571" i="2" a="1"/>
  <c r="S1570" i="2" a="1"/>
  <c r="R1570" i="2" a="1"/>
  <c r="Q1570" i="2" a="1"/>
  <c r="S1569" i="2" a="1"/>
  <c r="R1569" i="2" a="1"/>
  <c r="Q1569" i="2" a="1"/>
  <c r="S1568" i="2" a="1"/>
  <c r="R1568" i="2" a="1"/>
  <c r="Q1568" i="2" a="1"/>
  <c r="S1567" i="2" a="1"/>
  <c r="R1567" i="2" a="1"/>
  <c r="Q1567" i="2" a="1"/>
  <c r="S1566" i="2" a="1"/>
  <c r="R1566" i="2" a="1"/>
  <c r="Q1566" i="2" a="1"/>
  <c r="S1565" i="2" a="1"/>
  <c r="R1565" i="2" a="1"/>
  <c r="Q1565" i="2" a="1"/>
  <c r="S1564" i="2" a="1"/>
  <c r="R1564" i="2" a="1"/>
  <c r="Q1564" i="2" a="1"/>
  <c r="T1564" i="2" s="1"/>
  <c r="S1563" i="2" a="1"/>
  <c r="R1563" i="2" a="1"/>
  <c r="Q1563" i="2" a="1"/>
  <c r="T1563" i="2" s="1"/>
  <c r="S1562" i="2" a="1"/>
  <c r="R1562" i="2" a="1"/>
  <c r="Q1562" i="2" a="1"/>
  <c r="T1562" i="2" s="1"/>
  <c r="S1561" i="2" a="1"/>
  <c r="R1561" i="2" a="1"/>
  <c r="Q1561" i="2" a="1"/>
  <c r="T1561" i="2" s="1"/>
  <c r="S1560" i="2" a="1"/>
  <c r="R1560" i="2" a="1"/>
  <c r="Q1560" i="2" a="1"/>
  <c r="T1560" i="2" s="1"/>
  <c r="S1559" i="2" a="1"/>
  <c r="R1559" i="2" a="1"/>
  <c r="Q1559" i="2" a="1"/>
  <c r="T1559" i="2" s="1"/>
  <c r="S1558" i="2" a="1"/>
  <c r="R1558" i="2" a="1"/>
  <c r="Q1558" i="2" a="1"/>
  <c r="T1558" i="2" s="1"/>
  <c r="S1557" i="2" a="1"/>
  <c r="R1557" i="2" a="1"/>
  <c r="Q1557" i="2" a="1"/>
  <c r="S1556" i="2" a="1"/>
  <c r="R1556" i="2" a="1"/>
  <c r="Q1556" i="2" a="1"/>
  <c r="T1556" i="2" s="1"/>
  <c r="S1555" i="2" a="1"/>
  <c r="R1555" i="2" a="1"/>
  <c r="Q1555" i="2" a="1"/>
  <c r="T1555" i="2" s="1"/>
  <c r="S1554" i="2" a="1"/>
  <c r="R1554" i="2" a="1"/>
  <c r="Q1554" i="2" a="1"/>
  <c r="S1553" i="2" a="1"/>
  <c r="R1553" i="2" a="1"/>
  <c r="Q1553" i="2" a="1"/>
  <c r="T1553" i="2" s="1"/>
  <c r="S1552" i="2" a="1"/>
  <c r="R1552" i="2" a="1"/>
  <c r="Q1552" i="2" a="1"/>
  <c r="T1552" i="2" s="1"/>
  <c r="S1551" i="2" a="1"/>
  <c r="R1551" i="2" a="1"/>
  <c r="Q1551" i="2" a="1"/>
  <c r="T1551" i="2" s="1"/>
  <c r="S1550" i="2" a="1"/>
  <c r="R1550" i="2" a="1"/>
  <c r="Q1550" i="2" a="1"/>
  <c r="T1550" i="2" s="1"/>
  <c r="S1549" i="2" a="1"/>
  <c r="R1549" i="2" a="1"/>
  <c r="Q1549" i="2" a="1"/>
  <c r="T1549" i="2" s="1"/>
  <c r="S1548" i="2" a="1"/>
  <c r="R1548" i="2" a="1"/>
  <c r="Q1548" i="2" a="1"/>
  <c r="T1548" i="2" s="1"/>
  <c r="S1547" i="2" a="1"/>
  <c r="R1547" i="2" a="1"/>
  <c r="Q1547" i="2" a="1"/>
  <c r="T1547" i="2" s="1"/>
  <c r="S1546" i="2" a="1"/>
  <c r="R1546" i="2" a="1"/>
  <c r="Q1546" i="2" a="1"/>
  <c r="T1546" i="2" s="1"/>
  <c r="S1545" i="2" a="1"/>
  <c r="R1545" i="2" a="1"/>
  <c r="Q1545" i="2" a="1"/>
  <c r="T1545" i="2" s="1"/>
  <c r="S1544" i="2" a="1"/>
  <c r="R1544" i="2" a="1"/>
  <c r="Q1544" i="2" a="1"/>
  <c r="T1544" i="2" s="1"/>
  <c r="S1543" i="2" a="1"/>
  <c r="R1543" i="2" a="1"/>
  <c r="Q1543" i="2" a="1"/>
  <c r="T1543" i="2" s="1"/>
  <c r="S1542" i="2" a="1"/>
  <c r="R1542" i="2" a="1"/>
  <c r="Q1542" i="2" a="1"/>
  <c r="T1542" i="2" s="1"/>
  <c r="S1541" i="2" a="1"/>
  <c r="R1541" i="2" a="1"/>
  <c r="Q1541" i="2" a="1"/>
  <c r="T1541" i="2" s="1"/>
  <c r="S1540" i="2" a="1"/>
  <c r="R1540" i="2" a="1"/>
  <c r="Q1540" i="2" a="1"/>
  <c r="T1540" i="2" s="1"/>
  <c r="S1539" i="2" a="1"/>
  <c r="R1539" i="2" a="1"/>
  <c r="Q1539" i="2" a="1"/>
  <c r="T1539" i="2" s="1"/>
  <c r="S1538" i="2" a="1"/>
  <c r="R1538" i="2" a="1"/>
  <c r="Q1538" i="2" a="1"/>
  <c r="T1538" i="2" s="1"/>
  <c r="S1537" i="2" a="1"/>
  <c r="R1537" i="2" a="1"/>
  <c r="Q1537" i="2" a="1"/>
  <c r="T1537" i="2" s="1"/>
  <c r="S1536" i="2" a="1"/>
  <c r="R1536" i="2" a="1"/>
  <c r="Q1536" i="2" a="1"/>
  <c r="T1536" i="2" s="1"/>
  <c r="S1535" i="2" a="1"/>
  <c r="R1535" i="2" a="1"/>
  <c r="Q1535" i="2" a="1"/>
  <c r="T1535" i="2" s="1"/>
  <c r="S1534" i="2" a="1"/>
  <c r="R1534" i="2" a="1"/>
  <c r="Q1534" i="2" a="1"/>
  <c r="T1534" i="2" s="1"/>
  <c r="S1533" i="2" a="1"/>
  <c r="R1533" i="2" a="1"/>
  <c r="Q1533" i="2" a="1"/>
  <c r="T1533" i="2" s="1"/>
  <c r="S1532" i="2" a="1"/>
  <c r="R1532" i="2" a="1"/>
  <c r="Q1532" i="2" a="1"/>
  <c r="T1532" i="2" s="1"/>
  <c r="S1531" i="2" a="1"/>
  <c r="R1531" i="2" a="1"/>
  <c r="Q1531" i="2" a="1"/>
  <c r="T1531" i="2" s="1"/>
  <c r="S1530" i="2" a="1"/>
  <c r="R1530" i="2" a="1"/>
  <c r="Q1530" i="2" a="1"/>
  <c r="S1529" i="2" a="1"/>
  <c r="R1529" i="2" a="1"/>
  <c r="Q1529" i="2" a="1"/>
  <c r="T1529" i="2" s="1"/>
  <c r="S1528" i="2" a="1"/>
  <c r="R1528" i="2" a="1"/>
  <c r="Q1528" i="2" a="1"/>
  <c r="T1528" i="2" s="1"/>
  <c r="S1527" i="2" a="1"/>
  <c r="R1527" i="2" a="1"/>
  <c r="Q1527" i="2" a="1"/>
  <c r="T1527" i="2" s="1"/>
  <c r="S1526" i="2" a="1"/>
  <c r="R1526" i="2" a="1"/>
  <c r="Q1526" i="2" a="1"/>
  <c r="T1526" i="2" s="1"/>
  <c r="S1525" i="2" a="1"/>
  <c r="R1525" i="2" a="1"/>
  <c r="Q1525" i="2" a="1"/>
  <c r="T1525" i="2" s="1"/>
  <c r="S1524" i="2" a="1"/>
  <c r="R1524" i="2" a="1"/>
  <c r="Q1524" i="2" a="1"/>
  <c r="T1524" i="2" s="1"/>
  <c r="S1523" i="2" a="1"/>
  <c r="R1523" i="2" a="1"/>
  <c r="Q1523" i="2" a="1"/>
  <c r="T1523" i="2" s="1"/>
  <c r="S1522" i="2" a="1"/>
  <c r="R1522" i="2" a="1"/>
  <c r="Q1522" i="2" a="1"/>
  <c r="T1522" i="2" s="1"/>
  <c r="S1521" i="2" a="1"/>
  <c r="R1521" i="2" a="1"/>
  <c r="Q1521" i="2" a="1"/>
  <c r="T1521" i="2" s="1"/>
  <c r="S1520" i="2" a="1"/>
  <c r="R1520" i="2" a="1"/>
  <c r="Q1520" i="2" a="1"/>
  <c r="T1520" i="2" s="1"/>
  <c r="S1519" i="2" a="1"/>
  <c r="R1519" i="2" a="1"/>
  <c r="Q1519" i="2" a="1"/>
  <c r="T1519" i="2" s="1"/>
  <c r="S1518" i="2" a="1"/>
  <c r="R1518" i="2" a="1"/>
  <c r="Q1518" i="2" a="1"/>
  <c r="S1517" i="2" a="1"/>
  <c r="R1517" i="2" a="1"/>
  <c r="Q1517" i="2" a="1"/>
  <c r="S1516" i="2" a="1"/>
  <c r="R1516" i="2" a="1"/>
  <c r="Q1516" i="2" a="1"/>
  <c r="T1516" i="2" s="1"/>
  <c r="S1515" i="2" a="1"/>
  <c r="R1515" i="2" a="1"/>
  <c r="Q1515" i="2" a="1"/>
  <c r="T1515" i="2" s="1"/>
  <c r="S1514" i="2" a="1"/>
  <c r="R1514" i="2" a="1"/>
  <c r="Q1514" i="2" a="1"/>
  <c r="T1514" i="2" s="1"/>
  <c r="S1513" i="2" a="1"/>
  <c r="R1513" i="2" a="1"/>
  <c r="Q1513" i="2" a="1"/>
  <c r="T1513" i="2" s="1"/>
  <c r="S1512" i="2" a="1"/>
  <c r="R1512" i="2" a="1"/>
  <c r="Q1512" i="2" a="1"/>
  <c r="T1512" i="2" s="1"/>
  <c r="S1511" i="2" a="1"/>
  <c r="R1511" i="2" a="1"/>
  <c r="Q1511" i="2" a="1"/>
  <c r="T1511" i="2" s="1"/>
  <c r="S1510" i="2" a="1"/>
  <c r="R1510" i="2" a="1"/>
  <c r="Q1510" i="2" a="1"/>
  <c r="T1510" i="2" s="1"/>
  <c r="S1509" i="2" a="1"/>
  <c r="R1509" i="2" a="1"/>
  <c r="Q1509" i="2" a="1"/>
  <c r="T1509" i="2" s="1"/>
  <c r="S1508" i="2" a="1"/>
  <c r="R1508" i="2" a="1"/>
  <c r="Q1508" i="2" a="1"/>
  <c r="T1508" i="2" s="1"/>
  <c r="S1507" i="2" a="1"/>
  <c r="R1507" i="2" a="1"/>
  <c r="Q1507" i="2" a="1"/>
  <c r="T1507" i="2" s="1"/>
  <c r="S1506" i="2" a="1"/>
  <c r="R1506" i="2" a="1"/>
  <c r="Q1506" i="2" a="1"/>
  <c r="T1506" i="2" s="1"/>
  <c r="S1505" i="2" a="1"/>
  <c r="R1505" i="2" a="1"/>
  <c r="Q1505" i="2" a="1"/>
  <c r="T1505" i="2" s="1"/>
  <c r="S1504" i="2" a="1"/>
  <c r="R1504" i="2" a="1"/>
  <c r="Q1504" i="2" a="1"/>
  <c r="T1504" i="2" s="1"/>
  <c r="S1503" i="2" a="1"/>
  <c r="R1503" i="2" a="1"/>
  <c r="Q1503" i="2" a="1"/>
  <c r="T1503" i="2" s="1"/>
  <c r="S1502" i="2" a="1"/>
  <c r="R1502" i="2" a="1"/>
  <c r="Q1502" i="2" a="1"/>
  <c r="T1502" i="2" s="1"/>
  <c r="S1501" i="2" a="1"/>
  <c r="R1501" i="2" a="1"/>
  <c r="Q1501" i="2" a="1"/>
  <c r="T1501" i="2" s="1"/>
  <c r="S1500" i="2" a="1"/>
  <c r="R1500" i="2" a="1"/>
  <c r="Q1500" i="2" a="1"/>
  <c r="T1500" i="2" s="1"/>
  <c r="S1499" i="2" a="1"/>
  <c r="R1499" i="2" a="1"/>
  <c r="Q1499" i="2" a="1"/>
  <c r="T1499" i="2" s="1"/>
  <c r="S1498" i="2" a="1"/>
  <c r="R1498" i="2" a="1"/>
  <c r="Q1498" i="2" a="1"/>
  <c r="T1498" i="2" s="1"/>
  <c r="S1497" i="2" a="1"/>
  <c r="R1497" i="2" a="1"/>
  <c r="Q1497" i="2" a="1"/>
  <c r="T1497" i="2" s="1"/>
  <c r="S1496" i="2" a="1"/>
  <c r="R1496" i="2" a="1"/>
  <c r="Q1496" i="2" a="1"/>
  <c r="T1496" i="2" s="1"/>
  <c r="S1495" i="2" a="1"/>
  <c r="R1495" i="2" a="1"/>
  <c r="Q1495" i="2" a="1"/>
  <c r="T1495" i="2" s="1"/>
  <c r="S1494" i="2" a="1"/>
  <c r="R1494" i="2" a="1"/>
  <c r="Q1494" i="2" a="1"/>
  <c r="T1494" i="2" s="1"/>
  <c r="S1493" i="2" a="1"/>
  <c r="R1493" i="2" a="1"/>
  <c r="Q1493" i="2" a="1"/>
  <c r="T1493" i="2" s="1"/>
  <c r="S1492" i="2" a="1"/>
  <c r="R1492" i="2" a="1"/>
  <c r="Q1492" i="2" a="1"/>
  <c r="T1492" i="2" s="1"/>
  <c r="S1491" i="2" a="1"/>
  <c r="R1491" i="2" a="1"/>
  <c r="Q1491" i="2" a="1"/>
  <c r="T1491" i="2" s="1"/>
  <c r="S1490" i="2" a="1"/>
  <c r="R1490" i="2" a="1"/>
  <c r="Q1490" i="2" a="1"/>
  <c r="T1490" i="2" s="1"/>
  <c r="S1489" i="2" a="1"/>
  <c r="R1489" i="2" a="1"/>
  <c r="Q1489" i="2" a="1"/>
  <c r="T1489" i="2" s="1"/>
  <c r="S1488" i="2" a="1"/>
  <c r="R1488" i="2" a="1"/>
  <c r="Q1488" i="2" a="1"/>
  <c r="T1488" i="2" s="1"/>
  <c r="S1487" i="2" a="1"/>
  <c r="R1487" i="2" a="1"/>
  <c r="Q1487" i="2" a="1"/>
  <c r="T1487" i="2" s="1"/>
  <c r="S1486" i="2" a="1"/>
  <c r="R1486" i="2" a="1"/>
  <c r="Q1486" i="2" a="1"/>
  <c r="T1486" i="2" s="1"/>
  <c r="S1485" i="2" a="1"/>
  <c r="R1485" i="2" a="1"/>
  <c r="Q1485" i="2" a="1"/>
  <c r="T1485" i="2" s="1"/>
  <c r="S1484" i="2" a="1"/>
  <c r="R1484" i="2" a="1"/>
  <c r="Q1484" i="2" a="1"/>
  <c r="T1484" i="2" s="1"/>
  <c r="S1483" i="2" a="1"/>
  <c r="R1483" i="2" a="1"/>
  <c r="Q1483" i="2" a="1"/>
  <c r="T1483" i="2" s="1"/>
  <c r="S1482" i="2" a="1"/>
  <c r="R1482" i="2" a="1"/>
  <c r="Q1482" i="2" a="1"/>
  <c r="T1482" i="2" s="1"/>
  <c r="S1481" i="2" a="1"/>
  <c r="R1481" i="2" a="1"/>
  <c r="Q1481" i="2" a="1"/>
  <c r="T1481" i="2" s="1"/>
  <c r="S1480" i="2" a="1"/>
  <c r="R1480" i="2" a="1"/>
  <c r="Q1480" i="2" a="1"/>
  <c r="T1480" i="2" s="1"/>
  <c r="S1479" i="2" a="1"/>
  <c r="R1479" i="2" a="1"/>
  <c r="Q1479" i="2" a="1"/>
  <c r="T1479" i="2" s="1"/>
  <c r="S1478" i="2" a="1"/>
  <c r="R1478" i="2" a="1"/>
  <c r="Q1478" i="2" a="1"/>
  <c r="T1478" i="2" s="1"/>
  <c r="S1477" i="2" a="1"/>
  <c r="R1477" i="2" a="1"/>
  <c r="Q1477" i="2" a="1"/>
  <c r="T1477" i="2" s="1"/>
  <c r="S1476" i="2" a="1"/>
  <c r="R1476" i="2" a="1"/>
  <c r="Q1476" i="2" a="1"/>
  <c r="S1475" i="2" a="1"/>
  <c r="R1475" i="2" a="1"/>
  <c r="Q1475" i="2" a="1"/>
  <c r="T1475" i="2" s="1"/>
  <c r="S1474" i="2" a="1"/>
  <c r="R1474" i="2" a="1"/>
  <c r="Q1474" i="2" a="1"/>
  <c r="T1474" i="2" s="1"/>
  <c r="S1473" i="2" a="1"/>
  <c r="R1473" i="2" a="1"/>
  <c r="Q1473" i="2" a="1"/>
  <c r="T1473" i="2" s="1"/>
  <c r="S1472" i="2" a="1"/>
  <c r="R1472" i="2" a="1"/>
  <c r="Q1472" i="2" a="1"/>
  <c r="T1472" i="2" s="1"/>
  <c r="S1471" i="2" a="1"/>
  <c r="R1471" i="2" a="1"/>
  <c r="Q1471" i="2" a="1"/>
  <c r="T1471" i="2" s="1"/>
  <c r="S1470" i="2" a="1"/>
  <c r="R1470" i="2" a="1"/>
  <c r="Q1470" i="2" a="1"/>
  <c r="T1470" i="2" s="1"/>
  <c r="S1469" i="2" a="1"/>
  <c r="R1469" i="2" a="1"/>
  <c r="Q1469" i="2" a="1"/>
  <c r="T1469" i="2" s="1"/>
  <c r="S1468" i="2" a="1"/>
  <c r="R1468" i="2" a="1"/>
  <c r="Q1468" i="2" a="1"/>
  <c r="T1468" i="2" s="1"/>
  <c r="S1467" i="2" a="1"/>
  <c r="R1467" i="2" a="1"/>
  <c r="Q1467" i="2" a="1"/>
  <c r="T1467" i="2" s="1"/>
  <c r="S1466" i="2" a="1"/>
  <c r="R1466" i="2" a="1"/>
  <c r="Q1466" i="2" a="1"/>
  <c r="T1466" i="2" s="1"/>
  <c r="S1465" i="2" a="1"/>
  <c r="R1465" i="2" a="1"/>
  <c r="Q1465" i="2" a="1"/>
  <c r="T1465" i="2" s="1"/>
  <c r="S1464" i="2" a="1"/>
  <c r="R1464" i="2" a="1"/>
  <c r="Q1464" i="2" a="1"/>
  <c r="T1464" i="2" s="1"/>
  <c r="S1463" i="2" a="1"/>
  <c r="R1463" i="2" a="1"/>
  <c r="Q1463" i="2" a="1"/>
  <c r="T1463" i="2" s="1"/>
  <c r="S1462" i="2" a="1"/>
  <c r="R1462" i="2" a="1"/>
  <c r="Q1462" i="2" a="1"/>
  <c r="T1462" i="2" s="1"/>
  <c r="S1461" i="2" a="1"/>
  <c r="R1461" i="2" a="1"/>
  <c r="Q1461" i="2" a="1"/>
  <c r="T1461" i="2" s="1"/>
  <c r="S1460" i="2" a="1"/>
  <c r="R1460" i="2" a="1"/>
  <c r="Q1460" i="2" a="1"/>
  <c r="T1460" i="2" s="1"/>
  <c r="S1459" i="2" a="1"/>
  <c r="R1459" i="2" a="1"/>
  <c r="Q1459" i="2" a="1"/>
  <c r="T1459" i="2" s="1"/>
  <c r="S1458" i="2" a="1"/>
  <c r="R1458" i="2" a="1"/>
  <c r="Q1458" i="2" a="1"/>
  <c r="T1458" i="2" s="1"/>
  <c r="S1457" i="2" a="1"/>
  <c r="R1457" i="2" a="1"/>
  <c r="Q1457" i="2" a="1"/>
  <c r="T1457" i="2" s="1"/>
  <c r="S1456" i="2" a="1"/>
  <c r="R1456" i="2" a="1"/>
  <c r="Q1456" i="2" a="1"/>
  <c r="T1456" i="2" s="1"/>
  <c r="S1455" i="2" a="1"/>
  <c r="R1455" i="2" a="1"/>
  <c r="Q1455" i="2" a="1"/>
  <c r="T1455" i="2" s="1"/>
  <c r="S1454" i="2" a="1"/>
  <c r="R1454" i="2" a="1"/>
  <c r="Q1454" i="2" a="1"/>
  <c r="T1454" i="2" s="1"/>
  <c r="S1453" i="2" a="1"/>
  <c r="R1453" i="2" a="1"/>
  <c r="Q1453" i="2" a="1"/>
  <c r="T1453" i="2" s="1"/>
  <c r="S1452" i="2" a="1"/>
  <c r="R1452" i="2" a="1"/>
  <c r="Q1452" i="2" a="1"/>
  <c r="T1452" i="2" s="1"/>
  <c r="S1451" i="2" a="1"/>
  <c r="R1451" i="2" a="1"/>
  <c r="Q1451" i="2" a="1"/>
  <c r="T1451" i="2" s="1"/>
  <c r="S1450" i="2" a="1"/>
  <c r="R1450" i="2" a="1"/>
  <c r="Q1450" i="2" a="1"/>
  <c r="T1450" i="2" s="1"/>
  <c r="S1449" i="2" a="1"/>
  <c r="R1449" i="2" a="1"/>
  <c r="Q1449" i="2" a="1"/>
  <c r="T1449" i="2" s="1"/>
  <c r="S1448" i="2" a="1"/>
  <c r="R1448" i="2" a="1"/>
  <c r="Q1448" i="2" a="1"/>
  <c r="T1448" i="2" s="1"/>
  <c r="S1447" i="2" a="1"/>
  <c r="R1447" i="2" a="1"/>
  <c r="Q1447" i="2" a="1"/>
  <c r="T1447" i="2" s="1"/>
  <c r="S1446" i="2" a="1"/>
  <c r="R1446" i="2" a="1"/>
  <c r="Q1446" i="2" a="1"/>
  <c r="T1446" i="2" s="1"/>
  <c r="S1445" i="2" a="1"/>
  <c r="R1445" i="2" a="1"/>
  <c r="Q1445" i="2" a="1"/>
  <c r="T1445" i="2" s="1"/>
  <c r="S1444" i="2" a="1"/>
  <c r="R1444" i="2" a="1"/>
  <c r="Q1444" i="2" a="1"/>
  <c r="T1444" i="2" s="1"/>
  <c r="S1443" i="2" a="1"/>
  <c r="R1443" i="2" a="1"/>
  <c r="Q1443" i="2" a="1"/>
  <c r="T1443" i="2" s="1"/>
  <c r="S1442" i="2" a="1"/>
  <c r="R1442" i="2" a="1"/>
  <c r="Q1442" i="2" a="1"/>
  <c r="T1442" i="2" s="1"/>
  <c r="S1441" i="2" a="1"/>
  <c r="R1441" i="2" a="1"/>
  <c r="Q1441" i="2" a="1"/>
  <c r="T1441" i="2" s="1"/>
  <c r="S1440" i="2" a="1"/>
  <c r="R1440" i="2" a="1"/>
  <c r="Q1440" i="2" a="1"/>
  <c r="T1440" i="2" s="1"/>
  <c r="S1439" i="2" a="1"/>
  <c r="R1439" i="2" a="1"/>
  <c r="Q1439" i="2" a="1"/>
  <c r="T1439" i="2" s="1"/>
  <c r="S1438" i="2" a="1"/>
  <c r="R1438" i="2" a="1"/>
  <c r="Q1438" i="2" a="1"/>
  <c r="T1438" i="2" s="1"/>
  <c r="S1437" i="2" a="1"/>
  <c r="R1437" i="2" a="1"/>
  <c r="Q1437" i="2" a="1"/>
  <c r="T1437" i="2" s="1"/>
  <c r="S1436" i="2" a="1"/>
  <c r="R1436" i="2" a="1"/>
  <c r="Q1436" i="2" a="1"/>
  <c r="T1436" i="2" s="1"/>
  <c r="S1435" i="2" a="1"/>
  <c r="R1435" i="2" a="1"/>
  <c r="Q1435" i="2" a="1"/>
  <c r="T1435" i="2" s="1"/>
  <c r="S1434" i="2" a="1"/>
  <c r="R1434" i="2" a="1"/>
  <c r="Q1434" i="2" a="1"/>
  <c r="T1434" i="2" s="1"/>
  <c r="S1433" i="2" a="1"/>
  <c r="R1433" i="2" a="1"/>
  <c r="Q1433" i="2" a="1"/>
  <c r="T1433" i="2" s="1"/>
  <c r="S1432" i="2" a="1"/>
  <c r="R1432" i="2" a="1"/>
  <c r="Q1432" i="2" a="1"/>
  <c r="T1432" i="2" s="1"/>
  <c r="S1431" i="2" a="1"/>
  <c r="R1431" i="2" a="1"/>
  <c r="Q1431" i="2" a="1"/>
  <c r="T1431" i="2" s="1"/>
  <c r="S1430" i="2" a="1"/>
  <c r="R1430" i="2" a="1"/>
  <c r="Q1430" i="2" a="1"/>
  <c r="T1430" i="2" s="1"/>
  <c r="S1429" i="2" a="1"/>
  <c r="R1429" i="2" a="1"/>
  <c r="Q1429" i="2" a="1"/>
  <c r="T1429" i="2" s="1"/>
  <c r="S1428" i="2" a="1"/>
  <c r="R1428" i="2" a="1"/>
  <c r="Q1428" i="2" a="1"/>
  <c r="T1428" i="2" s="1"/>
  <c r="S1427" i="2" a="1"/>
  <c r="R1427" i="2" a="1"/>
  <c r="Q1427" i="2" a="1"/>
  <c r="T1427" i="2" s="1"/>
  <c r="S1426" i="2" a="1"/>
  <c r="R1426" i="2" a="1"/>
  <c r="Q1426" i="2" a="1"/>
  <c r="T1426" i="2" s="1"/>
  <c r="S1425" i="2" a="1"/>
  <c r="R1425" i="2" a="1"/>
  <c r="Q1425" i="2" a="1"/>
  <c r="T1425" i="2" s="1"/>
  <c r="S1424" i="2" a="1"/>
  <c r="R1424" i="2" a="1"/>
  <c r="Q1424" i="2" a="1"/>
  <c r="S1423" i="2" a="1"/>
  <c r="R1423" i="2" a="1"/>
  <c r="Q1423" i="2" a="1"/>
  <c r="T1423" i="2" s="1"/>
  <c r="S1422" i="2" a="1"/>
  <c r="R1422" i="2" a="1"/>
  <c r="Q1422" i="2" a="1"/>
  <c r="T1422" i="2" s="1"/>
  <c r="S1421" i="2" a="1"/>
  <c r="R1421" i="2" a="1"/>
  <c r="Q1421" i="2" a="1"/>
  <c r="T1421" i="2" s="1"/>
  <c r="S1420" i="2" a="1"/>
  <c r="R1420" i="2" a="1"/>
  <c r="Q1420" i="2" a="1"/>
  <c r="T1420" i="2" s="1"/>
  <c r="S1419" i="2" a="1"/>
  <c r="R1419" i="2" a="1"/>
  <c r="Q1419" i="2" a="1"/>
  <c r="S1418" i="2" a="1"/>
  <c r="R1418" i="2" a="1"/>
  <c r="Q1418" i="2" a="1"/>
  <c r="T1418" i="2" s="1"/>
  <c r="S1417" i="2" a="1"/>
  <c r="R1417" i="2" a="1"/>
  <c r="Q1417" i="2" a="1"/>
  <c r="S1416" i="2" a="1"/>
  <c r="R1416" i="2" a="1"/>
  <c r="Q1416" i="2" a="1"/>
  <c r="T1416" i="2" s="1"/>
  <c r="S1415" i="2" a="1"/>
  <c r="R1415" i="2" a="1"/>
  <c r="Q1415" i="2" a="1"/>
  <c r="S1414" i="2" a="1"/>
  <c r="R1414" i="2" a="1"/>
  <c r="Q1414" i="2" a="1"/>
  <c r="S1413" i="2" a="1"/>
  <c r="R1413" i="2" a="1"/>
  <c r="Q1413" i="2" a="1"/>
  <c r="S1412" i="2" a="1"/>
  <c r="R1412" i="2" a="1"/>
  <c r="Q1412" i="2" a="1"/>
  <c r="T1412" i="2" s="1"/>
  <c r="S1411" i="2" a="1"/>
  <c r="R1411" i="2" a="1"/>
  <c r="Q1411" i="2" a="1"/>
  <c r="T1411" i="2" s="1"/>
  <c r="S1410" i="2" a="1"/>
  <c r="R1410" i="2" a="1"/>
  <c r="Q1410" i="2" a="1"/>
  <c r="T1410" i="2" s="1"/>
  <c r="S1409" i="2" a="1"/>
  <c r="R1409" i="2" a="1"/>
  <c r="Q1409" i="2" a="1"/>
  <c r="T1409" i="2" s="1"/>
  <c r="S1408" i="2" a="1"/>
  <c r="R1408" i="2" a="1"/>
  <c r="Q1408" i="2" a="1"/>
  <c r="T1408" i="2" s="1"/>
  <c r="S1407" i="2" a="1"/>
  <c r="R1407" i="2" a="1"/>
  <c r="Q1407" i="2" a="1"/>
  <c r="S1406" i="2" a="1"/>
  <c r="R1406" i="2" a="1"/>
  <c r="Q1406" i="2" a="1"/>
  <c r="S1405" i="2" a="1"/>
  <c r="R1405" i="2" a="1"/>
  <c r="Q1405" i="2" a="1"/>
  <c r="S1404" i="2" a="1"/>
  <c r="R1404" i="2" a="1"/>
  <c r="Q1404" i="2" a="1"/>
  <c r="S1403" i="2" a="1"/>
  <c r="R1403" i="2" a="1"/>
  <c r="Q1403" i="2" a="1"/>
  <c r="S1402" i="2" a="1"/>
  <c r="R1402" i="2" a="1"/>
  <c r="Q1402" i="2" a="1"/>
  <c r="S1401" i="2" a="1"/>
  <c r="R1401" i="2" a="1"/>
  <c r="Q1401" i="2" a="1"/>
  <c r="S1400" i="2" a="1"/>
  <c r="R1400" i="2" a="1"/>
  <c r="Q1400" i="2" a="1"/>
  <c r="S1399" i="2" a="1"/>
  <c r="R1399" i="2" a="1"/>
  <c r="Q1399" i="2" a="1"/>
  <c r="S1398" i="2" a="1"/>
  <c r="R1398" i="2" a="1"/>
  <c r="Q1398" i="2" a="1"/>
  <c r="S1397" i="2" a="1"/>
  <c r="R1397" i="2" a="1"/>
  <c r="Q1397" i="2" a="1"/>
  <c r="S1396" i="2" a="1"/>
  <c r="R1396" i="2" a="1"/>
  <c r="Q1396" i="2" a="1"/>
  <c r="S1395" i="2" a="1"/>
  <c r="R1395" i="2" a="1"/>
  <c r="Q1395" i="2" a="1"/>
  <c r="S1394" i="2" a="1"/>
  <c r="R1394" i="2" a="1"/>
  <c r="Q1394" i="2" a="1"/>
  <c r="S1393" i="2" a="1"/>
  <c r="R1393" i="2" a="1"/>
  <c r="Q1393" i="2" a="1"/>
  <c r="S1392" i="2" a="1"/>
  <c r="R1392" i="2" a="1"/>
  <c r="Q1392" i="2" a="1"/>
  <c r="S1391" i="2" a="1"/>
  <c r="R1391" i="2" a="1"/>
  <c r="Q1391" i="2" a="1"/>
  <c r="S1390" i="2" a="1"/>
  <c r="R1390" i="2" a="1"/>
  <c r="Q1390" i="2" a="1"/>
  <c r="S1389" i="2" a="1"/>
  <c r="R1389" i="2" a="1"/>
  <c r="Q1389" i="2" a="1"/>
  <c r="S1388" i="2" a="1"/>
  <c r="R1388" i="2" a="1"/>
  <c r="Q1388" i="2" a="1"/>
  <c r="S1387" i="2" a="1"/>
  <c r="R1387" i="2" a="1"/>
  <c r="Q1387" i="2" a="1"/>
  <c r="S1386" i="2" a="1"/>
  <c r="R1386" i="2" a="1"/>
  <c r="Q1386" i="2" a="1"/>
  <c r="S1385" i="2" a="1"/>
  <c r="R1385" i="2" a="1"/>
  <c r="Q1385" i="2" a="1"/>
  <c r="S1384" i="2" a="1"/>
  <c r="R1384" i="2" a="1"/>
  <c r="Q1384" i="2" a="1"/>
  <c r="S1383" i="2" a="1"/>
  <c r="R1383" i="2" a="1"/>
  <c r="Q1383" i="2" a="1"/>
  <c r="S1382" i="2" a="1"/>
  <c r="R1382" i="2" a="1"/>
  <c r="Q1382" i="2" a="1"/>
  <c r="S1381" i="2" a="1"/>
  <c r="R1381" i="2" a="1"/>
  <c r="Q1381" i="2" a="1"/>
  <c r="S1380" i="2" a="1"/>
  <c r="R1380" i="2" a="1"/>
  <c r="Q1380" i="2" a="1"/>
  <c r="S1379" i="2" a="1"/>
  <c r="R1379" i="2" a="1"/>
  <c r="Q1379" i="2" a="1"/>
  <c r="S1378" i="2" a="1"/>
  <c r="R1378" i="2" a="1"/>
  <c r="Q1378" i="2" a="1"/>
  <c r="S1377" i="2" a="1"/>
  <c r="R1377" i="2" a="1"/>
  <c r="Q1377" i="2" a="1"/>
  <c r="S1376" i="2" a="1"/>
  <c r="R1376" i="2" a="1"/>
  <c r="Q1376" i="2" a="1"/>
  <c r="S1375" i="2" a="1"/>
  <c r="R1375" i="2" a="1"/>
  <c r="Q1375" i="2" a="1"/>
  <c r="S1374" i="2" a="1"/>
  <c r="R1374" i="2" a="1"/>
  <c r="Q1374" i="2" a="1"/>
  <c r="S1373" i="2" a="1"/>
  <c r="R1373" i="2" a="1"/>
  <c r="Q1373" i="2" a="1"/>
  <c r="S1372" i="2" a="1"/>
  <c r="R1372" i="2" a="1"/>
  <c r="Q1372" i="2" a="1"/>
  <c r="S1371" i="2" a="1"/>
  <c r="R1371" i="2" a="1"/>
  <c r="Q1371" i="2" a="1"/>
  <c r="S1370" i="2" a="1"/>
  <c r="R1370" i="2" a="1"/>
  <c r="Q1370" i="2" a="1"/>
  <c r="S1369" i="2" a="1"/>
  <c r="R1369" i="2" a="1"/>
  <c r="Q1369" i="2" a="1"/>
  <c r="S1368" i="2" a="1"/>
  <c r="R1368" i="2" a="1"/>
  <c r="Q1368" i="2" a="1"/>
  <c r="S1367" i="2" a="1"/>
  <c r="R1367" i="2" a="1"/>
  <c r="Q1367" i="2" a="1"/>
  <c r="S1366" i="2" a="1"/>
  <c r="R1366" i="2" a="1"/>
  <c r="Q1366" i="2" a="1"/>
  <c r="S1365" i="2" a="1"/>
  <c r="R1365" i="2" a="1"/>
  <c r="Q1365" i="2" a="1"/>
  <c r="S1364" i="2" a="1"/>
  <c r="R1364" i="2" a="1"/>
  <c r="Q1364" i="2" a="1"/>
  <c r="S1363" i="2" a="1"/>
  <c r="R1363" i="2" a="1"/>
  <c r="Q1363" i="2" a="1"/>
  <c r="S1362" i="2" a="1"/>
  <c r="R1362" i="2" a="1"/>
  <c r="Q1362" i="2" a="1"/>
  <c r="S1361" i="2" a="1"/>
  <c r="R1361" i="2" a="1"/>
  <c r="Q1361" i="2" a="1"/>
  <c r="S1360" i="2" a="1"/>
  <c r="R1360" i="2" a="1"/>
  <c r="Q1360" i="2" a="1"/>
  <c r="S1359" i="2" a="1"/>
  <c r="R1359" i="2" a="1"/>
  <c r="Q1359" i="2" a="1"/>
  <c r="S1358" i="2" a="1"/>
  <c r="R1358" i="2" a="1"/>
  <c r="Q1358" i="2" a="1"/>
  <c r="S1357" i="2" a="1"/>
  <c r="R1357" i="2" a="1"/>
  <c r="Q1357" i="2" a="1"/>
  <c r="S1356" i="2" a="1"/>
  <c r="R1356" i="2" a="1"/>
  <c r="Q1356" i="2" a="1"/>
  <c r="S1355" i="2" a="1"/>
  <c r="R1355" i="2" a="1"/>
  <c r="Q1355" i="2" a="1"/>
  <c r="S1354" i="2" a="1"/>
  <c r="R1354" i="2" a="1"/>
  <c r="Q1354" i="2" a="1"/>
  <c r="T1354" i="2" s="1"/>
  <c r="S1353" i="2" a="1"/>
  <c r="R1353" i="2" a="1"/>
  <c r="Q1353" i="2" a="1"/>
  <c r="T1353" i="2" s="1"/>
  <c r="S1352" i="2" a="1"/>
  <c r="R1352" i="2" a="1"/>
  <c r="Q1352" i="2" a="1"/>
  <c r="T1352" i="2" s="1"/>
  <c r="S1351" i="2" a="1"/>
  <c r="R1351" i="2" a="1"/>
  <c r="Q1351" i="2" a="1"/>
  <c r="T1351" i="2" s="1"/>
  <c r="S1350" i="2" a="1"/>
  <c r="R1350" i="2" a="1"/>
  <c r="Q1350" i="2" a="1"/>
  <c r="T1350" i="2" s="1"/>
  <c r="S1349" i="2" a="1"/>
  <c r="R1349" i="2" a="1"/>
  <c r="Q1349" i="2" a="1"/>
  <c r="T1349" i="2" s="1"/>
  <c r="S1348" i="2" a="1"/>
  <c r="R1348" i="2" a="1"/>
  <c r="Q1348" i="2" a="1"/>
  <c r="T1348" i="2" s="1"/>
  <c r="S1347" i="2" a="1"/>
  <c r="R1347" i="2" a="1"/>
  <c r="Q1347" i="2" a="1"/>
  <c r="T1347" i="2" s="1"/>
  <c r="S1346" i="2" a="1"/>
  <c r="R1346" i="2" a="1"/>
  <c r="Q1346" i="2" a="1"/>
  <c r="T1346" i="2" s="1"/>
  <c r="S1345" i="2" a="1"/>
  <c r="R1345" i="2" a="1"/>
  <c r="Q1345" i="2" a="1"/>
  <c r="T1345" i="2" s="1"/>
  <c r="S1344" i="2" a="1"/>
  <c r="R1344" i="2" a="1"/>
  <c r="Q1344" i="2" a="1"/>
  <c r="T1344" i="2" s="1"/>
  <c r="S1343" i="2" a="1"/>
  <c r="R1343" i="2" a="1"/>
  <c r="Q1343" i="2" a="1"/>
  <c r="T1343" i="2" s="1"/>
  <c r="S1342" i="2" a="1"/>
  <c r="R1342" i="2" a="1"/>
  <c r="Q1342" i="2" a="1"/>
  <c r="T1342" i="2" s="1"/>
  <c r="S1341" i="2" a="1"/>
  <c r="R1341" i="2" a="1"/>
  <c r="Q1341" i="2" a="1"/>
  <c r="T1341" i="2" s="1"/>
  <c r="S1340" i="2" a="1"/>
  <c r="R1340" i="2" a="1"/>
  <c r="Q1340" i="2" a="1"/>
  <c r="T1340" i="2" s="1"/>
  <c r="S1339" i="2" a="1"/>
  <c r="R1339" i="2" a="1"/>
  <c r="Q1339" i="2" a="1"/>
  <c r="T1339" i="2" s="1"/>
  <c r="S1338" i="2" a="1"/>
  <c r="R1338" i="2" a="1"/>
  <c r="Q1338" i="2" a="1"/>
  <c r="T1338" i="2" s="1"/>
  <c r="S1337" i="2" a="1"/>
  <c r="R1337" i="2" a="1"/>
  <c r="Q1337" i="2" a="1"/>
  <c r="T1337" i="2" s="1"/>
  <c r="S1336" i="2" a="1"/>
  <c r="R1336" i="2" a="1"/>
  <c r="Q1336" i="2" a="1"/>
  <c r="T1336" i="2" s="1"/>
  <c r="S1335" i="2" a="1"/>
  <c r="R1335" i="2" a="1"/>
  <c r="Q1335" i="2" a="1"/>
  <c r="T1335" i="2" s="1"/>
  <c r="S1334" i="2" a="1"/>
  <c r="R1334" i="2" a="1"/>
  <c r="Q1334" i="2" a="1"/>
  <c r="T1334" i="2" s="1"/>
  <c r="S1333" i="2" a="1"/>
  <c r="R1333" i="2" a="1"/>
  <c r="Q1333" i="2" a="1"/>
  <c r="T1333" i="2" s="1"/>
  <c r="S1332" i="2" a="1"/>
  <c r="R1332" i="2" a="1"/>
  <c r="Q1332" i="2" a="1"/>
  <c r="T1332" i="2" s="1"/>
  <c r="S1331" i="2" a="1"/>
  <c r="R1331" i="2" a="1"/>
  <c r="Q1331" i="2" a="1"/>
  <c r="T1331" i="2" s="1"/>
  <c r="S1330" i="2" a="1"/>
  <c r="R1330" i="2" a="1"/>
  <c r="Q1330" i="2" a="1"/>
  <c r="T1330" i="2" s="1"/>
  <c r="S1329" i="2" a="1"/>
  <c r="R1329" i="2" a="1"/>
  <c r="Q1329" i="2" a="1"/>
  <c r="T1329" i="2" s="1"/>
  <c r="S1328" i="2" a="1"/>
  <c r="R1328" i="2" a="1"/>
  <c r="Q1328" i="2" a="1"/>
  <c r="T1328" i="2" s="1"/>
  <c r="S1327" i="2" a="1"/>
  <c r="R1327" i="2" a="1"/>
  <c r="Q1327" i="2" a="1"/>
  <c r="T1327" i="2" s="1"/>
  <c r="S1326" i="2" a="1"/>
  <c r="R1326" i="2" a="1"/>
  <c r="Q1326" i="2" a="1"/>
  <c r="T1326" i="2" s="1"/>
  <c r="S1325" i="2" a="1"/>
  <c r="R1325" i="2" a="1"/>
  <c r="Q1325" i="2" a="1"/>
  <c r="S1324" i="2" a="1"/>
  <c r="R1324" i="2" a="1"/>
  <c r="Q1324" i="2" a="1"/>
  <c r="S1323" i="2" a="1"/>
  <c r="R1323" i="2" a="1"/>
  <c r="Q1323" i="2" a="1"/>
  <c r="S1322" i="2" a="1"/>
  <c r="R1322" i="2" a="1"/>
  <c r="Q1322" i="2" a="1"/>
  <c r="S1321" i="2" a="1"/>
  <c r="R1321" i="2" a="1"/>
  <c r="Q1321" i="2" a="1"/>
  <c r="S1320" i="2" a="1"/>
  <c r="R1320" i="2" a="1"/>
  <c r="Q1320" i="2" a="1"/>
  <c r="S1319" i="2" a="1"/>
  <c r="R1319" i="2" a="1"/>
  <c r="Q1319" i="2" a="1"/>
  <c r="S1318" i="2" a="1"/>
  <c r="R1318" i="2" a="1"/>
  <c r="Q1318" i="2" a="1"/>
  <c r="S1317" i="2" a="1"/>
  <c r="R1317" i="2" a="1"/>
  <c r="Q1317" i="2" a="1"/>
  <c r="S1316" i="2" a="1"/>
  <c r="R1316" i="2" a="1"/>
  <c r="Q1316" i="2" a="1"/>
  <c r="S1315" i="2" a="1"/>
  <c r="R1315" i="2" a="1"/>
  <c r="Q1315" i="2" a="1"/>
  <c r="S1314" i="2" a="1"/>
  <c r="R1314" i="2" a="1"/>
  <c r="Q1314" i="2" a="1"/>
  <c r="S1313" i="2" a="1"/>
  <c r="R1313" i="2" a="1"/>
  <c r="Q1313" i="2" a="1"/>
  <c r="S1312" i="2" a="1"/>
  <c r="R1312" i="2" a="1"/>
  <c r="Q1312" i="2" a="1"/>
  <c r="S1311" i="2" a="1"/>
  <c r="R1311" i="2" a="1"/>
  <c r="Q1311" i="2" a="1"/>
  <c r="S1310" i="2" a="1"/>
  <c r="R1310" i="2" a="1"/>
  <c r="Q1310" i="2" a="1"/>
  <c r="S1309" i="2" a="1"/>
  <c r="R1309" i="2" a="1"/>
  <c r="Q1309" i="2" a="1"/>
  <c r="S1308" i="2" a="1"/>
  <c r="R1308" i="2" a="1"/>
  <c r="Q1308" i="2" a="1"/>
  <c r="S1307" i="2" a="1"/>
  <c r="R1307" i="2" a="1"/>
  <c r="Q1307" i="2" a="1"/>
  <c r="S1306" i="2" a="1"/>
  <c r="R1306" i="2" a="1"/>
  <c r="Q1306" i="2" a="1"/>
  <c r="S1305" i="2" a="1"/>
  <c r="R1305" i="2" a="1"/>
  <c r="Q1305" i="2" a="1"/>
  <c r="S1304" i="2" a="1"/>
  <c r="R1304" i="2" a="1"/>
  <c r="Q1304" i="2" a="1"/>
  <c r="S1303" i="2" a="1"/>
  <c r="R1303" i="2" a="1"/>
  <c r="Q1303" i="2" a="1"/>
  <c r="S1302" i="2" a="1"/>
  <c r="R1302" i="2" a="1"/>
  <c r="Q1302" i="2" a="1"/>
  <c r="S1301" i="2" a="1"/>
  <c r="R1301" i="2" a="1"/>
  <c r="Q1301" i="2" a="1"/>
  <c r="S1300" i="2" a="1"/>
  <c r="R1300" i="2" a="1"/>
  <c r="Q1300" i="2" a="1"/>
  <c r="S1299" i="2" a="1"/>
  <c r="R1299" i="2" a="1"/>
  <c r="Q1299" i="2" a="1"/>
  <c r="S1298" i="2" a="1"/>
  <c r="R1298" i="2" a="1"/>
  <c r="Q1298" i="2" a="1"/>
  <c r="S1297" i="2" a="1"/>
  <c r="R1297" i="2" a="1"/>
  <c r="Q1297" i="2" a="1"/>
  <c r="S1296" i="2" a="1"/>
  <c r="R1296" i="2" a="1"/>
  <c r="Q1296" i="2" a="1"/>
  <c r="S1295" i="2" a="1"/>
  <c r="R1295" i="2" a="1"/>
  <c r="Q1295" i="2" a="1"/>
  <c r="S1294" i="2" a="1"/>
  <c r="R1294" i="2" a="1"/>
  <c r="Q1294" i="2" a="1"/>
  <c r="S1293" i="2" a="1"/>
  <c r="R1293" i="2" a="1"/>
  <c r="Q1293" i="2" a="1"/>
  <c r="S1292" i="2" a="1"/>
  <c r="R1292" i="2" a="1"/>
  <c r="Q1292" i="2" a="1"/>
  <c r="S1291" i="2" a="1"/>
  <c r="R1291" i="2" a="1"/>
  <c r="Q1291" i="2" a="1"/>
  <c r="S1290" i="2" a="1"/>
  <c r="R1290" i="2" a="1"/>
  <c r="Q1290" i="2" a="1"/>
  <c r="S1289" i="2" a="1"/>
  <c r="R1289" i="2" a="1"/>
  <c r="Q1289" i="2" a="1"/>
  <c r="S1288" i="2" a="1"/>
  <c r="R1288" i="2" a="1"/>
  <c r="Q1288" i="2" a="1"/>
  <c r="T1288" i="2" s="1"/>
  <c r="S1287" i="2" a="1"/>
  <c r="R1287" i="2" a="1"/>
  <c r="Q1287" i="2" a="1"/>
  <c r="T1287" i="2" s="1"/>
  <c r="S1286" i="2" a="1"/>
  <c r="R1286" i="2" a="1"/>
  <c r="Q1286" i="2" a="1"/>
  <c r="T1286" i="2" s="1"/>
  <c r="S1285" i="2" a="1"/>
  <c r="R1285" i="2" a="1"/>
  <c r="Q1285" i="2" a="1"/>
  <c r="T1285" i="2" s="1"/>
  <c r="S1284" i="2" a="1"/>
  <c r="R1284" i="2" a="1"/>
  <c r="Q1284" i="2" a="1"/>
  <c r="T1284" i="2" s="1"/>
  <c r="S1283" i="2" a="1"/>
  <c r="R1283" i="2" a="1"/>
  <c r="Q1283" i="2" a="1"/>
  <c r="T1283" i="2" s="1"/>
  <c r="S1282" i="2" a="1"/>
  <c r="R1282" i="2" a="1"/>
  <c r="Q1282" i="2" a="1"/>
  <c r="T1282" i="2" s="1"/>
  <c r="S1281" i="2" a="1"/>
  <c r="R1281" i="2" a="1"/>
  <c r="Q1281" i="2" a="1"/>
  <c r="T1281" i="2" s="1"/>
  <c r="S1280" i="2" a="1"/>
  <c r="R1280" i="2" a="1"/>
  <c r="Q1280" i="2" a="1"/>
  <c r="T1280" i="2" s="1"/>
  <c r="S1279" i="2" a="1"/>
  <c r="R1279" i="2" a="1"/>
  <c r="Q1279" i="2" a="1"/>
  <c r="T1279" i="2" s="1"/>
  <c r="S1278" i="2" a="1"/>
  <c r="R1278" i="2" a="1"/>
  <c r="Q1278" i="2" a="1"/>
  <c r="T1278" i="2" s="1"/>
  <c r="S1277" i="2" a="1"/>
  <c r="R1277" i="2" a="1"/>
  <c r="Q1277" i="2" a="1"/>
  <c r="T1277" i="2" s="1"/>
  <c r="S1276" i="2" a="1"/>
  <c r="R1276" i="2" a="1"/>
  <c r="Q1276" i="2" a="1"/>
  <c r="T1276" i="2" s="1"/>
  <c r="S1275" i="2" a="1"/>
  <c r="R1275" i="2" a="1"/>
  <c r="Q1275" i="2" a="1"/>
  <c r="T1275" i="2" s="1"/>
  <c r="S1274" i="2" a="1"/>
  <c r="R1274" i="2" a="1"/>
  <c r="Q1274" i="2" a="1"/>
  <c r="T1274" i="2" s="1"/>
  <c r="S1273" i="2" a="1"/>
  <c r="R1273" i="2" a="1"/>
  <c r="Q1273" i="2" a="1"/>
  <c r="S1272" i="2" a="1"/>
  <c r="R1272" i="2" a="1"/>
  <c r="Q1272" i="2" a="1"/>
  <c r="S1271" i="2" a="1"/>
  <c r="R1271" i="2" a="1"/>
  <c r="Q1271" i="2" a="1"/>
  <c r="T1271" i="2" s="1"/>
  <c r="S1270" i="2" a="1"/>
  <c r="R1270" i="2" a="1"/>
  <c r="Q1270" i="2" a="1"/>
  <c r="T1270" i="2" s="1"/>
  <c r="S1269" i="2" a="1"/>
  <c r="R1269" i="2" a="1"/>
  <c r="Q1269" i="2" a="1"/>
  <c r="T1269" i="2" s="1"/>
  <c r="S1268" i="2" a="1"/>
  <c r="R1268" i="2" a="1"/>
  <c r="Q1268" i="2" a="1"/>
  <c r="T1268" i="2" s="1"/>
  <c r="S1267" i="2" a="1"/>
  <c r="R1267" i="2" a="1"/>
  <c r="Q1267" i="2" a="1"/>
  <c r="T1267" i="2" s="1"/>
  <c r="S1266" i="2" a="1"/>
  <c r="R1266" i="2" a="1"/>
  <c r="Q1266" i="2" a="1"/>
  <c r="T1266" i="2" s="1"/>
  <c r="S1265" i="2" a="1"/>
  <c r="R1265" i="2" a="1"/>
  <c r="Q1265" i="2" a="1"/>
  <c r="T1265" i="2" s="1"/>
  <c r="S1264" i="2" a="1"/>
  <c r="R1264" i="2" a="1"/>
  <c r="Q1264" i="2" a="1"/>
  <c r="T1264" i="2" s="1"/>
  <c r="S1263" i="2" a="1"/>
  <c r="R1263" i="2" a="1"/>
  <c r="Q1263" i="2" a="1"/>
  <c r="T1263" i="2" s="1"/>
  <c r="S1262" i="2" a="1"/>
  <c r="R1262" i="2" a="1"/>
  <c r="Q1262" i="2" a="1"/>
  <c r="T1262" i="2" s="1"/>
  <c r="S1261" i="2" a="1"/>
  <c r="R1261" i="2" a="1"/>
  <c r="Q1261" i="2" a="1"/>
  <c r="T1261" i="2" s="1"/>
  <c r="S1260" i="2" a="1"/>
  <c r="R1260" i="2" a="1"/>
  <c r="Q1260" i="2" a="1"/>
  <c r="T1260" i="2" s="1"/>
  <c r="S1259" i="2" a="1"/>
  <c r="R1259" i="2" a="1"/>
  <c r="Q1259" i="2" a="1"/>
  <c r="T1259" i="2" s="1"/>
  <c r="S1258" i="2" a="1"/>
  <c r="R1258" i="2" a="1"/>
  <c r="Q1258" i="2" a="1"/>
  <c r="T1258" i="2" s="1"/>
  <c r="S1257" i="2" a="1"/>
  <c r="R1257" i="2" a="1"/>
  <c r="Q1257" i="2" a="1"/>
  <c r="T1257" i="2" s="1"/>
  <c r="S1256" i="2" a="1"/>
  <c r="R1256" i="2" a="1"/>
  <c r="Q1256" i="2" a="1"/>
  <c r="T1256" i="2" s="1"/>
  <c r="S1255" i="2" a="1"/>
  <c r="R1255" i="2" a="1"/>
  <c r="Q1255" i="2" a="1"/>
  <c r="T1255" i="2" s="1"/>
  <c r="S1254" i="2" a="1"/>
  <c r="R1254" i="2" a="1"/>
  <c r="Q1254" i="2" a="1"/>
  <c r="T1254" i="2" s="1"/>
  <c r="S1253" i="2" a="1"/>
  <c r="R1253" i="2" a="1"/>
  <c r="Q1253" i="2" a="1"/>
  <c r="T1253" i="2" s="1"/>
  <c r="S1252" i="2" a="1"/>
  <c r="R1252" i="2" a="1"/>
  <c r="Q1252" i="2" a="1"/>
  <c r="T1252" i="2" s="1"/>
  <c r="S1251" i="2" a="1"/>
  <c r="R1251" i="2" a="1"/>
  <c r="Q1251" i="2" a="1"/>
  <c r="T1251" i="2" s="1"/>
  <c r="S1250" i="2" a="1"/>
  <c r="R1250" i="2" a="1"/>
  <c r="Q1250" i="2" a="1"/>
  <c r="T1250" i="2" s="1"/>
  <c r="S1249" i="2" a="1"/>
  <c r="R1249" i="2" a="1"/>
  <c r="Q1249" i="2" a="1"/>
  <c r="T1249" i="2" s="1"/>
  <c r="S1248" i="2" a="1"/>
  <c r="R1248" i="2" a="1"/>
  <c r="Q1248" i="2" a="1"/>
  <c r="T1248" i="2" s="1"/>
  <c r="S1247" i="2" a="1"/>
  <c r="R1247" i="2" a="1"/>
  <c r="Q1247" i="2" a="1"/>
  <c r="T1247" i="2" s="1"/>
  <c r="S1246" i="2" a="1"/>
  <c r="R1246" i="2" a="1"/>
  <c r="Q1246" i="2" a="1"/>
  <c r="T1246" i="2" s="1"/>
  <c r="S1245" i="2" a="1"/>
  <c r="R1245" i="2" a="1"/>
  <c r="Q1245" i="2" a="1"/>
  <c r="T1245" i="2" s="1"/>
  <c r="S1244" i="2" a="1"/>
  <c r="R1244" i="2" a="1"/>
  <c r="Q1244" i="2" a="1"/>
  <c r="T1244" i="2" s="1"/>
  <c r="S1243" i="2" a="1"/>
  <c r="R1243" i="2" a="1"/>
  <c r="Q1243" i="2" a="1"/>
  <c r="T1243" i="2" s="1"/>
  <c r="S1242" i="2" a="1"/>
  <c r="R1242" i="2" a="1"/>
  <c r="Q1242" i="2" a="1"/>
  <c r="T1242" i="2" s="1"/>
  <c r="S1241" i="2" a="1"/>
  <c r="R1241" i="2" a="1"/>
  <c r="Q1241" i="2" a="1"/>
  <c r="T1241" i="2" s="1"/>
  <c r="S1240" i="2" a="1"/>
  <c r="R1240" i="2" a="1"/>
  <c r="Q1240" i="2" a="1"/>
  <c r="T1240" i="2" s="1"/>
  <c r="S1239" i="2" a="1"/>
  <c r="R1239" i="2" a="1"/>
  <c r="Q1239" i="2" a="1"/>
  <c r="T1239" i="2" s="1"/>
  <c r="S1238" i="2" a="1"/>
  <c r="R1238" i="2" a="1"/>
  <c r="Q1238" i="2" a="1"/>
  <c r="T1238" i="2" s="1"/>
  <c r="S1237" i="2" a="1"/>
  <c r="R1237" i="2" a="1"/>
  <c r="Q1237" i="2" a="1"/>
  <c r="T1237" i="2" s="1"/>
  <c r="S1236" i="2" a="1"/>
  <c r="R1236" i="2" a="1"/>
  <c r="Q1236" i="2" a="1"/>
  <c r="T1236" i="2" s="1"/>
  <c r="S1235" i="2" a="1"/>
  <c r="R1235" i="2" a="1"/>
  <c r="Q1235" i="2" a="1"/>
  <c r="T1235" i="2" s="1"/>
  <c r="S1234" i="2" a="1"/>
  <c r="R1234" i="2" a="1"/>
  <c r="Q1234" i="2" a="1"/>
  <c r="T1234" i="2" s="1"/>
  <c r="S1233" i="2" a="1"/>
  <c r="R1233" i="2" a="1"/>
  <c r="Q1233" i="2" a="1"/>
  <c r="T1233" i="2" s="1"/>
  <c r="S1232" i="2" a="1"/>
  <c r="R1232" i="2" a="1"/>
  <c r="Q1232" i="2" a="1"/>
  <c r="T1232" i="2" s="1"/>
  <c r="S1231" i="2" a="1"/>
  <c r="R1231" i="2" a="1"/>
  <c r="Q1231" i="2" a="1"/>
  <c r="T1231" i="2" s="1"/>
  <c r="S1230" i="2" a="1"/>
  <c r="R1230" i="2" a="1"/>
  <c r="Q1230" i="2" a="1"/>
  <c r="T1230" i="2" s="1"/>
  <c r="S1229" i="2" a="1"/>
  <c r="R1229" i="2" a="1"/>
  <c r="Q1229" i="2" a="1"/>
  <c r="T1229" i="2" s="1"/>
  <c r="S1228" i="2" a="1"/>
  <c r="R1228" i="2" a="1"/>
  <c r="Q1228" i="2" a="1"/>
  <c r="S1227" i="2" a="1"/>
  <c r="R1227" i="2" a="1"/>
  <c r="Q1227" i="2" a="1"/>
  <c r="T1227" i="2" s="1"/>
  <c r="S1226" i="2" a="1"/>
  <c r="R1226" i="2" a="1"/>
  <c r="Q1226" i="2" a="1"/>
  <c r="T1226" i="2" s="1"/>
  <c r="S1225" i="2" a="1"/>
  <c r="R1225" i="2" a="1"/>
  <c r="Q1225" i="2" a="1"/>
  <c r="T1225" i="2" s="1"/>
  <c r="S1224" i="2" a="1"/>
  <c r="R1224" i="2" a="1"/>
  <c r="Q1224" i="2" a="1"/>
  <c r="T1224" i="2" s="1"/>
  <c r="S1223" i="2" a="1"/>
  <c r="R1223" i="2" a="1"/>
  <c r="Q1223" i="2" a="1"/>
  <c r="T1223" i="2" s="1"/>
  <c r="S1222" i="2" a="1"/>
  <c r="R1222" i="2" a="1"/>
  <c r="Q1222" i="2" a="1"/>
  <c r="T1222" i="2" s="1"/>
  <c r="S1221" i="2" a="1"/>
  <c r="R1221" i="2" a="1"/>
  <c r="Q1221" i="2" a="1"/>
  <c r="T1221" i="2" s="1"/>
  <c r="S1220" i="2" a="1"/>
  <c r="R1220" i="2" a="1"/>
  <c r="Q1220" i="2" a="1"/>
  <c r="T1220" i="2" s="1"/>
  <c r="S1219" i="2" a="1"/>
  <c r="R1219" i="2" a="1"/>
  <c r="Q1219" i="2" a="1"/>
  <c r="S1218" i="2" a="1"/>
  <c r="R1218" i="2" a="1"/>
  <c r="Q1218" i="2" a="1"/>
  <c r="T1218" i="2" s="1"/>
  <c r="S1217" i="2" a="1"/>
  <c r="R1217" i="2" a="1"/>
  <c r="Q1217" i="2" a="1"/>
  <c r="T1217" i="2" s="1"/>
  <c r="S1216" i="2" a="1"/>
  <c r="R1216" i="2" a="1"/>
  <c r="Q1216" i="2" a="1"/>
  <c r="T1216" i="2" s="1"/>
  <c r="S1215" i="2" a="1"/>
  <c r="R1215" i="2" a="1"/>
  <c r="Q1215" i="2" a="1"/>
  <c r="T1215" i="2" s="1"/>
  <c r="S1214" i="2" a="1"/>
  <c r="R1214" i="2" a="1"/>
  <c r="Q1214" i="2" a="1"/>
  <c r="T1214" i="2" s="1"/>
  <c r="S1213" i="2" a="1"/>
  <c r="R1213" i="2" a="1"/>
  <c r="Q1213" i="2" a="1"/>
  <c r="T1213" i="2" s="1"/>
  <c r="S1212" i="2" a="1"/>
  <c r="R1212" i="2" a="1"/>
  <c r="Q1212" i="2" a="1"/>
  <c r="T1212" i="2" s="1"/>
  <c r="S1211" i="2" a="1"/>
  <c r="R1211" i="2" a="1"/>
  <c r="Q1211" i="2" a="1"/>
  <c r="T1211" i="2" s="1"/>
  <c r="S1210" i="2" a="1"/>
  <c r="R1210" i="2" a="1"/>
  <c r="Q1210" i="2" a="1"/>
  <c r="S1209" i="2" a="1"/>
  <c r="R1209" i="2" a="1"/>
  <c r="Q1209" i="2" a="1"/>
  <c r="T1209" i="2" s="1"/>
  <c r="S1208" i="2" a="1"/>
  <c r="R1208" i="2" a="1"/>
  <c r="Q1208" i="2" a="1"/>
  <c r="T1208" i="2" s="1"/>
  <c r="S1207" i="2" a="1"/>
  <c r="R1207" i="2" a="1"/>
  <c r="Q1207" i="2" a="1"/>
  <c r="T1207" i="2" s="1"/>
  <c r="S1206" i="2" a="1"/>
  <c r="R1206" i="2" a="1"/>
  <c r="Q1206" i="2" a="1"/>
  <c r="T1206" i="2" s="1"/>
  <c r="S1205" i="2" a="1"/>
  <c r="R1205" i="2" a="1"/>
  <c r="Q1205" i="2" a="1"/>
  <c r="T1205" i="2" s="1"/>
  <c r="S1204" i="2" a="1"/>
  <c r="R1204" i="2" a="1"/>
  <c r="Q1204" i="2" a="1"/>
  <c r="T1204" i="2" s="1"/>
  <c r="S1203" i="2" a="1"/>
  <c r="R1203" i="2" a="1"/>
  <c r="Q1203" i="2" a="1"/>
  <c r="T1203" i="2" s="1"/>
  <c r="S1202" i="2" a="1"/>
  <c r="R1202" i="2" a="1"/>
  <c r="Q1202" i="2" a="1"/>
  <c r="T1202" i="2" s="1"/>
  <c r="S1201" i="2" a="1"/>
  <c r="R1201" i="2" a="1"/>
  <c r="Q1201" i="2" a="1"/>
  <c r="T1201" i="2" s="1"/>
  <c r="S1200" i="2" a="1"/>
  <c r="R1200" i="2" a="1"/>
  <c r="Q1200" i="2" a="1"/>
  <c r="T1200" i="2" s="1"/>
  <c r="S1199" i="2" a="1"/>
  <c r="R1199" i="2" a="1"/>
  <c r="Q1199" i="2" a="1"/>
  <c r="T1199" i="2" s="1"/>
  <c r="S1198" i="2" a="1"/>
  <c r="R1198" i="2" a="1"/>
  <c r="Q1198" i="2" a="1"/>
  <c r="T1198" i="2" s="1"/>
  <c r="S1197" i="2" a="1"/>
  <c r="R1197" i="2" a="1"/>
  <c r="Q1197" i="2" a="1"/>
  <c r="T1197" i="2" s="1"/>
  <c r="S1196" i="2" a="1"/>
  <c r="R1196" i="2" a="1"/>
  <c r="Q1196" i="2" a="1"/>
  <c r="T1196" i="2" s="1"/>
  <c r="S1195" i="2" a="1"/>
  <c r="R1195" i="2" a="1"/>
  <c r="Q1195" i="2" a="1"/>
  <c r="T1195" i="2" s="1"/>
  <c r="S1194" i="2" a="1"/>
  <c r="R1194" i="2" a="1"/>
  <c r="Q1194" i="2" a="1"/>
  <c r="T1194" i="2" s="1"/>
  <c r="S1193" i="2" a="1"/>
  <c r="R1193" i="2" a="1"/>
  <c r="Q1193" i="2" a="1"/>
  <c r="T1193" i="2" s="1"/>
  <c r="S1192" i="2" a="1"/>
  <c r="R1192" i="2" a="1"/>
  <c r="Q1192" i="2" a="1"/>
  <c r="T1192" i="2" s="1"/>
  <c r="S1191" i="2" a="1"/>
  <c r="R1191" i="2" a="1"/>
  <c r="Q1191" i="2" a="1"/>
  <c r="T1191" i="2" s="1"/>
  <c r="S1190" i="2" a="1"/>
  <c r="R1190" i="2" a="1"/>
  <c r="Q1190" i="2" a="1"/>
  <c r="T1190" i="2" s="1"/>
  <c r="S1189" i="2" a="1"/>
  <c r="R1189" i="2" a="1"/>
  <c r="Q1189" i="2" a="1"/>
  <c r="T1189" i="2" s="1"/>
  <c r="S1188" i="2" a="1"/>
  <c r="R1188" i="2" a="1"/>
  <c r="Q1188" i="2" a="1"/>
  <c r="T1188" i="2" s="1"/>
  <c r="S1187" i="2" a="1"/>
  <c r="R1187" i="2" a="1"/>
  <c r="Q1187" i="2" a="1"/>
  <c r="T1187" i="2" s="1"/>
  <c r="S1186" i="2" a="1"/>
  <c r="R1186" i="2" a="1"/>
  <c r="Q1186" i="2" a="1"/>
  <c r="T1186" i="2" s="1"/>
  <c r="S1185" i="2" a="1"/>
  <c r="R1185" i="2" a="1"/>
  <c r="Q1185" i="2" a="1"/>
  <c r="T1185" i="2" s="1"/>
  <c r="S1184" i="2" a="1"/>
  <c r="R1184" i="2" a="1"/>
  <c r="Q1184" i="2" a="1"/>
  <c r="T1184" i="2" s="1"/>
  <c r="S1183" i="2" a="1"/>
  <c r="R1183" i="2" a="1"/>
  <c r="Q1183" i="2" a="1"/>
  <c r="T1183" i="2" s="1"/>
  <c r="S1182" i="2" a="1"/>
  <c r="R1182" i="2" a="1"/>
  <c r="Q1182" i="2" a="1"/>
  <c r="T1182" i="2" s="1"/>
  <c r="S1181" i="2" a="1"/>
  <c r="R1181" i="2" a="1"/>
  <c r="Q1181" i="2" a="1"/>
  <c r="T1181" i="2" s="1"/>
  <c r="S1180" i="2" a="1"/>
  <c r="R1180" i="2" a="1"/>
  <c r="Q1180" i="2" a="1"/>
  <c r="S1179" i="2" a="1"/>
  <c r="R1179" i="2" a="1"/>
  <c r="Q1179" i="2" a="1"/>
  <c r="T1179" i="2" s="1"/>
  <c r="S1178" i="2" a="1"/>
  <c r="R1178" i="2" a="1"/>
  <c r="Q1178" i="2" a="1"/>
  <c r="T1178" i="2" s="1"/>
  <c r="S1177" i="2" a="1"/>
  <c r="R1177" i="2" a="1"/>
  <c r="Q1177" i="2" a="1"/>
  <c r="T1177" i="2" s="1"/>
  <c r="S1176" i="2" a="1"/>
  <c r="R1176" i="2" a="1"/>
  <c r="Q1176" i="2" a="1"/>
  <c r="T1176" i="2" s="1"/>
  <c r="S1175" i="2" a="1"/>
  <c r="R1175" i="2" a="1"/>
  <c r="Q1175" i="2" a="1"/>
  <c r="T1175" i="2" s="1"/>
  <c r="S1174" i="2" a="1"/>
  <c r="R1174" i="2" a="1"/>
  <c r="Q1174" i="2" a="1"/>
  <c r="T1174" i="2" s="1"/>
  <c r="S1173" i="2" a="1"/>
  <c r="R1173" i="2" a="1"/>
  <c r="Q1173" i="2" a="1"/>
  <c r="T1173" i="2" s="1"/>
  <c r="S1172" i="2" a="1"/>
  <c r="R1172" i="2" a="1"/>
  <c r="Q1172" i="2" a="1"/>
  <c r="T1172" i="2" s="1"/>
  <c r="S1171" i="2" a="1"/>
  <c r="R1171" i="2" a="1"/>
  <c r="Q1171" i="2" a="1"/>
  <c r="T1171" i="2" s="1"/>
  <c r="S1170" i="2" a="1"/>
  <c r="R1170" i="2" a="1"/>
  <c r="Q1170" i="2" a="1"/>
  <c r="T1170" i="2" s="1"/>
  <c r="S1169" i="2" a="1"/>
  <c r="R1169" i="2" a="1"/>
  <c r="Q1169" i="2" a="1"/>
  <c r="T1169" i="2" s="1"/>
  <c r="S1168" i="2" a="1"/>
  <c r="R1168" i="2" a="1"/>
  <c r="Q1168" i="2" a="1"/>
  <c r="T1168" i="2" s="1"/>
  <c r="S1167" i="2" a="1"/>
  <c r="R1167" i="2" a="1"/>
  <c r="Q1167" i="2" a="1"/>
  <c r="T1167" i="2" s="1"/>
  <c r="S1166" i="2" a="1"/>
  <c r="R1166" i="2" a="1"/>
  <c r="Q1166" i="2" a="1"/>
  <c r="T1166" i="2" s="1"/>
  <c r="S1165" i="2" a="1"/>
  <c r="R1165" i="2" a="1"/>
  <c r="Q1165" i="2" a="1"/>
  <c r="T1165" i="2" s="1"/>
  <c r="S1164" i="2" a="1"/>
  <c r="R1164" i="2" a="1"/>
  <c r="Q1164" i="2" a="1"/>
  <c r="T1164" i="2" s="1"/>
  <c r="S1163" i="2" a="1"/>
  <c r="R1163" i="2" a="1"/>
  <c r="Q1163" i="2" a="1"/>
  <c r="T1163" i="2" s="1"/>
  <c r="S1162" i="2" a="1"/>
  <c r="R1162" i="2" a="1"/>
  <c r="Q1162" i="2" a="1"/>
  <c r="T1162" i="2" s="1"/>
  <c r="S1161" i="2" a="1"/>
  <c r="R1161" i="2" a="1"/>
  <c r="Q1161" i="2" a="1"/>
  <c r="T1161" i="2" s="1"/>
  <c r="S1160" i="2" a="1"/>
  <c r="R1160" i="2" a="1"/>
  <c r="Q1160" i="2" a="1"/>
  <c r="T1160" i="2" s="1"/>
  <c r="S1159" i="2" a="1"/>
  <c r="R1159" i="2" a="1"/>
  <c r="Q1159" i="2" a="1"/>
  <c r="T1159" i="2" s="1"/>
  <c r="S1158" i="2" a="1"/>
  <c r="R1158" i="2" a="1"/>
  <c r="Q1158" i="2" a="1"/>
  <c r="T1158" i="2" s="1"/>
  <c r="S1157" i="2" a="1"/>
  <c r="R1157" i="2" a="1"/>
  <c r="Q1157" i="2" a="1"/>
  <c r="T1157" i="2" s="1"/>
  <c r="S1156" i="2" a="1"/>
  <c r="R1156" i="2" a="1"/>
  <c r="Q1156" i="2" a="1"/>
  <c r="T1156" i="2" s="1"/>
  <c r="S1155" i="2" a="1"/>
  <c r="R1155" i="2" a="1"/>
  <c r="Q1155" i="2" a="1"/>
  <c r="T1155" i="2" s="1"/>
  <c r="S1154" i="2" a="1"/>
  <c r="R1154" i="2" a="1"/>
  <c r="Q1154" i="2" a="1"/>
  <c r="T1154" i="2" s="1"/>
  <c r="S1153" i="2" a="1"/>
  <c r="R1153" i="2" a="1"/>
  <c r="Q1153" i="2" a="1"/>
  <c r="T1153" i="2" s="1"/>
  <c r="S1152" i="2" a="1"/>
  <c r="R1152" i="2" a="1"/>
  <c r="Q1152" i="2" a="1"/>
  <c r="T1152" i="2" s="1"/>
  <c r="S1151" i="2" a="1"/>
  <c r="R1151" i="2" a="1"/>
  <c r="Q1151" i="2" a="1"/>
  <c r="T1151" i="2" s="1"/>
  <c r="S1150" i="2" a="1"/>
  <c r="R1150" i="2" a="1"/>
  <c r="Q1150" i="2" a="1"/>
  <c r="T1150" i="2" s="1"/>
  <c r="S1149" i="2" a="1"/>
  <c r="R1149" i="2" a="1"/>
  <c r="Q1149" i="2" a="1"/>
  <c r="T1149" i="2" s="1"/>
  <c r="S1148" i="2" a="1"/>
  <c r="R1148" i="2" a="1"/>
  <c r="Q1148" i="2" a="1"/>
  <c r="T1148" i="2" s="1"/>
  <c r="S1147" i="2" a="1"/>
  <c r="R1147" i="2" a="1"/>
  <c r="Q1147" i="2" a="1"/>
  <c r="T1147" i="2" s="1"/>
  <c r="S1146" i="2" a="1"/>
  <c r="R1146" i="2" a="1"/>
  <c r="Q1146" i="2" a="1"/>
  <c r="T1146" i="2" s="1"/>
  <c r="S1145" i="2" a="1"/>
  <c r="R1145" i="2" a="1"/>
  <c r="Q1145" i="2" a="1"/>
  <c r="T1145" i="2" s="1"/>
  <c r="S1144" i="2" a="1"/>
  <c r="R1144" i="2" a="1"/>
  <c r="Q1144" i="2" a="1"/>
  <c r="T1144" i="2" s="1"/>
  <c r="S1143" i="2" a="1"/>
  <c r="R1143" i="2" a="1"/>
  <c r="Q1143" i="2" a="1"/>
  <c r="T1143" i="2" s="1"/>
  <c r="S1142" i="2" a="1"/>
  <c r="R1142" i="2" a="1"/>
  <c r="Q1142" i="2" a="1"/>
  <c r="T1142" i="2" s="1"/>
  <c r="S1141" i="2" a="1"/>
  <c r="R1141" i="2" a="1"/>
  <c r="Q1141" i="2" a="1"/>
  <c r="T1141" i="2" s="1"/>
  <c r="S1140" i="2" a="1"/>
  <c r="R1140" i="2" a="1"/>
  <c r="Q1140" i="2" a="1"/>
  <c r="T1140" i="2" s="1"/>
  <c r="S1139" i="2" a="1"/>
  <c r="R1139" i="2" a="1"/>
  <c r="Q1139" i="2" a="1"/>
  <c r="T1139" i="2" s="1"/>
  <c r="S1138" i="2" a="1"/>
  <c r="R1138" i="2" a="1"/>
  <c r="Q1138" i="2" a="1"/>
  <c r="T1138" i="2" s="1"/>
  <c r="S1137" i="2" a="1"/>
  <c r="R1137" i="2" a="1"/>
  <c r="Q1137" i="2" a="1"/>
  <c r="T1137" i="2" s="1"/>
  <c r="S1136" i="2" a="1"/>
  <c r="R1136" i="2" a="1"/>
  <c r="Q1136" i="2" a="1"/>
  <c r="S1135" i="2" a="1"/>
  <c r="R1135" i="2" a="1"/>
  <c r="Q1135" i="2" a="1"/>
  <c r="T1135" i="2" s="1"/>
  <c r="S1134" i="2" a="1"/>
  <c r="R1134" i="2" a="1"/>
  <c r="Q1134" i="2" a="1"/>
  <c r="T1134" i="2" s="1"/>
  <c r="S1133" i="2" a="1"/>
  <c r="R1133" i="2" a="1"/>
  <c r="Q1133" i="2" a="1"/>
  <c r="T1133" i="2" s="1"/>
  <c r="S1132" i="2" a="1"/>
  <c r="R1132" i="2" a="1"/>
  <c r="Q1132" i="2" a="1"/>
  <c r="S1131" i="2" a="1"/>
  <c r="R1131" i="2" a="1"/>
  <c r="Q1131" i="2" a="1"/>
  <c r="T1131" i="2" s="1"/>
  <c r="S1130" i="2" a="1"/>
  <c r="R1130" i="2" a="1"/>
  <c r="Q1130" i="2" a="1"/>
  <c r="T1130" i="2" s="1"/>
  <c r="S1129" i="2" a="1"/>
  <c r="R1129" i="2" a="1"/>
  <c r="Q1129" i="2" a="1"/>
  <c r="T1129" i="2" s="1"/>
  <c r="S1128" i="2" a="1"/>
  <c r="R1128" i="2" a="1"/>
  <c r="Q1128" i="2" a="1"/>
  <c r="T1128" i="2" s="1"/>
  <c r="S1127" i="2" a="1"/>
  <c r="R1127" i="2" a="1"/>
  <c r="Q1127" i="2" a="1"/>
  <c r="T1127" i="2" s="1"/>
  <c r="S1126" i="2" a="1"/>
  <c r="R1126" i="2" a="1"/>
  <c r="Q1126" i="2" a="1"/>
  <c r="T1126" i="2" s="1"/>
  <c r="S1125" i="2" a="1"/>
  <c r="R1125" i="2" a="1"/>
  <c r="Q1125" i="2" a="1"/>
  <c r="T1125" i="2" s="1"/>
  <c r="S1124" i="2" a="1"/>
  <c r="R1124" i="2" a="1"/>
  <c r="Q1124" i="2" a="1"/>
  <c r="T1124" i="2" s="1"/>
  <c r="S1123" i="2" a="1"/>
  <c r="R1123" i="2" a="1"/>
  <c r="Q1123" i="2" a="1"/>
  <c r="T1123" i="2" s="1"/>
  <c r="S1122" i="2" a="1"/>
  <c r="R1122" i="2" a="1"/>
  <c r="Q1122" i="2" a="1"/>
  <c r="T1122" i="2" s="1"/>
  <c r="S1121" i="2" a="1"/>
  <c r="R1121" i="2" a="1"/>
  <c r="Q1121" i="2" a="1"/>
  <c r="S1120" i="2" a="1"/>
  <c r="R1120" i="2" a="1"/>
  <c r="Q1120" i="2" a="1"/>
  <c r="S1119" i="2" a="1"/>
  <c r="R1119" i="2" a="1"/>
  <c r="Q1119" i="2" a="1"/>
  <c r="S1118" i="2" a="1"/>
  <c r="R1118" i="2" a="1"/>
  <c r="Q1118" i="2" a="1"/>
  <c r="S1117" i="2" a="1"/>
  <c r="R1117" i="2" a="1"/>
  <c r="Q1117" i="2" a="1"/>
  <c r="S1116" i="2" a="1"/>
  <c r="R1116" i="2" a="1"/>
  <c r="Q1116" i="2" a="1"/>
  <c r="T1116" i="2" s="1"/>
  <c r="S1115" i="2" a="1"/>
  <c r="R1115" i="2" a="1"/>
  <c r="Q1115" i="2" a="1"/>
  <c r="S1114" i="2" a="1"/>
  <c r="R1114" i="2" a="1"/>
  <c r="Q1114" i="2" a="1"/>
  <c r="S1113" i="2" a="1"/>
  <c r="R1113" i="2" a="1"/>
  <c r="Q1113" i="2" a="1"/>
  <c r="T1113" i="2" s="1"/>
  <c r="S1112" i="2" a="1"/>
  <c r="R1112" i="2" a="1"/>
  <c r="Q1112" i="2" a="1"/>
  <c r="S1111" i="2" a="1"/>
  <c r="R1111" i="2" a="1"/>
  <c r="Q1111" i="2" a="1"/>
  <c r="T1111" i="2" s="1"/>
  <c r="S1110" i="2" a="1"/>
  <c r="R1110" i="2" a="1"/>
  <c r="Q1110" i="2" a="1"/>
  <c r="S1109" i="2" a="1"/>
  <c r="R1109" i="2" a="1"/>
  <c r="Q1109" i="2" a="1"/>
  <c r="T1109" i="2" s="1"/>
  <c r="S1108" i="2" a="1"/>
  <c r="R1108" i="2" a="1"/>
  <c r="Q1108" i="2" a="1"/>
  <c r="S1107" i="2" a="1"/>
  <c r="R1107" i="2" a="1"/>
  <c r="Q1107" i="2" a="1"/>
  <c r="S1106" i="2" a="1"/>
  <c r="R1106" i="2" a="1"/>
  <c r="Q1106" i="2" a="1"/>
  <c r="S1105" i="2" a="1"/>
  <c r="R1105" i="2" a="1"/>
  <c r="Q1105" i="2" a="1"/>
  <c r="T1105" i="2" s="1"/>
  <c r="S1104" i="2" a="1"/>
  <c r="R1104" i="2" a="1"/>
  <c r="Q1104" i="2" a="1"/>
  <c r="S1103" i="2" a="1"/>
  <c r="R1103" i="2" a="1"/>
  <c r="Q1103" i="2" a="1"/>
  <c r="S1102" i="2" a="1"/>
  <c r="R1102" i="2" a="1"/>
  <c r="Q1102" i="2" a="1"/>
  <c r="S1101" i="2" a="1"/>
  <c r="R1101" i="2" a="1"/>
  <c r="Q1101" i="2" a="1"/>
  <c r="T1101" i="2" s="1"/>
  <c r="S1100" i="2" a="1"/>
  <c r="R1100" i="2" a="1"/>
  <c r="Q1100" i="2" a="1"/>
  <c r="T1100" i="2" s="1"/>
  <c r="S1099" i="2" a="1"/>
  <c r="R1099" i="2" a="1"/>
  <c r="Q1099" i="2" a="1"/>
  <c r="S1098" i="2" a="1"/>
  <c r="R1098" i="2" a="1"/>
  <c r="Q1098" i="2" a="1"/>
  <c r="S1097" i="2" a="1"/>
  <c r="R1097" i="2" a="1"/>
  <c r="Q1097" i="2" a="1"/>
  <c r="S1096" i="2" a="1"/>
  <c r="R1096" i="2" a="1"/>
  <c r="Q1096" i="2" a="1"/>
  <c r="S1095" i="2" a="1"/>
  <c r="R1095" i="2" a="1"/>
  <c r="Q1095" i="2" a="1"/>
  <c r="S1094" i="2" a="1"/>
  <c r="R1094" i="2" a="1"/>
  <c r="Q1094" i="2" a="1"/>
  <c r="S1093" i="2" a="1"/>
  <c r="R1093" i="2" a="1"/>
  <c r="Q1093" i="2" a="1"/>
  <c r="S1092" i="2" a="1"/>
  <c r="R1092" i="2" a="1"/>
  <c r="Q1092" i="2" a="1"/>
  <c r="S1091" i="2" a="1"/>
  <c r="R1091" i="2" a="1"/>
  <c r="Q1091" i="2" a="1"/>
  <c r="S1090" i="2" a="1"/>
  <c r="R1090" i="2" a="1"/>
  <c r="Q1090" i="2" a="1"/>
  <c r="S1089" i="2" a="1"/>
  <c r="R1089" i="2" a="1"/>
  <c r="Q1089" i="2" a="1"/>
  <c r="T1089" i="2" s="1"/>
  <c r="S1088" i="2" a="1"/>
  <c r="R1088" i="2" a="1"/>
  <c r="Q1088" i="2" a="1"/>
  <c r="T1088" i="2" s="1"/>
  <c r="S1087" i="2" a="1"/>
  <c r="R1087" i="2" a="1"/>
  <c r="Q1087" i="2" a="1"/>
  <c r="T1087" i="2" s="1"/>
  <c r="S1086" i="2" a="1"/>
  <c r="R1086" i="2" a="1"/>
  <c r="Q1086" i="2" a="1"/>
  <c r="T1086" i="2" s="1"/>
  <c r="S1085" i="2" a="1"/>
  <c r="R1085" i="2" a="1"/>
  <c r="Q1085" i="2" a="1"/>
  <c r="T1085" i="2" s="1"/>
  <c r="S1084" i="2" a="1"/>
  <c r="R1084" i="2" a="1"/>
  <c r="Q1084" i="2" a="1"/>
  <c r="T1084" i="2" s="1"/>
  <c r="S1083" i="2" a="1"/>
  <c r="R1083" i="2" a="1"/>
  <c r="Q1083" i="2" a="1"/>
  <c r="T1083" i="2" s="1"/>
  <c r="S1082" i="2" a="1"/>
  <c r="R1082" i="2" a="1"/>
  <c r="Q1082" i="2" a="1"/>
  <c r="T1082" i="2" s="1"/>
  <c r="S1081" i="2" a="1"/>
  <c r="R1081" i="2" a="1"/>
  <c r="Q1081" i="2" a="1"/>
  <c r="T1081" i="2" s="1"/>
  <c r="S1080" i="2" a="1"/>
  <c r="R1080" i="2" a="1"/>
  <c r="Q1080" i="2" a="1"/>
  <c r="T1080" i="2" s="1"/>
  <c r="S1079" i="2" a="1"/>
  <c r="R1079" i="2" a="1"/>
  <c r="Q1079" i="2" a="1"/>
  <c r="T1079" i="2" s="1"/>
  <c r="S1078" i="2" a="1"/>
  <c r="R1078" i="2" a="1"/>
  <c r="Q1078" i="2" a="1"/>
  <c r="T1078" i="2" s="1"/>
  <c r="S1077" i="2" a="1"/>
  <c r="R1077" i="2" a="1"/>
  <c r="Q1077" i="2" a="1"/>
  <c r="T1077" i="2" s="1"/>
  <c r="S1076" i="2" a="1"/>
  <c r="R1076" i="2" a="1"/>
  <c r="Q1076" i="2" a="1"/>
  <c r="S1075" i="2" a="1"/>
  <c r="R1075" i="2" a="1"/>
  <c r="Q1075" i="2" a="1"/>
  <c r="T1075" i="2" s="1"/>
  <c r="S1074" i="2" a="1"/>
  <c r="R1074" i="2" a="1"/>
  <c r="Q1074" i="2" a="1"/>
  <c r="T1074" i="2" s="1"/>
  <c r="S1073" i="2" a="1"/>
  <c r="R1073" i="2" a="1"/>
  <c r="Q1073" i="2" a="1"/>
  <c r="T1073" i="2" s="1"/>
  <c r="S1072" i="2" a="1"/>
  <c r="R1072" i="2" a="1"/>
  <c r="Q1072" i="2" a="1"/>
  <c r="T1072" i="2" s="1"/>
  <c r="S1071" i="2" a="1"/>
  <c r="R1071" i="2" a="1"/>
  <c r="Q1071" i="2" a="1"/>
  <c r="T1071" i="2" s="1"/>
  <c r="S1070" i="2" a="1"/>
  <c r="R1070" i="2" a="1"/>
  <c r="Q1070" i="2" a="1"/>
  <c r="T1070" i="2" s="1"/>
  <c r="S1069" i="2" a="1"/>
  <c r="R1069" i="2" a="1"/>
  <c r="Q1069" i="2" a="1"/>
  <c r="T1069" i="2" s="1"/>
  <c r="S1068" i="2" a="1"/>
  <c r="R1068" i="2" a="1"/>
  <c r="Q1068" i="2" a="1"/>
  <c r="T1068" i="2" s="1"/>
  <c r="S1067" i="2" a="1"/>
  <c r="R1067" i="2" a="1"/>
  <c r="Q1067" i="2" a="1"/>
  <c r="T1067" i="2" s="1"/>
  <c r="S1066" i="2" a="1"/>
  <c r="R1066" i="2" a="1"/>
  <c r="Q1066" i="2" a="1"/>
  <c r="T1066" i="2" s="1"/>
  <c r="S1065" i="2" a="1"/>
  <c r="R1065" i="2" a="1"/>
  <c r="Q1065" i="2" a="1"/>
  <c r="T1065" i="2" s="1"/>
  <c r="S1064" i="2" a="1"/>
  <c r="R1064" i="2" a="1"/>
  <c r="Q1064" i="2" a="1"/>
  <c r="T1064" i="2" s="1"/>
  <c r="S1063" i="2" a="1"/>
  <c r="R1063" i="2" a="1"/>
  <c r="Q1063" i="2" a="1"/>
  <c r="T1063" i="2" s="1"/>
  <c r="S1062" i="2" a="1"/>
  <c r="R1062" i="2" a="1"/>
  <c r="Q1062" i="2" a="1"/>
  <c r="T1062" i="2" s="1"/>
  <c r="S1061" i="2" a="1"/>
  <c r="R1061" i="2" a="1"/>
  <c r="Q1061" i="2" a="1"/>
  <c r="T1061" i="2" s="1"/>
  <c r="S1060" i="2" a="1"/>
  <c r="R1060" i="2" a="1"/>
  <c r="Q1060" i="2" a="1"/>
  <c r="T1060" i="2" s="1"/>
  <c r="S1059" i="2" a="1"/>
  <c r="R1059" i="2" a="1"/>
  <c r="Q1059" i="2" a="1"/>
  <c r="T1059" i="2" s="1"/>
  <c r="S1058" i="2" a="1"/>
  <c r="R1058" i="2" a="1"/>
  <c r="Q1058" i="2" a="1"/>
  <c r="T1058" i="2" s="1"/>
  <c r="S1057" i="2" a="1"/>
  <c r="R1057" i="2" a="1"/>
  <c r="Q1057" i="2" a="1"/>
  <c r="T1057" i="2" s="1"/>
  <c r="S1056" i="2" a="1"/>
  <c r="R1056" i="2" a="1"/>
  <c r="Q1056" i="2" a="1"/>
  <c r="T1056" i="2" s="1"/>
  <c r="S1055" i="2" a="1"/>
  <c r="R1055" i="2" a="1"/>
  <c r="Q1055" i="2" a="1"/>
  <c r="T1055" i="2" s="1"/>
  <c r="S1054" i="2" a="1"/>
  <c r="R1054" i="2" a="1"/>
  <c r="Q1054" i="2" a="1"/>
  <c r="S1053" i="2" a="1"/>
  <c r="R1053" i="2" a="1"/>
  <c r="Q1053" i="2" a="1"/>
  <c r="S1052" i="2" a="1"/>
  <c r="R1052" i="2" a="1"/>
  <c r="Q1052" i="2" a="1"/>
  <c r="S1051" i="2" a="1"/>
  <c r="R1051" i="2" a="1"/>
  <c r="Q1051" i="2" a="1"/>
  <c r="S1050" i="2" a="1"/>
  <c r="R1050" i="2" a="1"/>
  <c r="Q1050" i="2" a="1"/>
  <c r="S1049" i="2" a="1"/>
  <c r="R1049" i="2" a="1"/>
  <c r="Q1049" i="2" a="1"/>
  <c r="S1048" i="2" a="1"/>
  <c r="R1048" i="2" a="1"/>
  <c r="Q1048" i="2" a="1"/>
  <c r="S1047" i="2" a="1"/>
  <c r="R1047" i="2" a="1"/>
  <c r="Q1047" i="2" a="1"/>
  <c r="S1046" i="2" a="1"/>
  <c r="R1046" i="2" a="1"/>
  <c r="Q1046" i="2" a="1"/>
  <c r="S1045" i="2" a="1"/>
  <c r="R1045" i="2" a="1"/>
  <c r="Q1045" i="2" a="1"/>
  <c r="S1044" i="2" a="1"/>
  <c r="R1044" i="2" a="1"/>
  <c r="Q1044" i="2" a="1"/>
  <c r="S1043" i="2" a="1"/>
  <c r="R1043" i="2" a="1"/>
  <c r="Q1043" i="2" a="1"/>
  <c r="S1042" i="2" a="1"/>
  <c r="R1042" i="2" a="1"/>
  <c r="Q1042" i="2" a="1"/>
  <c r="S1041" i="2" a="1"/>
  <c r="R1041" i="2" a="1"/>
  <c r="Q1041" i="2" a="1"/>
  <c r="S1040" i="2" a="1"/>
  <c r="R1040" i="2" a="1"/>
  <c r="Q1040" i="2" a="1"/>
  <c r="S1039" i="2" a="1"/>
  <c r="R1039" i="2" a="1"/>
  <c r="Q1039" i="2" a="1"/>
  <c r="S1038" i="2" a="1"/>
  <c r="R1038" i="2" a="1"/>
  <c r="Q1038" i="2" a="1"/>
  <c r="S1037" i="2" a="1"/>
  <c r="R1037" i="2" a="1"/>
  <c r="Q1037" i="2" a="1"/>
  <c r="S1036" i="2" a="1"/>
  <c r="R1036" i="2" a="1"/>
  <c r="Q1036" i="2" a="1"/>
  <c r="S1035" i="2" a="1"/>
  <c r="R1035" i="2" a="1"/>
  <c r="Q1035" i="2" a="1"/>
  <c r="S1034" i="2" a="1"/>
  <c r="R1034" i="2" a="1"/>
  <c r="Q1034" i="2" a="1"/>
  <c r="S1033" i="2" a="1"/>
  <c r="R1033" i="2" a="1"/>
  <c r="Q1033" i="2" a="1"/>
  <c r="S1032" i="2" a="1"/>
  <c r="R1032" i="2" a="1"/>
  <c r="Q1032" i="2" a="1"/>
  <c r="S1031" i="2" a="1"/>
  <c r="R1031" i="2" a="1"/>
  <c r="Q1031" i="2" a="1"/>
  <c r="S1030" i="2" a="1"/>
  <c r="R1030" i="2" a="1"/>
  <c r="Q1030" i="2" a="1"/>
  <c r="S1029" i="2" a="1"/>
  <c r="R1029" i="2" a="1"/>
  <c r="Q1029" i="2" a="1"/>
  <c r="S1028" i="2" a="1"/>
  <c r="R1028" i="2" a="1"/>
  <c r="Q1028" i="2" a="1"/>
  <c r="S1027" i="2" a="1"/>
  <c r="R1027" i="2" a="1"/>
  <c r="Q1027" i="2" a="1"/>
  <c r="S1026" i="2" a="1"/>
  <c r="R1026" i="2" a="1"/>
  <c r="Q1026" i="2" a="1"/>
  <c r="S1025" i="2" a="1"/>
  <c r="R1025" i="2" a="1"/>
  <c r="Q1025" i="2" a="1"/>
  <c r="S1024" i="2" a="1"/>
  <c r="R1024" i="2" a="1"/>
  <c r="Q1024" i="2" a="1"/>
  <c r="T1024" i="2" s="1"/>
  <c r="S1023" i="2" a="1"/>
  <c r="R1023" i="2" a="1"/>
  <c r="Q1023" i="2" a="1"/>
  <c r="T1023" i="2" s="1"/>
  <c r="S1022" i="2" a="1"/>
  <c r="R1022" i="2" a="1"/>
  <c r="Q1022" i="2" a="1"/>
  <c r="T1022" i="2" s="1"/>
  <c r="S1021" i="2" a="1"/>
  <c r="R1021" i="2" a="1"/>
  <c r="Q1021" i="2" a="1"/>
  <c r="T1021" i="2" s="1"/>
  <c r="S1020" i="2" a="1"/>
  <c r="R1020" i="2" a="1"/>
  <c r="Q1020" i="2" a="1"/>
  <c r="T1020" i="2" s="1"/>
  <c r="S1019" i="2" a="1"/>
  <c r="R1019" i="2" a="1"/>
  <c r="Q1019" i="2" a="1"/>
  <c r="T1019" i="2" s="1"/>
  <c r="S1018" i="2" a="1"/>
  <c r="R1018" i="2" a="1"/>
  <c r="Q1018" i="2" a="1"/>
  <c r="T1018" i="2" s="1"/>
  <c r="S1017" i="2" a="1"/>
  <c r="R1017" i="2" a="1"/>
  <c r="Q1017" i="2" a="1"/>
  <c r="T1017" i="2" s="1"/>
  <c r="S1016" i="2" a="1"/>
  <c r="R1016" i="2" a="1"/>
  <c r="Q1016" i="2" a="1"/>
  <c r="T1016" i="2" s="1"/>
  <c r="S1015" i="2" a="1"/>
  <c r="R1015" i="2" a="1"/>
  <c r="Q1015" i="2" a="1"/>
  <c r="T1015" i="2" s="1"/>
  <c r="S1014" i="2" a="1"/>
  <c r="R1014" i="2" a="1"/>
  <c r="Q1014" i="2" a="1"/>
  <c r="T1014" i="2" s="1"/>
  <c r="S1013" i="2" a="1"/>
  <c r="R1013" i="2" a="1"/>
  <c r="Q1013" i="2" a="1"/>
  <c r="T1013" i="2" s="1"/>
  <c r="S1012" i="2" a="1"/>
  <c r="R1012" i="2" a="1"/>
  <c r="Q1012" i="2" a="1"/>
  <c r="T1012" i="2" s="1"/>
  <c r="S1011" i="2" a="1"/>
  <c r="R1011" i="2" a="1"/>
  <c r="Q1011" i="2" a="1"/>
  <c r="T1011" i="2" s="1"/>
  <c r="S1010" i="2" a="1"/>
  <c r="R1010" i="2" a="1"/>
  <c r="Q1010" i="2" a="1"/>
  <c r="T1010" i="2" s="1"/>
  <c r="S1009" i="2" a="1"/>
  <c r="R1009" i="2" a="1"/>
  <c r="Q1009" i="2" a="1"/>
  <c r="T1009" i="2" s="1"/>
  <c r="S1008" i="2" a="1"/>
  <c r="R1008" i="2" a="1"/>
  <c r="Q1008" i="2" a="1"/>
  <c r="T1008" i="2" s="1"/>
  <c r="S1007" i="2" a="1"/>
  <c r="R1007" i="2" a="1"/>
  <c r="Q1007" i="2" a="1"/>
  <c r="T1007" i="2" s="1"/>
  <c r="S1006" i="2" a="1"/>
  <c r="R1006" i="2" a="1"/>
  <c r="Q1006" i="2" a="1"/>
  <c r="T1006" i="2" s="1"/>
  <c r="S1005" i="2" a="1"/>
  <c r="R1005" i="2" a="1"/>
  <c r="Q1005" i="2" a="1"/>
  <c r="S1004" i="2" a="1"/>
  <c r="R1004" i="2" a="1"/>
  <c r="Q1004" i="2" a="1"/>
  <c r="S1003" i="2" a="1"/>
  <c r="R1003" i="2" a="1"/>
  <c r="Q1003" i="2" a="1"/>
  <c r="S1002" i="2" a="1"/>
  <c r="R1002" i="2" a="1"/>
  <c r="Q1002" i="2" a="1"/>
  <c r="S1001" i="2" a="1"/>
  <c r="R1001" i="2" a="1"/>
  <c r="Q1001" i="2" a="1"/>
  <c r="S1000" i="2" a="1"/>
  <c r="R1000" i="2" a="1"/>
  <c r="Q1000" i="2" a="1"/>
  <c r="T1000" i="2" s="1"/>
  <c r="S999" i="2" a="1"/>
  <c r="R999" i="2" a="1"/>
  <c r="Q999" i="2" a="1"/>
  <c r="T999" i="2" s="1"/>
  <c r="S998" i="2" a="1"/>
  <c r="R998" i="2" a="1"/>
  <c r="Q998" i="2" a="1"/>
  <c r="T998" i="2" s="1"/>
  <c r="S997" i="2" a="1"/>
  <c r="R997" i="2" a="1"/>
  <c r="Q997" i="2" a="1"/>
  <c r="T997" i="2" s="1"/>
  <c r="S996" i="2" a="1"/>
  <c r="R996" i="2" a="1"/>
  <c r="Q996" i="2" a="1"/>
  <c r="T996" i="2" s="1"/>
  <c r="S995" i="2" a="1"/>
  <c r="R995" i="2" a="1"/>
  <c r="Q995" i="2" a="1"/>
  <c r="T995" i="2" s="1"/>
  <c r="S994" i="2" a="1"/>
  <c r="R994" i="2" a="1"/>
  <c r="Q994" i="2" a="1"/>
  <c r="T994" i="2" s="1"/>
  <c r="S993" i="2" a="1"/>
  <c r="R993" i="2" a="1"/>
  <c r="Q993" i="2" a="1"/>
  <c r="T993" i="2" s="1"/>
  <c r="S992" i="2" a="1"/>
  <c r="R992" i="2" a="1"/>
  <c r="Q992" i="2" a="1"/>
  <c r="T992" i="2" s="1"/>
  <c r="S991" i="2" a="1"/>
  <c r="R991" i="2" a="1"/>
  <c r="Q991" i="2" a="1"/>
  <c r="T991" i="2" s="1"/>
  <c r="S990" i="2" a="1"/>
  <c r="R990" i="2" a="1"/>
  <c r="Q990" i="2" a="1"/>
  <c r="T990" i="2" s="1"/>
  <c r="S989" i="2" a="1"/>
  <c r="R989" i="2" a="1"/>
  <c r="Q989" i="2" a="1"/>
  <c r="T989" i="2" s="1"/>
  <c r="S988" i="2" a="1"/>
  <c r="R988" i="2" a="1"/>
  <c r="Q988" i="2" a="1"/>
  <c r="T988" i="2" s="1"/>
  <c r="S987" i="2" a="1"/>
  <c r="R987" i="2" a="1"/>
  <c r="Q987" i="2" a="1"/>
  <c r="T987" i="2" s="1"/>
  <c r="S986" i="2" a="1"/>
  <c r="R986" i="2" a="1"/>
  <c r="Q986" i="2" a="1"/>
  <c r="T986" i="2" s="1"/>
  <c r="S985" i="2" a="1"/>
  <c r="R985" i="2" a="1"/>
  <c r="Q985" i="2" a="1"/>
  <c r="T985" i="2" s="1"/>
  <c r="S984" i="2" a="1"/>
  <c r="R984" i="2" a="1"/>
  <c r="Q984" i="2" a="1"/>
  <c r="T984" i="2" s="1"/>
  <c r="S983" i="2" a="1"/>
  <c r="R983" i="2" a="1"/>
  <c r="Q983" i="2" a="1"/>
  <c r="T983" i="2" s="1"/>
  <c r="S982" i="2" a="1"/>
  <c r="R982" i="2" a="1"/>
  <c r="Q982" i="2" a="1"/>
  <c r="T982" i="2" s="1"/>
  <c r="S981" i="2" a="1"/>
  <c r="R981" i="2" a="1"/>
  <c r="Q981" i="2" a="1"/>
  <c r="T981" i="2" s="1"/>
  <c r="S980" i="2" a="1"/>
  <c r="R980" i="2" a="1"/>
  <c r="Q980" i="2" a="1"/>
  <c r="T980" i="2" s="1"/>
  <c r="S979" i="2" a="1"/>
  <c r="R979" i="2" a="1"/>
  <c r="Q979" i="2" a="1"/>
  <c r="T979" i="2" s="1"/>
  <c r="S978" i="2" a="1"/>
  <c r="R978" i="2" a="1"/>
  <c r="Q978" i="2" a="1"/>
  <c r="T978" i="2" s="1"/>
  <c r="S977" i="2" a="1"/>
  <c r="R977" i="2" a="1"/>
  <c r="Q977" i="2" a="1"/>
  <c r="T977" i="2" s="1"/>
  <c r="S976" i="2" a="1"/>
  <c r="R976" i="2" a="1"/>
  <c r="Q976" i="2" a="1"/>
  <c r="T976" i="2" s="1"/>
  <c r="S975" i="2" a="1"/>
  <c r="R975" i="2" a="1"/>
  <c r="Q975" i="2" a="1"/>
  <c r="T975" i="2" s="1"/>
  <c r="S974" i="2" a="1"/>
  <c r="R974" i="2" a="1"/>
  <c r="Q974" i="2" a="1"/>
  <c r="T974" i="2" s="1"/>
  <c r="S973" i="2" a="1"/>
  <c r="R973" i="2" a="1"/>
  <c r="Q973" i="2" a="1"/>
  <c r="T973" i="2" s="1"/>
  <c r="S972" i="2" a="1"/>
  <c r="R972" i="2" a="1"/>
  <c r="Q972" i="2" a="1"/>
  <c r="T972" i="2" s="1"/>
  <c r="S971" i="2" a="1"/>
  <c r="R971" i="2" a="1"/>
  <c r="Q971" i="2" a="1"/>
  <c r="T971" i="2" s="1"/>
  <c r="S970" i="2" a="1"/>
  <c r="R970" i="2" a="1"/>
  <c r="Q970" i="2" a="1"/>
  <c r="T970" i="2" s="1"/>
  <c r="S969" i="2" a="1"/>
  <c r="R969" i="2" a="1"/>
  <c r="Q969" i="2" a="1"/>
  <c r="T969" i="2" s="1"/>
  <c r="S968" i="2" a="1"/>
  <c r="R968" i="2" a="1"/>
  <c r="Q968" i="2" a="1"/>
  <c r="T968" i="2" s="1"/>
  <c r="S967" i="2" a="1"/>
  <c r="R967" i="2" a="1"/>
  <c r="Q967" i="2" a="1"/>
  <c r="T967" i="2" s="1"/>
  <c r="S966" i="2" a="1"/>
  <c r="R966" i="2" a="1"/>
  <c r="Q966" i="2" a="1"/>
  <c r="T966" i="2" s="1"/>
  <c r="S965" i="2" a="1"/>
  <c r="R965" i="2" a="1"/>
  <c r="Q965" i="2" a="1"/>
  <c r="T965" i="2" s="1"/>
  <c r="S964" i="2" a="1"/>
  <c r="R964" i="2" a="1"/>
  <c r="Q964" i="2" a="1"/>
  <c r="T964" i="2" s="1"/>
  <c r="S963" i="2" a="1"/>
  <c r="R963" i="2" a="1"/>
  <c r="Q963" i="2" a="1"/>
  <c r="T963" i="2" s="1"/>
  <c r="S962" i="2" a="1"/>
  <c r="R962" i="2" a="1"/>
  <c r="Q962" i="2" a="1"/>
  <c r="T962" i="2" s="1"/>
  <c r="S961" i="2" a="1"/>
  <c r="R961" i="2" a="1"/>
  <c r="Q961" i="2" a="1"/>
  <c r="T961" i="2" s="1"/>
  <c r="S960" i="2" a="1"/>
  <c r="R960" i="2" a="1"/>
  <c r="Q960" i="2" a="1"/>
  <c r="T960" i="2" s="1"/>
  <c r="S959" i="2" a="1"/>
  <c r="R959" i="2" a="1"/>
  <c r="Q959" i="2" a="1"/>
  <c r="T959" i="2" s="1"/>
  <c r="S958" i="2" a="1"/>
  <c r="R958" i="2" a="1"/>
  <c r="Q958" i="2" a="1"/>
  <c r="T958" i="2" s="1"/>
  <c r="S957" i="2" a="1"/>
  <c r="R957" i="2" a="1"/>
  <c r="Q957" i="2" a="1"/>
  <c r="T957" i="2" s="1"/>
  <c r="S956" i="2" a="1"/>
  <c r="R956" i="2" a="1"/>
  <c r="Q956" i="2" a="1"/>
  <c r="T956" i="2" s="1"/>
  <c r="S955" i="2" a="1"/>
  <c r="R955" i="2" a="1"/>
  <c r="Q955" i="2" a="1"/>
  <c r="T955" i="2" s="1"/>
  <c r="S954" i="2" a="1"/>
  <c r="R954" i="2" a="1"/>
  <c r="Q954" i="2" a="1"/>
  <c r="T954" i="2" s="1"/>
  <c r="S953" i="2" a="1"/>
  <c r="R953" i="2" a="1"/>
  <c r="Q953" i="2" a="1"/>
  <c r="T953" i="2" s="1"/>
  <c r="S952" i="2" a="1"/>
  <c r="R952" i="2" a="1"/>
  <c r="Q952" i="2" a="1"/>
  <c r="T952" i="2" s="1"/>
  <c r="S951" i="2" a="1"/>
  <c r="R951" i="2" a="1"/>
  <c r="Q951" i="2" a="1"/>
  <c r="T951" i="2" s="1"/>
  <c r="S950" i="2" a="1"/>
  <c r="R950" i="2" a="1"/>
  <c r="Q950" i="2" a="1"/>
  <c r="T950" i="2" s="1"/>
  <c r="S949" i="2" a="1"/>
  <c r="R949" i="2" a="1"/>
  <c r="Q949" i="2" a="1"/>
  <c r="T949" i="2" s="1"/>
  <c r="S948" i="2" a="1"/>
  <c r="R948" i="2" a="1"/>
  <c r="Q948" i="2" a="1"/>
  <c r="T948" i="2" s="1"/>
  <c r="S947" i="2" a="1"/>
  <c r="R947" i="2" a="1"/>
  <c r="Q947" i="2" a="1"/>
  <c r="T947" i="2" s="1"/>
  <c r="S946" i="2" a="1"/>
  <c r="R946" i="2" a="1"/>
  <c r="Q946" i="2" a="1"/>
  <c r="T946" i="2" s="1"/>
  <c r="S945" i="2" a="1"/>
  <c r="R945" i="2" a="1"/>
  <c r="Q945" i="2" a="1"/>
  <c r="T945" i="2" s="1"/>
  <c r="S944" i="2" a="1"/>
  <c r="R944" i="2" a="1"/>
  <c r="Q944" i="2" a="1"/>
  <c r="T944" i="2" s="1"/>
  <c r="S943" i="2" a="1"/>
  <c r="R943" i="2" a="1"/>
  <c r="Q943" i="2" a="1"/>
  <c r="T943" i="2" s="1"/>
  <c r="S942" i="2" a="1"/>
  <c r="R942" i="2" a="1"/>
  <c r="Q942" i="2" a="1"/>
  <c r="T942" i="2" s="1"/>
  <c r="S941" i="2" a="1"/>
  <c r="R941" i="2" a="1"/>
  <c r="Q941" i="2" a="1"/>
  <c r="T941" i="2" s="1"/>
  <c r="S940" i="2" a="1"/>
  <c r="R940" i="2" a="1"/>
  <c r="Q940" i="2" a="1"/>
  <c r="T940" i="2" s="1"/>
  <c r="S939" i="2" a="1"/>
  <c r="R939" i="2" a="1"/>
  <c r="Q939" i="2" a="1"/>
  <c r="T939" i="2" s="1"/>
  <c r="S938" i="2" a="1"/>
  <c r="R938" i="2" a="1"/>
  <c r="Q938" i="2" a="1"/>
  <c r="T938" i="2" s="1"/>
  <c r="S937" i="2" a="1"/>
  <c r="R937" i="2" a="1"/>
  <c r="Q937" i="2" a="1"/>
  <c r="T937" i="2" s="1"/>
  <c r="S936" i="2" a="1"/>
  <c r="R936" i="2" a="1"/>
  <c r="Q936" i="2" a="1"/>
  <c r="T936" i="2" s="1"/>
  <c r="S935" i="2" a="1"/>
  <c r="R935" i="2" a="1"/>
  <c r="Q935" i="2" a="1"/>
  <c r="T935" i="2" s="1"/>
  <c r="S934" i="2" a="1"/>
  <c r="R934" i="2" a="1"/>
  <c r="Q934" i="2" a="1"/>
  <c r="T934" i="2" s="1"/>
  <c r="S933" i="2" a="1"/>
  <c r="R933" i="2" a="1"/>
  <c r="Q933" i="2" a="1"/>
  <c r="T933" i="2" s="1"/>
  <c r="S932" i="2" a="1"/>
  <c r="R932" i="2" a="1"/>
  <c r="Q932" i="2" a="1"/>
  <c r="T932" i="2" s="1"/>
  <c r="S931" i="2" a="1"/>
  <c r="R931" i="2" a="1"/>
  <c r="Q931" i="2" a="1"/>
  <c r="T931" i="2" s="1"/>
  <c r="S930" i="2" a="1"/>
  <c r="R930" i="2" a="1"/>
  <c r="Q930" i="2" a="1"/>
  <c r="T930" i="2" s="1"/>
  <c r="S929" i="2" a="1"/>
  <c r="R929" i="2" a="1"/>
  <c r="Q929" i="2" a="1"/>
  <c r="T929" i="2" s="1"/>
  <c r="S928" i="2" a="1"/>
  <c r="R928" i="2" a="1"/>
  <c r="Q928" i="2" a="1"/>
  <c r="T928" i="2" s="1"/>
  <c r="S927" i="2" a="1"/>
  <c r="R927" i="2" a="1"/>
  <c r="Q927" i="2" a="1"/>
  <c r="T927" i="2" s="1"/>
  <c r="S926" i="2" a="1"/>
  <c r="R926" i="2" a="1"/>
  <c r="Q926" i="2" a="1"/>
  <c r="T926" i="2" s="1"/>
  <c r="S925" i="2" a="1"/>
  <c r="R925" i="2" a="1"/>
  <c r="Q925" i="2" a="1"/>
  <c r="T925" i="2" s="1"/>
  <c r="S924" i="2" a="1"/>
  <c r="R924" i="2" a="1"/>
  <c r="Q924" i="2" a="1"/>
  <c r="T924" i="2" s="1"/>
  <c r="S923" i="2" a="1"/>
  <c r="R923" i="2" a="1"/>
  <c r="Q923" i="2" a="1"/>
  <c r="T923" i="2" s="1"/>
  <c r="S922" i="2" a="1"/>
  <c r="R922" i="2" a="1"/>
  <c r="Q922" i="2" a="1"/>
  <c r="T922" i="2" s="1"/>
  <c r="S921" i="2" a="1"/>
  <c r="R921" i="2" a="1"/>
  <c r="Q921" i="2" a="1"/>
  <c r="T921" i="2" s="1"/>
  <c r="S920" i="2" a="1"/>
  <c r="R920" i="2" a="1"/>
  <c r="Q920" i="2" a="1"/>
  <c r="T920" i="2" s="1"/>
  <c r="S919" i="2" a="1"/>
  <c r="R919" i="2" a="1"/>
  <c r="Q919" i="2" a="1"/>
  <c r="T919" i="2" s="1"/>
  <c r="S918" i="2" a="1"/>
  <c r="R918" i="2" a="1"/>
  <c r="Q918" i="2" a="1"/>
  <c r="T918" i="2" s="1"/>
  <c r="S917" i="2" a="1"/>
  <c r="R917" i="2" a="1"/>
  <c r="Q917" i="2" a="1"/>
  <c r="T917" i="2" s="1"/>
  <c r="S916" i="2" a="1"/>
  <c r="R916" i="2" a="1"/>
  <c r="Q916" i="2" a="1"/>
  <c r="T916" i="2" s="1"/>
  <c r="S915" i="2" a="1"/>
  <c r="R915" i="2" a="1"/>
  <c r="Q915" i="2" a="1"/>
  <c r="T915" i="2" s="1"/>
  <c r="S914" i="2" a="1"/>
  <c r="R914" i="2" a="1"/>
  <c r="Q914" i="2" a="1"/>
  <c r="T914" i="2" s="1"/>
  <c r="S913" i="2" a="1"/>
  <c r="R913" i="2" a="1"/>
  <c r="Q913" i="2" a="1"/>
  <c r="T913" i="2" s="1"/>
  <c r="S912" i="2" a="1"/>
  <c r="R912" i="2" a="1"/>
  <c r="Q912" i="2" a="1"/>
  <c r="S911" i="2" a="1"/>
  <c r="R911" i="2" a="1"/>
  <c r="Q911" i="2" a="1"/>
  <c r="T911" i="2" s="1"/>
  <c r="S910" i="2" a="1"/>
  <c r="R910" i="2" a="1"/>
  <c r="Q910" i="2" a="1"/>
  <c r="T910" i="2" s="1"/>
  <c r="S909" i="2" a="1"/>
  <c r="R909" i="2" a="1"/>
  <c r="Q909" i="2" a="1"/>
  <c r="T909" i="2" s="1"/>
  <c r="S908" i="2" a="1"/>
  <c r="R908" i="2" a="1"/>
  <c r="Q908" i="2" a="1"/>
  <c r="T908" i="2" s="1"/>
  <c r="S907" i="2" a="1"/>
  <c r="R907" i="2" a="1"/>
  <c r="Q907" i="2" a="1"/>
  <c r="T907" i="2" s="1"/>
  <c r="S906" i="2" a="1"/>
  <c r="R906" i="2" a="1"/>
  <c r="Q906" i="2" a="1"/>
  <c r="T906" i="2" s="1"/>
  <c r="S905" i="2" a="1"/>
  <c r="R905" i="2" a="1"/>
  <c r="Q905" i="2" a="1"/>
  <c r="T905" i="2" s="1"/>
  <c r="S904" i="2" a="1"/>
  <c r="R904" i="2" a="1"/>
  <c r="Q904" i="2" a="1"/>
  <c r="T904" i="2" s="1"/>
  <c r="S903" i="2" a="1"/>
  <c r="R903" i="2" a="1"/>
  <c r="Q903" i="2" a="1"/>
  <c r="T903" i="2" s="1"/>
  <c r="S902" i="2" a="1"/>
  <c r="R902" i="2" a="1"/>
  <c r="Q902" i="2" a="1"/>
  <c r="T902" i="2" s="1"/>
  <c r="S901" i="2" a="1"/>
  <c r="R901" i="2" a="1"/>
  <c r="Q901" i="2" a="1"/>
  <c r="T901" i="2" s="1"/>
  <c r="S900" i="2" a="1"/>
  <c r="R900" i="2" a="1"/>
  <c r="Q900" i="2" a="1"/>
  <c r="T900" i="2" s="1"/>
  <c r="S899" i="2" a="1"/>
  <c r="R899" i="2" a="1"/>
  <c r="Q899" i="2" a="1"/>
  <c r="T899" i="2" s="1"/>
  <c r="S898" i="2" a="1"/>
  <c r="R898" i="2" a="1"/>
  <c r="Q898" i="2" a="1"/>
  <c r="T898" i="2" s="1"/>
  <c r="S897" i="2" a="1"/>
  <c r="R897" i="2" a="1"/>
  <c r="Q897" i="2" a="1"/>
  <c r="T897" i="2" s="1"/>
  <c r="S896" i="2" a="1"/>
  <c r="R896" i="2" a="1"/>
  <c r="Q896" i="2" a="1"/>
  <c r="T896" i="2" s="1"/>
  <c r="S895" i="2" a="1"/>
  <c r="R895" i="2" a="1"/>
  <c r="Q895" i="2" a="1"/>
  <c r="T895" i="2" s="1"/>
  <c r="S894" i="2" a="1"/>
  <c r="R894" i="2" a="1"/>
  <c r="Q894" i="2" a="1"/>
  <c r="T894" i="2" s="1"/>
  <c r="S893" i="2" a="1"/>
  <c r="R893" i="2" a="1"/>
  <c r="Q893" i="2" a="1"/>
  <c r="T893" i="2" s="1"/>
  <c r="S892" i="2" a="1"/>
  <c r="R892" i="2" a="1"/>
  <c r="Q892" i="2" a="1"/>
  <c r="T892" i="2" s="1"/>
  <c r="S891" i="2" a="1"/>
  <c r="R891" i="2" a="1"/>
  <c r="Q891" i="2" a="1"/>
  <c r="S890" i="2" a="1"/>
  <c r="R890" i="2" a="1"/>
  <c r="Q890" i="2" a="1"/>
  <c r="T890" i="2" s="1"/>
  <c r="S889" i="2" a="1"/>
  <c r="R889" i="2" a="1"/>
  <c r="Q889" i="2" a="1"/>
  <c r="S888" i="2" a="1"/>
  <c r="R888" i="2" a="1"/>
  <c r="Q888" i="2" a="1"/>
  <c r="S887" i="2" a="1"/>
  <c r="R887" i="2" a="1"/>
  <c r="Q887" i="2" a="1"/>
  <c r="T887" i="2" s="1"/>
  <c r="S886" i="2" a="1"/>
  <c r="R886" i="2" a="1"/>
  <c r="Q886" i="2" a="1"/>
  <c r="T886" i="2" s="1"/>
  <c r="S885" i="2" a="1"/>
  <c r="R885" i="2" a="1"/>
  <c r="Q885" i="2" a="1"/>
  <c r="S884" i="2" a="1"/>
  <c r="R884" i="2" a="1"/>
  <c r="Q884" i="2" a="1"/>
  <c r="S883" i="2" a="1"/>
  <c r="R883" i="2" a="1"/>
  <c r="Q883" i="2" a="1"/>
  <c r="T883" i="2" s="1"/>
  <c r="S882" i="2" a="1"/>
  <c r="R882" i="2" a="1"/>
  <c r="Q882" i="2" a="1"/>
  <c r="S881" i="2" a="1"/>
  <c r="R881" i="2" a="1"/>
  <c r="Q881" i="2" a="1"/>
  <c r="S880" i="2" a="1"/>
  <c r="R880" i="2" a="1"/>
  <c r="Q880" i="2" a="1"/>
  <c r="T880" i="2" s="1"/>
  <c r="S879" i="2" a="1"/>
  <c r="R879" i="2" a="1"/>
  <c r="Q879" i="2" a="1"/>
  <c r="S878" i="2" a="1"/>
  <c r="R878" i="2" a="1"/>
  <c r="Q878" i="2" a="1"/>
  <c r="S877" i="2" a="1"/>
  <c r="R877" i="2" a="1"/>
  <c r="Q877" i="2" a="1"/>
  <c r="T877" i="2" s="1"/>
  <c r="S876" i="2" a="1"/>
  <c r="R876" i="2" a="1"/>
  <c r="Q876" i="2" a="1"/>
  <c r="S875" i="2" a="1"/>
  <c r="R875" i="2" a="1"/>
  <c r="Q875" i="2" a="1"/>
  <c r="S874" i="2" a="1"/>
  <c r="R874" i="2" a="1"/>
  <c r="Q874" i="2" a="1"/>
  <c r="T874" i="2" s="1"/>
  <c r="S873" i="2" a="1"/>
  <c r="R873" i="2" a="1"/>
  <c r="Q873" i="2" a="1"/>
  <c r="S872" i="2" a="1"/>
  <c r="R872" i="2" a="1"/>
  <c r="Q872" i="2" a="1"/>
  <c r="S871" i="2" a="1"/>
  <c r="R871" i="2" a="1"/>
  <c r="Q871" i="2" a="1"/>
  <c r="T871" i="2" s="1"/>
  <c r="S870" i="2" a="1"/>
  <c r="R870" i="2" a="1"/>
  <c r="Q870" i="2" a="1"/>
  <c r="S869" i="2" a="1"/>
  <c r="R869" i="2" a="1"/>
  <c r="Q869" i="2" a="1"/>
  <c r="S868" i="2" a="1"/>
  <c r="R868" i="2" a="1"/>
  <c r="Q868" i="2" a="1"/>
  <c r="T868" i="2" s="1"/>
  <c r="S867" i="2" a="1"/>
  <c r="R867" i="2" a="1"/>
  <c r="Q867" i="2" a="1"/>
  <c r="S866" i="2" a="1"/>
  <c r="R866" i="2" a="1"/>
  <c r="Q866" i="2" a="1"/>
  <c r="S865" i="2" a="1"/>
  <c r="R865" i="2" a="1"/>
  <c r="Q865" i="2" a="1"/>
  <c r="T865" i="2" s="1"/>
  <c r="S864" i="2" a="1"/>
  <c r="R864" i="2" a="1"/>
  <c r="Q864" i="2" a="1"/>
  <c r="S863" i="2" a="1"/>
  <c r="R863" i="2" a="1"/>
  <c r="Q863" i="2" a="1"/>
  <c r="S862" i="2" a="1"/>
  <c r="R862" i="2" a="1"/>
  <c r="Q862" i="2" a="1"/>
  <c r="S861" i="2" a="1"/>
  <c r="R861" i="2" a="1"/>
  <c r="Q861" i="2" a="1"/>
  <c r="S860" i="2" a="1"/>
  <c r="R860" i="2" a="1"/>
  <c r="Q860" i="2" a="1"/>
  <c r="S859" i="2" a="1"/>
  <c r="R859" i="2" a="1"/>
  <c r="Q859" i="2" a="1"/>
  <c r="T859" i="2" s="1"/>
  <c r="S858" i="2" a="1"/>
  <c r="R858" i="2" a="1"/>
  <c r="Q858" i="2" a="1"/>
  <c r="T858" i="2" s="1"/>
  <c r="S857" i="2" a="1"/>
  <c r="R857" i="2" a="1"/>
  <c r="Q857" i="2" a="1"/>
  <c r="S856" i="2" a="1"/>
  <c r="R856" i="2" a="1"/>
  <c r="Q856" i="2" a="1"/>
  <c r="S855" i="2" a="1"/>
  <c r="R855" i="2" a="1"/>
  <c r="Q855" i="2" a="1"/>
  <c r="S854" i="2" a="1"/>
  <c r="R854" i="2" a="1"/>
  <c r="Q854" i="2" a="1"/>
  <c r="S853" i="2" a="1"/>
  <c r="R853" i="2" a="1"/>
  <c r="Q853" i="2" a="1"/>
  <c r="S852" i="2" a="1"/>
  <c r="R852" i="2" a="1"/>
  <c r="Q852" i="2" a="1"/>
  <c r="T852" i="2" s="1"/>
  <c r="S851" i="2" a="1"/>
  <c r="R851" i="2" a="1"/>
  <c r="Q851" i="2" a="1"/>
  <c r="S850" i="2" a="1"/>
  <c r="R850" i="2" a="1"/>
  <c r="Q850" i="2" a="1"/>
  <c r="S849" i="2" a="1"/>
  <c r="R849" i="2" a="1"/>
  <c r="Q849" i="2" a="1"/>
  <c r="T849" i="2" s="1"/>
  <c r="S848" i="2" a="1"/>
  <c r="R848" i="2" a="1"/>
  <c r="Q848" i="2" a="1"/>
  <c r="S847" i="2" a="1"/>
  <c r="R847" i="2" a="1"/>
  <c r="Q847" i="2" a="1"/>
  <c r="S846" i="2" a="1"/>
  <c r="R846" i="2" a="1"/>
  <c r="Q846" i="2" a="1"/>
  <c r="S845" i="2" a="1"/>
  <c r="R845" i="2" a="1"/>
  <c r="Q845" i="2" a="1"/>
  <c r="S844" i="2" a="1"/>
  <c r="R844" i="2" a="1"/>
  <c r="Q844" i="2" a="1"/>
  <c r="S843" i="2" a="1"/>
  <c r="R843" i="2" a="1"/>
  <c r="Q843" i="2" a="1"/>
  <c r="S842" i="2" a="1"/>
  <c r="R842" i="2" a="1"/>
  <c r="Q842" i="2" a="1"/>
  <c r="S841" i="2" a="1"/>
  <c r="R841" i="2" a="1"/>
  <c r="Q841" i="2" a="1"/>
  <c r="S840" i="2" a="1"/>
  <c r="R840" i="2" a="1"/>
  <c r="Q840" i="2" a="1"/>
  <c r="S839" i="2" a="1"/>
  <c r="R839" i="2" a="1"/>
  <c r="Q839" i="2" a="1"/>
  <c r="S838" i="2" a="1"/>
  <c r="R838" i="2" a="1"/>
  <c r="Q838" i="2" a="1"/>
  <c r="S837" i="2" a="1"/>
  <c r="R837" i="2" a="1"/>
  <c r="Q837" i="2" a="1"/>
  <c r="S836" i="2" a="1"/>
  <c r="R836" i="2" a="1"/>
  <c r="Q836" i="2" a="1"/>
  <c r="S835" i="2" a="1"/>
  <c r="R835" i="2" a="1"/>
  <c r="Q835" i="2" a="1"/>
  <c r="S834" i="2" a="1"/>
  <c r="R834" i="2" a="1"/>
  <c r="Q834" i="2" a="1"/>
  <c r="S833" i="2" a="1"/>
  <c r="R833" i="2" a="1"/>
  <c r="Q833" i="2" a="1"/>
  <c r="S832" i="2" a="1"/>
  <c r="R832" i="2" a="1"/>
  <c r="Q832" i="2" a="1"/>
  <c r="S831" i="2" a="1"/>
  <c r="R831" i="2" a="1"/>
  <c r="Q831" i="2" a="1"/>
  <c r="S830" i="2" a="1"/>
  <c r="R830" i="2" a="1"/>
  <c r="Q830" i="2" a="1"/>
  <c r="S829" i="2" a="1"/>
  <c r="R829" i="2" a="1"/>
  <c r="Q829" i="2" a="1"/>
  <c r="S828" i="2" a="1"/>
  <c r="R828" i="2" a="1"/>
  <c r="Q828" i="2" a="1"/>
  <c r="S827" i="2" a="1"/>
  <c r="R827" i="2" a="1"/>
  <c r="Q827" i="2" a="1"/>
  <c r="S826" i="2" a="1"/>
  <c r="R826" i="2" a="1"/>
  <c r="Q826" i="2" a="1"/>
  <c r="S825" i="2" a="1"/>
  <c r="R825" i="2" a="1"/>
  <c r="Q825" i="2" a="1"/>
  <c r="S824" i="2" a="1"/>
  <c r="R824" i="2" a="1"/>
  <c r="Q824" i="2" a="1"/>
  <c r="S823" i="2" a="1"/>
  <c r="R823" i="2" a="1"/>
  <c r="Q823" i="2" a="1"/>
  <c r="S822" i="2" a="1"/>
  <c r="R822" i="2" a="1"/>
  <c r="Q822" i="2" a="1"/>
  <c r="S821" i="2" a="1"/>
  <c r="R821" i="2" a="1"/>
  <c r="Q821" i="2" a="1"/>
  <c r="S820" i="2" a="1"/>
  <c r="R820" i="2" a="1"/>
  <c r="Q820" i="2" a="1"/>
  <c r="S819" i="2" a="1"/>
  <c r="R819" i="2" a="1"/>
  <c r="Q819" i="2" a="1"/>
  <c r="S818" i="2" a="1"/>
  <c r="R818" i="2" a="1"/>
  <c r="Q818" i="2" a="1"/>
  <c r="S817" i="2" a="1"/>
  <c r="R817" i="2" a="1"/>
  <c r="Q817" i="2" a="1"/>
  <c r="S816" i="2" a="1"/>
  <c r="R816" i="2" a="1"/>
  <c r="Q816" i="2" a="1"/>
  <c r="S815" i="2" a="1"/>
  <c r="R815" i="2" a="1"/>
  <c r="Q815" i="2" a="1"/>
  <c r="S814" i="2" a="1"/>
  <c r="R814" i="2" a="1"/>
  <c r="Q814" i="2" a="1"/>
  <c r="S813" i="2" a="1"/>
  <c r="R813" i="2" a="1"/>
  <c r="Q813" i="2" a="1"/>
  <c r="S812" i="2" a="1"/>
  <c r="R812" i="2" a="1"/>
  <c r="Q812" i="2" a="1"/>
  <c r="S811" i="2" a="1"/>
  <c r="R811" i="2" a="1"/>
  <c r="Q811" i="2" a="1"/>
  <c r="S810" i="2" a="1"/>
  <c r="R810" i="2" a="1"/>
  <c r="Q810" i="2" a="1"/>
  <c r="S809" i="2" a="1"/>
  <c r="R809" i="2" a="1"/>
  <c r="Q809" i="2" a="1"/>
  <c r="S808" i="2" a="1"/>
  <c r="R808" i="2" a="1"/>
  <c r="Q808" i="2" a="1"/>
  <c r="S807" i="2" a="1"/>
  <c r="R807" i="2" a="1"/>
  <c r="Q807" i="2" a="1"/>
  <c r="S806" i="2" a="1"/>
  <c r="R806" i="2" a="1"/>
  <c r="Q806" i="2" a="1"/>
  <c r="S805" i="2" a="1"/>
  <c r="R805" i="2" a="1"/>
  <c r="Q805" i="2" a="1"/>
  <c r="S804" i="2" a="1"/>
  <c r="R804" i="2" a="1"/>
  <c r="Q804" i="2" a="1"/>
  <c r="S803" i="2" a="1"/>
  <c r="R803" i="2" a="1"/>
  <c r="Q803" i="2" a="1"/>
  <c r="S802" i="2" a="1"/>
  <c r="R802" i="2" a="1"/>
  <c r="Q802" i="2" a="1"/>
  <c r="S801" i="2" a="1"/>
  <c r="R801" i="2" a="1"/>
  <c r="Q801" i="2" a="1"/>
  <c r="S800" i="2" a="1"/>
  <c r="R800" i="2" a="1"/>
  <c r="Q800" i="2" a="1"/>
  <c r="S799" i="2" a="1"/>
  <c r="R799" i="2" a="1"/>
  <c r="Q799" i="2" a="1"/>
  <c r="S798" i="2" a="1"/>
  <c r="R798" i="2" a="1"/>
  <c r="Q798" i="2" a="1"/>
  <c r="S797" i="2" a="1"/>
  <c r="R797" i="2" a="1"/>
  <c r="Q797" i="2" a="1"/>
  <c r="S796" i="2" a="1"/>
  <c r="R796" i="2" a="1"/>
  <c r="Q796" i="2" a="1"/>
  <c r="S795" i="2" a="1"/>
  <c r="R795" i="2" a="1"/>
  <c r="Q795" i="2" a="1"/>
  <c r="S794" i="2" a="1"/>
  <c r="R794" i="2" a="1"/>
  <c r="Q794" i="2" a="1"/>
  <c r="S793" i="2" a="1"/>
  <c r="R793" i="2" a="1"/>
  <c r="Q793" i="2" a="1"/>
  <c r="S792" i="2" a="1"/>
  <c r="R792" i="2" a="1"/>
  <c r="Q792" i="2" a="1"/>
  <c r="S791" i="2" a="1"/>
  <c r="R791" i="2" a="1"/>
  <c r="Q791" i="2" a="1"/>
  <c r="S790" i="2" a="1"/>
  <c r="R790" i="2" a="1"/>
  <c r="Q790" i="2" a="1"/>
  <c r="S789" i="2" a="1"/>
  <c r="R789" i="2" a="1"/>
  <c r="Q789" i="2" a="1"/>
  <c r="S788" i="2" a="1"/>
  <c r="R788" i="2" a="1"/>
  <c r="Q788" i="2" a="1"/>
  <c r="S787" i="2" a="1"/>
  <c r="R787" i="2" a="1"/>
  <c r="Q787" i="2" a="1"/>
  <c r="S786" i="2" a="1"/>
  <c r="R786" i="2" a="1"/>
  <c r="Q786" i="2" a="1"/>
  <c r="S785" i="2" a="1"/>
  <c r="R785" i="2" a="1"/>
  <c r="Q785" i="2" a="1"/>
  <c r="S784" i="2" a="1"/>
  <c r="R784" i="2" a="1"/>
  <c r="Q784" i="2" a="1"/>
  <c r="S783" i="2" a="1"/>
  <c r="R783" i="2" a="1"/>
  <c r="Q783" i="2" a="1"/>
  <c r="S782" i="2" a="1"/>
  <c r="R782" i="2" a="1"/>
  <c r="Q782" i="2" a="1"/>
  <c r="S781" i="2" a="1"/>
  <c r="R781" i="2" a="1"/>
  <c r="Q781" i="2" a="1"/>
  <c r="S780" i="2" a="1"/>
  <c r="R780" i="2" a="1"/>
  <c r="Q780" i="2" a="1"/>
  <c r="S779" i="2" a="1"/>
  <c r="R779" i="2" a="1"/>
  <c r="Q779" i="2" a="1"/>
  <c r="S778" i="2" a="1"/>
  <c r="R778" i="2" a="1"/>
  <c r="Q778" i="2" a="1"/>
  <c r="S777" i="2" a="1"/>
  <c r="R777" i="2" a="1"/>
  <c r="Q777" i="2" a="1"/>
  <c r="S776" i="2" a="1"/>
  <c r="R776" i="2" a="1"/>
  <c r="Q776" i="2" a="1"/>
  <c r="S775" i="2" a="1"/>
  <c r="R775" i="2" a="1"/>
  <c r="Q775" i="2" a="1"/>
  <c r="S774" i="2" a="1"/>
  <c r="R774" i="2" a="1"/>
  <c r="Q774" i="2" a="1"/>
  <c r="S773" i="2" a="1"/>
  <c r="R773" i="2" a="1"/>
  <c r="Q773" i="2" a="1"/>
  <c r="S772" i="2" a="1"/>
  <c r="R772" i="2" a="1"/>
  <c r="Q772" i="2" a="1"/>
  <c r="S771" i="2" a="1"/>
  <c r="R771" i="2" a="1"/>
  <c r="Q771" i="2" a="1"/>
  <c r="S770" i="2" a="1"/>
  <c r="R770" i="2" a="1"/>
  <c r="Q770" i="2" a="1"/>
  <c r="S769" i="2" a="1"/>
  <c r="R769" i="2" a="1"/>
  <c r="Q769" i="2" a="1"/>
  <c r="S768" i="2" a="1"/>
  <c r="R768" i="2" a="1"/>
  <c r="Q768" i="2" a="1"/>
  <c r="S767" i="2" a="1"/>
  <c r="R767" i="2" a="1"/>
  <c r="Q767" i="2" a="1"/>
  <c r="S766" i="2" a="1"/>
  <c r="R766" i="2" a="1"/>
  <c r="Q766" i="2" a="1"/>
  <c r="S765" i="2" a="1"/>
  <c r="R765" i="2" a="1"/>
  <c r="Q765" i="2" a="1"/>
  <c r="S764" i="2" a="1"/>
  <c r="R764" i="2" a="1"/>
  <c r="Q764" i="2" a="1"/>
  <c r="S763" i="2" a="1"/>
  <c r="R763" i="2" a="1"/>
  <c r="Q763" i="2" a="1"/>
  <c r="S762" i="2" a="1"/>
  <c r="R762" i="2" a="1"/>
  <c r="Q762" i="2" a="1"/>
  <c r="S761" i="2" a="1"/>
  <c r="R761" i="2" a="1"/>
  <c r="Q761" i="2" a="1"/>
  <c r="S760" i="2" a="1"/>
  <c r="R760" i="2" a="1"/>
  <c r="Q760" i="2" a="1"/>
  <c r="S759" i="2" a="1"/>
  <c r="R759" i="2" a="1"/>
  <c r="Q759" i="2" a="1"/>
  <c r="S758" i="2" a="1"/>
  <c r="R758" i="2" a="1"/>
  <c r="Q758" i="2" a="1"/>
  <c r="S757" i="2" a="1"/>
  <c r="R757" i="2" a="1"/>
  <c r="Q757" i="2" a="1"/>
  <c r="S756" i="2" a="1"/>
  <c r="R756" i="2" a="1"/>
  <c r="Q756" i="2" a="1"/>
  <c r="S755" i="2" a="1"/>
  <c r="R755" i="2" a="1"/>
  <c r="Q755" i="2" a="1"/>
  <c r="S754" i="2" a="1"/>
  <c r="R754" i="2" a="1"/>
  <c r="Q754" i="2" a="1"/>
  <c r="S753" i="2" a="1"/>
  <c r="R753" i="2" a="1"/>
  <c r="Q753" i="2" a="1"/>
  <c r="S752" i="2" a="1"/>
  <c r="R752" i="2" a="1"/>
  <c r="Q752" i="2" a="1"/>
  <c r="S751" i="2" a="1"/>
  <c r="R751" i="2" a="1"/>
  <c r="Q751" i="2" a="1"/>
  <c r="S750" i="2" a="1"/>
  <c r="R750" i="2" a="1"/>
  <c r="Q750" i="2" a="1"/>
  <c r="S749" i="2" a="1"/>
  <c r="R749" i="2" a="1"/>
  <c r="Q749" i="2" a="1"/>
  <c r="S748" i="2" a="1"/>
  <c r="R748" i="2" a="1"/>
  <c r="Q748" i="2" a="1"/>
  <c r="S747" i="2" a="1"/>
  <c r="R747" i="2" a="1"/>
  <c r="Q747" i="2" a="1"/>
  <c r="S746" i="2" a="1"/>
  <c r="R746" i="2" a="1"/>
  <c r="Q746" i="2" a="1"/>
  <c r="S745" i="2" a="1"/>
  <c r="R745" i="2" a="1"/>
  <c r="Q745" i="2" a="1"/>
  <c r="S744" i="2" a="1"/>
  <c r="R744" i="2" a="1"/>
  <c r="Q744" i="2" a="1"/>
  <c r="S743" i="2" a="1"/>
  <c r="R743" i="2" a="1"/>
  <c r="Q743" i="2" a="1"/>
  <c r="S742" i="2" a="1"/>
  <c r="R742" i="2" a="1"/>
  <c r="Q742" i="2" a="1"/>
  <c r="S741" i="2" a="1"/>
  <c r="R741" i="2" a="1"/>
  <c r="Q741" i="2" a="1"/>
  <c r="S740" i="2" a="1"/>
  <c r="R740" i="2" a="1"/>
  <c r="Q740" i="2" a="1"/>
  <c r="S739" i="2" a="1"/>
  <c r="R739" i="2" a="1"/>
  <c r="Q739" i="2" a="1"/>
  <c r="S738" i="2" a="1"/>
  <c r="R738" i="2" a="1"/>
  <c r="Q738" i="2" a="1"/>
  <c r="T738" i="2" s="1"/>
  <c r="S737" i="2" a="1"/>
  <c r="R737" i="2" a="1"/>
  <c r="Q737" i="2" a="1"/>
  <c r="T737" i="2" s="1"/>
  <c r="S736" i="2" a="1"/>
  <c r="R736" i="2" a="1"/>
  <c r="Q736" i="2" a="1"/>
  <c r="T736" i="2" s="1"/>
  <c r="S735" i="2" a="1"/>
  <c r="R735" i="2" a="1"/>
  <c r="Q735" i="2" a="1"/>
  <c r="T735" i="2" s="1"/>
  <c r="S734" i="2" a="1"/>
  <c r="R734" i="2" a="1"/>
  <c r="Q734" i="2" a="1"/>
  <c r="T734" i="2" s="1"/>
  <c r="S733" i="2" a="1"/>
  <c r="R733" i="2" a="1"/>
  <c r="Q733" i="2" a="1"/>
  <c r="T733" i="2" s="1"/>
  <c r="S732" i="2" a="1"/>
  <c r="R732" i="2" a="1"/>
  <c r="Q732" i="2" a="1"/>
  <c r="T732" i="2" s="1"/>
  <c r="S731" i="2" a="1"/>
  <c r="R731" i="2" a="1"/>
  <c r="Q731" i="2" a="1"/>
  <c r="T731" i="2" s="1"/>
  <c r="S730" i="2" a="1"/>
  <c r="R730" i="2" a="1"/>
  <c r="Q730" i="2" a="1"/>
  <c r="T730" i="2" s="1"/>
  <c r="S729" i="2" a="1"/>
  <c r="R729" i="2" a="1"/>
  <c r="Q729" i="2" a="1"/>
  <c r="T729" i="2" s="1"/>
  <c r="S728" i="2" a="1"/>
  <c r="R728" i="2" a="1"/>
  <c r="Q728" i="2" a="1"/>
  <c r="T728" i="2" s="1"/>
  <c r="S727" i="2" a="1"/>
  <c r="R727" i="2" a="1"/>
  <c r="Q727" i="2" a="1"/>
  <c r="T727" i="2" s="1"/>
  <c r="S726" i="2" a="1"/>
  <c r="R726" i="2" a="1"/>
  <c r="Q726" i="2" a="1"/>
  <c r="S725" i="2" a="1"/>
  <c r="R725" i="2" a="1"/>
  <c r="Q725" i="2" a="1"/>
  <c r="S724" i="2" a="1"/>
  <c r="R724" i="2" a="1"/>
  <c r="Q724" i="2" a="1"/>
  <c r="S723" i="2" a="1"/>
  <c r="R723" i="2" a="1"/>
  <c r="Q723" i="2" a="1"/>
  <c r="S722" i="2" a="1"/>
  <c r="R722" i="2" a="1"/>
  <c r="Q722" i="2" a="1"/>
  <c r="S721" i="2" a="1"/>
  <c r="R721" i="2" a="1"/>
  <c r="Q721" i="2" a="1"/>
  <c r="S720" i="2" a="1"/>
  <c r="R720" i="2" a="1"/>
  <c r="Q720" i="2" a="1"/>
  <c r="S719" i="2" a="1"/>
  <c r="R719" i="2" a="1"/>
  <c r="Q719" i="2" a="1"/>
  <c r="T719" i="2" s="1"/>
  <c r="S718" i="2" a="1"/>
  <c r="R718" i="2" a="1"/>
  <c r="Q718" i="2" a="1"/>
  <c r="T718" i="2" s="1"/>
  <c r="S717" i="2" a="1"/>
  <c r="R717" i="2" a="1"/>
  <c r="Q717" i="2" a="1"/>
  <c r="T717" i="2" s="1"/>
  <c r="S716" i="2" a="1"/>
  <c r="R716" i="2" a="1"/>
  <c r="Q716" i="2" a="1"/>
  <c r="T716" i="2" s="1"/>
  <c r="S715" i="2" a="1"/>
  <c r="R715" i="2" a="1"/>
  <c r="Q715" i="2" a="1"/>
  <c r="T715" i="2" s="1"/>
  <c r="S714" i="2" a="1"/>
  <c r="R714" i="2" a="1"/>
  <c r="Q714" i="2" a="1"/>
  <c r="T714" i="2" s="1"/>
  <c r="S713" i="2" a="1"/>
  <c r="R713" i="2" a="1"/>
  <c r="Q713" i="2" a="1"/>
  <c r="T713" i="2" s="1"/>
  <c r="S712" i="2" a="1"/>
  <c r="R712" i="2" a="1"/>
  <c r="Q712" i="2" a="1"/>
  <c r="T712" i="2" s="1"/>
  <c r="S711" i="2" a="1"/>
  <c r="R711" i="2" a="1"/>
  <c r="Q711" i="2" a="1"/>
  <c r="T711" i="2" s="1"/>
  <c r="S710" i="2" a="1"/>
  <c r="R710" i="2" a="1"/>
  <c r="Q710" i="2" a="1"/>
  <c r="T710" i="2" s="1"/>
  <c r="S709" i="2" a="1"/>
  <c r="R709" i="2" a="1"/>
  <c r="Q709" i="2" a="1"/>
  <c r="T709" i="2" s="1"/>
  <c r="S708" i="2" a="1"/>
  <c r="R708" i="2" a="1"/>
  <c r="Q708" i="2" a="1"/>
  <c r="T708" i="2" s="1"/>
  <c r="S707" i="2" a="1"/>
  <c r="R707" i="2" a="1"/>
  <c r="Q707" i="2" a="1"/>
  <c r="T707" i="2" s="1"/>
  <c r="S706" i="2" a="1"/>
  <c r="R706" i="2" a="1"/>
  <c r="Q706" i="2" a="1"/>
  <c r="T706" i="2" s="1"/>
  <c r="S705" i="2" a="1"/>
  <c r="R705" i="2" a="1"/>
  <c r="Q705" i="2" a="1"/>
  <c r="T705" i="2" s="1"/>
  <c r="S704" i="2" a="1"/>
  <c r="R704" i="2" a="1"/>
  <c r="Q704" i="2" a="1"/>
  <c r="T704" i="2" s="1"/>
  <c r="S703" i="2" a="1"/>
  <c r="R703" i="2" a="1"/>
  <c r="Q703" i="2" a="1"/>
  <c r="T703" i="2" s="1"/>
  <c r="S702" i="2" a="1"/>
  <c r="R702" i="2" a="1"/>
  <c r="Q702" i="2" a="1"/>
  <c r="T702" i="2" s="1"/>
  <c r="S701" i="2" a="1"/>
  <c r="R701" i="2" a="1"/>
  <c r="Q701" i="2" a="1"/>
  <c r="T701" i="2" s="1"/>
  <c r="S700" i="2" a="1"/>
  <c r="R700" i="2" a="1"/>
  <c r="Q700" i="2" a="1"/>
  <c r="T700" i="2" s="1"/>
  <c r="S699" i="2" a="1"/>
  <c r="R699" i="2" a="1"/>
  <c r="Q699" i="2" a="1"/>
  <c r="T699" i="2" s="1"/>
  <c r="S698" i="2" a="1"/>
  <c r="R698" i="2" a="1"/>
  <c r="Q698" i="2" a="1"/>
  <c r="T698" i="2" s="1"/>
  <c r="S697" i="2" a="1"/>
  <c r="R697" i="2" a="1"/>
  <c r="Q697" i="2" a="1"/>
  <c r="T697" i="2" s="1"/>
  <c r="S696" i="2" a="1"/>
  <c r="R696" i="2" a="1"/>
  <c r="Q696" i="2" a="1"/>
  <c r="T696" i="2" s="1"/>
  <c r="S695" i="2" a="1"/>
  <c r="R695" i="2" a="1"/>
  <c r="Q695" i="2" a="1"/>
  <c r="T695" i="2" s="1"/>
  <c r="S694" i="2" a="1"/>
  <c r="R694" i="2" a="1"/>
  <c r="Q694" i="2" a="1"/>
  <c r="T694" i="2" s="1"/>
  <c r="S693" i="2" a="1"/>
  <c r="R693" i="2" a="1"/>
  <c r="Q693" i="2" a="1"/>
  <c r="T693" i="2" s="1"/>
  <c r="S692" i="2" a="1"/>
  <c r="R692" i="2" a="1"/>
  <c r="Q692" i="2" a="1"/>
  <c r="T692" i="2" s="1"/>
  <c r="S691" i="2" a="1"/>
  <c r="R691" i="2" a="1"/>
  <c r="Q691" i="2" a="1"/>
  <c r="T691" i="2" s="1"/>
  <c r="S690" i="2" a="1"/>
  <c r="R690" i="2" a="1"/>
  <c r="Q690" i="2" a="1"/>
  <c r="T690" i="2" s="1"/>
  <c r="S689" i="2" a="1"/>
  <c r="R689" i="2" a="1"/>
  <c r="Q689" i="2" a="1"/>
  <c r="T689" i="2" s="1"/>
  <c r="S688" i="2" a="1"/>
  <c r="R688" i="2" a="1"/>
  <c r="Q688" i="2" a="1"/>
  <c r="T688" i="2" s="1"/>
  <c r="S687" i="2" a="1"/>
  <c r="R687" i="2" a="1"/>
  <c r="Q687" i="2" a="1"/>
  <c r="T687" i="2" s="1"/>
  <c r="S686" i="2" a="1"/>
  <c r="R686" i="2" a="1"/>
  <c r="Q686" i="2" a="1"/>
  <c r="T686" i="2" s="1"/>
  <c r="S685" i="2" a="1"/>
  <c r="R685" i="2" a="1"/>
  <c r="Q685" i="2" a="1"/>
  <c r="T685" i="2" s="1"/>
  <c r="S684" i="2" a="1"/>
  <c r="R684" i="2" a="1"/>
  <c r="Q684" i="2" a="1"/>
  <c r="T684" i="2" s="1"/>
  <c r="S683" i="2" a="1"/>
  <c r="R683" i="2" a="1"/>
  <c r="Q683" i="2" a="1"/>
  <c r="T683" i="2" s="1"/>
  <c r="S682" i="2" a="1"/>
  <c r="R682" i="2" a="1"/>
  <c r="Q682" i="2" a="1"/>
  <c r="T682" i="2" s="1"/>
  <c r="S681" i="2" a="1"/>
  <c r="R681" i="2" a="1"/>
  <c r="Q681" i="2" a="1"/>
  <c r="T681" i="2" s="1"/>
  <c r="S680" i="2" a="1"/>
  <c r="R680" i="2" a="1"/>
  <c r="Q680" i="2" a="1"/>
  <c r="T680" i="2" s="1"/>
  <c r="S679" i="2" a="1"/>
  <c r="R679" i="2" a="1"/>
  <c r="Q679" i="2" a="1"/>
  <c r="T679" i="2" s="1"/>
  <c r="S678" i="2" a="1"/>
  <c r="R678" i="2" a="1"/>
  <c r="Q678" i="2" a="1"/>
  <c r="T678" i="2" s="1"/>
  <c r="S677" i="2" a="1"/>
  <c r="R677" i="2" a="1"/>
  <c r="Q677" i="2" a="1"/>
  <c r="T677" i="2" s="1"/>
  <c r="S676" i="2" a="1"/>
  <c r="R676" i="2" a="1"/>
  <c r="Q676" i="2" a="1"/>
  <c r="T676" i="2" s="1"/>
  <c r="S675" i="2" a="1"/>
  <c r="R675" i="2" a="1"/>
  <c r="Q675" i="2" a="1"/>
  <c r="T675" i="2" s="1"/>
  <c r="S674" i="2" a="1"/>
  <c r="R674" i="2" a="1"/>
  <c r="Q674" i="2" a="1"/>
  <c r="T674" i="2" s="1"/>
  <c r="S673" i="2" a="1"/>
  <c r="R673" i="2" a="1"/>
  <c r="Q673" i="2" a="1"/>
  <c r="T673" i="2" s="1"/>
  <c r="S672" i="2" a="1"/>
  <c r="R672" i="2" a="1"/>
  <c r="Q672" i="2" a="1"/>
  <c r="T672" i="2" s="1"/>
  <c r="S671" i="2" a="1"/>
  <c r="R671" i="2" a="1"/>
  <c r="Q671" i="2" a="1"/>
  <c r="T671" i="2" s="1"/>
  <c r="S670" i="2" a="1"/>
  <c r="R670" i="2" a="1"/>
  <c r="Q670" i="2" a="1"/>
  <c r="T670" i="2" s="1"/>
  <c r="S669" i="2" a="1"/>
  <c r="R669" i="2" a="1"/>
  <c r="Q669" i="2" a="1"/>
  <c r="T669" i="2" s="1"/>
  <c r="S668" i="2" a="1"/>
  <c r="R668" i="2" a="1"/>
  <c r="Q668" i="2" a="1"/>
  <c r="T668" i="2" s="1"/>
  <c r="S667" i="2" a="1"/>
  <c r="R667" i="2" a="1"/>
  <c r="Q667" i="2" a="1"/>
  <c r="T667" i="2" s="1"/>
  <c r="S666" i="2" a="1"/>
  <c r="R666" i="2" a="1"/>
  <c r="Q666" i="2" a="1"/>
  <c r="T666" i="2" s="1"/>
  <c r="S665" i="2" a="1"/>
  <c r="R665" i="2" a="1"/>
  <c r="Q665" i="2" a="1"/>
  <c r="T665" i="2" s="1"/>
  <c r="S664" i="2" a="1"/>
  <c r="R664" i="2" a="1"/>
  <c r="Q664" i="2" a="1"/>
  <c r="T664" i="2" s="1"/>
  <c r="S663" i="2" a="1"/>
  <c r="R663" i="2" a="1"/>
  <c r="Q663" i="2" a="1"/>
  <c r="T663" i="2" s="1"/>
  <c r="S662" i="2" a="1"/>
  <c r="R662" i="2" a="1"/>
  <c r="Q662" i="2" a="1"/>
  <c r="T662" i="2" s="1"/>
  <c r="S661" i="2" a="1"/>
  <c r="R661" i="2" a="1"/>
  <c r="Q661" i="2" a="1"/>
  <c r="T661" i="2" s="1"/>
  <c r="S660" i="2" a="1"/>
  <c r="R660" i="2" a="1"/>
  <c r="Q660" i="2" a="1"/>
  <c r="T660" i="2" s="1"/>
  <c r="S659" i="2" a="1"/>
  <c r="R659" i="2" a="1"/>
  <c r="Q659" i="2" a="1"/>
  <c r="T659" i="2" s="1"/>
  <c r="S658" i="2" a="1"/>
  <c r="R658" i="2" a="1"/>
  <c r="Q658" i="2" a="1"/>
  <c r="T658" i="2" s="1"/>
  <c r="S657" i="2" a="1"/>
  <c r="R657" i="2" a="1"/>
  <c r="Q657" i="2" a="1"/>
  <c r="T657" i="2" s="1"/>
  <c r="S656" i="2" a="1"/>
  <c r="R656" i="2" a="1"/>
  <c r="Q656" i="2" a="1"/>
  <c r="T656" i="2" s="1"/>
  <c r="S655" i="2" a="1"/>
  <c r="R655" i="2" a="1"/>
  <c r="Q655" i="2" a="1"/>
  <c r="T655" i="2" s="1"/>
  <c r="S654" i="2" a="1"/>
  <c r="R654" i="2" a="1"/>
  <c r="Q654" i="2" a="1"/>
  <c r="T654" i="2" s="1"/>
  <c r="S653" i="2" a="1"/>
  <c r="R653" i="2" a="1"/>
  <c r="Q653" i="2" a="1"/>
  <c r="T653" i="2" s="1"/>
  <c r="S652" i="2" a="1"/>
  <c r="R652" i="2" a="1"/>
  <c r="Q652" i="2" a="1"/>
  <c r="T652" i="2" s="1"/>
  <c r="S651" i="2" a="1"/>
  <c r="R651" i="2" a="1"/>
  <c r="Q651" i="2" a="1"/>
  <c r="T651" i="2" s="1"/>
  <c r="S650" i="2" a="1"/>
  <c r="R650" i="2" a="1"/>
  <c r="Q650" i="2" a="1"/>
  <c r="T650" i="2" s="1"/>
  <c r="S649" i="2" a="1"/>
  <c r="R649" i="2" a="1"/>
  <c r="Q649" i="2" a="1"/>
  <c r="T649" i="2" s="1"/>
  <c r="S648" i="2" a="1"/>
  <c r="R648" i="2" a="1"/>
  <c r="Q648" i="2" a="1"/>
  <c r="T648" i="2" s="1"/>
  <c r="S647" i="2" a="1"/>
  <c r="R647" i="2" a="1"/>
  <c r="Q647" i="2" a="1"/>
  <c r="T647" i="2" s="1"/>
  <c r="S646" i="2" a="1"/>
  <c r="R646" i="2" a="1"/>
  <c r="Q646" i="2" a="1"/>
  <c r="T646" i="2" s="1"/>
  <c r="S645" i="2" a="1"/>
  <c r="R645" i="2" a="1"/>
  <c r="Q645" i="2" a="1"/>
  <c r="T645" i="2" s="1"/>
  <c r="S644" i="2" a="1"/>
  <c r="R644" i="2" a="1"/>
  <c r="Q644" i="2" a="1"/>
  <c r="T644" i="2" s="1"/>
  <c r="S643" i="2" a="1"/>
  <c r="R643" i="2" a="1"/>
  <c r="Q643" i="2" a="1"/>
  <c r="T643" i="2" s="1"/>
  <c r="S642" i="2" a="1"/>
  <c r="R642" i="2" a="1"/>
  <c r="Q642" i="2" a="1"/>
  <c r="T642" i="2" s="1"/>
  <c r="S641" i="2" a="1"/>
  <c r="R641" i="2" a="1"/>
  <c r="Q641" i="2" a="1"/>
  <c r="T641" i="2" s="1"/>
  <c r="S640" i="2" a="1"/>
  <c r="R640" i="2" a="1"/>
  <c r="Q640" i="2" a="1"/>
  <c r="T640" i="2" s="1"/>
  <c r="S639" i="2" a="1"/>
  <c r="R639" i="2" a="1"/>
  <c r="Q639" i="2" a="1"/>
  <c r="T639" i="2" s="1"/>
  <c r="S638" i="2" a="1"/>
  <c r="R638" i="2" a="1"/>
  <c r="Q638" i="2" a="1"/>
  <c r="T638" i="2" s="1"/>
  <c r="S637" i="2" a="1"/>
  <c r="R637" i="2" a="1"/>
  <c r="Q637" i="2" a="1"/>
  <c r="T637" i="2" s="1"/>
  <c r="S636" i="2" a="1"/>
  <c r="R636" i="2" a="1"/>
  <c r="Q636" i="2" a="1"/>
  <c r="T636" i="2" s="1"/>
  <c r="S635" i="2" a="1"/>
  <c r="R635" i="2" a="1"/>
  <c r="Q635" i="2" a="1"/>
  <c r="T635" i="2" s="1"/>
  <c r="S634" i="2" a="1"/>
  <c r="R634" i="2" a="1"/>
  <c r="Q634" i="2" a="1"/>
  <c r="T634" i="2" s="1"/>
  <c r="S633" i="2" a="1"/>
  <c r="R633" i="2" a="1"/>
  <c r="Q633" i="2" a="1"/>
  <c r="T633" i="2" s="1"/>
  <c r="S632" i="2" a="1"/>
  <c r="R632" i="2" a="1"/>
  <c r="Q632" i="2" a="1"/>
  <c r="T632" i="2" s="1"/>
  <c r="S631" i="2" a="1"/>
  <c r="R631" i="2" a="1"/>
  <c r="Q631" i="2" a="1"/>
  <c r="S630" i="2" a="1"/>
  <c r="R630" i="2" a="1"/>
  <c r="Q630" i="2" a="1"/>
  <c r="S629" i="2" a="1"/>
  <c r="R629" i="2" a="1"/>
  <c r="Q629" i="2" a="1"/>
  <c r="T629" i="2" s="1"/>
  <c r="S628" i="2" a="1"/>
  <c r="R628" i="2" a="1"/>
  <c r="Q628" i="2" a="1"/>
  <c r="T628" i="2" s="1"/>
  <c r="S627" i="2" a="1"/>
  <c r="R627" i="2" a="1"/>
  <c r="Q627" i="2" a="1"/>
  <c r="T627" i="2" s="1"/>
  <c r="S626" i="2" a="1"/>
  <c r="R626" i="2" a="1"/>
  <c r="Q626" i="2" a="1"/>
  <c r="T626" i="2" s="1"/>
  <c r="S625" i="2" a="1"/>
  <c r="R625" i="2" a="1"/>
  <c r="Q625" i="2" a="1"/>
  <c r="T625" i="2" s="1"/>
  <c r="S624" i="2" a="1"/>
  <c r="R624" i="2" a="1"/>
  <c r="Q624" i="2" a="1"/>
  <c r="S623" i="2" a="1"/>
  <c r="R623" i="2" a="1"/>
  <c r="Q623" i="2" a="1"/>
  <c r="T623" i="2" s="1"/>
  <c r="S622" i="2" a="1"/>
  <c r="R622" i="2" a="1"/>
  <c r="Q622" i="2" a="1"/>
  <c r="T622" i="2" s="1"/>
  <c r="S621" i="2" a="1"/>
  <c r="R621" i="2" a="1"/>
  <c r="Q621" i="2" a="1"/>
  <c r="T621" i="2" s="1"/>
  <c r="S620" i="2" a="1"/>
  <c r="R620" i="2" a="1"/>
  <c r="Q620" i="2" a="1"/>
  <c r="T620" i="2" s="1"/>
  <c r="S619" i="2" a="1"/>
  <c r="R619" i="2" a="1"/>
  <c r="Q619" i="2" a="1"/>
  <c r="T619" i="2" s="1"/>
  <c r="S618" i="2" a="1"/>
  <c r="R618" i="2" a="1"/>
  <c r="Q618" i="2" a="1"/>
  <c r="T618" i="2" s="1"/>
  <c r="S617" i="2" a="1"/>
  <c r="R617" i="2" a="1"/>
  <c r="Q617" i="2" a="1"/>
  <c r="T617" i="2" s="1"/>
  <c r="S616" i="2" a="1"/>
  <c r="R616" i="2" a="1"/>
  <c r="Q616" i="2" a="1"/>
  <c r="S615" i="2" a="1"/>
  <c r="R615" i="2" a="1"/>
  <c r="Q615" i="2" a="1"/>
  <c r="T615" i="2" s="1"/>
  <c r="S614" i="2" a="1"/>
  <c r="R614" i="2" a="1"/>
  <c r="Q614" i="2" a="1"/>
  <c r="S613" i="2" a="1"/>
  <c r="R613" i="2" a="1"/>
  <c r="Q613" i="2" a="1"/>
  <c r="T613" i="2" s="1"/>
  <c r="S612" i="2" a="1"/>
  <c r="R612" i="2" a="1"/>
  <c r="Q612" i="2" a="1"/>
  <c r="T612" i="2" s="1"/>
  <c r="S611" i="2" a="1"/>
  <c r="R611" i="2" a="1"/>
  <c r="Q611" i="2" a="1"/>
  <c r="T611" i="2" s="1"/>
  <c r="S610" i="2" a="1"/>
  <c r="R610" i="2" a="1"/>
  <c r="Q610" i="2" a="1"/>
  <c r="S609" i="2" a="1"/>
  <c r="R609" i="2" a="1"/>
  <c r="Q609" i="2" a="1"/>
  <c r="T609" i="2" s="1"/>
  <c r="S608" i="2" a="1"/>
  <c r="R608" i="2" a="1"/>
  <c r="Q608" i="2" a="1"/>
  <c r="T608" i="2" s="1"/>
  <c r="S607" i="2" a="1"/>
  <c r="R607" i="2" a="1"/>
  <c r="Q607" i="2" a="1"/>
  <c r="T607" i="2" s="1"/>
  <c r="S606" i="2" a="1"/>
  <c r="R606" i="2" a="1"/>
  <c r="Q606" i="2" a="1"/>
  <c r="T606" i="2" s="1"/>
  <c r="S605" i="2" a="1"/>
  <c r="R605" i="2" a="1"/>
  <c r="Q605" i="2" a="1"/>
  <c r="T605" i="2" s="1"/>
  <c r="S604" i="2" a="1"/>
  <c r="R604" i="2" a="1"/>
  <c r="Q604" i="2" a="1"/>
  <c r="S603" i="2" a="1"/>
  <c r="R603" i="2" a="1"/>
  <c r="Q603" i="2" a="1"/>
  <c r="T603" i="2" s="1"/>
  <c r="S602" i="2" a="1"/>
  <c r="R602" i="2" a="1"/>
  <c r="Q602" i="2" a="1"/>
  <c r="S601" i="2" a="1"/>
  <c r="R601" i="2" a="1"/>
  <c r="Q601" i="2" a="1"/>
  <c r="T601" i="2" s="1"/>
  <c r="S600" i="2" a="1"/>
  <c r="R600" i="2" a="1"/>
  <c r="Q600" i="2" a="1"/>
  <c r="T600" i="2" s="1"/>
  <c r="S599" i="2" a="1"/>
  <c r="R599" i="2" a="1"/>
  <c r="Q599" i="2" a="1"/>
  <c r="T599" i="2" s="1"/>
  <c r="S598" i="2" a="1"/>
  <c r="R598" i="2" a="1"/>
  <c r="Q598" i="2" a="1"/>
  <c r="S597" i="2" a="1"/>
  <c r="R597" i="2" a="1"/>
  <c r="Q597" i="2" a="1"/>
  <c r="T597" i="2" s="1"/>
  <c r="S596" i="2" a="1"/>
  <c r="R596" i="2" a="1"/>
  <c r="Q596" i="2" a="1"/>
  <c r="T596" i="2" s="1"/>
  <c r="S595" i="2" a="1"/>
  <c r="R595" i="2" a="1"/>
  <c r="Q595" i="2" a="1"/>
  <c r="T595" i="2" s="1"/>
  <c r="S594" i="2" a="1"/>
  <c r="R594" i="2" a="1"/>
  <c r="Q594" i="2" a="1"/>
  <c r="T594" i="2" s="1"/>
  <c r="S593" i="2" a="1"/>
  <c r="R593" i="2" a="1"/>
  <c r="Q593" i="2" a="1"/>
  <c r="T593" i="2" s="1"/>
  <c r="S592" i="2" a="1"/>
  <c r="R592" i="2" a="1"/>
  <c r="Q592" i="2" a="1"/>
  <c r="S591" i="2" a="1"/>
  <c r="R591" i="2" a="1"/>
  <c r="Q591" i="2" a="1"/>
  <c r="T591" i="2" s="1"/>
  <c r="S590" i="2" a="1"/>
  <c r="R590" i="2" a="1"/>
  <c r="Q590" i="2" a="1"/>
  <c r="T590" i="2" s="1"/>
  <c r="S589" i="2" a="1"/>
  <c r="R589" i="2" a="1"/>
  <c r="Q589" i="2" a="1"/>
  <c r="T589" i="2" s="1"/>
  <c r="S588" i="2" a="1"/>
  <c r="R588" i="2" a="1"/>
  <c r="Q588" i="2" a="1"/>
  <c r="T588" i="2" s="1"/>
  <c r="S587" i="2" a="1"/>
  <c r="R587" i="2" a="1"/>
  <c r="Q587" i="2" a="1"/>
  <c r="T587" i="2" s="1"/>
  <c r="S586" i="2" a="1"/>
  <c r="R586" i="2" a="1"/>
  <c r="Q586" i="2" a="1"/>
  <c r="T586" i="2" s="1"/>
  <c r="S585" i="2" a="1"/>
  <c r="R585" i="2" a="1"/>
  <c r="Q585" i="2" a="1"/>
  <c r="T585" i="2" s="1"/>
  <c r="S584" i="2" a="1"/>
  <c r="R584" i="2" a="1"/>
  <c r="Q584" i="2" a="1"/>
  <c r="T584" i="2" s="1"/>
  <c r="S583" i="2" a="1"/>
  <c r="R583" i="2" a="1"/>
  <c r="Q583" i="2" a="1"/>
  <c r="T583" i="2" s="1"/>
  <c r="S582" i="2" a="1"/>
  <c r="R582" i="2" a="1"/>
  <c r="Q582" i="2" a="1"/>
  <c r="T582" i="2" s="1"/>
  <c r="S581" i="2" a="1"/>
  <c r="R581" i="2" a="1"/>
  <c r="Q581" i="2" a="1"/>
  <c r="T581" i="2" s="1"/>
  <c r="S580" i="2" a="1"/>
  <c r="R580" i="2" a="1"/>
  <c r="Q580" i="2" a="1"/>
  <c r="S579" i="2" a="1"/>
  <c r="R579" i="2" a="1"/>
  <c r="Q579" i="2" a="1"/>
  <c r="S578" i="2" a="1"/>
  <c r="R578" i="2" a="1"/>
  <c r="Q578" i="2" a="1"/>
  <c r="T578" i="2" s="1"/>
  <c r="S577" i="2" a="1"/>
  <c r="R577" i="2" a="1"/>
  <c r="Q577" i="2" a="1"/>
  <c r="T577" i="2" s="1"/>
  <c r="S576" i="2" a="1"/>
  <c r="R576" i="2" a="1"/>
  <c r="Q576" i="2" a="1"/>
  <c r="T576" i="2" s="1"/>
  <c r="S575" i="2" a="1"/>
  <c r="R575" i="2" a="1"/>
  <c r="Q575" i="2" a="1"/>
  <c r="T575" i="2" s="1"/>
  <c r="S574" i="2" a="1"/>
  <c r="R574" i="2" a="1"/>
  <c r="Q574" i="2" a="1"/>
  <c r="T574" i="2" s="1"/>
  <c r="S573" i="2" a="1"/>
  <c r="R573" i="2" a="1"/>
  <c r="Q573" i="2" a="1"/>
  <c r="S572" i="2" a="1"/>
  <c r="R572" i="2" a="1"/>
  <c r="Q572" i="2" a="1"/>
  <c r="S571" i="2" a="1"/>
  <c r="R571" i="2" a="1"/>
  <c r="Q571" i="2" a="1"/>
  <c r="T571" i="2" s="1"/>
  <c r="S570" i="2" a="1"/>
  <c r="R570" i="2" a="1"/>
  <c r="Q570" i="2" a="1"/>
  <c r="S569" i="2" a="1"/>
  <c r="R569" i="2" a="1"/>
  <c r="Q569" i="2" a="1"/>
  <c r="S568" i="2" a="1"/>
  <c r="R568" i="2" a="1"/>
  <c r="Q568" i="2" a="1"/>
  <c r="S567" i="2" a="1"/>
  <c r="R567" i="2" a="1"/>
  <c r="Q567" i="2" a="1"/>
  <c r="T567" i="2" s="1"/>
  <c r="S566" i="2" a="1"/>
  <c r="R566" i="2" a="1"/>
  <c r="Q566" i="2" a="1"/>
  <c r="S565" i="2" a="1"/>
  <c r="R565" i="2" a="1"/>
  <c r="Q565" i="2" a="1"/>
  <c r="S564" i="2" a="1"/>
  <c r="R564" i="2" a="1"/>
  <c r="Q564" i="2" a="1"/>
  <c r="T564" i="2" s="1"/>
  <c r="S563" i="2" a="1"/>
  <c r="R563" i="2" a="1"/>
  <c r="Q563" i="2" a="1"/>
  <c r="S562" i="2" a="1"/>
  <c r="R562" i="2" a="1"/>
  <c r="Q562" i="2" a="1"/>
  <c r="S561" i="2" a="1"/>
  <c r="R561" i="2" a="1"/>
  <c r="Q561" i="2" a="1"/>
  <c r="S560" i="2" a="1"/>
  <c r="R560" i="2" a="1"/>
  <c r="Q560" i="2" a="1"/>
  <c r="S559" i="2" a="1"/>
  <c r="R559" i="2" a="1"/>
  <c r="Q559" i="2" a="1"/>
  <c r="S558" i="2" a="1"/>
  <c r="R558" i="2" a="1"/>
  <c r="Q558" i="2" a="1"/>
  <c r="S557" i="2" a="1"/>
  <c r="R557" i="2" a="1"/>
  <c r="Q557" i="2" a="1"/>
  <c r="S556" i="2" a="1"/>
  <c r="R556" i="2" a="1"/>
  <c r="Q556" i="2" a="1"/>
  <c r="S555" i="2" a="1"/>
  <c r="R555" i="2" a="1"/>
  <c r="Q555" i="2" a="1"/>
  <c r="S554" i="2" a="1"/>
  <c r="R554" i="2" a="1"/>
  <c r="Q554" i="2" a="1"/>
  <c r="S553" i="2" a="1"/>
  <c r="R553" i="2" a="1"/>
  <c r="Q553" i="2" a="1"/>
  <c r="S552" i="2" a="1"/>
  <c r="R552" i="2" a="1"/>
  <c r="Q552" i="2" a="1"/>
  <c r="S551" i="2" a="1"/>
  <c r="R551" i="2" a="1"/>
  <c r="Q551" i="2" a="1"/>
  <c r="S550" i="2" a="1"/>
  <c r="R550" i="2" a="1"/>
  <c r="Q550" i="2" a="1"/>
  <c r="S549" i="2" a="1"/>
  <c r="R549" i="2" a="1"/>
  <c r="Q549" i="2" a="1"/>
  <c r="S548" i="2" a="1"/>
  <c r="R548" i="2" a="1"/>
  <c r="Q548" i="2" a="1"/>
  <c r="S547" i="2" a="1"/>
  <c r="R547" i="2" a="1"/>
  <c r="Q547" i="2" a="1"/>
  <c r="S546" i="2" a="1"/>
  <c r="R546" i="2" a="1"/>
  <c r="Q546" i="2" a="1"/>
  <c r="S545" i="2" a="1"/>
  <c r="R545" i="2" a="1"/>
  <c r="Q545" i="2" a="1"/>
  <c r="S544" i="2" a="1"/>
  <c r="R544" i="2" a="1"/>
  <c r="Q544" i="2" a="1"/>
  <c r="S543" i="2" a="1"/>
  <c r="R543" i="2" a="1"/>
  <c r="Q543" i="2" a="1"/>
  <c r="S542" i="2" a="1"/>
  <c r="R542" i="2" a="1"/>
  <c r="Q542" i="2" a="1"/>
  <c r="S541" i="2" a="1"/>
  <c r="R541" i="2" a="1"/>
  <c r="Q541" i="2" a="1"/>
  <c r="S540" i="2" a="1"/>
  <c r="R540" i="2" a="1"/>
  <c r="Q540" i="2" a="1"/>
  <c r="S539" i="2" a="1"/>
  <c r="R539" i="2" a="1"/>
  <c r="Q539" i="2" a="1"/>
  <c r="S538" i="2" a="1"/>
  <c r="R538" i="2" a="1"/>
  <c r="Q538" i="2" a="1"/>
  <c r="S537" i="2" a="1"/>
  <c r="R537" i="2" a="1"/>
  <c r="Q537" i="2" a="1"/>
  <c r="S536" i="2" a="1"/>
  <c r="R536" i="2" a="1"/>
  <c r="Q536" i="2" a="1"/>
  <c r="S535" i="2" a="1"/>
  <c r="R535" i="2" a="1"/>
  <c r="Q535" i="2" a="1"/>
  <c r="T535" i="2" s="1"/>
  <c r="S534" i="2" a="1"/>
  <c r="R534" i="2" a="1"/>
  <c r="Q534" i="2" a="1"/>
  <c r="T534" i="2" s="1"/>
  <c r="S533" i="2" a="1"/>
  <c r="R533" i="2" a="1"/>
  <c r="Q533" i="2" a="1"/>
  <c r="T533" i="2" s="1"/>
  <c r="S532" i="2" a="1"/>
  <c r="R532" i="2" a="1"/>
  <c r="Q532" i="2" a="1"/>
  <c r="T532" i="2" s="1"/>
  <c r="S531" i="2" a="1"/>
  <c r="R531" i="2" a="1"/>
  <c r="Q531" i="2" a="1"/>
  <c r="S530" i="2" a="1"/>
  <c r="R530" i="2" a="1"/>
  <c r="Q530" i="2" a="1"/>
  <c r="T530" i="2" s="1"/>
  <c r="S529" i="2" a="1"/>
  <c r="R529" i="2" a="1"/>
  <c r="Q529" i="2" a="1"/>
  <c r="T529" i="2" s="1"/>
  <c r="S528" i="2" a="1"/>
  <c r="R528" i="2" a="1"/>
  <c r="Q528" i="2" a="1"/>
  <c r="T528" i="2" s="1"/>
  <c r="S527" i="2" a="1"/>
  <c r="R527" i="2" a="1"/>
  <c r="Q527" i="2" a="1"/>
  <c r="T527" i="2" s="1"/>
  <c r="S526" i="2" a="1"/>
  <c r="R526" i="2" a="1"/>
  <c r="Q526" i="2" a="1"/>
  <c r="T526" i="2" s="1"/>
  <c r="S525" i="2" a="1"/>
  <c r="R525" i="2" a="1"/>
  <c r="Q525" i="2" a="1"/>
  <c r="T525" i="2" s="1"/>
  <c r="S524" i="2" a="1"/>
  <c r="R524" i="2" a="1"/>
  <c r="Q524" i="2" a="1"/>
  <c r="T524" i="2" s="1"/>
  <c r="S523" i="2" a="1"/>
  <c r="R523" i="2" a="1"/>
  <c r="Q523" i="2" a="1"/>
  <c r="T523" i="2" s="1"/>
  <c r="S522" i="2" a="1"/>
  <c r="R522" i="2" a="1"/>
  <c r="Q522" i="2" a="1"/>
  <c r="T522" i="2" s="1"/>
  <c r="S521" i="2" a="1"/>
  <c r="R521" i="2" a="1"/>
  <c r="Q521" i="2" a="1"/>
  <c r="T521" i="2" s="1"/>
  <c r="S520" i="2" a="1"/>
  <c r="R520" i="2" a="1"/>
  <c r="Q520" i="2" a="1"/>
  <c r="T520" i="2" s="1"/>
  <c r="S519" i="2" a="1"/>
  <c r="R519" i="2" a="1"/>
  <c r="Q519" i="2" a="1"/>
  <c r="T519" i="2" s="1"/>
  <c r="S518" i="2" a="1"/>
  <c r="R518" i="2" a="1"/>
  <c r="Q518" i="2" a="1"/>
  <c r="T518" i="2" s="1"/>
  <c r="S517" i="2" a="1"/>
  <c r="R517" i="2" a="1"/>
  <c r="Q517" i="2" a="1"/>
  <c r="T517" i="2" s="1"/>
  <c r="S516" i="2" a="1"/>
  <c r="R516" i="2" a="1"/>
  <c r="Q516" i="2" a="1"/>
  <c r="T516" i="2" s="1"/>
  <c r="S515" i="2" a="1"/>
  <c r="R515" i="2" a="1"/>
  <c r="Q515" i="2" a="1"/>
  <c r="T515" i="2" s="1"/>
  <c r="S514" i="2" a="1"/>
  <c r="R514" i="2" a="1"/>
  <c r="Q514" i="2" a="1"/>
  <c r="T514" i="2" s="1"/>
  <c r="S513" i="2" a="1"/>
  <c r="R513" i="2" a="1"/>
  <c r="Q513" i="2" a="1"/>
  <c r="T513" i="2" s="1"/>
  <c r="S512" i="2" a="1"/>
  <c r="R512" i="2" a="1"/>
  <c r="Q512" i="2" a="1"/>
  <c r="T512" i="2" s="1"/>
  <c r="S511" i="2" a="1"/>
  <c r="R511" i="2" a="1"/>
  <c r="Q511" i="2" a="1"/>
  <c r="T511" i="2" s="1"/>
  <c r="S510" i="2" a="1"/>
  <c r="R510" i="2" a="1"/>
  <c r="Q510" i="2" a="1"/>
  <c r="S509" i="2" a="1"/>
  <c r="R509" i="2" a="1"/>
  <c r="Q509" i="2" a="1"/>
  <c r="S508" i="2" a="1"/>
  <c r="R508" i="2" a="1"/>
  <c r="Q508" i="2" a="1"/>
  <c r="S507" i="2" a="1"/>
  <c r="R507" i="2" a="1"/>
  <c r="Q507" i="2" a="1"/>
  <c r="S506" i="2" a="1"/>
  <c r="R506" i="2" a="1"/>
  <c r="Q506" i="2" a="1"/>
  <c r="S505" i="2" a="1"/>
  <c r="R505" i="2" a="1"/>
  <c r="Q505" i="2" a="1"/>
  <c r="S504" i="2" a="1"/>
  <c r="R504" i="2" a="1"/>
  <c r="Q504" i="2" a="1"/>
  <c r="S503" i="2" a="1"/>
  <c r="R503" i="2" a="1"/>
  <c r="Q503" i="2" a="1"/>
  <c r="S502" i="2" a="1"/>
  <c r="R502" i="2" a="1"/>
  <c r="Q502" i="2" a="1"/>
  <c r="S501" i="2" a="1"/>
  <c r="R501" i="2" a="1"/>
  <c r="Q501" i="2" a="1"/>
  <c r="S500" i="2" a="1"/>
  <c r="R500" i="2" a="1"/>
  <c r="Q500" i="2" a="1"/>
  <c r="S499" i="2" a="1"/>
  <c r="R499" i="2" a="1"/>
  <c r="Q499" i="2" a="1"/>
  <c r="S498" i="2" a="1"/>
  <c r="R498" i="2" a="1"/>
  <c r="Q498" i="2" a="1"/>
  <c r="S497" i="2" a="1"/>
  <c r="R497" i="2" a="1"/>
  <c r="Q497" i="2" a="1"/>
  <c r="S496" i="2" a="1"/>
  <c r="R496" i="2" a="1"/>
  <c r="Q496" i="2" a="1"/>
  <c r="S495" i="2" a="1"/>
  <c r="R495" i="2" a="1"/>
  <c r="Q495" i="2" a="1"/>
  <c r="S494" i="2" a="1"/>
  <c r="R494" i="2" a="1"/>
  <c r="Q494" i="2" a="1"/>
  <c r="S493" i="2" a="1"/>
  <c r="R493" i="2" a="1"/>
  <c r="Q493" i="2" a="1"/>
  <c r="S492" i="2" a="1"/>
  <c r="R492" i="2" a="1"/>
  <c r="Q492" i="2" a="1"/>
  <c r="S491" i="2" a="1"/>
  <c r="R491" i="2" a="1"/>
  <c r="Q491" i="2" a="1"/>
  <c r="S490" i="2" a="1"/>
  <c r="R490" i="2" a="1"/>
  <c r="Q490" i="2" a="1"/>
  <c r="S489" i="2" a="1"/>
  <c r="R489" i="2" a="1"/>
  <c r="Q489" i="2" a="1"/>
  <c r="S488" i="2" a="1"/>
  <c r="R488" i="2" a="1"/>
  <c r="Q488" i="2" a="1"/>
  <c r="S487" i="2" a="1"/>
  <c r="R487" i="2" a="1"/>
  <c r="Q487" i="2" a="1"/>
  <c r="S486" i="2" a="1"/>
  <c r="R486" i="2" a="1"/>
  <c r="Q486" i="2" a="1"/>
  <c r="S485" i="2" a="1"/>
  <c r="R485" i="2" a="1"/>
  <c r="Q485" i="2" a="1"/>
  <c r="S484" i="2" a="1"/>
  <c r="R484" i="2" a="1"/>
  <c r="Q484" i="2" a="1"/>
  <c r="S483" i="2" a="1"/>
  <c r="R483" i="2" a="1"/>
  <c r="Q483" i="2" a="1"/>
  <c r="S482" i="2" a="1"/>
  <c r="R482" i="2" a="1"/>
  <c r="Q482" i="2" a="1"/>
  <c r="S481" i="2" a="1"/>
  <c r="R481" i="2" a="1"/>
  <c r="Q481" i="2" a="1"/>
  <c r="S480" i="2" a="1"/>
  <c r="R480" i="2" a="1"/>
  <c r="Q480" i="2" a="1"/>
  <c r="S479" i="2" a="1"/>
  <c r="R479" i="2" a="1"/>
  <c r="Q479" i="2" a="1"/>
  <c r="S478" i="2" a="1"/>
  <c r="R478" i="2" a="1"/>
  <c r="Q478" i="2" a="1"/>
  <c r="S477" i="2" a="1"/>
  <c r="R477" i="2" a="1"/>
  <c r="Q477" i="2" a="1"/>
  <c r="S476" i="2" a="1"/>
  <c r="R476" i="2" a="1"/>
  <c r="Q476" i="2" a="1"/>
  <c r="S475" i="2" a="1"/>
  <c r="R475" i="2" a="1"/>
  <c r="Q475" i="2" a="1"/>
  <c r="T475" i="2" s="1"/>
  <c r="S474" i="2" a="1"/>
  <c r="R474" i="2" a="1"/>
  <c r="Q474" i="2" a="1"/>
  <c r="T474" i="2" s="1"/>
  <c r="S473" i="2" a="1"/>
  <c r="R473" i="2" a="1"/>
  <c r="Q473" i="2" a="1"/>
  <c r="T473" i="2" s="1"/>
  <c r="S472" i="2" a="1"/>
  <c r="R472" i="2" a="1"/>
  <c r="Q472" i="2" a="1"/>
  <c r="T472" i="2" s="1"/>
  <c r="S471" i="2" a="1"/>
  <c r="R471" i="2" a="1"/>
  <c r="Q471" i="2" a="1"/>
  <c r="T471" i="2" s="1"/>
  <c r="S470" i="2" a="1"/>
  <c r="R470" i="2" a="1"/>
  <c r="Q470" i="2" a="1"/>
  <c r="S469" i="2" a="1"/>
  <c r="R469" i="2" a="1"/>
  <c r="Q469" i="2" a="1"/>
  <c r="S468" i="2" a="1"/>
  <c r="R468" i="2" a="1"/>
  <c r="Q468" i="2" a="1"/>
  <c r="T468" i="2" s="1"/>
  <c r="S467" i="2" a="1"/>
  <c r="R467" i="2" a="1"/>
  <c r="Q467" i="2" a="1"/>
  <c r="T467" i="2" s="1"/>
  <c r="S466" i="2" a="1"/>
  <c r="R466" i="2" a="1"/>
  <c r="Q466" i="2" a="1"/>
  <c r="S465" i="2" a="1"/>
  <c r="R465" i="2" a="1"/>
  <c r="Q465" i="2" a="1"/>
  <c r="T465" i="2" s="1"/>
  <c r="S464" i="2" a="1"/>
  <c r="R464" i="2" a="1"/>
  <c r="Q464" i="2" a="1"/>
  <c r="T464" i="2" s="1"/>
  <c r="S463" i="2" a="1"/>
  <c r="R463" i="2" a="1"/>
  <c r="Q463" i="2" a="1"/>
  <c r="T463" i="2" s="1"/>
  <c r="S462" i="2" a="1"/>
  <c r="R462" i="2" a="1"/>
  <c r="Q462" i="2" a="1"/>
  <c r="T462" i="2" s="1"/>
  <c r="S461" i="2" a="1"/>
  <c r="R461" i="2" a="1"/>
  <c r="Q461" i="2" a="1"/>
  <c r="T461" i="2" s="1"/>
  <c r="S460" i="2" a="1"/>
  <c r="R460" i="2" a="1"/>
  <c r="Q460" i="2" a="1"/>
  <c r="T460" i="2" s="1"/>
  <c r="S459" i="2" a="1"/>
  <c r="R459" i="2" a="1"/>
  <c r="Q459" i="2" a="1"/>
  <c r="T459" i="2" s="1"/>
  <c r="S458" i="2" a="1"/>
  <c r="R458" i="2" a="1"/>
  <c r="Q458" i="2" a="1"/>
  <c r="T458" i="2" s="1"/>
  <c r="S457" i="2" a="1"/>
  <c r="R457" i="2" a="1"/>
  <c r="Q457" i="2" a="1"/>
  <c r="T457" i="2" s="1"/>
  <c r="S456" i="2" a="1"/>
  <c r="R456" i="2" a="1"/>
  <c r="Q456" i="2" a="1"/>
  <c r="T456" i="2" s="1"/>
  <c r="S455" i="2" a="1"/>
  <c r="R455" i="2" a="1"/>
  <c r="Q455" i="2" a="1"/>
  <c r="T455" i="2" s="1"/>
  <c r="S454" i="2" a="1"/>
  <c r="R454" i="2" a="1"/>
  <c r="Q454" i="2" a="1"/>
  <c r="T454" i="2" s="1"/>
  <c r="S453" i="2" a="1"/>
  <c r="R453" i="2" a="1"/>
  <c r="Q453" i="2" a="1"/>
  <c r="T453" i="2" s="1"/>
  <c r="S452" i="2" a="1"/>
  <c r="R452" i="2" a="1"/>
  <c r="Q452" i="2" a="1"/>
  <c r="T452" i="2" s="1"/>
  <c r="S451" i="2" a="1"/>
  <c r="R451" i="2" a="1"/>
  <c r="Q451" i="2" a="1"/>
  <c r="T451" i="2" s="1"/>
  <c r="S450" i="2" a="1"/>
  <c r="R450" i="2" a="1"/>
  <c r="Q450" i="2" a="1"/>
  <c r="T450" i="2" s="1"/>
  <c r="S449" i="2" a="1"/>
  <c r="R449" i="2" a="1"/>
  <c r="Q449" i="2" a="1"/>
  <c r="T449" i="2" s="1"/>
  <c r="S448" i="2" a="1"/>
  <c r="R448" i="2" a="1"/>
  <c r="Q448" i="2" a="1"/>
  <c r="T448" i="2" s="1"/>
  <c r="S447" i="2" a="1"/>
  <c r="R447" i="2" a="1"/>
  <c r="Q447" i="2" a="1"/>
  <c r="T447" i="2" s="1"/>
  <c r="S446" i="2" a="1"/>
  <c r="R446" i="2" a="1"/>
  <c r="Q446" i="2" a="1"/>
  <c r="S445" i="2" a="1"/>
  <c r="R445" i="2" a="1"/>
  <c r="Q445" i="2" a="1"/>
  <c r="S444" i="2" a="1"/>
  <c r="R444" i="2" a="1"/>
  <c r="Q444" i="2" a="1"/>
  <c r="T444" i="2" s="1"/>
  <c r="S443" i="2" a="1"/>
  <c r="R443" i="2" a="1"/>
  <c r="Q443" i="2" a="1"/>
  <c r="T443" i="2" s="1"/>
  <c r="S442" i="2" a="1"/>
  <c r="R442" i="2" a="1"/>
  <c r="Q442" i="2" a="1"/>
  <c r="T442" i="2" s="1"/>
  <c r="S441" i="2" a="1"/>
  <c r="R441" i="2" a="1"/>
  <c r="Q441" i="2" a="1"/>
  <c r="T441" i="2" s="1"/>
  <c r="S440" i="2" a="1"/>
  <c r="R440" i="2" a="1"/>
  <c r="Q440" i="2" a="1"/>
  <c r="T440" i="2" s="1"/>
  <c r="S439" i="2" a="1"/>
  <c r="R439" i="2" a="1"/>
  <c r="Q439" i="2" a="1"/>
  <c r="T439" i="2" s="1"/>
  <c r="S438" i="2" a="1"/>
  <c r="R438" i="2" a="1"/>
  <c r="Q438" i="2" a="1"/>
  <c r="T438" i="2" s="1"/>
  <c r="S437" i="2" a="1"/>
  <c r="R437" i="2" a="1"/>
  <c r="Q437" i="2" a="1"/>
  <c r="T437" i="2" s="1"/>
  <c r="S436" i="2" a="1"/>
  <c r="R436" i="2" a="1"/>
  <c r="Q436" i="2" a="1"/>
  <c r="T436" i="2" s="1"/>
  <c r="S435" i="2" a="1"/>
  <c r="R435" i="2" a="1"/>
  <c r="Q435" i="2" a="1"/>
  <c r="T435" i="2" s="1"/>
  <c r="S434" i="2" a="1"/>
  <c r="R434" i="2" a="1"/>
  <c r="Q434" i="2" a="1"/>
  <c r="T434" i="2" s="1"/>
  <c r="S433" i="2" a="1"/>
  <c r="R433" i="2" a="1"/>
  <c r="Q433" i="2" a="1"/>
  <c r="T433" i="2" s="1"/>
  <c r="S432" i="2" a="1"/>
  <c r="R432" i="2" a="1"/>
  <c r="Q432" i="2" a="1"/>
  <c r="T432" i="2" s="1"/>
  <c r="S431" i="2" a="1"/>
  <c r="R431" i="2" a="1"/>
  <c r="Q431" i="2" a="1"/>
  <c r="S430" i="2" a="1"/>
  <c r="R430" i="2" a="1"/>
  <c r="Q430" i="2" a="1"/>
  <c r="T430" i="2" s="1"/>
  <c r="S429" i="2" a="1"/>
  <c r="R429" i="2" a="1"/>
  <c r="Q429" i="2" a="1"/>
  <c r="T429" i="2" s="1"/>
  <c r="S428" i="2" a="1"/>
  <c r="R428" i="2" a="1"/>
  <c r="Q428" i="2" a="1"/>
  <c r="T428" i="2" s="1"/>
  <c r="S427" i="2" a="1"/>
  <c r="R427" i="2" a="1"/>
  <c r="Q427" i="2" a="1"/>
  <c r="S426" i="2" a="1"/>
  <c r="R426" i="2" a="1"/>
  <c r="Q426" i="2" a="1"/>
  <c r="T426" i="2" s="1"/>
  <c r="S425" i="2" a="1"/>
  <c r="R425" i="2" a="1"/>
  <c r="Q425" i="2" a="1"/>
  <c r="T425" i="2" s="1"/>
  <c r="S424" i="2" a="1"/>
  <c r="R424" i="2" a="1"/>
  <c r="Q424" i="2" a="1"/>
  <c r="T424" i="2" s="1"/>
  <c r="S423" i="2" a="1"/>
  <c r="R423" i="2" a="1"/>
  <c r="Q423" i="2" a="1"/>
  <c r="T423" i="2" s="1"/>
  <c r="S422" i="2" a="1"/>
  <c r="R422" i="2" a="1"/>
  <c r="Q422" i="2" a="1"/>
  <c r="T422" i="2" s="1"/>
  <c r="S421" i="2" a="1"/>
  <c r="R421" i="2" a="1"/>
  <c r="Q421" i="2" a="1"/>
  <c r="T421" i="2" s="1"/>
  <c r="S420" i="2" a="1"/>
  <c r="R420" i="2" a="1"/>
  <c r="Q420" i="2" a="1"/>
  <c r="T420" i="2" s="1"/>
  <c r="S419" i="2" a="1"/>
  <c r="R419" i="2" a="1"/>
  <c r="Q419" i="2" a="1"/>
  <c r="T419" i="2" s="1"/>
  <c r="S418" i="2" a="1"/>
  <c r="R418" i="2" a="1"/>
  <c r="Q418" i="2" a="1"/>
  <c r="T418" i="2" s="1"/>
  <c r="S417" i="2" a="1"/>
  <c r="R417" i="2" a="1"/>
  <c r="Q417" i="2" a="1"/>
  <c r="T417" i="2" s="1"/>
  <c r="S416" i="2" a="1"/>
  <c r="R416" i="2" a="1"/>
  <c r="Q416" i="2" a="1"/>
  <c r="T416" i="2" s="1"/>
  <c r="S415" i="2" a="1"/>
  <c r="R415" i="2" a="1"/>
  <c r="Q415" i="2" a="1"/>
  <c r="T415" i="2" s="1"/>
  <c r="S414" i="2" a="1"/>
  <c r="R414" i="2" a="1"/>
  <c r="Q414" i="2" a="1"/>
  <c r="T414" i="2" s="1"/>
  <c r="S413" i="2" a="1"/>
  <c r="R413" i="2" a="1"/>
  <c r="Q413" i="2" a="1"/>
  <c r="T413" i="2" s="1"/>
  <c r="S412" i="2" a="1"/>
  <c r="R412" i="2" a="1"/>
  <c r="Q412" i="2" a="1"/>
  <c r="T412" i="2" s="1"/>
  <c r="S411" i="2" a="1"/>
  <c r="R411" i="2" a="1"/>
  <c r="Q411" i="2" a="1"/>
  <c r="T411" i="2" s="1"/>
  <c r="S410" i="2" a="1"/>
  <c r="R410" i="2" a="1"/>
  <c r="Q410" i="2" a="1"/>
  <c r="T410" i="2" s="1"/>
  <c r="S409" i="2" a="1"/>
  <c r="R409" i="2" a="1"/>
  <c r="Q409" i="2" a="1"/>
  <c r="T409" i="2" s="1"/>
  <c r="S408" i="2" a="1"/>
  <c r="R408" i="2" a="1"/>
  <c r="Q408" i="2" a="1"/>
  <c r="T408" i="2" s="1"/>
  <c r="S407" i="2" a="1"/>
  <c r="R407" i="2" a="1"/>
  <c r="Q407" i="2" a="1"/>
  <c r="T407" i="2" s="1"/>
  <c r="S406" i="2" a="1"/>
  <c r="R406" i="2" a="1"/>
  <c r="Q406" i="2" a="1"/>
  <c r="T406" i="2" s="1"/>
  <c r="S405" i="2" a="1"/>
  <c r="R405" i="2" a="1"/>
  <c r="Q405" i="2" a="1"/>
  <c r="T405" i="2" s="1"/>
  <c r="S404" i="2" a="1"/>
  <c r="R404" i="2" a="1"/>
  <c r="Q404" i="2" a="1"/>
  <c r="T404" i="2" s="1"/>
  <c r="S403" i="2" a="1"/>
  <c r="R403" i="2" a="1"/>
  <c r="Q403" i="2" a="1"/>
  <c r="T403" i="2" s="1"/>
  <c r="S402" i="2" a="1"/>
  <c r="R402" i="2" a="1"/>
  <c r="Q402" i="2" a="1"/>
  <c r="T402" i="2" s="1"/>
  <c r="S401" i="2" a="1"/>
  <c r="R401" i="2" a="1"/>
  <c r="Q401" i="2" a="1"/>
  <c r="T401" i="2" s="1"/>
  <c r="S400" i="2" a="1"/>
  <c r="R400" i="2" a="1"/>
  <c r="Q400" i="2" a="1"/>
  <c r="T400" i="2" s="1"/>
  <c r="S399" i="2" a="1"/>
  <c r="R399" i="2" a="1"/>
  <c r="Q399" i="2" a="1"/>
  <c r="T399" i="2" s="1"/>
  <c r="S398" i="2" a="1"/>
  <c r="R398" i="2" a="1"/>
  <c r="Q398" i="2" a="1"/>
  <c r="T398" i="2" s="1"/>
  <c r="S397" i="2" a="1"/>
  <c r="R397" i="2" a="1"/>
  <c r="Q397" i="2" a="1"/>
  <c r="T397" i="2" s="1"/>
  <c r="S396" i="2" a="1"/>
  <c r="R396" i="2" a="1"/>
  <c r="Q396" i="2" a="1"/>
  <c r="T396" i="2" s="1"/>
  <c r="S395" i="2" a="1"/>
  <c r="R395" i="2" a="1"/>
  <c r="Q395" i="2" a="1"/>
  <c r="T395" i="2" s="1"/>
  <c r="S394" i="2" a="1"/>
  <c r="R394" i="2" a="1"/>
  <c r="Q394" i="2" a="1"/>
  <c r="T394" i="2" s="1"/>
  <c r="S393" i="2" a="1"/>
  <c r="R393" i="2" a="1"/>
  <c r="Q393" i="2" a="1"/>
  <c r="T393" i="2" s="1"/>
  <c r="S392" i="2" a="1"/>
  <c r="R392" i="2" a="1"/>
  <c r="Q392" i="2" a="1"/>
  <c r="T392" i="2" s="1"/>
  <c r="S391" i="2" a="1"/>
  <c r="R391" i="2" a="1"/>
  <c r="Q391" i="2" a="1"/>
  <c r="T391" i="2" s="1"/>
  <c r="S390" i="2" a="1"/>
  <c r="R390" i="2" a="1"/>
  <c r="Q390" i="2" a="1"/>
  <c r="T390" i="2" s="1"/>
  <c r="S389" i="2" a="1"/>
  <c r="R389" i="2" a="1"/>
  <c r="Q389" i="2" a="1"/>
  <c r="T389" i="2" s="1"/>
  <c r="S388" i="2" a="1"/>
  <c r="R388" i="2" a="1"/>
  <c r="Q388" i="2" a="1"/>
  <c r="T388" i="2" s="1"/>
  <c r="S387" i="2" a="1"/>
  <c r="R387" i="2" a="1"/>
  <c r="Q387" i="2" a="1"/>
  <c r="T387" i="2" s="1"/>
  <c r="S386" i="2" a="1"/>
  <c r="R386" i="2" a="1"/>
  <c r="Q386" i="2" a="1"/>
  <c r="T386" i="2" s="1"/>
  <c r="S385" i="2" a="1"/>
  <c r="R385" i="2" a="1"/>
  <c r="Q385" i="2" a="1"/>
  <c r="T385" i="2" s="1"/>
  <c r="S384" i="2" a="1"/>
  <c r="R384" i="2" a="1"/>
  <c r="Q384" i="2" a="1"/>
  <c r="T384" i="2" s="1"/>
  <c r="S383" i="2" a="1"/>
  <c r="R383" i="2" a="1"/>
  <c r="Q383" i="2" a="1"/>
  <c r="T383" i="2" s="1"/>
  <c r="S382" i="2" a="1"/>
  <c r="R382" i="2" a="1"/>
  <c r="Q382" i="2" a="1"/>
  <c r="T382" i="2" s="1"/>
  <c r="S381" i="2" a="1"/>
  <c r="R381" i="2" a="1"/>
  <c r="Q381" i="2" a="1"/>
  <c r="T381" i="2" s="1"/>
  <c r="S380" i="2" a="1"/>
  <c r="R380" i="2" a="1"/>
  <c r="Q380" i="2" a="1"/>
  <c r="T380" i="2" s="1"/>
  <c r="S379" i="2" a="1"/>
  <c r="R379" i="2" a="1"/>
  <c r="Q379" i="2" a="1"/>
  <c r="T379" i="2" s="1"/>
  <c r="S378" i="2" a="1"/>
  <c r="R378" i="2" a="1"/>
  <c r="Q378" i="2" a="1"/>
  <c r="T378" i="2" s="1"/>
  <c r="S377" i="2" a="1"/>
  <c r="R377" i="2" a="1"/>
  <c r="Q377" i="2" a="1"/>
  <c r="T377" i="2" s="1"/>
  <c r="S376" i="2" a="1"/>
  <c r="R376" i="2" a="1"/>
  <c r="Q376" i="2" a="1"/>
  <c r="T376" i="2" s="1"/>
  <c r="S375" i="2" a="1"/>
  <c r="R375" i="2" a="1"/>
  <c r="Q375" i="2" a="1"/>
  <c r="T375" i="2" s="1"/>
  <c r="S374" i="2" a="1"/>
  <c r="R374" i="2" a="1"/>
  <c r="Q374" i="2" a="1"/>
  <c r="T374" i="2" s="1"/>
  <c r="S373" i="2" a="1"/>
  <c r="R373" i="2" a="1"/>
  <c r="Q373" i="2" a="1"/>
  <c r="T373" i="2" s="1"/>
  <c r="S372" i="2" a="1"/>
  <c r="R372" i="2" a="1"/>
  <c r="Q372" i="2" a="1"/>
  <c r="T372" i="2" s="1"/>
  <c r="S371" i="2" a="1"/>
  <c r="R371" i="2" a="1"/>
  <c r="Q371" i="2" a="1"/>
  <c r="T371" i="2" s="1"/>
  <c r="S370" i="2" a="1"/>
  <c r="R370" i="2" a="1"/>
  <c r="Q370" i="2" a="1"/>
  <c r="T370" i="2" s="1"/>
  <c r="S369" i="2" a="1"/>
  <c r="R369" i="2" a="1"/>
  <c r="Q369" i="2" a="1"/>
  <c r="T369" i="2" s="1"/>
  <c r="S368" i="2" a="1"/>
  <c r="R368" i="2" a="1"/>
  <c r="Q368" i="2" a="1"/>
  <c r="T368" i="2" s="1"/>
  <c r="S367" i="2" a="1"/>
  <c r="R367" i="2" a="1"/>
  <c r="Q367" i="2" a="1"/>
  <c r="T367" i="2" s="1"/>
  <c r="S366" i="2" a="1"/>
  <c r="R366" i="2" a="1"/>
  <c r="Q366" i="2" a="1"/>
  <c r="T366" i="2" s="1"/>
  <c r="S365" i="2" a="1"/>
  <c r="R365" i="2" a="1"/>
  <c r="Q365" i="2" a="1"/>
  <c r="T365" i="2" s="1"/>
  <c r="S364" i="2" a="1"/>
  <c r="R364" i="2" a="1"/>
  <c r="Q364" i="2" a="1"/>
  <c r="T364" i="2" s="1"/>
  <c r="S363" i="2" a="1"/>
  <c r="R363" i="2" a="1"/>
  <c r="Q363" i="2" a="1"/>
  <c r="T363" i="2" s="1"/>
  <c r="S362" i="2" a="1"/>
  <c r="R362" i="2" a="1"/>
  <c r="Q362" i="2" a="1"/>
  <c r="T362" i="2" s="1"/>
  <c r="S361" i="2" a="1"/>
  <c r="R361" i="2" a="1"/>
  <c r="Q361" i="2" a="1"/>
  <c r="T361" i="2" s="1"/>
  <c r="S360" i="2" a="1"/>
  <c r="R360" i="2" a="1"/>
  <c r="Q360" i="2" a="1"/>
  <c r="T360" i="2" s="1"/>
  <c r="S359" i="2" a="1"/>
  <c r="R359" i="2" a="1"/>
  <c r="Q359" i="2" a="1"/>
  <c r="T359" i="2" s="1"/>
  <c r="S358" i="2" a="1"/>
  <c r="R358" i="2" a="1"/>
  <c r="Q358" i="2" a="1"/>
  <c r="T358" i="2" s="1"/>
  <c r="S357" i="2" a="1"/>
  <c r="R357" i="2" a="1"/>
  <c r="Q357" i="2" a="1"/>
  <c r="T357" i="2" s="1"/>
  <c r="S356" i="2" a="1"/>
  <c r="R356" i="2" a="1"/>
  <c r="Q356" i="2" a="1"/>
  <c r="T356" i="2" s="1"/>
  <c r="S355" i="2" a="1"/>
  <c r="R355" i="2" a="1"/>
  <c r="Q355" i="2" a="1"/>
  <c r="T355" i="2" s="1"/>
  <c r="S354" i="2" a="1"/>
  <c r="R354" i="2" a="1"/>
  <c r="Q354" i="2" a="1"/>
  <c r="T354" i="2" s="1"/>
  <c r="S353" i="2" a="1"/>
  <c r="R353" i="2" a="1"/>
  <c r="Q353" i="2" a="1"/>
  <c r="T353" i="2" s="1"/>
  <c r="S352" i="2" a="1"/>
  <c r="R352" i="2" a="1"/>
  <c r="Q352" i="2" a="1"/>
  <c r="T352" i="2" s="1"/>
  <c r="S351" i="2" a="1"/>
  <c r="R351" i="2" a="1"/>
  <c r="Q351" i="2" a="1"/>
  <c r="T351" i="2" s="1"/>
  <c r="S350" i="2" a="1"/>
  <c r="R350" i="2" a="1"/>
  <c r="Q350" i="2" a="1"/>
  <c r="T350" i="2" s="1"/>
  <c r="S349" i="2" a="1"/>
  <c r="R349" i="2" a="1"/>
  <c r="Q349" i="2" a="1"/>
  <c r="T349" i="2" s="1"/>
  <c r="S348" i="2" a="1"/>
  <c r="R348" i="2" a="1"/>
  <c r="Q348" i="2" a="1"/>
  <c r="T348" i="2" s="1"/>
  <c r="S347" i="2" a="1"/>
  <c r="R347" i="2" a="1"/>
  <c r="Q347" i="2" a="1"/>
  <c r="T347" i="2" s="1"/>
  <c r="S346" i="2" a="1"/>
  <c r="R346" i="2" a="1"/>
  <c r="Q346" i="2" a="1"/>
  <c r="T346" i="2" s="1"/>
  <c r="S345" i="2" a="1"/>
  <c r="R345" i="2" a="1"/>
  <c r="Q345" i="2" a="1"/>
  <c r="T345" i="2" s="1"/>
  <c r="S344" i="2" a="1"/>
  <c r="R344" i="2" a="1"/>
  <c r="Q344" i="2" a="1"/>
  <c r="T344" i="2" s="1"/>
  <c r="S343" i="2" a="1"/>
  <c r="R343" i="2" a="1"/>
  <c r="Q343" i="2" a="1"/>
  <c r="T343" i="2" s="1"/>
  <c r="S342" i="2" a="1"/>
  <c r="R342" i="2" a="1"/>
  <c r="Q342" i="2" a="1"/>
  <c r="T342" i="2" s="1"/>
  <c r="S341" i="2" a="1"/>
  <c r="R341" i="2" a="1"/>
  <c r="Q341" i="2" a="1"/>
  <c r="T341" i="2" s="1"/>
  <c r="S340" i="2" a="1"/>
  <c r="R340" i="2" a="1"/>
  <c r="Q340" i="2" a="1"/>
  <c r="T340" i="2" s="1"/>
  <c r="S339" i="2" a="1"/>
  <c r="R339" i="2" a="1"/>
  <c r="Q339" i="2" a="1"/>
  <c r="T339" i="2" s="1"/>
  <c r="S338" i="2" a="1"/>
  <c r="R338" i="2" a="1"/>
  <c r="Q338" i="2" a="1"/>
  <c r="T338" i="2" s="1"/>
  <c r="S337" i="2" a="1"/>
  <c r="R337" i="2" a="1"/>
  <c r="Q337" i="2" a="1"/>
  <c r="T337" i="2" s="1"/>
  <c r="S336" i="2" a="1"/>
  <c r="R336" i="2" a="1"/>
  <c r="Q336" i="2" a="1"/>
  <c r="T336" i="2" s="1"/>
  <c r="S335" i="2" a="1"/>
  <c r="R335" i="2" a="1"/>
  <c r="Q335" i="2" a="1"/>
  <c r="T335" i="2" s="1"/>
  <c r="S334" i="2" a="1"/>
  <c r="R334" i="2" a="1"/>
  <c r="Q334" i="2" a="1"/>
  <c r="T334" i="2" s="1"/>
  <c r="S333" i="2" a="1"/>
  <c r="R333" i="2" a="1"/>
  <c r="Q333" i="2" a="1"/>
  <c r="T333" i="2" s="1"/>
  <c r="S332" i="2" a="1"/>
  <c r="R332" i="2" a="1"/>
  <c r="Q332" i="2" a="1"/>
  <c r="T332" i="2" s="1"/>
  <c r="S331" i="2" a="1"/>
  <c r="R331" i="2" a="1"/>
  <c r="Q331" i="2" a="1"/>
  <c r="T331" i="2" s="1"/>
  <c r="S330" i="2" a="1"/>
  <c r="R330" i="2" a="1"/>
  <c r="Q330" i="2" a="1"/>
  <c r="T330" i="2" s="1"/>
  <c r="S329" i="2" a="1"/>
  <c r="R329" i="2" a="1"/>
  <c r="Q329" i="2" a="1"/>
  <c r="T329" i="2" s="1"/>
  <c r="S328" i="2" a="1"/>
  <c r="R328" i="2" a="1"/>
  <c r="Q328" i="2" a="1"/>
  <c r="T328" i="2" s="1"/>
  <c r="S327" i="2" a="1"/>
  <c r="R327" i="2" a="1"/>
  <c r="Q327" i="2" a="1"/>
  <c r="T327" i="2" s="1"/>
  <c r="S326" i="2" a="1"/>
  <c r="R326" i="2" a="1"/>
  <c r="Q326" i="2" a="1"/>
  <c r="T326" i="2" s="1"/>
  <c r="S325" i="2" a="1"/>
  <c r="R325" i="2" a="1"/>
  <c r="Q325" i="2" a="1"/>
  <c r="T325" i="2" s="1"/>
  <c r="S324" i="2" a="1"/>
  <c r="R324" i="2" a="1"/>
  <c r="Q324" i="2" a="1"/>
  <c r="T324" i="2" s="1"/>
  <c r="S323" i="2" a="1"/>
  <c r="R323" i="2" a="1"/>
  <c r="Q323" i="2" a="1"/>
  <c r="T323" i="2" s="1"/>
  <c r="S322" i="2" a="1"/>
  <c r="R322" i="2" a="1"/>
  <c r="Q322" i="2" a="1"/>
  <c r="T322" i="2" s="1"/>
  <c r="S321" i="2" a="1"/>
  <c r="R321" i="2" a="1"/>
  <c r="Q321" i="2" a="1"/>
  <c r="T321" i="2" s="1"/>
  <c r="S320" i="2" a="1"/>
  <c r="R320" i="2" a="1"/>
  <c r="Q320" i="2" a="1"/>
  <c r="T320" i="2" s="1"/>
  <c r="S319" i="2" a="1"/>
  <c r="R319" i="2" a="1"/>
  <c r="Q319" i="2" a="1"/>
  <c r="T319" i="2" s="1"/>
  <c r="S318" i="2" a="1"/>
  <c r="R318" i="2" a="1"/>
  <c r="Q318" i="2" a="1"/>
  <c r="T318" i="2" s="1"/>
  <c r="S317" i="2" a="1"/>
  <c r="R317" i="2" a="1"/>
  <c r="Q317" i="2" a="1"/>
  <c r="S316" i="2" a="1"/>
  <c r="R316" i="2" a="1"/>
  <c r="Q316" i="2" a="1"/>
  <c r="S315" i="2" a="1"/>
  <c r="R315" i="2" a="1"/>
  <c r="Q315" i="2" a="1"/>
  <c r="T315" i="2" s="1"/>
  <c r="S314" i="2" a="1"/>
  <c r="R314" i="2" a="1"/>
  <c r="Q314" i="2" a="1"/>
  <c r="T314" i="2" s="1"/>
  <c r="S313" i="2" a="1"/>
  <c r="R313" i="2" a="1"/>
  <c r="Q313" i="2" a="1"/>
  <c r="S312" i="2" a="1"/>
  <c r="R312" i="2" a="1"/>
  <c r="Q312" i="2" a="1"/>
  <c r="T312" i="2" s="1"/>
  <c r="S311" i="2" a="1"/>
  <c r="R311" i="2" a="1"/>
  <c r="Q311" i="2" a="1"/>
  <c r="T311" i="2" s="1"/>
  <c r="S310" i="2" a="1"/>
  <c r="R310" i="2" a="1"/>
  <c r="Q310" i="2" a="1"/>
  <c r="T310" i="2" s="1"/>
  <c r="S309" i="2" a="1"/>
  <c r="R309" i="2" a="1"/>
  <c r="Q309" i="2" a="1"/>
  <c r="T309" i="2" s="1"/>
  <c r="S308" i="2" a="1"/>
  <c r="R308" i="2" a="1"/>
  <c r="Q308" i="2" a="1"/>
  <c r="S307" i="2" a="1"/>
  <c r="R307" i="2" a="1"/>
  <c r="Q307" i="2" a="1"/>
  <c r="S306" i="2" a="1"/>
  <c r="R306" i="2" a="1"/>
  <c r="Q306" i="2" a="1"/>
  <c r="S305" i="2" a="1"/>
  <c r="R305" i="2" a="1"/>
  <c r="Q305" i="2" a="1"/>
  <c r="S304" i="2" a="1"/>
  <c r="R304" i="2" a="1"/>
  <c r="Q304" i="2" a="1"/>
  <c r="S303" i="2" a="1"/>
  <c r="R303" i="2" a="1"/>
  <c r="Q303" i="2" a="1"/>
  <c r="T303" i="2" s="1"/>
  <c r="S302" i="2" a="1"/>
  <c r="R302" i="2" a="1"/>
  <c r="Q302" i="2" a="1"/>
  <c r="T302" i="2" s="1"/>
  <c r="S301" i="2" a="1"/>
  <c r="R301" i="2" a="1"/>
  <c r="Q301" i="2" a="1"/>
  <c r="S300" i="2" a="1"/>
  <c r="R300" i="2" a="1"/>
  <c r="Q300" i="2" a="1"/>
  <c r="S299" i="2" a="1"/>
  <c r="R299" i="2" a="1"/>
  <c r="Q299" i="2" a="1"/>
  <c r="S298" i="2" a="1"/>
  <c r="R298" i="2" a="1"/>
  <c r="Q298" i="2" a="1"/>
  <c r="S297" i="2" a="1"/>
  <c r="R297" i="2" a="1"/>
  <c r="Q297" i="2" a="1"/>
  <c r="S296" i="2" a="1"/>
  <c r="R296" i="2" a="1"/>
  <c r="Q296" i="2" a="1"/>
  <c r="S295" i="2" a="1"/>
  <c r="R295" i="2" a="1"/>
  <c r="Q295" i="2" a="1"/>
  <c r="S294" i="2" a="1"/>
  <c r="R294" i="2" a="1"/>
  <c r="Q294" i="2" a="1"/>
  <c r="S293" i="2" a="1"/>
  <c r="R293" i="2" a="1"/>
  <c r="Q293" i="2" a="1"/>
  <c r="S292" i="2" a="1"/>
  <c r="R292" i="2" a="1"/>
  <c r="Q292" i="2" a="1"/>
  <c r="T292" i="2" s="1"/>
  <c r="S291" i="2" a="1"/>
  <c r="R291" i="2" a="1"/>
  <c r="Q291" i="2" a="1"/>
  <c r="S290" i="2" a="1"/>
  <c r="R290" i="2" a="1"/>
  <c r="Q290" i="2" a="1"/>
  <c r="S289" i="2" a="1"/>
  <c r="R289" i="2" a="1"/>
  <c r="Q289" i="2" a="1"/>
  <c r="S288" i="2" a="1"/>
  <c r="R288" i="2" a="1"/>
  <c r="Q288" i="2" a="1"/>
  <c r="S287" i="2" a="1"/>
  <c r="R287" i="2" a="1"/>
  <c r="Q287" i="2" a="1"/>
  <c r="S286" i="2" a="1"/>
  <c r="R286" i="2" a="1"/>
  <c r="Q286" i="2" a="1"/>
  <c r="S285" i="2" a="1"/>
  <c r="R285" i="2" a="1"/>
  <c r="Q285" i="2" a="1"/>
  <c r="S284" i="2" a="1"/>
  <c r="R284" i="2" a="1"/>
  <c r="Q284" i="2" a="1"/>
  <c r="S283" i="2" a="1"/>
  <c r="R283" i="2" a="1"/>
  <c r="Q283" i="2" a="1"/>
  <c r="S282" i="2" a="1"/>
  <c r="R282" i="2" a="1"/>
  <c r="Q282" i="2" a="1"/>
  <c r="S281" i="2" a="1"/>
  <c r="R281" i="2" a="1"/>
  <c r="Q281" i="2" a="1"/>
  <c r="S280" i="2" a="1"/>
  <c r="R280" i="2" a="1"/>
  <c r="Q280" i="2" a="1"/>
  <c r="S279" i="2" a="1"/>
  <c r="R279" i="2" a="1"/>
  <c r="Q279" i="2" a="1"/>
  <c r="S278" i="2" a="1"/>
  <c r="R278" i="2" a="1"/>
  <c r="Q278" i="2" a="1"/>
  <c r="S277" i="2" a="1"/>
  <c r="R277" i="2" a="1"/>
  <c r="Q277" i="2" a="1"/>
  <c r="S276" i="2" a="1"/>
  <c r="R276" i="2" a="1"/>
  <c r="Q276" i="2" a="1"/>
  <c r="S275" i="2" a="1"/>
  <c r="R275" i="2" a="1"/>
  <c r="Q275" i="2" a="1"/>
  <c r="S274" i="2" a="1"/>
  <c r="R274" i="2" a="1"/>
  <c r="Q274" i="2" a="1"/>
  <c r="S273" i="2" a="1"/>
  <c r="R273" i="2" a="1"/>
  <c r="Q273" i="2" a="1"/>
  <c r="S272" i="2" a="1"/>
  <c r="R272" i="2" a="1"/>
  <c r="Q272" i="2" a="1"/>
  <c r="S271" i="2" a="1"/>
  <c r="R271" i="2" a="1"/>
  <c r="Q271" i="2" a="1"/>
  <c r="S270" i="2" a="1"/>
  <c r="R270" i="2" a="1"/>
  <c r="Q270" i="2" a="1"/>
  <c r="S269" i="2" a="1"/>
  <c r="R269" i="2" a="1"/>
  <c r="Q269" i="2" a="1"/>
  <c r="S268" i="2" a="1"/>
  <c r="R268" i="2" a="1"/>
  <c r="Q268" i="2" a="1"/>
  <c r="S267" i="2" a="1"/>
  <c r="R267" i="2" a="1"/>
  <c r="Q267" i="2" a="1"/>
  <c r="S266" i="2" a="1"/>
  <c r="R266" i="2" a="1"/>
  <c r="Q266" i="2" a="1"/>
  <c r="S265" i="2" a="1"/>
  <c r="R265" i="2" a="1"/>
  <c r="Q265" i="2" a="1"/>
  <c r="S264" i="2" a="1"/>
  <c r="R264" i="2" a="1"/>
  <c r="Q264" i="2" a="1"/>
  <c r="S263" i="2" a="1"/>
  <c r="R263" i="2" a="1"/>
  <c r="Q263" i="2" a="1"/>
  <c r="S262" i="2" a="1"/>
  <c r="R262" i="2" a="1"/>
  <c r="Q262" i="2" a="1"/>
  <c r="S261" i="2" a="1"/>
  <c r="R261" i="2" a="1"/>
  <c r="Q261" i="2" a="1"/>
  <c r="S260" i="2" a="1"/>
  <c r="R260" i="2" a="1"/>
  <c r="Q260" i="2" a="1"/>
  <c r="S259" i="2" a="1"/>
  <c r="R259" i="2" a="1"/>
  <c r="Q259" i="2" a="1"/>
  <c r="S258" i="2" a="1"/>
  <c r="R258" i="2" a="1"/>
  <c r="Q258" i="2" a="1"/>
  <c r="S257" i="2" a="1"/>
  <c r="R257" i="2" a="1"/>
  <c r="Q257" i="2" a="1"/>
  <c r="S256" i="2" a="1"/>
  <c r="R256" i="2" a="1"/>
  <c r="Q256" i="2" a="1"/>
  <c r="S255" i="2" a="1"/>
  <c r="R255" i="2" a="1"/>
  <c r="Q255" i="2" a="1"/>
  <c r="S254" i="2" a="1"/>
  <c r="R254" i="2" a="1"/>
  <c r="Q254" i="2" a="1"/>
  <c r="S253" i="2" a="1"/>
  <c r="R253" i="2" a="1"/>
  <c r="Q253" i="2" a="1"/>
  <c r="S252" i="2" a="1"/>
  <c r="R252" i="2" a="1"/>
  <c r="Q252" i="2" a="1"/>
  <c r="S251" i="2" a="1"/>
  <c r="R251" i="2" a="1"/>
  <c r="Q251" i="2" a="1"/>
  <c r="S250" i="2" a="1"/>
  <c r="R250" i="2" a="1"/>
  <c r="Q250" i="2" a="1"/>
  <c r="S249" i="2" a="1"/>
  <c r="R249" i="2" a="1"/>
  <c r="Q249" i="2" a="1"/>
  <c r="S248" i="2" a="1"/>
  <c r="R248" i="2" a="1"/>
  <c r="Q248" i="2" a="1"/>
  <c r="S247" i="2" a="1"/>
  <c r="R247" i="2" a="1"/>
  <c r="Q247" i="2" a="1"/>
  <c r="S246" i="2" a="1"/>
  <c r="R246" i="2" a="1"/>
  <c r="Q246" i="2" a="1"/>
  <c r="S245" i="2" a="1"/>
  <c r="R245" i="2" a="1"/>
  <c r="Q245" i="2" a="1"/>
  <c r="S244" i="2" a="1"/>
  <c r="R244" i="2" a="1"/>
  <c r="Q244" i="2" a="1"/>
  <c r="S243" i="2" a="1"/>
  <c r="R243" i="2" a="1"/>
  <c r="Q243" i="2" a="1"/>
  <c r="S242" i="2" a="1"/>
  <c r="R242" i="2" a="1"/>
  <c r="Q242" i="2" a="1"/>
  <c r="S241" i="2" a="1"/>
  <c r="R241" i="2" a="1"/>
  <c r="Q241" i="2" a="1"/>
  <c r="S240" i="2" a="1"/>
  <c r="R240" i="2" a="1"/>
  <c r="Q240" i="2" a="1"/>
  <c r="S239" i="2" a="1"/>
  <c r="R239" i="2" a="1"/>
  <c r="Q239" i="2" a="1"/>
  <c r="S238" i="2" a="1"/>
  <c r="R238" i="2" a="1"/>
  <c r="Q238" i="2" a="1"/>
  <c r="S237" i="2" a="1"/>
  <c r="R237" i="2" a="1"/>
  <c r="Q237" i="2" a="1"/>
  <c r="S236" i="2" a="1"/>
  <c r="R236" i="2" a="1"/>
  <c r="Q236" i="2" a="1"/>
  <c r="S235" i="2" a="1"/>
  <c r="R235" i="2" a="1"/>
  <c r="Q235" i="2" a="1"/>
  <c r="S234" i="2" a="1"/>
  <c r="R234" i="2" a="1"/>
  <c r="Q234" i="2" a="1"/>
  <c r="S233" i="2" a="1"/>
  <c r="R233" i="2" a="1"/>
  <c r="Q233" i="2" a="1"/>
  <c r="S232" i="2" a="1"/>
  <c r="R232" i="2" a="1"/>
  <c r="Q232" i="2" a="1"/>
  <c r="S231" i="2" a="1"/>
  <c r="R231" i="2" a="1"/>
  <c r="Q231" i="2" a="1"/>
  <c r="S230" i="2" a="1"/>
  <c r="R230" i="2" a="1"/>
  <c r="Q230" i="2" a="1"/>
  <c r="S229" i="2" a="1"/>
  <c r="R229" i="2" a="1"/>
  <c r="Q229" i="2" a="1"/>
  <c r="S228" i="2" a="1"/>
  <c r="R228" i="2" a="1"/>
  <c r="Q228" i="2" a="1"/>
  <c r="S227" i="2" a="1"/>
  <c r="R227" i="2" a="1"/>
  <c r="Q227" i="2" a="1"/>
  <c r="S226" i="2" a="1"/>
  <c r="R226" i="2" a="1"/>
  <c r="Q226" i="2" a="1"/>
  <c r="S225" i="2" a="1"/>
  <c r="R225" i="2" a="1"/>
  <c r="Q225" i="2" a="1"/>
  <c r="S224" i="2" a="1"/>
  <c r="R224" i="2" a="1"/>
  <c r="Q224" i="2" a="1"/>
  <c r="S223" i="2" a="1"/>
  <c r="R223" i="2" a="1"/>
  <c r="Q223" i="2" a="1"/>
  <c r="S222" i="2" a="1"/>
  <c r="R222" i="2" a="1"/>
  <c r="Q222" i="2" a="1"/>
  <c r="S221" i="2" a="1"/>
  <c r="R221" i="2" a="1"/>
  <c r="Q221" i="2" a="1"/>
  <c r="S220" i="2" a="1"/>
  <c r="R220" i="2" a="1"/>
  <c r="Q220" i="2" a="1"/>
  <c r="S219" i="2" a="1"/>
  <c r="R219" i="2" a="1"/>
  <c r="Q219" i="2" a="1"/>
  <c r="S218" i="2" a="1"/>
  <c r="R218" i="2" a="1"/>
  <c r="Q218" i="2" a="1"/>
  <c r="S217" i="2" a="1"/>
  <c r="R217" i="2" a="1"/>
  <c r="Q217" i="2" a="1"/>
  <c r="S216" i="2" a="1"/>
  <c r="R216" i="2" a="1"/>
  <c r="Q216" i="2" a="1"/>
  <c r="S215" i="2" a="1"/>
  <c r="R215" i="2" a="1"/>
  <c r="Q215" i="2" a="1"/>
  <c r="S214" i="2" a="1"/>
  <c r="R214" i="2" a="1"/>
  <c r="Q214" i="2" a="1"/>
  <c r="S213" i="2" a="1"/>
  <c r="R213" i="2" a="1"/>
  <c r="Q213" i="2" a="1"/>
  <c r="S212" i="2" a="1"/>
  <c r="R212" i="2" a="1"/>
  <c r="Q212" i="2" a="1"/>
  <c r="S211" i="2" a="1"/>
  <c r="R211" i="2" a="1"/>
  <c r="Q211" i="2" a="1"/>
  <c r="S210" i="2" a="1"/>
  <c r="R210" i="2" a="1"/>
  <c r="Q210" i="2" a="1"/>
  <c r="S209" i="2" a="1"/>
  <c r="R209" i="2" a="1"/>
  <c r="Q209" i="2" a="1"/>
  <c r="S208" i="2" a="1"/>
  <c r="R208" i="2" a="1"/>
  <c r="Q208" i="2" a="1"/>
  <c r="S207" i="2" a="1"/>
  <c r="R207" i="2" a="1"/>
  <c r="Q207" i="2" a="1"/>
  <c r="S206" i="2" a="1"/>
  <c r="R206" i="2" a="1"/>
  <c r="Q206" i="2" a="1"/>
  <c r="S205" i="2" a="1"/>
  <c r="R205" i="2" a="1"/>
  <c r="Q205" i="2" a="1"/>
  <c r="S204" i="2" a="1"/>
  <c r="R204" i="2" a="1"/>
  <c r="Q204" i="2" a="1"/>
  <c r="S203" i="2" a="1"/>
  <c r="R203" i="2" a="1"/>
  <c r="Q203" i="2" a="1"/>
  <c r="S202" i="2" a="1"/>
  <c r="R202" i="2" a="1"/>
  <c r="Q202" i="2" a="1"/>
  <c r="S201" i="2" a="1"/>
  <c r="R201" i="2" a="1"/>
  <c r="Q201" i="2" a="1"/>
  <c r="S200" i="2" a="1"/>
  <c r="R200" i="2" a="1"/>
  <c r="Q200" i="2" a="1"/>
  <c r="S199" i="2" a="1"/>
  <c r="R199" i="2" a="1"/>
  <c r="Q199" i="2" a="1"/>
  <c r="S198" i="2" a="1"/>
  <c r="R198" i="2" a="1"/>
  <c r="Q198" i="2" a="1"/>
  <c r="S197" i="2" a="1"/>
  <c r="R197" i="2" a="1"/>
  <c r="Q197" i="2" a="1"/>
  <c r="S196" i="2" a="1"/>
  <c r="R196" i="2" a="1"/>
  <c r="Q196" i="2" a="1"/>
  <c r="S195" i="2" a="1"/>
  <c r="R195" i="2" a="1"/>
  <c r="Q195" i="2" a="1"/>
  <c r="S194" i="2" a="1"/>
  <c r="R194" i="2" a="1"/>
  <c r="Q194" i="2" a="1"/>
  <c r="T194" i="2" s="1"/>
  <c r="S193" i="2" a="1"/>
  <c r="R193" i="2" a="1"/>
  <c r="Q193" i="2" a="1"/>
  <c r="T193" i="2" s="1"/>
  <c r="S192" i="2" a="1"/>
  <c r="R192" i="2" a="1"/>
  <c r="Q192" i="2" a="1"/>
  <c r="T192" i="2" s="1"/>
  <c r="S191" i="2" a="1"/>
  <c r="R191" i="2" a="1"/>
  <c r="Q191" i="2" a="1"/>
  <c r="T191" i="2" s="1"/>
  <c r="S190" i="2" a="1"/>
  <c r="R190" i="2" a="1"/>
  <c r="Q190" i="2" a="1"/>
  <c r="T190" i="2" s="1"/>
  <c r="S189" i="2" a="1"/>
  <c r="R189" i="2" a="1"/>
  <c r="Q189" i="2" a="1"/>
  <c r="T189" i="2" s="1"/>
  <c r="S188" i="2" a="1"/>
  <c r="R188" i="2" a="1"/>
  <c r="Q188" i="2" a="1"/>
  <c r="T188" i="2" s="1"/>
  <c r="S187" i="2" a="1"/>
  <c r="R187" i="2" a="1"/>
  <c r="Q187" i="2" a="1"/>
  <c r="T187" i="2" s="1"/>
  <c r="S186" i="2" a="1"/>
  <c r="R186" i="2" a="1"/>
  <c r="Q186" i="2" a="1"/>
  <c r="T186" i="2" s="1"/>
  <c r="S185" i="2" a="1"/>
  <c r="R185" i="2" a="1"/>
  <c r="Q185" i="2" a="1"/>
  <c r="T185" i="2" s="1"/>
  <c r="S184" i="2" a="1"/>
  <c r="R184" i="2" a="1"/>
  <c r="Q184" i="2" a="1"/>
  <c r="T184" i="2" s="1"/>
  <c r="S183" i="2" a="1"/>
  <c r="R183" i="2" a="1"/>
  <c r="Q183" i="2" a="1"/>
  <c r="T183" i="2" s="1"/>
  <c r="S182" i="2" a="1"/>
  <c r="R182" i="2" a="1"/>
  <c r="Q182" i="2" a="1"/>
  <c r="T182" i="2" s="1"/>
  <c r="S181" i="2" a="1"/>
  <c r="R181" i="2" a="1"/>
  <c r="Q181" i="2" a="1"/>
  <c r="T181" i="2" s="1"/>
  <c r="S180" i="2" a="1"/>
  <c r="R180" i="2" a="1"/>
  <c r="Q180" i="2" a="1"/>
  <c r="T180" i="2" s="1"/>
  <c r="S179" i="2" a="1"/>
  <c r="R179" i="2" a="1"/>
  <c r="Q179" i="2" a="1"/>
  <c r="T179" i="2" s="1"/>
  <c r="S178" i="2" a="1"/>
  <c r="R178" i="2" a="1"/>
  <c r="Q178" i="2" a="1"/>
  <c r="T178" i="2" s="1"/>
  <c r="S177" i="2" a="1"/>
  <c r="R177" i="2" a="1"/>
  <c r="Q177" i="2" a="1"/>
  <c r="T177" i="2" s="1"/>
  <c r="S176" i="2" a="1"/>
  <c r="R176" i="2" a="1"/>
  <c r="Q176" i="2" a="1"/>
  <c r="T176" i="2" s="1"/>
  <c r="S175" i="2" a="1"/>
  <c r="R175" i="2" a="1"/>
  <c r="Q175" i="2" a="1"/>
  <c r="T175" i="2" s="1"/>
  <c r="S174" i="2" a="1"/>
  <c r="R174" i="2" a="1"/>
  <c r="Q174" i="2" a="1"/>
  <c r="T174" i="2" s="1"/>
  <c r="S173" i="2" a="1"/>
  <c r="R173" i="2" a="1"/>
  <c r="Q173" i="2" a="1"/>
  <c r="T173" i="2" s="1"/>
  <c r="S172" i="2" a="1"/>
  <c r="R172" i="2" a="1"/>
  <c r="Q172" i="2" a="1"/>
  <c r="S171" i="2" a="1"/>
  <c r="R171" i="2" a="1"/>
  <c r="Q171" i="2" a="1"/>
  <c r="T171" i="2" s="1"/>
  <c r="S170" i="2" a="1"/>
  <c r="R170" i="2" a="1"/>
  <c r="Q170" i="2" a="1"/>
  <c r="T170" i="2" s="1"/>
  <c r="S169" i="2" a="1"/>
  <c r="R169" i="2" a="1"/>
  <c r="Q169" i="2" a="1"/>
  <c r="T169" i="2" s="1"/>
  <c r="S168" i="2" a="1"/>
  <c r="R168" i="2" a="1"/>
  <c r="Q168" i="2" a="1"/>
  <c r="T168" i="2" s="1"/>
  <c r="S167" i="2" a="1"/>
  <c r="R167" i="2" a="1"/>
  <c r="Q167" i="2" a="1"/>
  <c r="S166" i="2" a="1"/>
  <c r="R166" i="2" a="1"/>
  <c r="Q166" i="2" a="1"/>
  <c r="T166" i="2" s="1"/>
  <c r="S165" i="2" a="1"/>
  <c r="R165" i="2" a="1"/>
  <c r="Q165" i="2" a="1"/>
  <c r="T165" i="2" s="1"/>
  <c r="S164" i="2" a="1"/>
  <c r="R164" i="2" a="1"/>
  <c r="Q164" i="2" a="1"/>
  <c r="T164" i="2" s="1"/>
  <c r="S163" i="2" a="1"/>
  <c r="R163" i="2" a="1"/>
  <c r="Q163" i="2" a="1"/>
  <c r="S162" i="2" a="1"/>
  <c r="R162" i="2" a="1"/>
  <c r="Q162" i="2" a="1"/>
  <c r="T162" i="2" s="1"/>
  <c r="S161" i="2" a="1"/>
  <c r="R161" i="2" a="1"/>
  <c r="Q161" i="2" a="1"/>
  <c r="S160" i="2" a="1"/>
  <c r="R160" i="2" a="1"/>
  <c r="Q160" i="2" a="1"/>
  <c r="T160" i="2" s="1"/>
  <c r="S159" i="2" a="1"/>
  <c r="R159" i="2" a="1"/>
  <c r="Q159" i="2" a="1"/>
  <c r="T159" i="2" s="1"/>
  <c r="S158" i="2" a="1"/>
  <c r="R158" i="2" a="1"/>
  <c r="Q158" i="2" a="1"/>
  <c r="T158" i="2" s="1"/>
  <c r="S157" i="2" a="1"/>
  <c r="R157" i="2" a="1"/>
  <c r="Q157" i="2" a="1"/>
  <c r="T157" i="2" s="1"/>
  <c r="S156" i="2" a="1"/>
  <c r="R156" i="2" a="1"/>
  <c r="Q156" i="2" a="1"/>
  <c r="T156" i="2" s="1"/>
  <c r="S155" i="2" a="1"/>
  <c r="R155" i="2" a="1"/>
  <c r="Q155" i="2" a="1"/>
  <c r="T155" i="2" s="1"/>
  <c r="S154" i="2" a="1"/>
  <c r="R154" i="2" a="1"/>
  <c r="Q154" i="2" a="1"/>
  <c r="T154" i="2" s="1"/>
  <c r="S153" i="2" a="1"/>
  <c r="R153" i="2" a="1"/>
  <c r="Q153" i="2" a="1"/>
  <c r="T153" i="2" s="1"/>
  <c r="S152" i="2" a="1"/>
  <c r="R152" i="2" a="1"/>
  <c r="Q152" i="2" a="1"/>
  <c r="T152" i="2" s="1"/>
  <c r="S151" i="2" a="1"/>
  <c r="R151" i="2" a="1"/>
  <c r="Q151" i="2" a="1"/>
  <c r="S150" i="2" a="1"/>
  <c r="R150" i="2" a="1"/>
  <c r="Q150" i="2" a="1"/>
  <c r="T150" i="2" s="1"/>
  <c r="S149" i="2" a="1"/>
  <c r="R149" i="2" a="1"/>
  <c r="Q149" i="2" a="1"/>
  <c r="T149" i="2" s="1"/>
  <c r="S148" i="2" a="1"/>
  <c r="R148" i="2" a="1"/>
  <c r="Q148" i="2" a="1"/>
  <c r="T148" i="2" s="1"/>
  <c r="S147" i="2" a="1"/>
  <c r="R147" i="2" a="1"/>
  <c r="Q147" i="2" a="1"/>
  <c r="T147" i="2" s="1"/>
  <c r="S146" i="2" a="1"/>
  <c r="R146" i="2" a="1"/>
  <c r="Q146" i="2" a="1"/>
  <c r="T146" i="2" s="1"/>
  <c r="S145" i="2" a="1"/>
  <c r="R145" i="2" a="1"/>
  <c r="Q145" i="2" a="1"/>
  <c r="T145" i="2" s="1"/>
  <c r="S144" i="2" a="1"/>
  <c r="R144" i="2" a="1"/>
  <c r="Q144" i="2" a="1"/>
  <c r="T144" i="2" s="1"/>
  <c r="S143" i="2" a="1"/>
  <c r="R143" i="2" a="1"/>
  <c r="Q143" i="2" a="1"/>
  <c r="T143" i="2" s="1"/>
  <c r="S142" i="2" a="1"/>
  <c r="R142" i="2" a="1"/>
  <c r="Q142" i="2" a="1"/>
  <c r="T142" i="2" s="1"/>
  <c r="S141" i="2" a="1"/>
  <c r="R141" i="2" a="1"/>
  <c r="Q141" i="2" a="1"/>
  <c r="T141" i="2" s="1"/>
  <c r="S140" i="2" a="1"/>
  <c r="R140" i="2" a="1"/>
  <c r="Q140" i="2" a="1"/>
  <c r="T140" i="2" s="1"/>
  <c r="S139" i="2" a="1"/>
  <c r="R139" i="2" a="1"/>
  <c r="Q139" i="2" a="1"/>
  <c r="T139" i="2" s="1"/>
  <c r="S138" i="2" a="1"/>
  <c r="R138" i="2" a="1"/>
  <c r="Q138" i="2" a="1"/>
  <c r="T138" i="2" s="1"/>
  <c r="S137" i="2" a="1"/>
  <c r="R137" i="2" a="1"/>
  <c r="Q137" i="2" a="1"/>
  <c r="T137" i="2" s="1"/>
  <c r="S136" i="2" a="1"/>
  <c r="R136" i="2" a="1"/>
  <c r="Q136" i="2" a="1"/>
  <c r="T136" i="2" s="1"/>
  <c r="S135" i="2" a="1"/>
  <c r="R135" i="2" a="1"/>
  <c r="Q135" i="2" a="1"/>
  <c r="T135" i="2" s="1"/>
  <c r="S134" i="2" a="1"/>
  <c r="R134" i="2" a="1"/>
  <c r="Q134" i="2" a="1"/>
  <c r="T134" i="2" s="1"/>
  <c r="S133" i="2" a="1"/>
  <c r="R133" i="2" a="1"/>
  <c r="Q133" i="2" a="1"/>
  <c r="T133" i="2" s="1"/>
  <c r="S132" i="2" a="1"/>
  <c r="R132" i="2" a="1"/>
  <c r="Q132" i="2" a="1"/>
  <c r="T132" i="2" s="1"/>
  <c r="S131" i="2" a="1"/>
  <c r="R131" i="2" a="1"/>
  <c r="Q131" i="2" a="1"/>
  <c r="S130" i="2" a="1"/>
  <c r="R130" i="2" a="1"/>
  <c r="Q130" i="2" a="1"/>
  <c r="T130" i="2" s="1"/>
  <c r="S129" i="2" a="1"/>
  <c r="R129" i="2" a="1"/>
  <c r="Q129" i="2" a="1"/>
  <c r="T129" i="2" s="1"/>
  <c r="S128" i="2" a="1"/>
  <c r="R128" i="2" a="1"/>
  <c r="Q128" i="2" a="1"/>
  <c r="T128" i="2" s="1"/>
  <c r="S127" i="2" a="1"/>
  <c r="R127" i="2" a="1"/>
  <c r="Q127" i="2" a="1"/>
  <c r="T127" i="2" s="1"/>
  <c r="S126" i="2" a="1"/>
  <c r="R126" i="2" a="1"/>
  <c r="Q126" i="2" a="1"/>
  <c r="T126" i="2" s="1"/>
  <c r="S125" i="2" a="1"/>
  <c r="R125" i="2" a="1"/>
  <c r="Q125" i="2" a="1"/>
  <c r="T125" i="2" s="1"/>
  <c r="S124" i="2" a="1"/>
  <c r="R124" i="2" a="1"/>
  <c r="Q124" i="2" a="1"/>
  <c r="T124" i="2" s="1"/>
  <c r="S123" i="2" a="1"/>
  <c r="R123" i="2" a="1"/>
  <c r="Q123" i="2" a="1"/>
  <c r="T123" i="2" s="1"/>
  <c r="S122" i="2" a="1"/>
  <c r="R122" i="2" a="1"/>
  <c r="Q122" i="2" a="1"/>
  <c r="T122" i="2" s="1"/>
  <c r="S121" i="2" a="1"/>
  <c r="R121" i="2" a="1"/>
  <c r="Q121" i="2" a="1"/>
  <c r="T121" i="2" s="1"/>
  <c r="S120" i="2" a="1"/>
  <c r="R120" i="2" a="1"/>
  <c r="Q120" i="2" a="1"/>
  <c r="T120" i="2" s="1"/>
  <c r="S119" i="2" a="1"/>
  <c r="R119" i="2" a="1"/>
  <c r="Q119" i="2" a="1"/>
  <c r="T119" i="2" s="1"/>
  <c r="S118" i="2" a="1"/>
  <c r="R118" i="2" a="1"/>
  <c r="Q118" i="2" a="1"/>
  <c r="T118" i="2" s="1"/>
  <c r="S117" i="2" a="1"/>
  <c r="R117" i="2" a="1"/>
  <c r="Q117" i="2" a="1"/>
  <c r="T117" i="2" s="1"/>
  <c r="S116" i="2" a="1"/>
  <c r="R116" i="2" a="1"/>
  <c r="Q116" i="2" a="1"/>
  <c r="T116" i="2" s="1"/>
  <c r="S115" i="2" a="1"/>
  <c r="R115" i="2" a="1"/>
  <c r="Q115" i="2" a="1"/>
  <c r="T115" i="2" s="1"/>
  <c r="S114" i="2" a="1"/>
  <c r="R114" i="2" a="1"/>
  <c r="Q114" i="2" a="1"/>
  <c r="T114" i="2" s="1"/>
  <c r="S113" i="2" a="1"/>
  <c r="R113" i="2" a="1"/>
  <c r="Q113" i="2" a="1"/>
  <c r="T113" i="2" s="1"/>
  <c r="S112" i="2" a="1"/>
  <c r="R112" i="2" a="1"/>
  <c r="Q112" i="2" a="1"/>
  <c r="T112" i="2" s="1"/>
  <c r="S111" i="2" a="1"/>
  <c r="R111" i="2" a="1"/>
  <c r="Q111" i="2" a="1"/>
  <c r="T111" i="2" s="1"/>
  <c r="S110" i="2" a="1"/>
  <c r="R110" i="2" a="1"/>
  <c r="Q110" i="2" a="1"/>
  <c r="T110" i="2" s="1"/>
  <c r="S109" i="2" a="1"/>
  <c r="R109" i="2" a="1"/>
  <c r="Q109" i="2" a="1"/>
  <c r="T109" i="2" s="1"/>
  <c r="S108" i="2" a="1"/>
  <c r="R108" i="2" a="1"/>
  <c r="Q108" i="2" a="1"/>
  <c r="T108" i="2" s="1"/>
  <c r="S107" i="2" a="1"/>
  <c r="R107" i="2" a="1"/>
  <c r="Q107" i="2" a="1"/>
  <c r="T107" i="2" s="1"/>
  <c r="S106" i="2" a="1"/>
  <c r="R106" i="2" a="1"/>
  <c r="Q106" i="2" a="1"/>
  <c r="S105" i="2" a="1"/>
  <c r="R105" i="2" a="1"/>
  <c r="Q105" i="2" a="1"/>
  <c r="T105" i="2" s="1"/>
  <c r="S104" i="2" a="1"/>
  <c r="R104" i="2" a="1"/>
  <c r="Q104" i="2" a="1"/>
  <c r="T104" i="2" s="1"/>
  <c r="S103" i="2" a="1"/>
  <c r="R103" i="2" a="1"/>
  <c r="Q103" i="2" a="1"/>
  <c r="T103" i="2" s="1"/>
  <c r="S102" i="2" a="1"/>
  <c r="R102" i="2" a="1"/>
  <c r="Q102" i="2" a="1"/>
  <c r="T102" i="2" s="1"/>
  <c r="S101" i="2" a="1"/>
  <c r="R101" i="2" a="1"/>
  <c r="Q101" i="2" a="1"/>
  <c r="T101" i="2" s="1"/>
  <c r="S100" i="2" a="1"/>
  <c r="R100" i="2" a="1"/>
  <c r="Q100" i="2" a="1"/>
  <c r="T100" i="2" s="1"/>
  <c r="S99" i="2" a="1"/>
  <c r="R99" i="2" a="1"/>
  <c r="Q99" i="2" a="1"/>
  <c r="T99" i="2" s="1"/>
  <c r="S98" i="2" a="1"/>
  <c r="R98" i="2" a="1"/>
  <c r="Q98" i="2" a="1"/>
  <c r="T98" i="2" s="1"/>
  <c r="S97" i="2" a="1"/>
  <c r="R97" i="2" a="1"/>
  <c r="Q97" i="2" a="1"/>
  <c r="T97" i="2" s="1"/>
  <c r="S96" i="2" a="1"/>
  <c r="R96" i="2" a="1"/>
  <c r="Q96" i="2" a="1"/>
  <c r="T96" i="2" s="1"/>
  <c r="S95" i="2" a="1"/>
  <c r="R95" i="2" a="1"/>
  <c r="Q95" i="2" a="1"/>
  <c r="S94" i="2" a="1"/>
  <c r="R94" i="2" a="1"/>
  <c r="Q94" i="2" a="1"/>
  <c r="T94" i="2" s="1"/>
  <c r="S93" i="2" a="1"/>
  <c r="R93" i="2" a="1"/>
  <c r="Q93" i="2" a="1"/>
  <c r="T93" i="2" s="1"/>
  <c r="S92" i="2" a="1"/>
  <c r="R92" i="2" a="1"/>
  <c r="Q92" i="2" a="1"/>
  <c r="T92" i="2" s="1"/>
  <c r="S91" i="2" a="1"/>
  <c r="R91" i="2" a="1"/>
  <c r="Q91" i="2" a="1"/>
  <c r="T91" i="2" s="1"/>
  <c r="S90" i="2" a="1"/>
  <c r="R90" i="2" a="1"/>
  <c r="Q90" i="2" a="1"/>
  <c r="T90" i="2" s="1"/>
  <c r="S89" i="2" a="1"/>
  <c r="R89" i="2" a="1"/>
  <c r="Q89" i="2" a="1"/>
  <c r="T89" i="2" s="1"/>
  <c r="S88" i="2" a="1"/>
  <c r="R88" i="2" a="1"/>
  <c r="Q88" i="2" a="1"/>
  <c r="T88" i="2" s="1"/>
  <c r="S87" i="2" a="1"/>
  <c r="R87" i="2" a="1"/>
  <c r="Q87" i="2" a="1"/>
  <c r="T87" i="2" s="1"/>
  <c r="S86" i="2" a="1"/>
  <c r="R86" i="2" a="1"/>
  <c r="Q86" i="2" a="1"/>
  <c r="T86" i="2" s="1"/>
  <c r="S85" i="2" a="1"/>
  <c r="R85" i="2" a="1"/>
  <c r="Q85" i="2" a="1"/>
  <c r="T85" i="2" s="1"/>
  <c r="S84" i="2" a="1"/>
  <c r="R84" i="2" a="1"/>
  <c r="Q84" i="2" a="1"/>
  <c r="T84" i="2" s="1"/>
  <c r="S83" i="2" a="1"/>
  <c r="R83" i="2" a="1"/>
  <c r="Q83" i="2" a="1"/>
  <c r="T83" i="2" s="1"/>
  <c r="S82" i="2" a="1"/>
  <c r="R82" i="2" a="1"/>
  <c r="Q82" i="2" a="1"/>
  <c r="T82" i="2" s="1"/>
  <c r="S81" i="2" a="1"/>
  <c r="R81" i="2" a="1"/>
  <c r="Q81" i="2" a="1"/>
  <c r="T81" i="2" s="1"/>
  <c r="S80" i="2" a="1"/>
  <c r="R80" i="2" a="1"/>
  <c r="Q80" i="2" a="1"/>
  <c r="T80" i="2" s="1"/>
  <c r="S79" i="2" a="1"/>
  <c r="R79" i="2" a="1"/>
  <c r="Q79" i="2" a="1"/>
  <c r="T79" i="2" s="1"/>
  <c r="S78" i="2" a="1"/>
  <c r="R78" i="2" a="1"/>
  <c r="Q78" i="2" a="1"/>
  <c r="S77" i="2" a="1"/>
  <c r="R77" i="2" a="1"/>
  <c r="Q77" i="2" a="1"/>
  <c r="T77" i="2" s="1"/>
  <c r="S76" i="2" a="1"/>
  <c r="R76" i="2" a="1"/>
  <c r="Q76" i="2" a="1"/>
  <c r="T76" i="2" s="1"/>
  <c r="S75" i="2" a="1"/>
  <c r="R75" i="2" a="1"/>
  <c r="Q75" i="2" a="1"/>
  <c r="S74" i="2" a="1"/>
  <c r="R74" i="2" a="1"/>
  <c r="Q74" i="2" a="1"/>
  <c r="T74" i="2" s="1"/>
  <c r="S73" i="2" a="1"/>
  <c r="R73" i="2" a="1"/>
  <c r="Q73" i="2" a="1"/>
  <c r="T73" i="2" s="1"/>
  <c r="S72" i="2" a="1"/>
  <c r="R72" i="2" a="1"/>
  <c r="Q72" i="2" a="1"/>
  <c r="T72" i="2" s="1"/>
  <c r="S71" i="2" a="1"/>
  <c r="R71" i="2" a="1"/>
  <c r="Q71" i="2" a="1"/>
  <c r="T71" i="2" s="1"/>
  <c r="S70" i="2" a="1"/>
  <c r="R70" i="2" a="1"/>
  <c r="Q70" i="2" a="1"/>
  <c r="T70" i="2" s="1"/>
  <c r="S69" i="2" a="1"/>
  <c r="R69" i="2" a="1"/>
  <c r="Q69" i="2" a="1"/>
  <c r="T69" i="2" s="1"/>
  <c r="S68" i="2" a="1"/>
  <c r="R68" i="2" a="1"/>
  <c r="Q68" i="2" a="1"/>
  <c r="T68" i="2" s="1"/>
  <c r="S67" i="2" a="1"/>
  <c r="R67" i="2" a="1"/>
  <c r="Q67" i="2" a="1"/>
  <c r="T67" i="2" s="1"/>
  <c r="S66" i="2" a="1"/>
  <c r="R66" i="2" a="1"/>
  <c r="Q66" i="2" a="1"/>
  <c r="T66" i="2" s="1"/>
  <c r="S65" i="2" a="1"/>
  <c r="R65" i="2" a="1"/>
  <c r="Q65" i="2" a="1"/>
  <c r="T65" i="2" s="1"/>
  <c r="S64" i="2" a="1"/>
  <c r="R64" i="2" a="1"/>
  <c r="Q64" i="2" a="1"/>
  <c r="T64" i="2" s="1"/>
  <c r="S63" i="2" a="1"/>
  <c r="R63" i="2" a="1"/>
  <c r="Q63" i="2" a="1"/>
  <c r="T63" i="2" s="1"/>
  <c r="S62" i="2" a="1"/>
  <c r="R62" i="2" a="1"/>
  <c r="Q62" i="2" a="1"/>
  <c r="T62" i="2" s="1"/>
  <c r="S61" i="2" a="1"/>
  <c r="R61" i="2" a="1"/>
  <c r="Q61" i="2" a="1"/>
  <c r="T61" i="2" s="1"/>
  <c r="S60" i="2" a="1"/>
  <c r="R60" i="2" a="1"/>
  <c r="Q60" i="2" a="1"/>
  <c r="T60" i="2" s="1"/>
  <c r="S59" i="2" a="1"/>
  <c r="R59" i="2" a="1"/>
  <c r="Q59" i="2" a="1"/>
  <c r="T59" i="2" s="1"/>
  <c r="S58" i="2" a="1"/>
  <c r="R58" i="2" a="1"/>
  <c r="Q58" i="2" a="1"/>
  <c r="S57" i="2" a="1"/>
  <c r="R57" i="2" a="1"/>
  <c r="Q57" i="2" a="1"/>
  <c r="S56" i="2" a="1"/>
  <c r="R56" i="2" a="1"/>
  <c r="Q56" i="2" a="1"/>
  <c r="T56" i="2" s="1"/>
  <c r="S55" i="2" a="1"/>
  <c r="R55" i="2" a="1"/>
  <c r="Q55" i="2" a="1"/>
  <c r="T55" i="2" s="1"/>
  <c r="S54" i="2" a="1"/>
  <c r="R54" i="2" a="1"/>
  <c r="Q54" i="2" a="1"/>
  <c r="T54" i="2" s="1"/>
  <c r="S53" i="2" a="1"/>
  <c r="R53" i="2" a="1"/>
  <c r="Q53" i="2" a="1"/>
  <c r="T53" i="2" s="1"/>
  <c r="S52" i="2" a="1"/>
  <c r="R52" i="2" a="1"/>
  <c r="Q52" i="2" a="1"/>
  <c r="T52" i="2" s="1"/>
  <c r="S51" i="2" a="1"/>
  <c r="R51" i="2" a="1"/>
  <c r="Q51" i="2" a="1"/>
  <c r="S50" i="2" a="1"/>
  <c r="R50" i="2" a="1"/>
  <c r="Q50" i="2" a="1"/>
  <c r="S49" i="2" a="1"/>
  <c r="R49" i="2" a="1"/>
  <c r="Q49" i="2" a="1"/>
  <c r="S48" i="2" a="1"/>
  <c r="R48" i="2" a="1"/>
  <c r="Q48" i="2" a="1"/>
  <c r="T48" i="2" s="1"/>
  <c r="S47" i="2" a="1"/>
  <c r="R47" i="2" a="1"/>
  <c r="Q47" i="2" a="1"/>
  <c r="T47" i="2" s="1"/>
  <c r="S46" i="2" a="1"/>
  <c r="R46" i="2" a="1"/>
  <c r="Q46" i="2" a="1"/>
  <c r="S45" i="2" a="1"/>
  <c r="R45" i="2" a="1"/>
  <c r="Q45" i="2" a="1"/>
  <c r="S44" i="2" a="1"/>
  <c r="R44" i="2" a="1"/>
  <c r="Q44" i="2" a="1"/>
  <c r="T44" i="2" s="1"/>
  <c r="S43" i="2" a="1"/>
  <c r="R43" i="2" a="1"/>
  <c r="Q43" i="2" a="1"/>
  <c r="S42" i="2" a="1"/>
  <c r="R42" i="2" a="1"/>
  <c r="Q42" i="2" a="1"/>
  <c r="S41" i="2" a="1"/>
  <c r="R41" i="2" a="1"/>
  <c r="Q41" i="2" a="1"/>
  <c r="T41" i="2" s="1"/>
  <c r="S40" i="2" a="1"/>
  <c r="R40" i="2" a="1"/>
  <c r="Q40" i="2" a="1"/>
  <c r="S39" i="2" a="1"/>
  <c r="R39" i="2" a="1"/>
  <c r="Q39" i="2" a="1"/>
  <c r="S38" i="2" a="1"/>
  <c r="R38" i="2" a="1"/>
  <c r="Q38" i="2" a="1"/>
  <c r="S37" i="2" a="1"/>
  <c r="R37" i="2" a="1"/>
  <c r="Q37" i="2" a="1"/>
  <c r="T37" i="2" s="1"/>
  <c r="S36" i="2" a="1"/>
  <c r="R36" i="2" a="1"/>
  <c r="Q36" i="2" a="1"/>
  <c r="S35" i="2" a="1"/>
  <c r="R35" i="2" a="1"/>
  <c r="Q35" i="2" a="1"/>
  <c r="S34" i="2" a="1"/>
  <c r="R34" i="2" a="1"/>
  <c r="Q34" i="2" a="1"/>
  <c r="S33" i="2" a="1"/>
  <c r="R33" i="2" a="1"/>
  <c r="Q33" i="2" a="1"/>
  <c r="S32" i="2" a="1"/>
  <c r="R32" i="2" a="1"/>
  <c r="Q32" i="2" a="1"/>
  <c r="S31" i="2" a="1"/>
  <c r="R31" i="2" a="1"/>
  <c r="Q31" i="2" a="1"/>
  <c r="S30" i="2" a="1"/>
  <c r="R30" i="2" a="1"/>
  <c r="Q30" i="2" a="1"/>
  <c r="S29" i="2" a="1"/>
  <c r="R29" i="2" a="1"/>
  <c r="Q29" i="2" a="1"/>
  <c r="S28" i="2" a="1"/>
  <c r="R28" i="2" a="1"/>
  <c r="Q28" i="2" a="1"/>
  <c r="S27" i="2" a="1"/>
  <c r="R27" i="2" a="1"/>
  <c r="Q27" i="2" a="1"/>
  <c r="S26" i="2" a="1"/>
  <c r="R26" i="2" a="1"/>
  <c r="Q26" i="2" a="1"/>
  <c r="S25" i="2" a="1"/>
  <c r="R25" i="2" a="1"/>
  <c r="Q25" i="2" a="1"/>
  <c r="S24" i="2" a="1"/>
  <c r="R24" i="2" a="1"/>
  <c r="Q24" i="2" a="1"/>
  <c r="S23" i="2" a="1"/>
  <c r="R23" i="2" a="1"/>
  <c r="Q23" i="2" a="1"/>
  <c r="S22" i="2" a="1"/>
  <c r="R22" i="2" a="1"/>
  <c r="Q22" i="2" a="1"/>
  <c r="S21" i="2" a="1"/>
  <c r="R21" i="2" a="1"/>
  <c r="Q21" i="2" a="1"/>
  <c r="S20" i="2" a="1"/>
  <c r="R20" i="2" a="1"/>
  <c r="Q20" i="2" a="1"/>
  <c r="S19" i="2" a="1"/>
  <c r="R19" i="2" a="1"/>
  <c r="Q19" i="2" a="1"/>
  <c r="S18" i="2" a="1"/>
  <c r="R18" i="2" a="1"/>
  <c r="Q18" i="2" a="1"/>
  <c r="S17" i="2" a="1"/>
  <c r="R17" i="2" a="1"/>
  <c r="Q17" i="2" a="1"/>
  <c r="S16" i="2" a="1"/>
  <c r="R16" i="2" a="1"/>
  <c r="Q16" i="2" a="1"/>
  <c r="S15" i="2" a="1"/>
  <c r="R15" i="2" a="1"/>
  <c r="Q15" i="2" a="1"/>
  <c r="S14" i="2" a="1"/>
  <c r="R14" i="2" a="1"/>
  <c r="Q14" i="2" a="1"/>
  <c r="T14" i="2" s="1"/>
  <c r="S13" i="2" a="1"/>
  <c r="R13" i="2" a="1"/>
  <c r="Q13" i="2" a="1"/>
  <c r="S12" i="2" a="1"/>
  <c r="R12" i="2" a="1"/>
  <c r="Q12" i="2" a="1"/>
  <c r="S11" i="2" a="1"/>
  <c r="R11" i="2" a="1"/>
  <c r="Q11" i="2" a="1"/>
  <c r="S10" i="2" a="1"/>
  <c r="R10" i="2" a="1"/>
  <c r="Q10" i="2" a="1"/>
  <c r="S9" i="2" a="1"/>
  <c r="R9" i="2" a="1"/>
  <c r="Q9" i="2" a="1"/>
  <c r="S8" i="2" a="1"/>
  <c r="R8" i="2" a="1"/>
  <c r="Q8" i="2" a="1"/>
  <c r="Q7" i="2" a="1"/>
  <c r="R7" i="2" a="1"/>
  <c r="S7" i="2" a="1"/>
  <c r="T2942" i="2"/>
  <c r="T2966" i="2"/>
  <c r="T2653" i="2"/>
  <c r="T2634" i="2"/>
  <c r="T2606" i="2"/>
  <c r="T2600" i="2"/>
  <c r="T2581" i="2"/>
  <c r="T2571" i="2"/>
  <c r="T2555" i="2"/>
  <c r="T2553" i="2"/>
  <c r="T2540" i="2"/>
  <c r="T2379" i="2"/>
  <c r="T2374" i="2"/>
  <c r="T2371" i="2"/>
  <c r="T2367" i="2"/>
  <c r="T2366" i="2"/>
  <c r="T2356" i="2"/>
  <c r="T2355" i="2"/>
  <c r="T2354" i="2"/>
  <c r="T2335" i="2"/>
  <c r="T2333" i="2"/>
  <c r="T2262" i="2"/>
  <c r="T1985" i="2"/>
  <c r="T1783" i="2"/>
  <c r="T1766" i="2"/>
  <c r="T1746" i="2"/>
  <c r="T1737" i="2"/>
  <c r="T1701" i="2"/>
  <c r="T1530" i="2"/>
  <c r="T1518" i="2"/>
  <c r="T1517" i="2"/>
  <c r="T1476" i="2"/>
  <c r="T1272" i="2"/>
  <c r="T1228" i="2"/>
  <c r="T1219" i="2"/>
  <c r="T1210" i="2"/>
  <c r="T1180" i="2"/>
  <c r="T912" i="2"/>
  <c r="T862" i="2"/>
  <c r="T431" i="2"/>
  <c r="T427" i="2"/>
  <c r="T167" i="2"/>
  <c r="T163" i="2"/>
  <c r="T161" i="2"/>
  <c r="T151" i="2"/>
  <c r="T131" i="2"/>
  <c r="T106" i="2"/>
  <c r="T3019" i="2"/>
  <c r="T3018" i="2"/>
  <c r="T3017" i="2"/>
  <c r="T3016" i="2"/>
  <c r="T3015" i="2"/>
  <c r="T3014" i="2"/>
  <c r="T3013" i="2"/>
  <c r="T3012" i="2"/>
  <c r="T3011" i="2"/>
  <c r="T3010" i="2"/>
  <c r="T3009" i="2"/>
  <c r="T3008" i="2"/>
  <c r="T3007" i="2"/>
  <c r="T3006" i="2"/>
  <c r="T3005" i="2"/>
  <c r="T3004" i="2"/>
  <c r="T3003" i="2"/>
  <c r="T3002" i="2"/>
  <c r="T3001" i="2"/>
  <c r="T3000" i="2"/>
  <c r="T2999" i="2"/>
  <c r="T2998" i="2"/>
  <c r="T2997" i="2"/>
  <c r="T2996" i="2"/>
  <c r="T2995" i="2"/>
  <c r="T2994" i="2"/>
  <c r="T2993" i="2"/>
  <c r="T2992" i="2"/>
  <c r="T2991" i="2"/>
  <c r="T2990" i="2"/>
  <c r="T2989" i="2"/>
  <c r="T2988" i="2"/>
  <c r="T2987" i="2"/>
  <c r="T2986" i="2"/>
  <c r="T2985" i="2"/>
  <c r="T2984" i="2"/>
  <c r="T2983" i="2"/>
  <c r="T2982" i="2"/>
  <c r="T2981" i="2"/>
  <c r="T2980" i="2"/>
  <c r="T2979" i="2"/>
  <c r="T2978" i="2"/>
  <c r="T2977" i="2"/>
  <c r="T2976" i="2"/>
  <c r="T2975" i="2"/>
  <c r="T2974" i="2"/>
  <c r="T2973" i="2"/>
  <c r="T2972" i="2"/>
  <c r="T2971" i="2"/>
  <c r="T2970" i="2"/>
  <c r="T2969" i="2"/>
  <c r="T2968" i="2"/>
  <c r="T2967" i="2"/>
  <c r="T2965" i="2"/>
  <c r="T2964" i="2"/>
  <c r="T2963" i="2"/>
  <c r="T2962" i="2"/>
  <c r="T2961" i="2"/>
  <c r="T2960" i="2"/>
  <c r="T2959" i="2"/>
  <c r="T2958" i="2"/>
  <c r="T2957" i="2"/>
  <c r="T2956" i="2"/>
  <c r="T2955" i="2"/>
  <c r="T2954" i="2"/>
  <c r="T2953" i="2"/>
  <c r="T2952" i="2"/>
  <c r="T2951" i="2"/>
  <c r="T2950" i="2"/>
  <c r="T2949" i="2"/>
  <c r="T2948" i="2"/>
  <c r="T2947" i="2"/>
  <c r="T2946" i="2"/>
  <c r="T2945" i="2"/>
  <c r="T2944" i="2"/>
  <c r="T2943" i="2"/>
  <c r="T2941" i="2"/>
  <c r="T2940" i="2"/>
  <c r="T2939" i="2"/>
  <c r="T2938" i="2"/>
  <c r="T2937" i="2"/>
  <c r="T2936" i="2"/>
  <c r="T2935" i="2"/>
  <c r="T2934" i="2"/>
  <c r="T2933" i="2"/>
  <c r="T2932" i="2"/>
  <c r="T2931" i="2"/>
  <c r="T2930" i="2"/>
  <c r="T2929" i="2"/>
  <c r="T2928" i="2"/>
  <c r="T2927" i="2"/>
  <c r="T2926" i="2"/>
  <c r="T2925" i="2"/>
  <c r="T2924" i="2"/>
  <c r="T2923" i="2"/>
  <c r="T2922" i="2"/>
  <c r="T2921" i="2"/>
  <c r="T2920" i="2"/>
  <c r="T2919" i="2"/>
  <c r="T2918" i="2"/>
  <c r="T2917" i="2"/>
  <c r="T2916" i="2"/>
  <c r="T2915" i="2"/>
  <c r="T2914" i="2"/>
  <c r="T2913" i="2"/>
  <c r="T2912" i="2"/>
  <c r="T2911" i="2"/>
  <c r="T2910" i="2"/>
  <c r="T2909" i="2"/>
  <c r="T2908" i="2"/>
  <c r="T2907" i="2"/>
  <c r="T2906" i="2"/>
  <c r="T2905" i="2"/>
  <c r="T2904" i="2"/>
  <c r="T2903" i="2"/>
  <c r="T2902" i="2"/>
  <c r="T2901" i="2"/>
  <c r="T2900" i="2"/>
  <c r="T2899" i="2"/>
  <c r="T2898" i="2"/>
  <c r="T2897" i="2"/>
  <c r="T2896" i="2"/>
  <c r="T2895" i="2"/>
  <c r="T2894" i="2"/>
  <c r="T2893" i="2"/>
  <c r="T2892" i="2"/>
  <c r="T2891" i="2"/>
  <c r="T2890" i="2"/>
  <c r="T2889" i="2"/>
  <c r="T2888" i="2"/>
  <c r="T2887" i="2"/>
  <c r="T2886" i="2"/>
  <c r="T2885" i="2"/>
  <c r="T2884" i="2"/>
  <c r="T2883" i="2"/>
  <c r="T2882" i="2"/>
  <c r="T2881" i="2"/>
  <c r="T2880" i="2"/>
  <c r="T2879" i="2"/>
  <c r="T2878" i="2"/>
  <c r="T2877" i="2"/>
  <c r="T2876" i="2"/>
  <c r="T2875" i="2"/>
  <c r="T2874" i="2"/>
  <c r="T2873" i="2"/>
  <c r="T2872" i="2"/>
  <c r="T2871" i="2"/>
  <c r="T2870" i="2"/>
  <c r="T2869" i="2"/>
  <c r="T2868" i="2"/>
  <c r="T2867" i="2"/>
  <c r="T2866" i="2"/>
  <c r="T2865" i="2"/>
  <c r="T2864" i="2"/>
  <c r="T2863" i="2"/>
  <c r="T2862" i="2"/>
  <c r="T2861" i="2"/>
  <c r="T2860" i="2"/>
  <c r="T2859" i="2"/>
  <c r="T2858" i="2"/>
  <c r="T2857" i="2"/>
  <c r="T2856" i="2"/>
  <c r="T2855" i="2"/>
  <c r="T2854" i="2"/>
  <c r="T2853" i="2"/>
  <c r="T2852" i="2"/>
  <c r="T2851" i="2"/>
  <c r="T2850" i="2"/>
  <c r="T2849" i="2"/>
  <c r="T2848" i="2"/>
  <c r="T2847" i="2"/>
  <c r="T2846" i="2"/>
  <c r="T2845" i="2"/>
  <c r="T2844" i="2"/>
  <c r="T2843" i="2"/>
  <c r="T2842" i="2"/>
  <c r="T2841" i="2"/>
  <c r="T2840" i="2"/>
  <c r="T2839" i="2"/>
  <c r="T2838" i="2"/>
  <c r="T2837" i="2"/>
  <c r="T2836" i="2"/>
  <c r="T2835" i="2"/>
  <c r="T2670" i="2"/>
  <c r="T2669" i="2"/>
  <c r="T2668" i="2"/>
  <c r="T2667" i="2"/>
  <c r="T2666" i="2"/>
  <c r="T2665" i="2"/>
  <c r="T2664" i="2"/>
  <c r="T2663" i="2"/>
  <c r="T2662" i="2"/>
  <c r="T2661" i="2"/>
  <c r="T2660" i="2"/>
  <c r="T2659" i="2"/>
  <c r="T2658" i="2"/>
  <c r="T2657" i="2"/>
  <c r="T2656" i="2"/>
  <c r="T2655" i="2"/>
  <c r="T2654" i="2"/>
  <c r="T2652" i="2"/>
  <c r="T2651" i="2"/>
  <c r="T2650" i="2"/>
  <c r="T2649" i="2"/>
  <c r="T2648" i="2"/>
  <c r="T2647" i="2"/>
  <c r="T2646" i="2"/>
  <c r="T2645" i="2"/>
  <c r="T2644" i="2"/>
  <c r="T2643" i="2"/>
  <c r="T2642" i="2"/>
  <c r="T2641" i="2"/>
  <c r="T2640" i="2"/>
  <c r="T2639" i="2"/>
  <c r="T2638" i="2"/>
  <c r="T2637" i="2"/>
  <c r="T2636" i="2"/>
  <c r="T2635" i="2"/>
  <c r="T2633" i="2"/>
  <c r="T2632" i="2"/>
  <c r="T2631" i="2"/>
  <c r="S6" i="2" a="1"/>
  <c r="R6" i="2" a="1"/>
  <c r="Q6" i="2" a="1"/>
  <c r="S5" i="2" a="1"/>
  <c r="R5" i="2" a="1"/>
  <c r="Q5" i="2" a="1"/>
  <c r="S4" i="2" a="1"/>
  <c r="R4" i="2" a="1"/>
  <c r="Q4" i="2" a="1"/>
  <c r="S3" i="2" a="1"/>
  <c r="R3" i="2" a="1"/>
  <c r="Q3" i="2" a="1"/>
  <c r="S2" i="2" a="1"/>
  <c r="R2" i="2" a="1"/>
  <c r="Q2" i="2" a="1"/>
  <c r="C30" i="1"/>
  <c r="D30" i="1" s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19" i="1"/>
  <c r="D19" i="1" s="1"/>
  <c r="B19" i="1"/>
  <c r="C18" i="1"/>
  <c r="B18" i="1"/>
  <c r="C17" i="1"/>
  <c r="B17" i="1"/>
  <c r="C16" i="1"/>
  <c r="B16" i="1"/>
  <c r="B12" i="1"/>
  <c r="B11" i="1"/>
  <c r="B10" i="1"/>
  <c r="B9" i="1"/>
  <c r="B8" i="1"/>
  <c r="B7" i="1"/>
  <c r="T2134" i="2" l="1"/>
  <c r="T2135" i="2"/>
  <c r="T2123" i="2"/>
  <c r="T1860" i="2"/>
  <c r="T1851" i="2"/>
  <c r="T2131" i="2"/>
  <c r="T2127" i="2"/>
  <c r="T469" i="2"/>
  <c r="T470" i="2"/>
  <c r="T1854" i="2"/>
  <c r="T2132" i="2"/>
  <c r="T2130" i="2"/>
  <c r="T2124" i="2"/>
  <c r="T1857" i="2"/>
  <c r="T1848" i="2"/>
  <c r="T2831" i="2"/>
  <c r="T2830" i="2"/>
  <c r="T2829" i="2"/>
  <c r="T2828" i="2"/>
  <c r="T2827" i="2"/>
  <c r="T2826" i="2"/>
  <c r="T2825" i="2"/>
  <c r="T2824" i="2"/>
  <c r="T2823" i="2"/>
  <c r="T2822" i="2"/>
  <c r="T2821" i="2"/>
  <c r="T2819" i="2"/>
  <c r="T2818" i="2"/>
  <c r="T2817" i="2"/>
  <c r="T1025" i="2"/>
  <c r="T1028" i="2"/>
  <c r="T1861" i="2"/>
  <c r="T1858" i="2"/>
  <c r="T1855" i="2"/>
  <c r="T1852" i="2"/>
  <c r="T1849" i="2"/>
  <c r="T1846" i="2"/>
  <c r="T1623" i="2"/>
  <c r="T1619" i="2"/>
  <c r="T1026" i="2"/>
  <c r="T1865" i="2"/>
  <c r="T1862" i="2"/>
  <c r="T1859" i="2"/>
  <c r="T1856" i="2"/>
  <c r="T1853" i="2"/>
  <c r="T1850" i="2"/>
  <c r="T1847" i="2"/>
  <c r="T1844" i="2"/>
  <c r="T1620" i="2"/>
  <c r="T1616" i="2"/>
  <c r="T1029" i="2"/>
  <c r="T739" i="2"/>
  <c r="T1027" i="2"/>
  <c r="T2820" i="2"/>
  <c r="T2816" i="2"/>
  <c r="T2815" i="2"/>
  <c r="T2814" i="2"/>
  <c r="T2813" i="2"/>
  <c r="T2812" i="2"/>
  <c r="T2811" i="2"/>
  <c r="T2810" i="2"/>
  <c r="T2809" i="2"/>
  <c r="T2808" i="2"/>
  <c r="T2807" i="2"/>
  <c r="T2806" i="2"/>
  <c r="T2805" i="2"/>
  <c r="T2804" i="2"/>
  <c r="T2735" i="2"/>
  <c r="T2734" i="2"/>
  <c r="T2733" i="2"/>
  <c r="T2732" i="2"/>
  <c r="T2731" i="2"/>
  <c r="T2730" i="2"/>
  <c r="T2729" i="2"/>
  <c r="T2728" i="2"/>
  <c r="T2727" i="2"/>
  <c r="T2726" i="2"/>
  <c r="T2725" i="2"/>
  <c r="T2723" i="2"/>
  <c r="T2721" i="2"/>
  <c r="T2719" i="2"/>
  <c r="T2717" i="2"/>
  <c r="T2715" i="2"/>
  <c r="T2713" i="2"/>
  <c r="T2712" i="2"/>
  <c r="T2711" i="2"/>
  <c r="T2710" i="2"/>
  <c r="T2708" i="2"/>
  <c r="T2706" i="2"/>
  <c r="T2705" i="2"/>
  <c r="T2703" i="2"/>
  <c r="T2701" i="2"/>
  <c r="T2700" i="2"/>
  <c r="T2698" i="2"/>
  <c r="T2445" i="2"/>
  <c r="T2442" i="2"/>
  <c r="T2440" i="2"/>
  <c r="T2437" i="2"/>
  <c r="T2435" i="2"/>
  <c r="T797" i="2"/>
  <c r="T785" i="2"/>
  <c r="T778" i="2"/>
  <c r="T510" i="2"/>
  <c r="T502" i="2"/>
  <c r="T495" i="2"/>
  <c r="T487" i="2"/>
  <c r="T481" i="2"/>
  <c r="T2697" i="2"/>
  <c r="T2696" i="2"/>
  <c r="T2695" i="2"/>
  <c r="T2694" i="2"/>
  <c r="T2693" i="2"/>
  <c r="T2692" i="2"/>
  <c r="T2691" i="2"/>
  <c r="T2690" i="2"/>
  <c r="T2689" i="2"/>
  <c r="T2688" i="2"/>
  <c r="T2687" i="2"/>
  <c r="T2686" i="2"/>
  <c r="T2685" i="2"/>
  <c r="T2684" i="2"/>
  <c r="T2683" i="2"/>
  <c r="T2682" i="2"/>
  <c r="T2681" i="2"/>
  <c r="T2680" i="2"/>
  <c r="T2679" i="2"/>
  <c r="T2678" i="2"/>
  <c r="T2677" i="2"/>
  <c r="T2676" i="2"/>
  <c r="T2675" i="2"/>
  <c r="T2674" i="2"/>
  <c r="T2673" i="2"/>
  <c r="T2672" i="2"/>
  <c r="T2671" i="2"/>
  <c r="T2444" i="2"/>
  <c r="T2441" i="2"/>
  <c r="T2438" i="2"/>
  <c r="T2436" i="2"/>
  <c r="T2433" i="2"/>
  <c r="T2420" i="2"/>
  <c r="T800" i="2"/>
  <c r="T794" i="2"/>
  <c r="T787" i="2"/>
  <c r="T489" i="2"/>
  <c r="T482" i="2"/>
  <c r="T2167" i="2"/>
  <c r="T2133" i="2"/>
  <c r="T1896" i="2"/>
  <c r="T1892" i="2"/>
  <c r="T1889" i="2"/>
  <c r="T1888" i="2"/>
  <c r="T1886" i="2"/>
  <c r="T1882" i="2"/>
  <c r="T1880" i="2"/>
  <c r="T1878" i="2"/>
  <c r="T1876" i="2"/>
  <c r="T1874" i="2"/>
  <c r="T1872" i="2"/>
  <c r="T1870" i="2"/>
  <c r="T1866" i="2"/>
  <c r="T1863" i="2"/>
  <c r="T1049" i="2"/>
  <c r="T1046" i="2"/>
  <c r="T1042" i="2"/>
  <c r="T1040" i="2"/>
  <c r="T1033" i="2"/>
  <c r="T799" i="2"/>
  <c r="T788" i="2"/>
  <c r="T499" i="2"/>
  <c r="T488" i="2"/>
  <c r="T476" i="2"/>
  <c r="T2129" i="2"/>
  <c r="T2125" i="2"/>
  <c r="T1895" i="2"/>
  <c r="T1894" i="2"/>
  <c r="T1893" i="2"/>
  <c r="T1891" i="2"/>
  <c r="T1890" i="2"/>
  <c r="T1887" i="2"/>
  <c r="T1885" i="2"/>
  <c r="T1884" i="2"/>
  <c r="T1883" i="2"/>
  <c r="T1881" i="2"/>
  <c r="T1879" i="2"/>
  <c r="T1877" i="2"/>
  <c r="T1875" i="2"/>
  <c r="T1873" i="2"/>
  <c r="T1871" i="2"/>
  <c r="T1869" i="2"/>
  <c r="T1868" i="2"/>
  <c r="T1867" i="2"/>
  <c r="T1864" i="2"/>
  <c r="T1309" i="2"/>
  <c r="T1054" i="2"/>
  <c r="T1050" i="2"/>
  <c r="T1044" i="2"/>
  <c r="T1039" i="2"/>
  <c r="T1035" i="2"/>
  <c r="T1030" i="2"/>
  <c r="T801" i="2"/>
  <c r="T792" i="2"/>
  <c r="T781" i="2"/>
  <c r="T504" i="2"/>
  <c r="T503" i="2"/>
  <c r="T490" i="2"/>
  <c r="T479" i="2"/>
  <c r="T478" i="2"/>
  <c r="T1626" i="2"/>
  <c r="T1615" i="2"/>
  <c r="T1052" i="2"/>
  <c r="T1051" i="2"/>
  <c r="T1048" i="2"/>
  <c r="T1045" i="2"/>
  <c r="T1041" i="2"/>
  <c r="T1038" i="2"/>
  <c r="T1036" i="2"/>
  <c r="T1034" i="2"/>
  <c r="T1031" i="2"/>
  <c r="T798" i="2"/>
  <c r="T791" i="2"/>
  <c r="T790" i="2"/>
  <c r="T784" i="2"/>
  <c r="T508" i="2"/>
  <c r="T501" i="2"/>
  <c r="T494" i="2"/>
  <c r="T486" i="2"/>
  <c r="T1557" i="2"/>
  <c r="T1554" i="2"/>
  <c r="T1424" i="2"/>
  <c r="T1053" i="2"/>
  <c r="T1047" i="2"/>
  <c r="T1043" i="2"/>
  <c r="T1037" i="2"/>
  <c r="T1032" i="2"/>
  <c r="T796" i="2"/>
  <c r="T786" i="2"/>
  <c r="T775" i="2"/>
  <c r="T509" i="2"/>
  <c r="T497" i="2"/>
  <c r="T496" i="2"/>
  <c r="T485" i="2"/>
  <c r="T1290" i="2"/>
  <c r="T1076" i="2"/>
  <c r="T506" i="2"/>
  <c r="T498" i="2"/>
  <c r="T491" i="2"/>
  <c r="T483" i="2"/>
  <c r="T216" i="2"/>
  <c r="T206" i="2"/>
  <c r="T803" i="2"/>
  <c r="T795" i="2"/>
  <c r="T789" i="2"/>
  <c r="T776" i="2"/>
  <c r="T507" i="2"/>
  <c r="T500" i="2"/>
  <c r="T493" i="2"/>
  <c r="T484" i="2"/>
  <c r="T477" i="2"/>
  <c r="T2724" i="2"/>
  <c r="T2722" i="2"/>
  <c r="T2720" i="2"/>
  <c r="T2718" i="2"/>
  <c r="T2716" i="2"/>
  <c r="T2714" i="2"/>
  <c r="T2709" i="2"/>
  <c r="T2707" i="2"/>
  <c r="T2704" i="2"/>
  <c r="T2702" i="2"/>
  <c r="T2699" i="2"/>
  <c r="T2443" i="2"/>
  <c r="T2439" i="2"/>
  <c r="T2434" i="2"/>
  <c r="T802" i="2"/>
  <c r="T793" i="2"/>
  <c r="T782" i="2"/>
  <c r="T772" i="2"/>
  <c r="T505" i="2"/>
  <c r="T492" i="2"/>
  <c r="T480" i="2"/>
  <c r="T213" i="2"/>
  <c r="T197" i="2"/>
  <c r="T1570" i="2"/>
  <c r="T1566" i="2"/>
  <c r="T1321" i="2"/>
  <c r="T1316" i="2"/>
  <c r="T1312" i="2"/>
  <c r="T1306" i="2"/>
  <c r="T1302" i="2"/>
  <c r="T1298" i="2"/>
  <c r="T1293" i="2"/>
  <c r="T1289" i="2"/>
  <c r="T769" i="2"/>
  <c r="T762" i="2"/>
  <c r="T757" i="2"/>
  <c r="T750" i="2"/>
  <c r="T745" i="2"/>
  <c r="T262" i="2"/>
  <c r="T248" i="2"/>
  <c r="T237" i="2"/>
  <c r="T223" i="2"/>
  <c r="T204" i="2"/>
  <c r="T1613" i="2"/>
  <c r="T1610" i="2"/>
  <c r="T1608" i="2"/>
  <c r="T1606" i="2"/>
  <c r="T1603" i="2"/>
  <c r="T1601" i="2"/>
  <c r="T1598" i="2"/>
  <c r="T1596" i="2"/>
  <c r="T1593" i="2"/>
  <c r="T1591" i="2"/>
  <c r="T1588" i="2"/>
  <c r="T1586" i="2"/>
  <c r="T1583" i="2"/>
  <c r="T1581" i="2"/>
  <c r="T1579" i="2"/>
  <c r="T1576" i="2"/>
  <c r="T1574" i="2"/>
  <c r="T1571" i="2"/>
  <c r="T1568" i="2"/>
  <c r="T1324" i="2"/>
  <c r="T1320" i="2"/>
  <c r="T1315" i="2"/>
  <c r="T1311" i="2"/>
  <c r="T1305" i="2"/>
  <c r="T1301" i="2"/>
  <c r="T1296" i="2"/>
  <c r="T1292" i="2"/>
  <c r="T767" i="2"/>
  <c r="T761" i="2"/>
  <c r="T755" i="2"/>
  <c r="T749" i="2"/>
  <c r="T743" i="2"/>
  <c r="T253" i="2"/>
  <c r="T246" i="2"/>
  <c r="T232" i="2"/>
  <c r="T205" i="2"/>
  <c r="T1630" i="2"/>
  <c r="T1627" i="2"/>
  <c r="T1624" i="2"/>
  <c r="T1621" i="2"/>
  <c r="T1617" i="2"/>
  <c r="T1614" i="2"/>
  <c r="T1612" i="2"/>
  <c r="T1609" i="2"/>
  <c r="T1607" i="2"/>
  <c r="T1605" i="2"/>
  <c r="T1602" i="2"/>
  <c r="T1600" i="2"/>
  <c r="T1597" i="2"/>
  <c r="T1595" i="2"/>
  <c r="T1592" i="2"/>
  <c r="T1590" i="2"/>
  <c r="T1587" i="2"/>
  <c r="T1585" i="2"/>
  <c r="T1582" i="2"/>
  <c r="T1580" i="2"/>
  <c r="T1577" i="2"/>
  <c r="T1575" i="2"/>
  <c r="T1572" i="2"/>
  <c r="T1569" i="2"/>
  <c r="T1565" i="2"/>
  <c r="T1325" i="2"/>
  <c r="T1322" i="2"/>
  <c r="T1318" i="2"/>
  <c r="T1313" i="2"/>
  <c r="T1308" i="2"/>
  <c r="T1303" i="2"/>
  <c r="T1299" i="2"/>
  <c r="T1294" i="2"/>
  <c r="T763" i="2"/>
  <c r="T758" i="2"/>
  <c r="T751" i="2"/>
  <c r="T746" i="2"/>
  <c r="T264" i="2"/>
  <c r="T255" i="2"/>
  <c r="T250" i="2"/>
  <c r="T243" i="2"/>
  <c r="T231" i="2"/>
  <c r="T218" i="2"/>
  <c r="T202" i="2"/>
  <c r="T1631" i="2"/>
  <c r="T1628" i="2"/>
  <c r="T1625" i="2"/>
  <c r="T1622" i="2"/>
  <c r="T1618" i="2"/>
  <c r="T1611" i="2"/>
  <c r="T1604" i="2"/>
  <c r="T1599" i="2"/>
  <c r="T1594" i="2"/>
  <c r="T1589" i="2"/>
  <c r="T1584" i="2"/>
  <c r="T1578" i="2"/>
  <c r="T1573" i="2"/>
  <c r="T1567" i="2"/>
  <c r="T1317" i="2"/>
  <c r="T1307" i="2"/>
  <c r="T1297" i="2"/>
  <c r="T768" i="2"/>
  <c r="T756" i="2"/>
  <c r="T744" i="2"/>
  <c r="T257" i="2"/>
  <c r="T256" i="2"/>
  <c r="T242" i="2"/>
  <c r="T228" i="2"/>
  <c r="T215" i="2"/>
  <c r="T199" i="2"/>
  <c r="T1323" i="2"/>
  <c r="T1319" i="2"/>
  <c r="T1314" i="2"/>
  <c r="T1310" i="2"/>
  <c r="T1304" i="2"/>
  <c r="T1300" i="2"/>
  <c r="T1295" i="2"/>
  <c r="T1291" i="2"/>
  <c r="T765" i="2"/>
  <c r="T759" i="2"/>
  <c r="T753" i="2"/>
  <c r="T748" i="2"/>
  <c r="T742" i="2"/>
  <c r="T259" i="2"/>
  <c r="T254" i="2"/>
  <c r="T247" i="2"/>
  <c r="T241" i="2"/>
  <c r="T236" i="2"/>
  <c r="T230" i="2"/>
  <c r="T225" i="2"/>
  <c r="T217" i="2"/>
  <c r="T210" i="2"/>
  <c r="T201" i="2"/>
  <c r="T783" i="2"/>
  <c r="T779" i="2"/>
  <c r="T777" i="2"/>
  <c r="T773" i="2"/>
  <c r="T770" i="2"/>
  <c r="T766" i="2"/>
  <c r="T760" i="2"/>
  <c r="T754" i="2"/>
  <c r="T747" i="2"/>
  <c r="T741" i="2"/>
  <c r="T258" i="2"/>
  <c r="T251" i="2"/>
  <c r="T244" i="2"/>
  <c r="T239" i="2"/>
  <c r="T233" i="2"/>
  <c r="T227" i="2"/>
  <c r="T221" i="2"/>
  <c r="T214" i="2"/>
  <c r="T208" i="2"/>
  <c r="T207" i="2"/>
  <c r="T198" i="2"/>
  <c r="T780" i="2"/>
  <c r="T774" i="2"/>
  <c r="T771" i="2"/>
  <c r="T764" i="2"/>
  <c r="T752" i="2"/>
  <c r="T740" i="2"/>
  <c r="T265" i="2"/>
  <c r="T252" i="2"/>
  <c r="T238" i="2"/>
  <c r="T226" i="2"/>
  <c r="T211" i="2"/>
  <c r="T291" i="2"/>
  <c r="T263" i="2"/>
  <c r="T249" i="2"/>
  <c r="T240" i="2"/>
  <c r="T235" i="2"/>
  <c r="T229" i="2"/>
  <c r="T224" i="2"/>
  <c r="T209" i="2"/>
  <c r="T200" i="2"/>
  <c r="T466" i="2"/>
  <c r="T299" i="2"/>
  <c r="T297" i="2"/>
  <c r="T295" i="2"/>
  <c r="T266" i="2"/>
  <c r="T260" i="2"/>
  <c r="T245" i="2"/>
  <c r="T234" i="2"/>
  <c r="T222" i="2"/>
  <c r="T195" i="2"/>
  <c r="T220" i="2"/>
  <c r="T219" i="2"/>
  <c r="T212" i="2"/>
  <c r="T203" i="2"/>
  <c r="T196" i="2"/>
  <c r="T2429" i="2"/>
  <c r="T2421" i="2"/>
  <c r="T2411" i="2"/>
  <c r="T2402" i="2"/>
  <c r="T2390" i="2"/>
  <c r="T2389" i="2"/>
  <c r="T2114" i="2"/>
  <c r="T2102" i="2"/>
  <c r="T1825" i="2"/>
  <c r="T2381" i="2"/>
  <c r="T2107" i="2"/>
  <c r="T1831" i="2"/>
  <c r="T2116" i="2"/>
  <c r="T2106" i="2"/>
  <c r="T1829" i="2"/>
  <c r="T1835" i="2"/>
  <c r="T1824" i="2"/>
  <c r="T1273" i="2"/>
  <c r="T1005" i="2"/>
  <c r="T1002" i="2"/>
  <c r="T724" i="2"/>
  <c r="T721" i="2"/>
  <c r="T2427" i="2"/>
  <c r="T2419" i="2"/>
  <c r="T2412" i="2"/>
  <c r="T2404" i="2"/>
  <c r="T2397" i="2"/>
  <c r="T2391" i="2"/>
  <c r="T2383" i="2"/>
  <c r="T2112" i="2"/>
  <c r="T2103" i="2"/>
  <c r="T1828" i="2"/>
  <c r="T1004" i="2"/>
  <c r="T726" i="2"/>
  <c r="T722" i="2"/>
  <c r="T2432" i="2"/>
  <c r="T2424" i="2"/>
  <c r="T2418" i="2"/>
  <c r="T2410" i="2"/>
  <c r="T2403" i="2"/>
  <c r="T2396" i="2"/>
  <c r="T2382" i="2"/>
  <c r="T2110" i="2"/>
  <c r="T2101" i="2"/>
  <c r="T1836" i="2"/>
  <c r="T1826" i="2"/>
  <c r="T1003" i="2"/>
  <c r="T725" i="2"/>
  <c r="T2425" i="2"/>
  <c r="T2405" i="2"/>
  <c r="T2395" i="2"/>
  <c r="T2388" i="2"/>
  <c r="T2115" i="2"/>
  <c r="T2105" i="2"/>
  <c r="T1827" i="2"/>
  <c r="T1001" i="2"/>
  <c r="T723" i="2"/>
  <c r="T720" i="2"/>
  <c r="T446" i="2"/>
  <c r="T2428" i="2"/>
  <c r="T2413" i="2"/>
  <c r="T2406" i="2"/>
  <c r="T2399" i="2"/>
  <c r="T2392" i="2"/>
  <c r="T2384" i="2"/>
  <c r="T2113" i="2"/>
  <c r="T2104" i="2"/>
  <c r="T1830" i="2"/>
  <c r="T2414" i="2"/>
  <c r="T2408" i="2"/>
  <c r="T2400" i="2"/>
  <c r="T2393" i="2"/>
  <c r="T2386" i="2"/>
  <c r="T2109" i="2"/>
  <c r="T2108" i="2"/>
  <c r="T1823" i="2"/>
  <c r="T445" i="2"/>
  <c r="T2431" i="2"/>
  <c r="T2430" i="2"/>
  <c r="T2423" i="2"/>
  <c r="T2422" i="2"/>
  <c r="T2415" i="2"/>
  <c r="T2409" i="2"/>
  <c r="T2401" i="2"/>
  <c r="T2394" i="2"/>
  <c r="T2387" i="2"/>
  <c r="T2380" i="2"/>
  <c r="T2118" i="2"/>
  <c r="T2117" i="2"/>
  <c r="T1833" i="2"/>
  <c r="T1832" i="2"/>
  <c r="T172" i="2"/>
  <c r="T2426" i="2"/>
  <c r="T2417" i="2"/>
  <c r="T2416" i="2"/>
  <c r="T2407" i="2"/>
  <c r="T2398" i="2"/>
  <c r="T2385" i="2"/>
  <c r="T2111" i="2"/>
  <c r="T1834" i="2"/>
  <c r="T1660" i="2"/>
  <c r="T1658" i="2"/>
  <c r="T1407" i="2"/>
  <c r="T1397" i="2"/>
  <c r="T34" i="2"/>
  <c r="T1656" i="2"/>
  <c r="T1403" i="2"/>
  <c r="T21" i="2"/>
  <c r="T78" i="2"/>
  <c r="T95" i="2"/>
  <c r="T38" i="2"/>
  <c r="T75" i="2"/>
  <c r="T57" i="2"/>
  <c r="T58" i="2"/>
  <c r="T1917" i="2"/>
  <c r="T1913" i="2"/>
  <c r="T288" i="2"/>
  <c r="T285" i="2"/>
  <c r="T1097" i="2"/>
  <c r="T580" i="2"/>
  <c r="T573" i="2"/>
  <c r="T572" i="2"/>
  <c r="T570" i="2"/>
  <c r="T569" i="2"/>
  <c r="T568" i="2"/>
  <c r="T562" i="2"/>
  <c r="T301" i="2"/>
  <c r="T313" i="2"/>
  <c r="T298" i="2"/>
  <c r="T1108" i="2"/>
  <c r="T1099" i="2"/>
  <c r="T561" i="2"/>
  <c r="T308" i="2"/>
  <c r="T307" i="2"/>
  <c r="T306" i="2"/>
  <c r="T305" i="2"/>
  <c r="T304" i="2"/>
  <c r="T300" i="2"/>
  <c r="T296" i="2"/>
  <c r="T293" i="2"/>
  <c r="T631" i="2"/>
  <c r="T630" i="2"/>
  <c r="T624" i="2"/>
  <c r="T614" i="2"/>
  <c r="T602" i="2"/>
  <c r="T579" i="2"/>
  <c r="T566" i="2"/>
  <c r="T565" i="2"/>
  <c r="T563" i="2"/>
  <c r="T317" i="2"/>
  <c r="T316" i="2"/>
  <c r="T616" i="2"/>
  <c r="T610" i="2"/>
  <c r="T604" i="2"/>
  <c r="T598" i="2"/>
  <c r="T592" i="2"/>
  <c r="T294" i="2"/>
  <c r="T287" i="2"/>
  <c r="T282" i="2"/>
  <c r="T1119" i="2"/>
  <c r="T1107" i="2"/>
  <c r="T1104" i="2"/>
  <c r="T1904" i="2"/>
  <c r="T1115" i="2"/>
  <c r="T1114" i="2"/>
  <c r="T1112" i="2"/>
  <c r="T1110" i="2"/>
  <c r="T1103" i="2"/>
  <c r="T1102" i="2"/>
  <c r="T1098" i="2"/>
  <c r="T284" i="2"/>
  <c r="T283" i="2"/>
  <c r="T1092" i="2"/>
  <c r="T855" i="2"/>
  <c r="T286" i="2"/>
  <c r="T280" i="2"/>
  <c r="T1117" i="2"/>
  <c r="T1091" i="2"/>
  <c r="T289" i="2"/>
  <c r="T290" i="2"/>
  <c r="T281" i="2"/>
  <c r="T1973" i="2"/>
  <c r="T1967" i="2"/>
  <c r="T1961" i="2"/>
  <c r="T1954" i="2"/>
  <c r="T1951" i="2"/>
  <c r="T1949" i="2"/>
  <c r="T1947" i="2"/>
  <c r="T1982" i="2"/>
  <c r="T1980" i="2"/>
  <c r="T1976" i="2"/>
  <c r="T1972" i="2"/>
  <c r="T1969" i="2"/>
  <c r="T1966" i="2"/>
  <c r="T1955" i="2"/>
  <c r="T1952" i="2"/>
  <c r="T1953" i="2"/>
  <c r="T1915" i="2"/>
  <c r="T1415" i="2"/>
  <c r="T1414" i="2"/>
  <c r="T1413" i="2"/>
  <c r="T1419" i="2"/>
  <c r="T1417" i="2"/>
  <c r="T11" i="2"/>
  <c r="T2200" i="2"/>
  <c r="T538" i="2"/>
  <c r="T2231" i="2"/>
  <c r="T539" i="2"/>
  <c r="T537" i="2"/>
  <c r="T30" i="2"/>
  <c r="T27" i="2"/>
  <c r="T1096" i="2"/>
  <c r="T1093" i="2"/>
  <c r="T1909" i="2"/>
  <c r="B20" i="1"/>
  <c r="T1095" i="2"/>
  <c r="B31" i="1"/>
  <c r="T1931" i="2"/>
  <c r="T1918" i="2"/>
  <c r="T1912" i="2"/>
  <c r="T1910" i="2"/>
  <c r="T1661" i="2"/>
  <c r="T2455" i="2"/>
  <c r="T1946" i="2"/>
  <c r="T1919" i="2"/>
  <c r="T1914" i="2"/>
  <c r="T1911" i="2"/>
  <c r="T1907" i="2"/>
  <c r="T1663" i="2"/>
  <c r="T1908" i="2"/>
  <c r="T1659" i="2"/>
  <c r="T1906" i="2"/>
  <c r="T1136" i="2"/>
  <c r="T1132" i="2"/>
  <c r="T1121" i="2"/>
  <c r="T1120" i="2"/>
  <c r="T1118" i="2"/>
  <c r="T4" i="2"/>
  <c r="T1106" i="2"/>
  <c r="T536" i="2"/>
  <c r="T279" i="2"/>
  <c r="T31" i="2"/>
  <c r="T24" i="2"/>
  <c r="T17" i="2"/>
  <c r="T8" i="2"/>
  <c r="T20" i="2"/>
  <c r="T5" i="2"/>
  <c r="T2802" i="2"/>
  <c r="T2798" i="2"/>
  <c r="T2793" i="2"/>
  <c r="T2782" i="2"/>
  <c r="T807" i="2"/>
  <c r="T2177" i="2"/>
  <c r="T1355" i="2"/>
  <c r="T812" i="2"/>
  <c r="T804" i="2"/>
  <c r="T1356" i="2"/>
  <c r="T805" i="2"/>
  <c r="T1405" i="2"/>
  <c r="T1401" i="2"/>
  <c r="T1396" i="2"/>
  <c r="T811" i="2"/>
  <c r="T1632" i="2"/>
  <c r="T1406" i="2"/>
  <c r="T1404" i="2"/>
  <c r="T1400" i="2"/>
  <c r="T1398" i="2"/>
  <c r="T1357" i="2"/>
  <c r="T1402" i="2"/>
  <c r="T1399" i="2"/>
  <c r="T809" i="2"/>
  <c r="T2795" i="2"/>
  <c r="T2791" i="2"/>
  <c r="T531" i="2"/>
  <c r="T51" i="2"/>
  <c r="T49" i="2"/>
  <c r="T45" i="2"/>
  <c r="T42" i="2"/>
  <c r="T39" i="2"/>
  <c r="T35" i="2"/>
  <c r="T32" i="2"/>
  <c r="T28" i="2"/>
  <c r="T25" i="2"/>
  <c r="T22" i="2"/>
  <c r="T18" i="2"/>
  <c r="T15" i="2"/>
  <c r="T12" i="2"/>
  <c r="T9" i="2"/>
  <c r="T6" i="2"/>
  <c r="T2803" i="2"/>
  <c r="T2801" i="2"/>
  <c r="T2799" i="2"/>
  <c r="T2797" i="2"/>
  <c r="T2794" i="2"/>
  <c r="T2792" i="2"/>
  <c r="T810" i="2"/>
  <c r="T261" i="2"/>
  <c r="T50" i="2"/>
  <c r="T46" i="2"/>
  <c r="T43" i="2"/>
  <c r="T40" i="2"/>
  <c r="T36" i="2"/>
  <c r="T33" i="2"/>
  <c r="T29" i="2"/>
  <c r="T26" i="2"/>
  <c r="T23" i="2"/>
  <c r="T19" i="2"/>
  <c r="T16" i="2"/>
  <c r="T13" i="2"/>
  <c r="T10" i="2"/>
  <c r="T7" i="2"/>
  <c r="T3" i="2"/>
  <c r="T2800" i="2"/>
  <c r="T2796" i="2"/>
  <c r="T2457" i="2"/>
  <c r="T2185" i="2"/>
  <c r="T2460" i="2"/>
  <c r="T2456" i="2"/>
  <c r="T2186" i="2"/>
  <c r="T2182" i="2"/>
  <c r="T1363" i="2"/>
  <c r="T2184" i="2"/>
  <c r="T2180" i="2"/>
  <c r="T1361" i="2"/>
  <c r="T2178" i="2"/>
  <c r="T1637" i="2"/>
  <c r="T1635" i="2"/>
  <c r="T1633" i="2"/>
  <c r="T1395" i="2"/>
  <c r="T1392" i="2"/>
  <c r="T1644" i="2"/>
  <c r="T1636" i="2"/>
  <c r="T1634" i="2"/>
  <c r="T1394" i="2"/>
  <c r="T1391" i="2"/>
  <c r="T1359" i="2"/>
  <c r="T1393" i="2"/>
  <c r="T808" i="2"/>
  <c r="T1362" i="2"/>
  <c r="T806" i="2"/>
  <c r="T1358" i="2"/>
  <c r="T2458" i="2"/>
  <c r="T2187" i="2"/>
  <c r="T2179" i="2"/>
  <c r="T2" i="2"/>
  <c r="T2461" i="2"/>
  <c r="T2183" i="2"/>
  <c r="T1360" i="2"/>
  <c r="T2459" i="2"/>
  <c r="T2181" i="2"/>
  <c r="T2744" i="2"/>
  <c r="T2742" i="2"/>
  <c r="T2740" i="2"/>
  <c r="T2738" i="2"/>
  <c r="T2523" i="2"/>
  <c r="T2520" i="2"/>
  <c r="T2518" i="2"/>
  <c r="T2515" i="2"/>
  <c r="T2513" i="2"/>
  <c r="T2510" i="2"/>
  <c r="T2508" i="2"/>
  <c r="T2505" i="2"/>
  <c r="T2503" i="2"/>
  <c r="T2501" i="2"/>
  <c r="T2498" i="2"/>
  <c r="T2496" i="2"/>
  <c r="T2493" i="2"/>
  <c r="T2491" i="2"/>
  <c r="T2488" i="2"/>
  <c r="T2486" i="2"/>
  <c r="T2483" i="2"/>
  <c r="T2481" i="2"/>
  <c r="T2478" i="2"/>
  <c r="T2476" i="2"/>
  <c r="T2468" i="2"/>
  <c r="T2466" i="2"/>
  <c r="T2464" i="2"/>
  <c r="T2226" i="2"/>
  <c r="T2223" i="2"/>
  <c r="T2220" i="2"/>
  <c r="T2218" i="2"/>
  <c r="T2213" i="2"/>
  <c r="T2210" i="2"/>
  <c r="T2207" i="2"/>
  <c r="T2204" i="2"/>
  <c r="T2201" i="2"/>
  <c r="T2192" i="2"/>
  <c r="T269" i="2"/>
  <c r="T2736" i="2"/>
  <c r="T2522" i="2"/>
  <c r="T2516" i="2"/>
  <c r="T2511" i="2"/>
  <c r="T2506" i="2"/>
  <c r="T2500" i="2"/>
  <c r="T2495" i="2"/>
  <c r="T2489" i="2"/>
  <c r="T2484" i="2"/>
  <c r="T2479" i="2"/>
  <c r="T2469" i="2"/>
  <c r="T2463" i="2"/>
  <c r="T2224" i="2"/>
  <c r="T2216" i="2"/>
  <c r="T2211" i="2"/>
  <c r="T2205" i="2"/>
  <c r="T2198" i="2"/>
  <c r="T2193" i="2"/>
  <c r="T2189" i="2"/>
  <c r="T270" i="2"/>
  <c r="T2222" i="2"/>
  <c r="T2215" i="2"/>
  <c r="T2209" i="2"/>
  <c r="T2203" i="2"/>
  <c r="T2196" i="2"/>
  <c r="T2190" i="2"/>
  <c r="T2188" i="2"/>
  <c r="T1655" i="2"/>
  <c r="T1653" i="2"/>
  <c r="T1651" i="2"/>
  <c r="T1649" i="2"/>
  <c r="T1647" i="2"/>
  <c r="T1645" i="2"/>
  <c r="T1642" i="2"/>
  <c r="T1640" i="2"/>
  <c r="T1638" i="2"/>
  <c r="T1390" i="2"/>
  <c r="T1387" i="2"/>
  <c r="T1385" i="2"/>
  <c r="T1382" i="2"/>
  <c r="T1380" i="2"/>
  <c r="T1376" i="2"/>
  <c r="T1374" i="2"/>
  <c r="T1371" i="2"/>
  <c r="T1369" i="2"/>
  <c r="T1364" i="2"/>
  <c r="T848" i="2"/>
  <c r="T843" i="2"/>
  <c r="T840" i="2"/>
  <c r="T835" i="2"/>
  <c r="T828" i="2"/>
  <c r="T816" i="2"/>
  <c r="T559" i="2"/>
  <c r="T554" i="2"/>
  <c r="T552" i="2"/>
  <c r="T546" i="2"/>
  <c r="T540" i="2"/>
  <c r="T278" i="2"/>
  <c r="T272" i="2"/>
  <c r="T1654" i="2"/>
  <c r="T1652" i="2"/>
  <c r="T1650" i="2"/>
  <c r="T1648" i="2"/>
  <c r="T1646" i="2"/>
  <c r="T1643" i="2"/>
  <c r="T1641" i="2"/>
  <c r="T1639" i="2"/>
  <c r="T1389" i="2"/>
  <c r="T1386" i="2"/>
  <c r="T1384" i="2"/>
  <c r="T1381" i="2"/>
  <c r="T1379" i="2"/>
  <c r="T1377" i="2"/>
  <c r="T1375" i="2"/>
  <c r="T1373" i="2"/>
  <c r="T1370" i="2"/>
  <c r="T1368" i="2"/>
  <c r="T1365" i="2"/>
  <c r="T846" i="2"/>
  <c r="T842" i="2"/>
  <c r="T818" i="2"/>
  <c r="T815" i="2"/>
  <c r="T556" i="2"/>
  <c r="T553" i="2"/>
  <c r="T547" i="2"/>
  <c r="T277" i="2"/>
  <c r="T267" i="2"/>
  <c r="T1388" i="2"/>
  <c r="T1383" i="2"/>
  <c r="T1378" i="2"/>
  <c r="T1372" i="2"/>
  <c r="T1367" i="2"/>
  <c r="T1366" i="2"/>
  <c r="T844" i="2"/>
  <c r="T557" i="2"/>
  <c r="T548" i="2"/>
  <c r="T542" i="2"/>
  <c r="T891" i="2"/>
  <c r="T888" i="2"/>
  <c r="T884" i="2"/>
  <c r="T881" i="2"/>
  <c r="T878" i="2"/>
  <c r="T875" i="2"/>
  <c r="T872" i="2"/>
  <c r="T869" i="2"/>
  <c r="T866" i="2"/>
  <c r="T863" i="2"/>
  <c r="T860" i="2"/>
  <c r="T856" i="2"/>
  <c r="T853" i="2"/>
  <c r="T850" i="2"/>
  <c r="T845" i="2"/>
  <c r="T841" i="2"/>
  <c r="T825" i="2"/>
  <c r="T817" i="2"/>
  <c r="T813" i="2"/>
  <c r="T560" i="2"/>
  <c r="T555" i="2"/>
  <c r="T551" i="2"/>
  <c r="T545" i="2"/>
  <c r="T543" i="2"/>
  <c r="T276" i="2"/>
  <c r="T271" i="2"/>
  <c r="T1090" i="2"/>
  <c r="T889" i="2"/>
  <c r="T885" i="2"/>
  <c r="T882" i="2"/>
  <c r="T879" i="2"/>
  <c r="T876" i="2"/>
  <c r="T873" i="2"/>
  <c r="T870" i="2"/>
  <c r="T867" i="2"/>
  <c r="T864" i="2"/>
  <c r="T861" i="2"/>
  <c r="T857" i="2"/>
  <c r="T854" i="2"/>
  <c r="T851" i="2"/>
  <c r="T847" i="2"/>
  <c r="T814" i="2"/>
  <c r="T550" i="2"/>
  <c r="T558" i="2"/>
  <c r="T549" i="2"/>
  <c r="T541" i="2"/>
  <c r="T275" i="2"/>
  <c r="T274" i="2"/>
  <c r="T2743" i="2"/>
  <c r="T2741" i="2"/>
  <c r="T2739" i="2"/>
  <c r="T2737" i="2"/>
  <c r="T2521" i="2"/>
  <c r="T2519" i="2"/>
  <c r="T2517" i="2"/>
  <c r="T2514" i="2"/>
  <c r="T2512" i="2"/>
  <c r="T2509" i="2"/>
  <c r="T2507" i="2"/>
  <c r="T2504" i="2"/>
  <c r="T2502" i="2"/>
  <c r="T2499" i="2"/>
  <c r="T2497" i="2"/>
  <c r="T2494" i="2"/>
  <c r="T2492" i="2"/>
  <c r="T2490" i="2"/>
  <c r="T2487" i="2"/>
  <c r="T2485" i="2"/>
  <c r="T2482" i="2"/>
  <c r="T2480" i="2"/>
  <c r="T2477" i="2"/>
  <c r="T2467" i="2"/>
  <c r="T2465" i="2"/>
  <c r="T2462" i="2"/>
  <c r="T2227" i="2"/>
  <c r="T2225" i="2"/>
  <c r="T2221" i="2"/>
  <c r="T2219" i="2"/>
  <c r="T2217" i="2"/>
  <c r="T2214" i="2"/>
  <c r="T2212" i="2"/>
  <c r="T2208" i="2"/>
  <c r="T2206" i="2"/>
  <c r="T2202" i="2"/>
  <c r="T2199" i="2"/>
  <c r="T2197" i="2"/>
  <c r="T2194" i="2"/>
  <c r="T2191" i="2"/>
  <c r="T273" i="2"/>
  <c r="T268" i="2"/>
  <c r="T2789" i="2"/>
  <c r="T2786" i="2"/>
  <c r="T2780" i="2"/>
  <c r="T2779" i="2"/>
  <c r="T2776" i="2"/>
  <c r="T2772" i="2"/>
  <c r="T2764" i="2"/>
  <c r="T2756" i="2"/>
  <c r="T2747" i="2"/>
  <c r="T1922" i="2"/>
  <c r="T2745" i="2"/>
  <c r="T1923" i="2"/>
  <c r="T2470" i="2"/>
  <c r="T1944" i="2"/>
  <c r="T1942" i="2"/>
  <c r="T1940" i="2"/>
  <c r="T1937" i="2"/>
  <c r="T1935" i="2"/>
  <c r="T1933" i="2"/>
  <c r="T1930" i="2"/>
  <c r="T1928" i="2"/>
  <c r="T1925" i="2"/>
  <c r="T2195" i="2"/>
  <c r="T1943" i="2"/>
  <c r="T1941" i="2"/>
  <c r="T1939" i="2"/>
  <c r="T1936" i="2"/>
  <c r="T1934" i="2"/>
  <c r="T1932" i="2"/>
  <c r="T1929" i="2"/>
  <c r="T1927" i="2"/>
  <c r="T1921" i="2"/>
  <c r="T2757" i="2"/>
  <c r="T822" i="2"/>
  <c r="T2770" i="2"/>
  <c r="T2763" i="2"/>
  <c r="T2754" i="2"/>
  <c r="T2475" i="2"/>
  <c r="T1920" i="2"/>
  <c r="T839" i="2"/>
  <c r="T837" i="2"/>
  <c r="T834" i="2"/>
  <c r="T832" i="2"/>
  <c r="T830" i="2"/>
  <c r="T827" i="2"/>
  <c r="T824" i="2"/>
  <c r="T821" i="2"/>
  <c r="T2768" i="2"/>
  <c r="T2752" i="2"/>
  <c r="T2751" i="2"/>
  <c r="T1094" i="2"/>
  <c r="T838" i="2"/>
  <c r="T836" i="2"/>
  <c r="T833" i="2"/>
  <c r="T831" i="2"/>
  <c r="T829" i="2"/>
  <c r="T826" i="2"/>
  <c r="T823" i="2"/>
  <c r="T820" i="2"/>
  <c r="T2767" i="2"/>
  <c r="T2762" i="2"/>
  <c r="T2755" i="2"/>
  <c r="T2750" i="2"/>
  <c r="T2749" i="2"/>
  <c r="T2472" i="2"/>
  <c r="T2471" i="2"/>
  <c r="T819" i="2"/>
  <c r="T2774" i="2"/>
  <c r="T2769" i="2"/>
  <c r="T2761" i="2"/>
  <c r="T2760" i="2"/>
  <c r="T2474" i="2"/>
  <c r="T2473" i="2"/>
  <c r="T544" i="2"/>
  <c r="T2788" i="2"/>
  <c r="T2784" i="2"/>
  <c r="T2781" i="2"/>
  <c r="T2777" i="2"/>
  <c r="T2773" i="2"/>
  <c r="T2765" i="2"/>
  <c r="T2758" i="2"/>
  <c r="T2748" i="2"/>
  <c r="T1924" i="2"/>
  <c r="T2790" i="2"/>
  <c r="T2787" i="2"/>
  <c r="T2785" i="2"/>
  <c r="T2783" i="2"/>
  <c r="T2778" i="2"/>
  <c r="T2775" i="2"/>
  <c r="T2771" i="2"/>
  <c r="T2766" i="2"/>
  <c r="T2759" i="2"/>
  <c r="T2753" i="2"/>
  <c r="T2746" i="2"/>
  <c r="T1926" i="2"/>
  <c r="T3020" i="2"/>
  <c r="C31" i="1"/>
  <c r="D24" i="1" s="1"/>
  <c r="C20" i="1"/>
  <c r="D16" i="1" s="1"/>
  <c r="D25" i="1" l="1"/>
  <c r="D27" i="1"/>
  <c r="D28" i="1"/>
  <c r="D29" i="1"/>
  <c r="D31" i="1"/>
  <c r="D26" i="1"/>
  <c r="D18" i="1"/>
  <c r="D17" i="1"/>
  <c r="D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<sst xmlns="http://schemas.openxmlformats.org/spreadsheetml/2006/main" count="38962" uniqueCount="12484">
  <si>
    <t>家教課程消費明細 — 彙總</t>
  </si>
  <si>
    <r>
      <rPr>
        <sz val="10"/>
        <color rgb="FF595959"/>
        <rFont val="Noto Sans CJK SC"/>
        <family val="2"/>
      </rPr>
      <t>資料來源：消費紀錄列印</t>
    </r>
    <r>
      <rPr>
        <sz val="10"/>
        <color rgb="FF595959"/>
        <rFont val="Microsoft JhengHei"/>
        <family val="2"/>
        <charset val="136"/>
      </rPr>
      <t>20260622_0037.pdf</t>
    </r>
    <r>
      <rPr>
        <sz val="10"/>
        <color rgb="FF595959"/>
        <rFont val="Noto Sans CJK SC"/>
        <family val="2"/>
      </rPr>
      <t xml:space="preserve">（駿斯運動 </t>
    </r>
    <r>
      <rPr>
        <sz val="10"/>
        <color rgb="FF595959"/>
        <rFont val="Microsoft JhengHei"/>
        <family val="2"/>
        <charset val="136"/>
      </rPr>
      <t xml:space="preserve">· </t>
    </r>
    <r>
      <rPr>
        <sz val="10"/>
        <color rgb="FF595959"/>
        <rFont val="Noto Sans CJK SC"/>
        <family val="2"/>
      </rPr>
      <t>家教系統）</t>
    </r>
  </si>
  <si>
    <r>
      <rPr>
        <sz val="10"/>
        <color rgb="FF595959"/>
        <rFont val="Noto Sans CJK SC"/>
        <family val="2"/>
      </rPr>
      <t>列印條件期間：</t>
    </r>
    <r>
      <rPr>
        <sz val="10"/>
        <color rgb="FF595959"/>
        <rFont val="Microsoft JhengHei"/>
        <family val="2"/>
        <charset val="136"/>
      </rPr>
      <t>2022-06-01 ~ 2026-06-22</t>
    </r>
    <r>
      <rPr>
        <sz val="10"/>
        <color rgb="FF595959"/>
        <rFont val="Noto Sans CJK SC"/>
        <family val="2"/>
      </rPr>
      <t>　　產出日：</t>
    </r>
    <r>
      <rPr>
        <sz val="10"/>
        <color rgb="FF595959"/>
        <rFont val="Microsoft JhengHei"/>
        <family val="2"/>
        <charset val="136"/>
      </rPr>
      <t>2026-06-22</t>
    </r>
  </si>
  <si>
    <r>
      <rPr>
        <sz val="10"/>
        <color rgb="FFC00000"/>
        <rFont val="Noto Sans CJK SC"/>
        <family val="2"/>
      </rPr>
      <t xml:space="preserve">註：本檔 </t>
    </r>
    <r>
      <rPr>
        <sz val="10"/>
        <color rgb="FFC00000"/>
        <rFont val="Microsoft JhengHei"/>
        <family val="2"/>
        <charset val="136"/>
      </rPr>
      <t xml:space="preserve">3,019 </t>
    </r>
    <r>
      <rPr>
        <sz val="10"/>
        <color rgb="FFC00000"/>
        <rFont val="Noto Sans CJK SC"/>
        <family val="2"/>
      </rPr>
      <t>筆全部為「家教課程」消費；查無「會期</t>
    </r>
    <r>
      <rPr>
        <sz val="10"/>
        <color rgb="FFC00000"/>
        <rFont val="Microsoft JhengHei"/>
        <family val="2"/>
        <charset val="136"/>
      </rPr>
      <t>/</t>
    </r>
    <r>
      <rPr>
        <sz val="10"/>
        <color rgb="FFC00000"/>
        <rFont val="Noto Sans CJK SC"/>
        <family val="2"/>
      </rPr>
      <t>會員」購買品項。</t>
    </r>
  </si>
  <si>
    <t>交易概況</t>
  </si>
  <si>
    <t>總交易筆數</t>
  </si>
  <si>
    <t>實際金額合計</t>
  </si>
  <si>
    <r>
      <rPr>
        <b/>
        <sz val="11"/>
        <rFont val="Noto Sans CJK SC"/>
        <family val="2"/>
      </rPr>
      <t>折扣</t>
    </r>
    <r>
      <rPr>
        <b/>
        <sz val="11"/>
        <rFont val="Microsoft JhengHei"/>
        <family val="2"/>
        <charset val="136"/>
      </rPr>
      <t>(</t>
    </r>
    <r>
      <rPr>
        <b/>
        <sz val="11"/>
        <rFont val="Noto Sans CJK SC"/>
        <family val="2"/>
      </rPr>
      <t>全</t>
    </r>
    <r>
      <rPr>
        <b/>
        <sz val="11"/>
        <rFont val="Microsoft JhengHei"/>
        <family val="2"/>
        <charset val="136"/>
      </rPr>
      <t>)</t>
    </r>
    <r>
      <rPr>
        <b/>
        <sz val="11"/>
        <rFont val="Noto Sans CJK SC"/>
        <family val="2"/>
      </rPr>
      <t>合計</t>
    </r>
  </si>
  <si>
    <t>紅利折扣合計</t>
  </si>
  <si>
    <t>商品項數合計</t>
  </si>
  <si>
    <t>平均客單價</t>
  </si>
  <si>
    <t>依扣款別統計</t>
  </si>
  <si>
    <t>扣款別</t>
  </si>
  <si>
    <t>筆數</t>
  </si>
  <si>
    <t>實際金額</t>
  </si>
  <si>
    <t>金額占比</t>
  </si>
  <si>
    <t>現金</t>
  </si>
  <si>
    <t>刷卡</t>
  </si>
  <si>
    <t>其他</t>
  </si>
  <si>
    <t>儲值扣款</t>
  </si>
  <si>
    <t>合計</t>
  </si>
  <si>
    <t>依課程類別統計（依各交易第一項商品歸類）</t>
  </si>
  <si>
    <t>課程類別</t>
  </si>
  <si>
    <t>1VS1</t>
  </si>
  <si>
    <t>1VS2</t>
  </si>
  <si>
    <t>1VS3</t>
  </si>
  <si>
    <t>1VS4</t>
  </si>
  <si>
    <t>1VS5</t>
  </si>
  <si>
    <t>1VS6</t>
  </si>
  <si>
    <t>項次</t>
  </si>
  <si>
    <t>交易序號</t>
  </si>
  <si>
    <t>消費日期</t>
  </si>
  <si>
    <t>消費時間</t>
  </si>
  <si>
    <t>員工</t>
  </si>
  <si>
    <t>卡號</t>
  </si>
  <si>
    <t>會員姓名</t>
  </si>
  <si>
    <t>消費商品</t>
  </si>
  <si>
    <t>商品項數</t>
  </si>
  <si>
    <t>含試上</t>
  </si>
  <si>
    <t>紅利折扣</t>
  </si>
  <si>
    <r>
      <rPr>
        <b/>
        <sz val="11"/>
        <color rgb="FFFFFFFF"/>
        <rFont val="Noto Sans CJK SC"/>
        <family val="2"/>
      </rPr>
      <t>折扣</t>
    </r>
    <r>
      <rPr>
        <b/>
        <sz val="11"/>
        <color rgb="FFFFFFFF"/>
        <rFont val="Microsoft JhengHei"/>
        <family val="2"/>
        <charset val="136"/>
      </rPr>
      <t>(</t>
    </r>
    <r>
      <rPr>
        <b/>
        <sz val="11"/>
        <color rgb="FFFFFFFF"/>
        <rFont val="Noto Sans CJK SC"/>
        <family val="2"/>
      </rPr>
      <t>全</t>
    </r>
    <r>
      <rPr>
        <b/>
        <sz val="11"/>
        <color rgb="FFFFFFFF"/>
        <rFont val="Microsoft JhengHei"/>
        <family val="2"/>
        <charset val="136"/>
      </rPr>
      <t>)</t>
    </r>
  </si>
  <si>
    <t>紅利</t>
  </si>
  <si>
    <t>20260621122005010651</t>
  </si>
  <si>
    <t>12:20:05</t>
  </si>
  <si>
    <t>徐立珏</t>
  </si>
  <si>
    <t>BQ115063</t>
  </si>
  <si>
    <t>徐漢潁、王允斌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</si>
  <si>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(20%) 1x9000</t>
    </r>
  </si>
  <si>
    <t>20260621121333010926</t>
  </si>
  <si>
    <t>12:13:33</t>
  </si>
  <si>
    <t>BQ115057</t>
  </si>
  <si>
    <t>張洛綾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</si>
  <si>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1x7500</t>
    </r>
  </si>
  <si>
    <t>20260620135011010760</t>
  </si>
  <si>
    <t>13:50:11</t>
  </si>
  <si>
    <t>葉瑋慈</t>
  </si>
  <si>
    <t>BQ115062</t>
  </si>
  <si>
    <t>蔡育潔 阮偉銘</t>
  </si>
  <si>
    <t>20260620134733010911</t>
  </si>
  <si>
    <t>13:47:33</t>
  </si>
  <si>
    <t>BQ114132</t>
  </si>
  <si>
    <t>邱瑀昕 梁芷晴</t>
  </si>
  <si>
    <t>20260620084333010403</t>
  </si>
  <si>
    <t>08:43:33</t>
  </si>
  <si>
    <t>AQ1141122</t>
  </si>
  <si>
    <t>吳凱恩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</si>
  <si>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>1x6900</t>
    </r>
  </si>
  <si>
    <t>20260620075155010011</t>
  </si>
  <si>
    <t>07:51:55</t>
  </si>
  <si>
    <t>BQ115061</t>
  </si>
  <si>
    <t>劉宇芯</t>
  </si>
  <si>
    <t>20260620074903010475</t>
  </si>
  <si>
    <t>07:49:03</t>
  </si>
  <si>
    <t>BQ115060</t>
  </si>
  <si>
    <t>廖有彬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</si>
  <si>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>1x6900</t>
    </r>
  </si>
  <si>
    <t>20260618202653010998</t>
  </si>
  <si>
    <t>20:26:53</t>
  </si>
  <si>
    <t>翁丞妤</t>
  </si>
  <si>
    <t>CQ114236</t>
  </si>
  <si>
    <t>詹侑璁</t>
  </si>
  <si>
    <t>20260618201143010644</t>
  </si>
  <si>
    <t>20:11:43</t>
  </si>
  <si>
    <t>鄭琳魿</t>
  </si>
  <si>
    <t>BQ115059</t>
  </si>
  <si>
    <t>陳詩⽻</t>
  </si>
  <si>
    <t>20260617205656010429</t>
  </si>
  <si>
    <t>20:56:56</t>
  </si>
  <si>
    <t>BQ115058</t>
  </si>
  <si>
    <t>李德揚</t>
  </si>
  <si>
    <t>20260616112531010621</t>
  </si>
  <si>
    <t>11:25:31</t>
  </si>
  <si>
    <t>莊尹玟</t>
  </si>
  <si>
    <t>AQ1140616</t>
  </si>
  <si>
    <t>林晴川</t>
  </si>
  <si>
    <t>20260615184931010348</t>
  </si>
  <si>
    <t>18:49:31</t>
  </si>
  <si>
    <t>CQ115148</t>
  </si>
  <si>
    <t>吳青諭 吳宇佑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</si>
  <si>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1x7500</t>
    </r>
  </si>
  <si>
    <t>20260615182812010762</t>
  </si>
  <si>
    <t>18:28:12</t>
  </si>
  <si>
    <t>BQ115056</t>
  </si>
  <si>
    <t>林宜閒 林湘品</t>
  </si>
  <si>
    <t>20260615182541010389</t>
  </si>
  <si>
    <t>18:25:41</t>
  </si>
  <si>
    <t>BQ114948</t>
  </si>
  <si>
    <t>徐苡筑、吳孟熹</t>
  </si>
  <si>
    <t>20260615150506010371</t>
  </si>
  <si>
    <t>15:05:06</t>
  </si>
  <si>
    <t>BQ115040</t>
  </si>
  <si>
    <t>張景祥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</si>
  <si>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(20%) 1x8280</t>
    </r>
  </si>
  <si>
    <t>20260614163734010245</t>
  </si>
  <si>
    <t>16:37:34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</si>
  <si>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【試上】家教</t>
    </r>
    <r>
      <rPr>
        <sz val="10"/>
        <rFont val="Microsoft JhengHei"/>
        <family val="2"/>
        <charset val="136"/>
      </rPr>
      <t>1VS2 1x1400</t>
    </r>
  </si>
  <si>
    <t>是</t>
  </si>
  <si>
    <t>20260614162139010577</t>
  </si>
  <si>
    <t>16:21:39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</si>
  <si>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【試上】家教</t>
    </r>
    <r>
      <rPr>
        <sz val="10"/>
        <rFont val="Microsoft JhengHei"/>
        <family val="2"/>
        <charset val="136"/>
      </rPr>
      <t>1VS2 (20%) 1x1680</t>
    </r>
  </si>
  <si>
    <t>20260614161256010596</t>
  </si>
  <si>
    <t>16:12:56</t>
  </si>
  <si>
    <t>BQ115053</t>
  </si>
  <si>
    <r>
      <rPr>
        <sz val="10"/>
        <rFont val="Noto Sans CJK SC"/>
        <family val="2"/>
      </rPr>
      <t>蔡東樺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蔡曜安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蔡曜⽻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蔡雨芯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</si>
  <si>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(20%) 1x14400</t>
    </r>
  </si>
  <si>
    <t>20260614141552010907</t>
  </si>
  <si>
    <t>14:15:52</t>
  </si>
  <si>
    <t>許雅雯</t>
  </si>
  <si>
    <t>CQ114292</t>
  </si>
  <si>
    <r>
      <rPr>
        <sz val="10"/>
        <rFont val="Noto Sans CJK SC"/>
        <family val="2"/>
      </rPr>
      <t>賴彥誠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陳彩婕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詹佩螢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</si>
  <si>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1x9900</t>
    </r>
  </si>
  <si>
    <t>20260614132308010890</t>
  </si>
  <si>
    <t>13:23:08</t>
  </si>
  <si>
    <t>CQ115426</t>
  </si>
  <si>
    <r>
      <rPr>
        <sz val="10"/>
        <rFont val="Noto Sans CJK SC"/>
        <family val="2"/>
      </rPr>
      <t>季蔚帆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林宇桓</t>
    </r>
  </si>
  <si>
    <t>20260614131023010523</t>
  </si>
  <si>
    <t>13:10:23</t>
  </si>
  <si>
    <t>BQ113304</t>
  </si>
  <si>
    <t>楊沁瑜</t>
  </si>
  <si>
    <t>20260613172022010124</t>
  </si>
  <si>
    <t>17:20:22</t>
  </si>
  <si>
    <t>CQ114352</t>
  </si>
  <si>
    <t>賴欣葦 蘇宥宇</t>
  </si>
  <si>
    <t>20260613162737010217</t>
  </si>
  <si>
    <t>16:27:37</t>
  </si>
  <si>
    <t>BQ115055</t>
  </si>
  <si>
    <t>黃禹嫣 黃翊恆</t>
  </si>
  <si>
    <t>20260613162711010977</t>
  </si>
  <si>
    <t>16:27:11</t>
  </si>
  <si>
    <t>AQ113272</t>
  </si>
  <si>
    <t>許翔宇</t>
  </si>
  <si>
    <t>20260613162536010989</t>
  </si>
  <si>
    <t>16:25:36</t>
  </si>
  <si>
    <t>AQ115061</t>
  </si>
  <si>
    <t>許嘉⽂</t>
  </si>
  <si>
    <t>20260613161510010705</t>
  </si>
  <si>
    <t>16:15:10</t>
  </si>
  <si>
    <t>AQ114125</t>
  </si>
  <si>
    <t>蘇重寧 蘇重燁</t>
  </si>
  <si>
    <t>20260613104612010034</t>
  </si>
  <si>
    <t>10:46:12</t>
  </si>
  <si>
    <t>莊柏彥</t>
  </si>
  <si>
    <t>AQ11402001</t>
  </si>
  <si>
    <r>
      <rPr>
        <sz val="10"/>
        <rFont val="Noto Sans CJK SC"/>
        <family val="2"/>
      </rPr>
      <t>吳奕威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吳宜珊</t>
    </r>
  </si>
  <si>
    <t>20260612183224010257</t>
  </si>
  <si>
    <t>18:32:24</t>
  </si>
  <si>
    <t>BQ111083</t>
  </si>
  <si>
    <r>
      <rPr>
        <sz val="10"/>
        <rFont val="Noto Sans CJK SC"/>
        <family val="2"/>
      </rPr>
      <t>元永翔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元永叡</t>
    </r>
  </si>
  <si>
    <t>20260612171356010834</t>
  </si>
  <si>
    <t>17:13:56</t>
  </si>
  <si>
    <t>陳歆毓</t>
  </si>
  <si>
    <t>CQ115145</t>
  </si>
  <si>
    <t>陳品匡</t>
  </si>
  <si>
    <t>20260612171104010882</t>
  </si>
  <si>
    <t>17:11:04</t>
  </si>
  <si>
    <t>CQ114180</t>
  </si>
  <si>
    <t>房思妘 房暉軒何安格</t>
  </si>
  <si>
    <t>20260612152302010153</t>
  </si>
  <si>
    <t>15:23:02</t>
  </si>
  <si>
    <t>AQ11407050</t>
  </si>
  <si>
    <t>陳瑀希 陳歆蕎</t>
  </si>
  <si>
    <t>20260611163340010814</t>
  </si>
  <si>
    <t>16:33:40</t>
  </si>
  <si>
    <t>BQ115054</t>
  </si>
  <si>
    <t>蕭萁、蕭僑</t>
  </si>
  <si>
    <t>20260611120635010727</t>
  </si>
  <si>
    <t>12:06:35</t>
  </si>
  <si>
    <t>AQ1140611</t>
  </si>
  <si>
    <t>謝修有、謝修平</t>
  </si>
  <si>
    <t>20260610185723010474</t>
  </si>
  <si>
    <t>18:57:23</t>
  </si>
  <si>
    <t>BQ115032</t>
  </si>
  <si>
    <t>黃郁惠</t>
  </si>
  <si>
    <t>20260610172841010223</t>
  </si>
  <si>
    <t>17:28:41</t>
  </si>
  <si>
    <t>林佳琪</t>
  </si>
  <si>
    <t>AQ113149</t>
  </si>
  <si>
    <t>蔡云箴 蔡紹泉</t>
  </si>
  <si>
    <t>20260610172736010146</t>
  </si>
  <si>
    <t>17:27:36</t>
  </si>
  <si>
    <t>CQ115142</t>
  </si>
  <si>
    <t>葉宥希 鄭昕彤</t>
  </si>
  <si>
    <t>20260610153049010642</t>
  </si>
  <si>
    <t>15:30:49</t>
  </si>
  <si>
    <t>AQ1140610</t>
  </si>
  <si>
    <t>林星彤</t>
  </si>
  <si>
    <t>20260610150635010714</t>
  </si>
  <si>
    <t>15:06:35</t>
  </si>
  <si>
    <t>BQ115052</t>
  </si>
  <si>
    <r>
      <rPr>
        <sz val="10"/>
        <rFont val="Noto Sans CJK SC"/>
        <family val="2"/>
      </rPr>
      <t>林鈺庭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林鈺娟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游皓晴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游秉頵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</si>
  <si>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1x12000</t>
    </r>
  </si>
  <si>
    <t>20260609152452010281</t>
  </si>
  <si>
    <t>15:24:52</t>
  </si>
  <si>
    <t>AQ11406091</t>
  </si>
  <si>
    <t>何沂玹、何晨瑞</t>
  </si>
  <si>
    <t>20260608172943010390</t>
  </si>
  <si>
    <t>17:29:43</t>
  </si>
  <si>
    <t>BQ115051</t>
  </si>
  <si>
    <r>
      <rPr>
        <sz val="10"/>
        <rFont val="Noto Sans CJK SC"/>
        <family val="2"/>
      </rPr>
      <t>陳芷婕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陳宇宥</t>
    </r>
    <r>
      <rPr>
        <sz val="10"/>
        <rFont val="Microsoft JhengHei"/>
        <family val="2"/>
        <charset val="136"/>
      </rPr>
      <t>.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</si>
  <si>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1x9900</t>
    </r>
  </si>
  <si>
    <t>20260607152855010583</t>
  </si>
  <si>
    <t>15:28:55</t>
  </si>
  <si>
    <t>AQ11406072</t>
  </si>
  <si>
    <r>
      <rPr>
        <sz val="10"/>
        <rFont val="Noto Sans CJK SC"/>
        <family val="2"/>
      </rPr>
      <t>郭仲恩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郭品彤</t>
    </r>
  </si>
  <si>
    <t>20260607093213010267</t>
  </si>
  <si>
    <t>09:32:13</t>
  </si>
  <si>
    <t>AQ1150607</t>
  </si>
  <si>
    <t>周品⾔</t>
  </si>
  <si>
    <t>20260606184245010739</t>
  </si>
  <si>
    <t>18:42:45</t>
  </si>
  <si>
    <t>BQ115005</t>
  </si>
  <si>
    <t>張軒睿</t>
  </si>
  <si>
    <t>20260606162358010050</t>
  </si>
  <si>
    <t>16:23:58</t>
  </si>
  <si>
    <t>BQ114142</t>
  </si>
  <si>
    <t>藍禹晴 杜苡菲杜春潔</t>
  </si>
  <si>
    <t>20260606160109010844</t>
  </si>
  <si>
    <t>16:01:09</t>
  </si>
  <si>
    <t>BQ115050</t>
  </si>
  <si>
    <t>李庭緹</t>
  </si>
  <si>
    <t>20260606142837010924</t>
  </si>
  <si>
    <t>14:28:37</t>
  </si>
  <si>
    <t>CQ1114127</t>
  </si>
  <si>
    <t>吳宥呈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</si>
  <si>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(20%) 1x8280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(20%) 1x8280</t>
    </r>
  </si>
  <si>
    <t>20260606141353010432</t>
  </si>
  <si>
    <t>14:13:53</t>
  </si>
  <si>
    <t>CQ115140</t>
  </si>
  <si>
    <t>詹丰⽻ 詹晴恩詹宸皓</t>
  </si>
  <si>
    <t>20260606111154010193</t>
  </si>
  <si>
    <t>11:11:54</t>
  </si>
  <si>
    <t>AQ114048</t>
  </si>
  <si>
    <t>徐慶興 徐立恩</t>
  </si>
  <si>
    <t>20260606093052010215</t>
  </si>
  <si>
    <t>09:30:52</t>
  </si>
  <si>
    <t>AQ11506062</t>
  </si>
  <si>
    <t>周⼦菲 周穆妍蔡昀宸 蔡孟宸</t>
  </si>
  <si>
    <t>20260606090500010143</t>
  </si>
  <si>
    <t>09:05:00</t>
  </si>
  <si>
    <t>AQ11566</t>
  </si>
  <si>
    <t>孫梓程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</si>
  <si>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>1x6900</t>
    </r>
  </si>
  <si>
    <t>20260605194900010735</t>
  </si>
  <si>
    <t>19:49:00</t>
  </si>
  <si>
    <t>CQ115139</t>
  </si>
  <si>
    <t>莊⼦頎 吳品樺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</si>
  <si>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(50%) 1x10800</t>
    </r>
  </si>
  <si>
    <t>20260604193801010955</t>
  </si>
  <si>
    <t>19:38:01</t>
  </si>
  <si>
    <t>CQ114241</t>
  </si>
  <si>
    <t>陳睿聖</t>
  </si>
  <si>
    <t>20260604190715010060</t>
  </si>
  <si>
    <t>19:07:15</t>
  </si>
  <si>
    <t>CQ115425</t>
  </si>
  <si>
    <r>
      <rPr>
        <sz val="10"/>
        <rFont val="Noto Sans CJK SC"/>
        <family val="2"/>
      </rPr>
      <t>郭向崴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林俋岑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謝丞富</t>
    </r>
  </si>
  <si>
    <t>20260604185933010630</t>
  </si>
  <si>
    <t>18:59:33</t>
  </si>
  <si>
    <t>CQ115136</t>
  </si>
  <si>
    <t>陳牧楷 陳洧婕魏晞⽻</t>
  </si>
  <si>
    <t>20260604163240010465</t>
  </si>
  <si>
    <t>16:32:40</t>
  </si>
  <si>
    <t>陳佳欣</t>
  </si>
  <si>
    <t>AQ115419</t>
  </si>
  <si>
    <t>林承斌 林奕騰</t>
  </si>
  <si>
    <t>20260604160350010527</t>
  </si>
  <si>
    <t>16:03:50</t>
  </si>
  <si>
    <t>AQ1150604</t>
  </si>
  <si>
    <t>郭沐愛</t>
  </si>
  <si>
    <t>20260604155948010301</t>
  </si>
  <si>
    <t>15:59:48</t>
  </si>
  <si>
    <t>AQ1150605</t>
  </si>
  <si>
    <t>黎佳妮</t>
  </si>
  <si>
    <t>20260603191203010961</t>
  </si>
  <si>
    <t>19:12:03</t>
  </si>
  <si>
    <t>BQ115048</t>
  </si>
  <si>
    <t>蘇珈語 蘇敬恩</t>
  </si>
  <si>
    <t>20260601204707010867</t>
  </si>
  <si>
    <t>20:47:07</t>
  </si>
  <si>
    <t>BQ115049</t>
  </si>
  <si>
    <r>
      <rPr>
        <sz val="10"/>
        <rFont val="Noto Sans CJK SC"/>
        <family val="2"/>
      </rPr>
      <t>林帛宇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林⽻宸</t>
    </r>
  </si>
  <si>
    <t>20260601204428010388</t>
  </si>
  <si>
    <t>20:44:28</t>
  </si>
  <si>
    <t>20260601202941010989</t>
  </si>
  <si>
    <t>20:29:41</t>
  </si>
  <si>
    <t>CQ113482</t>
  </si>
  <si>
    <t>鐘昊軒 鍾亦涵</t>
  </si>
  <si>
    <t>20260601195402010312</t>
  </si>
  <si>
    <t>19:54:02</t>
  </si>
  <si>
    <t>CQ115134</t>
  </si>
  <si>
    <t>廖翌昂 廖翌晴</t>
  </si>
  <si>
    <t>20260531194304010787</t>
  </si>
  <si>
    <t>19:43:04</t>
  </si>
  <si>
    <t>AQ115531</t>
  </si>
  <si>
    <r>
      <rPr>
        <sz val="10"/>
        <rFont val="Noto Sans CJK SC"/>
        <family val="2"/>
      </rPr>
      <t>陳旼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余鎧婕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余宥安</t>
    </r>
  </si>
  <si>
    <t>20260531155707010005</t>
  </si>
  <si>
    <t>15:57:07</t>
  </si>
  <si>
    <t>20260531110649010536</t>
  </si>
  <si>
    <t>11:06:49</t>
  </si>
  <si>
    <t>AQ114080</t>
  </si>
  <si>
    <t>王愷鑫 王星陽</t>
  </si>
  <si>
    <t>20260530153351010090</t>
  </si>
  <si>
    <t>15:33:51</t>
  </si>
  <si>
    <t>BQ115023</t>
  </si>
  <si>
    <r>
      <rPr>
        <sz val="10"/>
        <rFont val="Noto Sans CJK SC"/>
        <family val="2"/>
      </rPr>
      <t>張芯寧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陳芷伃</t>
    </r>
  </si>
  <si>
    <t>20260530151927010011</t>
  </si>
  <si>
    <t>15:19:27</t>
  </si>
  <si>
    <t>BQ114156</t>
  </si>
  <si>
    <t>林沂潔 林沂萱汪愉珊 林柏良</t>
  </si>
  <si>
    <t>20260530141943010224</t>
  </si>
  <si>
    <t>14:19:43</t>
  </si>
  <si>
    <t>CQ115132</t>
  </si>
  <si>
    <t>劉書睿</t>
  </si>
  <si>
    <t>20260530141212010844</t>
  </si>
  <si>
    <t>14:12:12</t>
  </si>
  <si>
    <t>CQ114320</t>
  </si>
  <si>
    <t>張庭妍 張瑀婕</t>
  </si>
  <si>
    <t>20260530135604010902</t>
  </si>
  <si>
    <t>13:56:04</t>
  </si>
  <si>
    <t>CQ115122</t>
  </si>
  <si>
    <t>李斯恩</t>
  </si>
  <si>
    <t>20260530135114010022</t>
  </si>
  <si>
    <t>13:51:14</t>
  </si>
  <si>
    <t>CQ115129</t>
  </si>
  <si>
    <t>吳少宇 吳少凱</t>
  </si>
  <si>
    <t>20260530134645010553</t>
  </si>
  <si>
    <t>13:46:45</t>
  </si>
  <si>
    <t>CQ115016</t>
  </si>
  <si>
    <t>李昆翰</t>
  </si>
  <si>
    <t>20260529175233010478</t>
  </si>
  <si>
    <t>17:52:33</t>
  </si>
  <si>
    <t>CQ115126</t>
  </si>
  <si>
    <t>謝永承 謝鎮鑫</t>
  </si>
  <si>
    <t>20260529175040010531</t>
  </si>
  <si>
    <t>17:50:40</t>
  </si>
  <si>
    <t>CQ115529</t>
  </si>
  <si>
    <t>王洛澄 鄭涵菲</t>
  </si>
  <si>
    <t>20260529153307010102</t>
  </si>
  <si>
    <t>15:33:07</t>
  </si>
  <si>
    <t>AQ114017</t>
  </si>
  <si>
    <t>簡亦軒</t>
  </si>
  <si>
    <t>20260528185818010368</t>
  </si>
  <si>
    <t>18:58:18</t>
  </si>
  <si>
    <t>BQ115047</t>
  </si>
  <si>
    <t>劉品宏</t>
  </si>
  <si>
    <t>20260528185203010745</t>
  </si>
  <si>
    <t>18:52:03</t>
  </si>
  <si>
    <t>AQ115060</t>
  </si>
  <si>
    <t>汪宥伶</t>
  </si>
  <si>
    <t>20260527182805010804</t>
  </si>
  <si>
    <t>18:28:05</t>
  </si>
  <si>
    <t>CQ115124</t>
  </si>
  <si>
    <r>
      <rPr>
        <sz val="10"/>
        <rFont val="Noto Sans CJK SC"/>
        <family val="2"/>
      </rPr>
      <t>黃竫橙</t>
    </r>
    <r>
      <rPr>
        <sz val="10"/>
        <rFont val="Microsoft JhengHei"/>
        <family val="2"/>
        <charset val="136"/>
      </rPr>
      <t>,</t>
    </r>
    <r>
      <rPr>
        <sz val="10"/>
        <rFont val="Noto Sans CJK SC"/>
        <family val="2"/>
      </rPr>
      <t>丁鈺欣</t>
    </r>
    <r>
      <rPr>
        <sz val="10"/>
        <rFont val="Microsoft JhengHei"/>
        <family val="2"/>
        <charset val="136"/>
      </rPr>
      <t>,</t>
    </r>
    <r>
      <rPr>
        <sz val="10"/>
        <rFont val="Noto Sans CJK SC"/>
        <family val="2"/>
      </rPr>
      <t>丁鈺軒</t>
    </r>
    <r>
      <rPr>
        <sz val="10"/>
        <rFont val="Microsoft JhengHei"/>
        <family val="2"/>
        <charset val="136"/>
      </rPr>
      <t>,</t>
    </r>
    <r>
      <rPr>
        <sz val="10"/>
        <rFont val="Noto Sans CJK SC"/>
        <family val="2"/>
      </rPr>
      <t>葉宣妍</t>
    </r>
  </si>
  <si>
    <t>20260527182413010474</t>
  </si>
  <si>
    <t>18:24:13</t>
  </si>
  <si>
    <t>CQ116123</t>
  </si>
  <si>
    <t>施睿宸 陳玥璇</t>
  </si>
  <si>
    <t>20260527182054010444</t>
  </si>
  <si>
    <t>18:20:54</t>
  </si>
  <si>
    <t>CQ115125</t>
  </si>
  <si>
    <t>張宸暟 張宸妘周宥廷 周宜興</t>
  </si>
  <si>
    <t>20260526213822010602</t>
  </si>
  <si>
    <t>21:38:22</t>
  </si>
  <si>
    <t>BQ115024</t>
  </si>
  <si>
    <t>林⽔全</t>
  </si>
  <si>
    <t>20260526213601010495</t>
  </si>
  <si>
    <t>21:36:01</t>
  </si>
  <si>
    <t>BQ115046</t>
  </si>
  <si>
    <r>
      <rPr>
        <sz val="10"/>
        <rFont val="Noto Sans CJK SC"/>
        <family val="2"/>
      </rPr>
      <t>林宣澄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林楷茗</t>
    </r>
  </si>
  <si>
    <t>20260526203230010280</t>
  </si>
  <si>
    <t>20:32:30</t>
  </si>
  <si>
    <t>BQ115045</t>
  </si>
  <si>
    <t>楊曉秋</t>
  </si>
  <si>
    <t>20260526191112010132</t>
  </si>
  <si>
    <t>19:11:12</t>
  </si>
  <si>
    <t>BQ113305</t>
  </si>
  <si>
    <t>林綵霈</t>
  </si>
  <si>
    <t>20260526165100010877</t>
  </si>
  <si>
    <t>16:51:00</t>
  </si>
  <si>
    <t>郭逸凡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</si>
  <si>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【試上】家教</t>
    </r>
    <r>
      <rPr>
        <sz val="10"/>
        <rFont val="Microsoft JhengHei"/>
        <family val="2"/>
        <charset val="136"/>
      </rPr>
      <t>1VS1 1x1200</t>
    </r>
  </si>
  <si>
    <t>20260525213400010806</t>
  </si>
  <si>
    <t>21:34:00</t>
  </si>
  <si>
    <t>潘思蒓</t>
  </si>
  <si>
    <t>AQ113353</t>
  </si>
  <si>
    <r>
      <rPr>
        <sz val="10"/>
        <rFont val="Noto Sans CJK SC"/>
        <family val="2"/>
      </rPr>
      <t>陳俊孝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童研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童禹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</si>
  <si>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1x9900</t>
    </r>
  </si>
  <si>
    <t>20260525210508010324</t>
  </si>
  <si>
    <t>21:05:08</t>
  </si>
  <si>
    <t>CQ114111</t>
  </si>
  <si>
    <r>
      <rPr>
        <sz val="10"/>
        <rFont val="Noto Sans CJK SC"/>
        <family val="2"/>
      </rPr>
      <t>蔡愷恩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蔡奕恩</t>
    </r>
  </si>
  <si>
    <t>20260524154904010094</t>
  </si>
  <si>
    <t>15:49:04</t>
  </si>
  <si>
    <t>CQ113474</t>
  </si>
  <si>
    <t>張安淇 張安妮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</si>
  <si>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1x7500</t>
    </r>
  </si>
  <si>
    <t>20260524154717010726</t>
  </si>
  <si>
    <t>15:47:17</t>
  </si>
  <si>
    <t>CQ113360</t>
  </si>
  <si>
    <t>張安淇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</si>
  <si>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>1x6900</t>
    </r>
  </si>
  <si>
    <t>20260524150107010288</t>
  </si>
  <si>
    <t>15:01:07</t>
  </si>
  <si>
    <t>CQ114366</t>
  </si>
  <si>
    <t>陳昕樂</t>
  </si>
  <si>
    <t>20260524140344010085</t>
  </si>
  <si>
    <t>14:03:44</t>
  </si>
  <si>
    <t>CQ115010</t>
  </si>
  <si>
    <t>呂晨嫣 呂沐菲</t>
  </si>
  <si>
    <t>20260524131738010683</t>
  </si>
  <si>
    <t>13:17:38</t>
  </si>
  <si>
    <t>CQ1140919</t>
  </si>
  <si>
    <r>
      <rPr>
        <sz val="10"/>
        <rFont val="Noto Sans CJK SC"/>
        <family val="2"/>
      </rPr>
      <t>陳侑均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廖冠岳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楊凱晴</t>
    </r>
  </si>
  <si>
    <t>20260524125816010312</t>
  </si>
  <si>
    <t>12:58:16</t>
  </si>
  <si>
    <t>CQ1131007</t>
  </si>
  <si>
    <r>
      <rPr>
        <sz val="10"/>
        <rFont val="Noto Sans CJK SC"/>
        <family val="2"/>
      </rPr>
      <t>黃柏睿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陳映充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</si>
  <si>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1x7500</t>
    </r>
  </si>
  <si>
    <t>20260524124757010467</t>
  </si>
  <si>
    <t>12:47:57</t>
  </si>
  <si>
    <r>
      <rPr>
        <sz val="10"/>
        <rFont val="Microsoft JhengHei"/>
        <family val="2"/>
        <charset val="136"/>
      </rPr>
      <t>CQ113527-1</t>
    </r>
    <r>
      <rPr>
        <sz val="10"/>
        <rFont val="Noto Sans CJK SC"/>
        <family val="2"/>
      </rPr>
      <t>姚奕鍇</t>
    </r>
  </si>
  <si>
    <t>20260524122620010859</t>
  </si>
  <si>
    <t>12:26:20</t>
  </si>
  <si>
    <t>BQ115019</t>
  </si>
  <si>
    <t>吳佳樺</t>
  </si>
  <si>
    <t>20260524071649010538</t>
  </si>
  <si>
    <t>07:16:49</t>
  </si>
  <si>
    <t>AQ113329</t>
  </si>
  <si>
    <t>吳懿祐</t>
  </si>
  <si>
    <t>20260523145526010343</t>
  </si>
  <si>
    <t>14:55:26</t>
  </si>
  <si>
    <t>AQ112496</t>
  </si>
  <si>
    <t>陳妍安 陳妍均</t>
  </si>
  <si>
    <t>20260522213137010323</t>
  </si>
  <si>
    <t>21:31:37</t>
  </si>
  <si>
    <t>AQ1150522</t>
  </si>
  <si>
    <t>陳⾱君 陳甯熙陳⾱靜</t>
  </si>
  <si>
    <t>20260522203801010691</t>
  </si>
  <si>
    <t>20:38:01</t>
  </si>
  <si>
    <t>CQ113529</t>
  </si>
  <si>
    <t>林承勳 林宗緯</t>
  </si>
  <si>
    <t>20260522202426010037</t>
  </si>
  <si>
    <t>20:24:26</t>
  </si>
  <si>
    <t>AQ1140011</t>
  </si>
  <si>
    <r>
      <rPr>
        <sz val="10"/>
        <rFont val="Noto Sans CJK SC"/>
        <family val="2"/>
      </rPr>
      <t>⾦璽悅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⾦璽樂</t>
    </r>
  </si>
  <si>
    <t>20260522192442010313</t>
  </si>
  <si>
    <t>19:24:42</t>
  </si>
  <si>
    <t>CQ115112</t>
  </si>
  <si>
    <r>
      <rPr>
        <sz val="10"/>
        <rFont val="Noto Sans CJK SC"/>
        <family val="2"/>
      </rPr>
      <t>翁⼦甯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李采芯</t>
    </r>
  </si>
  <si>
    <t>20260522191831010908</t>
  </si>
  <si>
    <t>19:18:31</t>
  </si>
  <si>
    <t>CQ114253</t>
  </si>
  <si>
    <r>
      <rPr>
        <sz val="10"/>
        <rFont val="Noto Sans CJK SC"/>
        <family val="2"/>
      </rPr>
      <t>吳海安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吳海靜</t>
    </r>
  </si>
  <si>
    <t>20260522183512010496</t>
  </si>
  <si>
    <t>18:35:12</t>
  </si>
  <si>
    <t>CQ115110</t>
  </si>
  <si>
    <t>周暐翰 周家佑</t>
  </si>
  <si>
    <t>20260522183233010296</t>
  </si>
  <si>
    <t>18:32:33</t>
  </si>
  <si>
    <t>CQ113109</t>
  </si>
  <si>
    <t>林梓垚 黃宇程</t>
  </si>
  <si>
    <t>20260522182808010832</t>
  </si>
  <si>
    <t>18:28:08</t>
  </si>
  <si>
    <t>CQ115108</t>
  </si>
  <si>
    <t>蔡余婕</t>
  </si>
  <si>
    <t>20260521184738010184</t>
  </si>
  <si>
    <t>18:47:38</t>
  </si>
  <si>
    <t>BQ115044</t>
  </si>
  <si>
    <r>
      <rPr>
        <sz val="10"/>
        <rFont val="Noto Sans CJK SC"/>
        <family val="2"/>
      </rPr>
      <t>陳宓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楊甯伃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楊傑宇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涂翊辰</t>
    </r>
  </si>
  <si>
    <t>20260521160825010715</t>
  </si>
  <si>
    <t>16:08:25</t>
  </si>
  <si>
    <t>BQ115028</t>
  </si>
  <si>
    <t>謝宜軒</t>
  </si>
  <si>
    <t>20260521160523010211</t>
  </si>
  <si>
    <t>16:05:23</t>
  </si>
  <si>
    <t>BQ114950</t>
  </si>
  <si>
    <t>游洛⿑、龍永承、龍永恩</t>
  </si>
  <si>
    <t>20260521160326010765</t>
  </si>
  <si>
    <t>16:03:26</t>
  </si>
  <si>
    <t>BQ114068</t>
  </si>
  <si>
    <r>
      <rPr>
        <sz val="10"/>
        <rFont val="Noto Sans CJK SC"/>
        <family val="2"/>
      </rPr>
      <t>陳聖皓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陳紹揚</t>
    </r>
  </si>
  <si>
    <t>20260521160153010289</t>
  </si>
  <si>
    <t>16:01:53</t>
  </si>
  <si>
    <t>BQ114067</t>
  </si>
  <si>
    <t>羅智瀚</t>
  </si>
  <si>
    <t>20260521155946010734</t>
  </si>
  <si>
    <t>15:59:46</t>
  </si>
  <si>
    <t>BQ115043</t>
  </si>
  <si>
    <r>
      <rPr>
        <sz val="10"/>
        <rFont val="Noto Sans CJK SC"/>
        <family val="2"/>
      </rPr>
      <t>⾼⼦鈞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黃韻佳</t>
    </r>
  </si>
  <si>
    <t>20260521155041010677</t>
  </si>
  <si>
    <t>15:50:41</t>
  </si>
  <si>
    <t>BQ1147121</t>
  </si>
  <si>
    <t>林柏宇周靖璇周暄佑</t>
  </si>
  <si>
    <t>20260521154813010594</t>
  </si>
  <si>
    <t>15:48:13</t>
  </si>
  <si>
    <t>BQ115030</t>
  </si>
  <si>
    <r>
      <rPr>
        <sz val="10"/>
        <rFont val="Noto Sans CJK SC"/>
        <family val="2"/>
      </rPr>
      <t>魏品恩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魏品芸</t>
    </r>
  </si>
  <si>
    <t>20260521154627010254</t>
  </si>
  <si>
    <t>15:46:27</t>
  </si>
  <si>
    <t>BQ115042</t>
  </si>
  <si>
    <t>王亮勛</t>
  </si>
  <si>
    <t>20260520214220010415</t>
  </si>
  <si>
    <t>21:42:20</t>
  </si>
  <si>
    <t>BQ115041</t>
  </si>
  <si>
    <r>
      <rPr>
        <sz val="10"/>
        <rFont val="Noto Sans CJK SC"/>
        <family val="2"/>
      </rPr>
      <t>江佳霖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黃雋恩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黃⼦恩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沈秉宏</t>
    </r>
  </si>
  <si>
    <t>20260520212917010571</t>
  </si>
  <si>
    <t>21:29:17</t>
  </si>
  <si>
    <t>BQ114954</t>
  </si>
  <si>
    <t>蕭詠平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</si>
  <si>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(20%) 1x8280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(20%) 1x8280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(20%) 1x8280</t>
    </r>
  </si>
  <si>
    <t>20260520211536010108</t>
  </si>
  <si>
    <t>21:15:36</t>
  </si>
  <si>
    <t>BQ113252</t>
  </si>
  <si>
    <t>鄭宇廷</t>
  </si>
  <si>
    <t>20260520193537010660</t>
  </si>
  <si>
    <t>19:35:37</t>
  </si>
  <si>
    <t>20260520192038010536</t>
  </si>
  <si>
    <t>19:20:38</t>
  </si>
  <si>
    <t>林侑欣</t>
  </si>
  <si>
    <t>CQ114183</t>
  </si>
  <si>
    <t>江浤哲 江易昇</t>
  </si>
  <si>
    <t>20260520171551010593</t>
  </si>
  <si>
    <t>17:15:51</t>
  </si>
  <si>
    <t>AQ113290</t>
  </si>
  <si>
    <t>李俊希</t>
  </si>
  <si>
    <t>20260519173004010953</t>
  </si>
  <si>
    <t>17:30:04</t>
  </si>
  <si>
    <t>BQ115039</t>
  </si>
  <si>
    <r>
      <rPr>
        <sz val="10"/>
        <rFont val="Noto Sans CJK SC"/>
        <family val="2"/>
      </rPr>
      <t>王律婕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汪佳樂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汪嵩懷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汪彥廷</t>
    </r>
  </si>
  <si>
    <t>20260519161626010027</t>
  </si>
  <si>
    <t>16:16:26</t>
  </si>
  <si>
    <t>BQ113262</t>
  </si>
  <si>
    <t>范炎堯</t>
  </si>
  <si>
    <t>20260518112956010029</t>
  </si>
  <si>
    <t>11:29:56</t>
  </si>
  <si>
    <t>AQ112336</t>
  </si>
  <si>
    <t>黃歆喬 黃浩峰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</si>
  <si>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【試上】家教</t>
    </r>
    <r>
      <rPr>
        <sz val="10"/>
        <rFont val="Microsoft JhengHei"/>
        <family val="2"/>
        <charset val="136"/>
      </rPr>
      <t xml:space="preserve">1VS2 1x1400
2. </t>
    </r>
    <r>
      <rPr>
        <sz val="10"/>
        <rFont val="Noto Sans CJK SC"/>
        <family val="2"/>
      </rPr>
      <t>【試上】家教</t>
    </r>
    <r>
      <rPr>
        <sz val="10"/>
        <rFont val="Microsoft JhengHei"/>
        <family val="2"/>
        <charset val="136"/>
      </rPr>
      <t xml:space="preserve">1VS2 1x1400
3. </t>
    </r>
    <r>
      <rPr>
        <sz val="10"/>
        <rFont val="Noto Sans CJK SC"/>
        <family val="2"/>
      </rPr>
      <t>【試上】家教</t>
    </r>
    <r>
      <rPr>
        <sz val="10"/>
        <rFont val="Microsoft JhengHei"/>
        <family val="2"/>
        <charset val="136"/>
      </rPr>
      <t>1VS2 1x1400</t>
    </r>
  </si>
  <si>
    <t>20260517194913010997</t>
  </si>
  <si>
    <t>19:49:13</t>
  </si>
  <si>
    <t>BQ115021</t>
  </si>
  <si>
    <r>
      <rPr>
        <sz val="10"/>
        <rFont val="Noto Sans CJK SC"/>
        <family val="2"/>
      </rPr>
      <t>廖少綸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廖少宏</t>
    </r>
  </si>
  <si>
    <t>20260517170347010530</t>
  </si>
  <si>
    <t>17:03:47</t>
  </si>
  <si>
    <t>AQ115517</t>
  </si>
  <si>
    <t>郭宸皓 李洛瑀</t>
  </si>
  <si>
    <t>20260517170258010896</t>
  </si>
  <si>
    <t>17:02:58</t>
  </si>
  <si>
    <t>20260517120604010282</t>
  </si>
  <si>
    <t>12:06:04</t>
  </si>
  <si>
    <t>AQ112471</t>
  </si>
  <si>
    <t>楊鎧睿 楊⼦瑩</t>
  </si>
  <si>
    <t>20260517103121010701</t>
  </si>
  <si>
    <t>10:31:21</t>
  </si>
  <si>
    <t>BQ115038</t>
  </si>
  <si>
    <r>
      <rPr>
        <sz val="10"/>
        <rFont val="Noto Sans CJK SC"/>
        <family val="2"/>
      </rPr>
      <t>陳蜜雅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陳孜語</t>
    </r>
  </si>
  <si>
    <t>20260517092256010039</t>
  </si>
  <si>
    <t>09:22:56</t>
  </si>
  <si>
    <t>AQ1140724</t>
  </si>
  <si>
    <r>
      <rPr>
        <sz val="10"/>
        <rFont val="Noto Sans CJK SC"/>
        <family val="2"/>
      </rPr>
      <t>許晨洋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許筱㛓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廖翊崴</t>
    </r>
  </si>
  <si>
    <t>20260516183143010826</t>
  </si>
  <si>
    <t>18:31:43</t>
  </si>
  <si>
    <t>CQ114010</t>
  </si>
  <si>
    <r>
      <rPr>
        <sz val="10"/>
        <rFont val="Noto Sans CJK SC"/>
        <family val="2"/>
      </rPr>
      <t>賴欣葦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蘇宥宇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蘇宥嘉</t>
    </r>
  </si>
  <si>
    <t>20260516182809010145</t>
  </si>
  <si>
    <t>18:28:09</t>
  </si>
  <si>
    <t>BQ115253</t>
  </si>
  <si>
    <t>謝丞富 林俋岑郭向崴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</si>
  <si>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【試上】家教</t>
    </r>
    <r>
      <rPr>
        <sz val="10"/>
        <rFont val="Microsoft JhengHei"/>
        <family val="2"/>
        <charset val="136"/>
      </rPr>
      <t>1VS3 1x1650</t>
    </r>
  </si>
  <si>
    <t>20260516165848010162</t>
  </si>
  <si>
    <t>16:58:48</t>
  </si>
  <si>
    <t>AQ113263</t>
  </si>
  <si>
    <t>林新翰 林祐辰</t>
  </si>
  <si>
    <t>20260516165809010135</t>
  </si>
  <si>
    <t>16:58:09</t>
  </si>
  <si>
    <t>20260516165727010645</t>
  </si>
  <si>
    <t>16:57:27</t>
  </si>
  <si>
    <t>20260516130849010524</t>
  </si>
  <si>
    <t>13:08:49</t>
  </si>
  <si>
    <t>CQ114252</t>
  </si>
  <si>
    <r>
      <rPr>
        <sz val="10"/>
        <rFont val="Noto Sans CJK SC"/>
        <family val="2"/>
      </rPr>
      <t>陳以臻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陳柚希</t>
    </r>
  </si>
  <si>
    <t>20260515211529010419</t>
  </si>
  <si>
    <t>21:15:29</t>
  </si>
  <si>
    <t>CQ115105</t>
  </si>
  <si>
    <r>
      <rPr>
        <sz val="10"/>
        <rFont val="Noto Sans CJK SC"/>
        <family val="2"/>
      </rPr>
      <t>魏晨伊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郁芯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佩穎</t>
    </r>
  </si>
  <si>
    <t>20260515211403010523</t>
  </si>
  <si>
    <t>21:14:03</t>
  </si>
  <si>
    <t>CQ115106</t>
  </si>
  <si>
    <t>董芸熙、詹憬琰、林鼎朔、林樂頤</t>
  </si>
  <si>
    <t>20260515205646010816</t>
  </si>
  <si>
    <t>20:56:46</t>
  </si>
  <si>
    <t>BQ115037</t>
  </si>
  <si>
    <r>
      <rPr>
        <sz val="10"/>
        <rFont val="Noto Sans CJK SC"/>
        <family val="2"/>
      </rPr>
      <t>張奕薪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張奕謙</t>
    </r>
  </si>
  <si>
    <t>20260515202426010992</t>
  </si>
  <si>
    <t>BQ115036</t>
  </si>
  <si>
    <r>
      <rPr>
        <sz val="10"/>
        <rFont val="Noto Sans CJK SC"/>
        <family val="2"/>
      </rPr>
      <t>彭朝聲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彭玟麒</t>
    </r>
  </si>
  <si>
    <t>20260515201511010072</t>
  </si>
  <si>
    <t>20:15:11</t>
  </si>
  <si>
    <t>AQ1150510</t>
  </si>
  <si>
    <t>徐雨⽲，徐雨希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</si>
  <si>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2. </t>
    </r>
    <r>
      <rPr>
        <sz val="10"/>
        <rFont val="Noto Sans CJK SC"/>
        <family val="2"/>
      </rPr>
      <t>【試上】家教</t>
    </r>
    <r>
      <rPr>
        <sz val="10"/>
        <rFont val="Microsoft JhengHei"/>
        <family val="2"/>
        <charset val="136"/>
      </rPr>
      <t xml:space="preserve">1VS2 1x1400
3. </t>
    </r>
    <r>
      <rPr>
        <sz val="10"/>
        <rFont val="Noto Sans CJK SC"/>
        <family val="2"/>
      </rPr>
      <t>【試上】家教</t>
    </r>
    <r>
      <rPr>
        <sz val="10"/>
        <rFont val="Microsoft JhengHei"/>
        <family val="2"/>
        <charset val="136"/>
      </rPr>
      <t>1VS2 1x1400</t>
    </r>
  </si>
  <si>
    <t>20260515170844010156</t>
  </si>
  <si>
    <t>17:08:44</t>
  </si>
  <si>
    <t>BQ114138</t>
  </si>
  <si>
    <r>
      <rPr>
        <sz val="10"/>
        <rFont val="Noto Sans CJK SC"/>
        <family val="2"/>
      </rPr>
      <t>林宥希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林宣伶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</si>
  <si>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1x9000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(20%) 1x9000</t>
    </r>
  </si>
  <si>
    <t>20260515152859010412</t>
  </si>
  <si>
    <t>15:28:59</t>
  </si>
  <si>
    <t>CQ114319</t>
  </si>
  <si>
    <t>葉展睿 莫翔宇</t>
  </si>
  <si>
    <t>20260514203543010792</t>
  </si>
  <si>
    <t>20:35:43</t>
  </si>
  <si>
    <t>BQ114019</t>
  </si>
  <si>
    <r>
      <rPr>
        <sz val="10"/>
        <rFont val="Noto Sans CJK SC"/>
        <family val="2"/>
      </rPr>
      <t>陳威霖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陳威丞</t>
    </r>
  </si>
  <si>
    <t>20260514183744010092</t>
  </si>
  <si>
    <t>18:37:44</t>
  </si>
  <si>
    <t>AQ1147231</t>
  </si>
  <si>
    <t>劉庭妘</t>
  </si>
  <si>
    <t>20260514171335010413</t>
  </si>
  <si>
    <t>17:13:35</t>
  </si>
  <si>
    <t>CQ113491</t>
  </si>
  <si>
    <t>陳蔓筑 陳佳楷</t>
  </si>
  <si>
    <t>20260514155716010670</t>
  </si>
  <si>
    <t>15:57:16</t>
  </si>
  <si>
    <t>BQ115035</t>
  </si>
  <si>
    <r>
      <rPr>
        <sz val="10"/>
        <rFont val="Noto Sans CJK SC"/>
        <family val="2"/>
      </rPr>
      <t>郭芯嘉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郭芊妘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陳沁妤</t>
    </r>
  </si>
  <si>
    <t>20260513211445010254</t>
  </si>
  <si>
    <t>21:14:45</t>
  </si>
  <si>
    <t>BQ115012</t>
  </si>
  <si>
    <t>王奕棋</t>
  </si>
  <si>
    <t>20260513203153010588</t>
  </si>
  <si>
    <t>20:31:53</t>
  </si>
  <si>
    <t>BQ115016</t>
  </si>
  <si>
    <r>
      <rPr>
        <sz val="10"/>
        <rFont val="Noto Sans CJK SC"/>
        <family val="2"/>
      </rPr>
      <t>羅欣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黃⽟珪</t>
    </r>
  </si>
  <si>
    <t>20260513202931010041</t>
  </si>
  <si>
    <t>20:29:31</t>
  </si>
  <si>
    <t>BQ115034</t>
  </si>
  <si>
    <t>陳涵瑋</t>
  </si>
  <si>
    <t>20260513165451010754</t>
  </si>
  <si>
    <t>16:54:51</t>
  </si>
  <si>
    <t>CQ1150513</t>
  </si>
  <si>
    <t>陳奕華</t>
  </si>
  <si>
    <t>20260511170506010225</t>
  </si>
  <si>
    <t>17:05:06</t>
  </si>
  <si>
    <t>AQ115510</t>
  </si>
  <si>
    <t>林晨</t>
  </si>
  <si>
    <t>20260511113318010856</t>
  </si>
  <si>
    <t>11:33:18</t>
  </si>
  <si>
    <t>AQ113328</t>
  </si>
  <si>
    <t>吳禹承</t>
  </si>
  <si>
    <t>20260511103135010460</t>
  </si>
  <si>
    <t>10:31:35</t>
  </si>
  <si>
    <t>AQ113285</t>
  </si>
  <si>
    <t>張若妍</t>
  </si>
  <si>
    <t>20260511102725010005</t>
  </si>
  <si>
    <t>10:27:25</t>
  </si>
  <si>
    <t>AQ113233</t>
  </si>
  <si>
    <t>黃宇駿</t>
  </si>
  <si>
    <t>20260510122537010117</t>
  </si>
  <si>
    <t>12:25:37</t>
  </si>
  <si>
    <t>20260509185925010113</t>
  </si>
  <si>
    <t>18:59:25</t>
  </si>
  <si>
    <t>AQ113302</t>
  </si>
  <si>
    <t>賴杰⾥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</si>
  <si>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(50%) 1x9000</t>
    </r>
  </si>
  <si>
    <t>20260509155146010451</t>
  </si>
  <si>
    <t>15:51:46</t>
  </si>
  <si>
    <t>AQ1150509</t>
  </si>
  <si>
    <r>
      <rPr>
        <sz val="10"/>
        <rFont val="Noto Sans CJK SC"/>
        <family val="2"/>
      </rPr>
      <t>張天耀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張竣博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葉修睿</t>
    </r>
  </si>
  <si>
    <t>20260509132547010040</t>
  </si>
  <si>
    <t>13:25:47</t>
  </si>
  <si>
    <t>AQ115059</t>
  </si>
  <si>
    <t>沈恬</t>
  </si>
  <si>
    <t>20260509124950010985</t>
  </si>
  <si>
    <t>12:49:50</t>
  </si>
  <si>
    <t>AQ1009</t>
  </si>
  <si>
    <t>許晨彥 許筱㛓廖翔崴</t>
  </si>
  <si>
    <t>20260509114207010333</t>
  </si>
  <si>
    <t>11:42:07</t>
  </si>
  <si>
    <t>AQ1140055</t>
  </si>
  <si>
    <t>葉宸鈞</t>
  </si>
  <si>
    <t>20260509095408010930</t>
  </si>
  <si>
    <t>09:54:08</t>
  </si>
  <si>
    <t>BQ115033</t>
  </si>
  <si>
    <r>
      <rPr>
        <sz val="10"/>
        <rFont val="Noto Sans CJK SC"/>
        <family val="2"/>
      </rPr>
      <t>郭芯嘉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郭芊妘</t>
    </r>
  </si>
  <si>
    <t>20260509084503010902</t>
  </si>
  <si>
    <t>08:45:03</t>
  </si>
  <si>
    <t>CQ115103</t>
  </si>
  <si>
    <t>簡堃哲</t>
  </si>
  <si>
    <t>20260509080122010640</t>
  </si>
  <si>
    <t>08:01:22</t>
  </si>
  <si>
    <t>20260508195919010639</t>
  </si>
  <si>
    <t>19:59:19</t>
  </si>
  <si>
    <t>AQ1150508</t>
  </si>
  <si>
    <t>李長朔 廖辰佑黃唯宸</t>
  </si>
  <si>
    <t>20260508180228010080</t>
  </si>
  <si>
    <t>18:02:28</t>
  </si>
  <si>
    <t>BQ114009</t>
  </si>
  <si>
    <r>
      <rPr>
        <sz val="10"/>
        <rFont val="Noto Sans CJK SC"/>
        <family val="2"/>
      </rPr>
      <t>曾柏瑜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曾苡喬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施雨彤</t>
    </r>
  </si>
  <si>
    <t>20260507173535010205</t>
  </si>
  <si>
    <t>17:35:35</t>
  </si>
  <si>
    <t>AQ115056</t>
  </si>
  <si>
    <t>宋允程，顏新纮</t>
  </si>
  <si>
    <t>20260506202348010375</t>
  </si>
  <si>
    <t>20:23:48</t>
  </si>
  <si>
    <t>CQ115054</t>
  </si>
  <si>
    <t>王⼦妤 王⼦琦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</si>
  <si>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(20%) 1x9000</t>
    </r>
  </si>
  <si>
    <t>20260506194737010864</t>
  </si>
  <si>
    <t>19:47:37</t>
  </si>
  <si>
    <t>BQ115101</t>
  </si>
  <si>
    <t>李昀樂 李昀芮</t>
  </si>
  <si>
    <t>20260505172210010032</t>
  </si>
  <si>
    <t>17:22:10</t>
  </si>
  <si>
    <t>AQ115054</t>
  </si>
  <si>
    <t>黃妍甯 溫苡捷吳宇宸 李忻豪</t>
  </si>
  <si>
    <t>20260504211014010959</t>
  </si>
  <si>
    <t>21:10:14</t>
  </si>
  <si>
    <t>20260504181103010570</t>
  </si>
  <si>
    <t>18:11:03</t>
  </si>
  <si>
    <t>BQ115022</t>
  </si>
  <si>
    <r>
      <rPr>
        <sz val="10"/>
        <rFont val="Noto Sans CJK SC"/>
        <family val="2"/>
      </rPr>
      <t>廖睫睎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廖冠程</t>
    </r>
  </si>
  <si>
    <t>20260504173805010678</t>
  </si>
  <si>
    <t>17:38:05</t>
  </si>
  <si>
    <t>BQ115013</t>
  </si>
  <si>
    <t>彭少淇</t>
  </si>
  <si>
    <t>20260503092414010326</t>
  </si>
  <si>
    <t>09:24:14</t>
  </si>
  <si>
    <t>AQ114045</t>
  </si>
  <si>
    <t>吳采凌 吳俐妘</t>
  </si>
  <si>
    <t>20260503091734010488</t>
  </si>
  <si>
    <t>09:17:34</t>
  </si>
  <si>
    <t>AQ1150503</t>
  </si>
  <si>
    <t>黃湘婷</t>
  </si>
  <si>
    <t>20260503090825010703</t>
  </si>
  <si>
    <t>09:08:25</t>
  </si>
  <si>
    <t>AQ115053</t>
  </si>
  <si>
    <t>洪晨祐</t>
  </si>
  <si>
    <t>20260502155940010720</t>
  </si>
  <si>
    <t>15:59:40</t>
  </si>
  <si>
    <t>BQ113426</t>
  </si>
  <si>
    <r>
      <rPr>
        <sz val="10"/>
        <rFont val="Noto Sans CJK SC"/>
        <family val="2"/>
      </rPr>
      <t>楊喬勛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楊喬琋</t>
    </r>
  </si>
  <si>
    <t>20260502150639010499</t>
  </si>
  <si>
    <t>15:06:39</t>
  </si>
  <si>
    <t>藍偉倫</t>
  </si>
  <si>
    <t>CQ115100</t>
  </si>
  <si>
    <t>郭⽻芙 郭⽻恩李昰頡</t>
  </si>
  <si>
    <t>20260502145136010980</t>
  </si>
  <si>
    <t>14:51:36</t>
  </si>
  <si>
    <t>20260502142734010105</t>
  </si>
  <si>
    <t>14:27:34</t>
  </si>
  <si>
    <t>AQ113224</t>
  </si>
  <si>
    <t>呂安喆 陳安霓陳可勳</t>
  </si>
  <si>
    <t>20260502122834010378</t>
  </si>
  <si>
    <t>12:28:34</t>
  </si>
  <si>
    <t>BQ1150502</t>
  </si>
  <si>
    <t>陳沁妤</t>
  </si>
  <si>
    <t>20260502113323010820</t>
  </si>
  <si>
    <t>11:33:23</t>
  </si>
  <si>
    <t>AQ114054</t>
  </si>
  <si>
    <t>黃筱媛 黃毓喬</t>
  </si>
  <si>
    <t>20260429153904010002</t>
  </si>
  <si>
    <t>15:39:04</t>
  </si>
  <si>
    <t>20260428210016010072</t>
  </si>
  <si>
    <t>21:00:16</t>
  </si>
  <si>
    <t>CQ115099</t>
  </si>
  <si>
    <t>辜向⾔ 辜向辰</t>
  </si>
  <si>
    <t>20260428181251010813</t>
  </si>
  <si>
    <t>18:12:51</t>
  </si>
  <si>
    <t>AQ11550020</t>
  </si>
  <si>
    <t>吳苡涵 吳亦杰</t>
  </si>
  <si>
    <t>20260427210048010550</t>
  </si>
  <si>
    <t>21:00:48</t>
  </si>
  <si>
    <t>BQ115014</t>
  </si>
  <si>
    <r>
      <rPr>
        <sz val="10"/>
        <rFont val="Noto Sans CJK SC"/>
        <family val="2"/>
      </rPr>
      <t>林禹賢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林靖唯</t>
    </r>
  </si>
  <si>
    <t>20260426144149010378</t>
  </si>
  <si>
    <t>14:41:49</t>
  </si>
  <si>
    <t>CQ114238</t>
  </si>
  <si>
    <t>黃晨睿 謝佩恩</t>
  </si>
  <si>
    <t>20260425125451010015</t>
  </si>
  <si>
    <t>12:54:51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</si>
  <si>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 xml:space="preserve">【試上】家教 </t>
    </r>
    <r>
      <rPr>
        <sz val="10"/>
        <rFont val="Microsoft JhengHei"/>
        <family val="2"/>
        <charset val="136"/>
      </rPr>
      <t>1VS1(20%) 1x1440</t>
    </r>
  </si>
  <si>
    <t>20260425120455010525</t>
  </si>
  <si>
    <t>12:04:55</t>
  </si>
  <si>
    <t>CQ115097</t>
  </si>
  <si>
    <t>陳品⾔</t>
  </si>
  <si>
    <t>20260425115332010322</t>
  </si>
  <si>
    <t>11:53:32</t>
  </si>
  <si>
    <t>CQ115096</t>
  </si>
  <si>
    <t>吳禹潔 吳禹柔</t>
  </si>
  <si>
    <t>20260425105124010557</t>
  </si>
  <si>
    <t>10:51:24</t>
  </si>
  <si>
    <t>CQ114265</t>
  </si>
  <si>
    <t>張浤軒</t>
  </si>
  <si>
    <t>20260425090851010795</t>
  </si>
  <si>
    <t>09:08:51</t>
  </si>
  <si>
    <t>AQ113323</t>
  </si>
  <si>
    <t>陳可霓 陳可勳</t>
  </si>
  <si>
    <t>20260424190838010681</t>
  </si>
  <si>
    <t>19:08:38</t>
  </si>
  <si>
    <t>AQ1150424</t>
  </si>
  <si>
    <t>張滋芸、張瑀洋、王俊叡、王歆雅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</si>
  <si>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1x12000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1x12000</t>
    </r>
  </si>
  <si>
    <t>20260423213925010765</t>
  </si>
  <si>
    <t>21:39:25</t>
  </si>
  <si>
    <t>CQ115423</t>
  </si>
  <si>
    <r>
      <rPr>
        <sz val="10"/>
        <rFont val="Noto Sans CJK SC"/>
        <family val="2"/>
      </rPr>
      <t>陳致睿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李毓菲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廖芷萱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廖昱曘</t>
    </r>
  </si>
  <si>
    <t>20260423193727010377</t>
  </si>
  <si>
    <t>19:37:27</t>
  </si>
  <si>
    <t>BQ115031</t>
  </si>
  <si>
    <t>江庭萱、江宇柔</t>
  </si>
  <si>
    <t>20260423165711010611</t>
  </si>
  <si>
    <t>16:57:11</t>
  </si>
  <si>
    <t>BQ115017</t>
  </si>
  <si>
    <r>
      <rPr>
        <sz val="10"/>
        <rFont val="Noto Sans CJK SC"/>
        <family val="2"/>
      </rPr>
      <t>葉品陞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葉品頤</t>
    </r>
  </si>
  <si>
    <t>20260421204545010757</t>
  </si>
  <si>
    <t>20:45:45</t>
  </si>
  <si>
    <t>20260420205148010374</t>
  </si>
  <si>
    <t>20:51:48</t>
  </si>
  <si>
    <t>BQ114935</t>
  </si>
  <si>
    <r>
      <rPr>
        <sz val="10"/>
        <rFont val="Noto Sans CJK SC"/>
        <family val="2"/>
      </rPr>
      <t>簡凱澄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倪凱陞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郭義光</t>
    </r>
  </si>
  <si>
    <t>20260420204313010148</t>
  </si>
  <si>
    <t>20:43:13</t>
  </si>
  <si>
    <t>BQ114005</t>
  </si>
  <si>
    <r>
      <rPr>
        <sz val="10"/>
        <rFont val="Noto Sans CJK SC"/>
        <family val="2"/>
      </rPr>
      <t>蘇晨琋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蘇晨皓</t>
    </r>
  </si>
  <si>
    <t>20260420203301010264</t>
  </si>
  <si>
    <t>20:33:01</t>
  </si>
  <si>
    <t>BQ113296</t>
  </si>
  <si>
    <r>
      <rPr>
        <sz val="10"/>
        <rFont val="Noto Sans CJK SC"/>
        <family val="2"/>
      </rPr>
      <t>涂棨勛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涂芷嫣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黃羿涵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黃楷鈞</t>
    </r>
  </si>
  <si>
    <t>20260420201550010966</t>
  </si>
  <si>
    <t>20:15:50</t>
  </si>
  <si>
    <t>20260419194857010122</t>
  </si>
  <si>
    <t>19:48:57</t>
  </si>
  <si>
    <t>AQ114064</t>
  </si>
  <si>
    <t>施喬欣 江秉駿江佩蓁</t>
  </si>
  <si>
    <t>20260419193733010883</t>
  </si>
  <si>
    <t>19:37:33</t>
  </si>
  <si>
    <t>20260419192527010490</t>
  </si>
  <si>
    <t>19:25:27</t>
  </si>
  <si>
    <t>AQ1131009</t>
  </si>
  <si>
    <t>蘇靖</t>
  </si>
  <si>
    <t>20260419110442010636</t>
  </si>
  <si>
    <t>11:04:42</t>
  </si>
  <si>
    <t>CQ115003</t>
  </si>
  <si>
    <t>黃渝翔</t>
  </si>
  <si>
    <t>20260418191158010268</t>
  </si>
  <si>
    <t>19:11:58</t>
  </si>
  <si>
    <t>AQ1141025</t>
  </si>
  <si>
    <t>張哲榮</t>
  </si>
  <si>
    <t>20260418134407010548</t>
  </si>
  <si>
    <t>13:44:07</t>
  </si>
  <si>
    <t>BQ115029</t>
  </si>
  <si>
    <t>林廷翰</t>
  </si>
  <si>
    <t>20260418113654010315</t>
  </si>
  <si>
    <t>11:36:54</t>
  </si>
  <si>
    <t>AQ1140714</t>
  </si>
  <si>
    <r>
      <rPr>
        <sz val="10"/>
        <rFont val="Noto Sans CJK SC"/>
        <family val="2"/>
      </rPr>
      <t>顏宥家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顏亦彤</t>
    </r>
  </si>
  <si>
    <t>20260418110409010492</t>
  </si>
  <si>
    <t>11:04:09</t>
  </si>
  <si>
    <t>CQ114361</t>
  </si>
  <si>
    <t>龔謹郁 趙丹翎趙苒茜</t>
  </si>
  <si>
    <t>20260418092553010595</t>
  </si>
  <si>
    <t>09:25:53</t>
  </si>
  <si>
    <t>CQ114142</t>
  </si>
  <si>
    <t>呂韶恩 呂韶晴</t>
  </si>
  <si>
    <t>20260418090710010548</t>
  </si>
  <si>
    <t>09:07:10</t>
  </si>
  <si>
    <t>20260417150310010160</t>
  </si>
  <si>
    <t>15:03:10</t>
  </si>
  <si>
    <t>CQ114190</t>
  </si>
  <si>
    <t>陳晞</t>
  </si>
  <si>
    <t>20260417145943010602</t>
  </si>
  <si>
    <t>14:59:43</t>
  </si>
  <si>
    <t>20260417145429010892</t>
  </si>
  <si>
    <t>14:54:29</t>
  </si>
  <si>
    <t>CQ114263</t>
  </si>
  <si>
    <t>張睿⽊</t>
  </si>
  <si>
    <t>20260417145045010774</t>
  </si>
  <si>
    <t>14:50:45</t>
  </si>
  <si>
    <t>CQ115007</t>
  </si>
  <si>
    <t>呂澄⼼</t>
  </si>
  <si>
    <t>20260417144735010764</t>
  </si>
  <si>
    <t>14:47:35</t>
  </si>
  <si>
    <t>20260417144429010873</t>
  </si>
  <si>
    <t>14:44:29</t>
  </si>
  <si>
    <t>CQ114102</t>
  </si>
  <si>
    <t>邱詠暄 許菲恩邱創偉 許瑞和</t>
  </si>
  <si>
    <t>20260417144136010327</t>
  </si>
  <si>
    <t>14:41:36</t>
  </si>
  <si>
    <t>CQ113643</t>
  </si>
  <si>
    <t>邱詠暄 許菲恩邱創偉</t>
  </si>
  <si>
    <t>20260417143350010555</t>
  </si>
  <si>
    <t>14:33:50</t>
  </si>
  <si>
    <t>20260417130824010006</t>
  </si>
  <si>
    <t>13:08:24</t>
  </si>
  <si>
    <t>20260417120717010327</t>
  </si>
  <si>
    <t>12:07:17</t>
  </si>
  <si>
    <t>CQ115015</t>
  </si>
  <si>
    <r>
      <rPr>
        <sz val="10"/>
        <rFont val="Noto Sans CJK SC"/>
        <family val="2"/>
      </rPr>
      <t>蘇宥豪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蘇亭瑜</t>
    </r>
  </si>
  <si>
    <t>20260416204450010918</t>
  </si>
  <si>
    <t>20:44:50</t>
  </si>
  <si>
    <t>BQ115027</t>
  </si>
  <si>
    <t>彭朝聲</t>
  </si>
  <si>
    <t>20260416201631010563</t>
  </si>
  <si>
    <t>20:16:31</t>
  </si>
  <si>
    <t>CQ115415</t>
  </si>
  <si>
    <r>
      <rPr>
        <sz val="10"/>
        <rFont val="Noto Sans CJK SC"/>
        <family val="2"/>
      </rPr>
      <t>詹晴恩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詹宸浩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詹丰⽻</t>
    </r>
  </si>
  <si>
    <t>20260416201154010858</t>
  </si>
  <si>
    <t>20:11:54</t>
  </si>
  <si>
    <t>20260416200811010481</t>
  </si>
  <si>
    <t>20:08:11</t>
  </si>
  <si>
    <t>CQ114258</t>
  </si>
  <si>
    <t>楊祺瓏</t>
  </si>
  <si>
    <t>20260416200655010408</t>
  </si>
  <si>
    <t>20:06:55</t>
  </si>
  <si>
    <t>20260416200456010428</t>
  </si>
  <si>
    <t>20:04:56</t>
  </si>
  <si>
    <t>20260416200323010923</t>
  </si>
  <si>
    <t>20:03:23</t>
  </si>
  <si>
    <t>20260416200119010617</t>
  </si>
  <si>
    <t>20:01:19</t>
  </si>
  <si>
    <t>20260416195942010637</t>
  </si>
  <si>
    <t>19:59:42</t>
  </si>
  <si>
    <t>CQ115416</t>
  </si>
  <si>
    <r>
      <rPr>
        <sz val="10"/>
        <rFont val="Noto Sans CJK SC"/>
        <family val="2"/>
      </rPr>
      <t>莊威則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莊⼦頎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吳品樺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蔡宇萬</t>
    </r>
  </si>
  <si>
    <t>20260416195846010395</t>
  </si>
  <si>
    <t>19:58:46</t>
  </si>
  <si>
    <t>20260416195012010094</t>
  </si>
  <si>
    <t>19:50:12</t>
  </si>
  <si>
    <t>20260416193547010799</t>
  </si>
  <si>
    <t>19:35:47</t>
  </si>
  <si>
    <t>AQ114809</t>
  </si>
  <si>
    <t>吳⽂瑄 吳庭皜</t>
  </si>
  <si>
    <t>20260415204307011761</t>
  </si>
  <si>
    <t>20:43:07</t>
  </si>
  <si>
    <r>
      <rPr>
        <sz val="10"/>
        <rFont val="Noto Sans CJK SC"/>
        <family val="2"/>
      </rPr>
      <t>夢想體育學院</t>
    </r>
    <r>
      <rPr>
        <sz val="10"/>
        <rFont val="Microsoft JhengHei"/>
        <family val="2"/>
        <charset val="136"/>
      </rPr>
      <t>-</t>
    </r>
    <r>
      <rPr>
        <sz val="10"/>
        <rFont val="Noto Sans CJK SC"/>
        <family val="2"/>
      </rPr>
      <t>管理者</t>
    </r>
  </si>
  <si>
    <t>CQ114221</t>
  </si>
  <si>
    <r>
      <rPr>
        <sz val="10"/>
        <rFont val="Noto Sans CJK SC"/>
        <family val="2"/>
      </rPr>
      <t xml:space="preserve">吳塏城 </t>
    </r>
    <r>
      <rPr>
        <sz val="10"/>
        <rFont val="Microsoft JhengHei"/>
        <family val="2"/>
        <charset val="136"/>
      </rPr>
      <t xml:space="preserve">. </t>
    </r>
    <r>
      <rPr>
        <sz val="10"/>
        <rFont val="Noto Sans CJK SC"/>
        <family val="2"/>
      </rPr>
      <t xml:space="preserve">吳塏坴 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張庭菲</t>
    </r>
  </si>
  <si>
    <t>20260414210221010723</t>
  </si>
  <si>
    <t>21:02:21</t>
  </si>
  <si>
    <t>20260414210056010765</t>
  </si>
  <si>
    <t>21:00:56</t>
  </si>
  <si>
    <t>20260414204539010866</t>
  </si>
  <si>
    <t>20:45:39</t>
  </si>
  <si>
    <t>BQ119267</t>
  </si>
  <si>
    <r>
      <rPr>
        <sz val="10"/>
        <rFont val="Noto Sans CJK SC"/>
        <family val="2"/>
      </rPr>
      <t>董曦元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董禎元</t>
    </r>
  </si>
  <si>
    <t>20260414203831010788</t>
  </si>
  <si>
    <t>20:38:31</t>
  </si>
  <si>
    <t>BQ114951</t>
  </si>
  <si>
    <t>林祐頡</t>
  </si>
  <si>
    <t>20260414203701010938</t>
  </si>
  <si>
    <t>20:37:01</t>
  </si>
  <si>
    <t>BQ115025</t>
  </si>
  <si>
    <r>
      <rPr>
        <sz val="10"/>
        <rFont val="Noto Sans CJK SC"/>
        <family val="2"/>
      </rPr>
      <t>林祐頡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朱瑜萱</t>
    </r>
  </si>
  <si>
    <t>20260414201534010804</t>
  </si>
  <si>
    <t>20:15:34</t>
  </si>
  <si>
    <t>AQ1146667</t>
  </si>
  <si>
    <t>陳霏</t>
  </si>
  <si>
    <t>20260414195503010398</t>
  </si>
  <si>
    <t>19:55:03</t>
  </si>
  <si>
    <t>BQ114930</t>
  </si>
  <si>
    <t>黃奎璋</t>
  </si>
  <si>
    <t>20260414194411010069</t>
  </si>
  <si>
    <t>19:44:11</t>
  </si>
  <si>
    <t>BQ115010</t>
  </si>
  <si>
    <t>許晉銘</t>
  </si>
  <si>
    <t>20260411152243010747</t>
  </si>
  <si>
    <t>15:22:43</t>
  </si>
  <si>
    <t>AQ1130801</t>
  </si>
  <si>
    <t>楊昇翰 楊沅叡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</si>
  <si>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1x7500</t>
    </r>
  </si>
  <si>
    <t>20260411150111010489</t>
  </si>
  <si>
    <t>15:01:11</t>
  </si>
  <si>
    <t>AQ112066</t>
  </si>
  <si>
    <t>洪易頎 洪鼎翔鄭勝綸 洪韵昕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</si>
  <si>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(20%) 1x11880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(20%) 1x14400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(20%) 1x14400</t>
    </r>
  </si>
  <si>
    <t>20260407153533010985</t>
  </si>
  <si>
    <t>15:35:33</t>
  </si>
  <si>
    <t>BQ113186</t>
  </si>
  <si>
    <r>
      <rPr>
        <sz val="10"/>
        <rFont val="Noto Sans CJK SC"/>
        <family val="2"/>
      </rPr>
      <t>陳韻晴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陳繹翔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廖翊宸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廖翊妡</t>
    </r>
  </si>
  <si>
    <t>20260406172616010347</t>
  </si>
  <si>
    <t>17:26:16</t>
  </si>
  <si>
    <t>CQ113399</t>
  </si>
  <si>
    <t>陳宥勳 陳⾱彤</t>
  </si>
  <si>
    <t>20260406171548010110</t>
  </si>
  <si>
    <t>17:15:48</t>
  </si>
  <si>
    <t>CQ115062</t>
  </si>
  <si>
    <t>張家瑋、詹博丞</t>
  </si>
  <si>
    <t>20260406163414010744</t>
  </si>
  <si>
    <t>16:34:14</t>
  </si>
  <si>
    <t>CQ115064</t>
  </si>
  <si>
    <r>
      <rPr>
        <sz val="10"/>
        <rFont val="Noto Sans CJK SC"/>
        <family val="2"/>
      </rPr>
      <t>陳牧楷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陳洧婕</t>
    </r>
  </si>
  <si>
    <t>20260406162736010410</t>
  </si>
  <si>
    <t>16:27:36</t>
  </si>
  <si>
    <t>CQ115063</t>
  </si>
  <si>
    <r>
      <rPr>
        <sz val="10"/>
        <rFont val="Noto Sans CJK SC"/>
        <family val="2"/>
      </rPr>
      <t>林忻悅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林忻怡</t>
    </r>
  </si>
  <si>
    <t>20260406162641010140</t>
  </si>
  <si>
    <t>16:26:41</t>
  </si>
  <si>
    <t>20260406161154010462</t>
  </si>
  <si>
    <t>16:11:54</t>
  </si>
  <si>
    <t>CQ115036</t>
  </si>
  <si>
    <r>
      <rPr>
        <sz val="10"/>
        <rFont val="Noto Sans CJK SC"/>
        <family val="2"/>
      </rPr>
      <t>許⼦琪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許⼦瑜</t>
    </r>
  </si>
  <si>
    <t>20260406161040010810</t>
  </si>
  <si>
    <t>16:10:40</t>
  </si>
  <si>
    <t>CQ114200</t>
  </si>
  <si>
    <t>楊芯菱 楊宜霏</t>
  </si>
  <si>
    <t>20260406154921010999</t>
  </si>
  <si>
    <t>15:49:21</t>
  </si>
  <si>
    <t>AQ113189</t>
  </si>
  <si>
    <t>承⼼凱 李尚安</t>
  </si>
  <si>
    <t>20260406154839010048</t>
  </si>
  <si>
    <t>15:48:39</t>
  </si>
  <si>
    <t>20260406154751010584</t>
  </si>
  <si>
    <t>15:47:51</t>
  </si>
  <si>
    <t>20260406153513010139</t>
  </si>
  <si>
    <t>15:35:13</t>
  </si>
  <si>
    <t>BQ114006</t>
  </si>
  <si>
    <t>龔浩誠、龔浩碩</t>
  </si>
  <si>
    <t>20260406153107010519</t>
  </si>
  <si>
    <t>15:31:07</t>
  </si>
  <si>
    <t>CQ114213</t>
  </si>
  <si>
    <r>
      <rPr>
        <sz val="10"/>
        <rFont val="Noto Sans CJK SC"/>
        <family val="2"/>
      </rPr>
      <t>周昕澤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賴鉦勛</t>
    </r>
  </si>
  <si>
    <t>20260406141902010785</t>
  </si>
  <si>
    <t>14:19:02</t>
  </si>
  <si>
    <t>20260406103518010985</t>
  </si>
  <si>
    <t>10:35:18</t>
  </si>
  <si>
    <t>BQ114161</t>
  </si>
  <si>
    <t>林霈晴</t>
  </si>
  <si>
    <t>20260406084747010154</t>
  </si>
  <si>
    <t>08:47:47</t>
  </si>
  <si>
    <t>BQ115007</t>
  </si>
  <si>
    <t>江慶祐</t>
  </si>
  <si>
    <t>20260403205416010716</t>
  </si>
  <si>
    <t>20:54:16</t>
  </si>
  <si>
    <t>AQ1150403</t>
  </si>
  <si>
    <t>劉丞軒</t>
  </si>
  <si>
    <t>20260403205346010502</t>
  </si>
  <si>
    <t>20:53:46</t>
  </si>
  <si>
    <t>20260403110200010709</t>
  </si>
  <si>
    <t>11:02:00</t>
  </si>
  <si>
    <t>20260403103739010529</t>
  </si>
  <si>
    <t>10:37:39</t>
  </si>
  <si>
    <t>CQ113047</t>
  </si>
  <si>
    <t>李芯語 李芯媛</t>
  </si>
  <si>
    <t>20260402205012010446</t>
  </si>
  <si>
    <t>20:50:12</t>
  </si>
  <si>
    <t>AQ113330</t>
  </si>
  <si>
    <r>
      <rPr>
        <sz val="10"/>
        <rFont val="Noto Sans CJK SC"/>
        <family val="2"/>
      </rPr>
      <t>劉妍希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簡曖</t>
    </r>
  </si>
  <si>
    <t>20260401220019010581</t>
  </si>
  <si>
    <t>22:00:19</t>
  </si>
  <si>
    <t>20260401215457010588</t>
  </si>
  <si>
    <t>21:54:57</t>
  </si>
  <si>
    <t>20260401214935010347</t>
  </si>
  <si>
    <t>21:49:35</t>
  </si>
  <si>
    <t>BQ115020</t>
  </si>
  <si>
    <t>劉昊珵、林靖軒</t>
  </si>
  <si>
    <t>20260401214831010121</t>
  </si>
  <si>
    <t>21:48:31</t>
  </si>
  <si>
    <t>BQ140006</t>
  </si>
  <si>
    <r>
      <rPr>
        <sz val="10"/>
        <rFont val="Noto Sans CJK SC"/>
        <family val="2"/>
      </rPr>
      <t>劉昕玥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林倢誼</t>
    </r>
  </si>
  <si>
    <t>20260401213727010707</t>
  </si>
  <si>
    <t>21:37:27</t>
  </si>
  <si>
    <t>BQ114038</t>
  </si>
  <si>
    <r>
      <rPr>
        <sz val="10"/>
        <rFont val="Noto Sans CJK SC"/>
        <family val="2"/>
      </rPr>
      <t>林芸葶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林琪恩</t>
    </r>
  </si>
  <si>
    <t>20260401213053010879</t>
  </si>
  <si>
    <t>21:30:53</t>
  </si>
  <si>
    <t>BQ113398</t>
  </si>
  <si>
    <r>
      <rPr>
        <sz val="10"/>
        <rFont val="Noto Sans CJK SC"/>
        <family val="2"/>
      </rPr>
      <t>孔令勛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李若瑜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李芯瑀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鄭⾀妡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李筱訸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</si>
  <si>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1VS5 1x15000</t>
    </r>
  </si>
  <si>
    <t>20260401212354010260</t>
  </si>
  <si>
    <t>21:23:54</t>
  </si>
  <si>
    <t>20260401211207010398</t>
  </si>
  <si>
    <t>21:12:07</t>
  </si>
  <si>
    <t>BQ115018</t>
  </si>
  <si>
    <r>
      <rPr>
        <sz val="10"/>
        <rFont val="Noto Sans CJK SC"/>
        <family val="2"/>
      </rPr>
      <t>林靖恩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林妡語</t>
    </r>
  </si>
  <si>
    <t>20260401210429010713</t>
  </si>
  <si>
    <t>21:04:29</t>
  </si>
  <si>
    <t>20260331125147010036</t>
  </si>
  <si>
    <t>12:51:47</t>
  </si>
  <si>
    <t>AQ1133388</t>
  </si>
  <si>
    <t>邱唯晴邱若穎邱振領陳曉芬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</si>
  <si>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(50%) 1x18000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(50%) 1x18000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(50%) 1x18000</t>
    </r>
  </si>
  <si>
    <t>20260330190448010340</t>
  </si>
  <si>
    <t>19:04:48</t>
  </si>
  <si>
    <t>CQ114219</t>
  </si>
  <si>
    <r>
      <rPr>
        <sz val="10"/>
        <rFont val="Noto Sans CJK SC"/>
        <family val="2"/>
      </rPr>
      <t>陳佑宇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賴晞臻</t>
    </r>
  </si>
  <si>
    <t>20260329174840010382</t>
  </si>
  <si>
    <t>17:48:40</t>
  </si>
  <si>
    <t>AQ1150303</t>
  </si>
  <si>
    <r>
      <rPr>
        <sz val="10"/>
        <rFont val="Noto Sans CJK SC"/>
        <family val="2"/>
      </rPr>
      <t>林書妤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林書慧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林妤庭</t>
    </r>
  </si>
  <si>
    <t>20260329174600010581</t>
  </si>
  <si>
    <t>17:46:00</t>
  </si>
  <si>
    <t>AQ1150301</t>
  </si>
  <si>
    <t>林沛宏</t>
  </si>
  <si>
    <t>20260329155553010735</t>
  </si>
  <si>
    <t>15:55:53</t>
  </si>
  <si>
    <t>20260329085343010265</t>
  </si>
  <si>
    <t>08:53:43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</si>
  <si>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1x9900</t>
    </r>
  </si>
  <si>
    <t>20260328135335010515</t>
  </si>
  <si>
    <t>13:53:35</t>
  </si>
  <si>
    <t>20260328134705010307</t>
  </si>
  <si>
    <t>13:47:05</t>
  </si>
  <si>
    <t>20260326151233010245</t>
  </si>
  <si>
    <t>15:12:33</t>
  </si>
  <si>
    <t>20260325150154010088</t>
  </si>
  <si>
    <t>15:01:54</t>
  </si>
  <si>
    <t>20260324165105010778</t>
  </si>
  <si>
    <t>16:51:05</t>
  </si>
  <si>
    <t>BQ115015</t>
  </si>
  <si>
    <r>
      <rPr>
        <sz val="10"/>
        <rFont val="Noto Sans CJK SC"/>
        <family val="2"/>
      </rPr>
      <t>黃歆頤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黃彥綸</t>
    </r>
  </si>
  <si>
    <t>20260323194718010286</t>
  </si>
  <si>
    <t>19:47:18</t>
  </si>
  <si>
    <t>20260323194247010540</t>
  </si>
  <si>
    <t>19:42:47</t>
  </si>
  <si>
    <t>BQ114928</t>
  </si>
  <si>
    <t>鄭然熙 李璐揚</t>
  </si>
  <si>
    <t>20260322081425010720</t>
  </si>
  <si>
    <t>08:14:25</t>
  </si>
  <si>
    <t>20260321141558010056</t>
  </si>
  <si>
    <t>14:15:58</t>
  </si>
  <si>
    <t>BQ113286</t>
  </si>
  <si>
    <r>
      <rPr>
        <sz val="10"/>
        <rFont val="Noto Sans CJK SC"/>
        <family val="2"/>
      </rPr>
      <t>胡芸瑄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黃奎赫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李泰樑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</si>
  <si>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(20%) 1x11880</t>
    </r>
  </si>
  <si>
    <t>20260321141109010263</t>
  </si>
  <si>
    <t>14:11:09</t>
  </si>
  <si>
    <t>BQ114953</t>
  </si>
  <si>
    <r>
      <rPr>
        <sz val="10"/>
        <rFont val="Noto Sans CJK SC"/>
        <family val="2"/>
      </rPr>
      <t>王律婕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汪佳樂</t>
    </r>
  </si>
  <si>
    <t>20260321113735010097</t>
  </si>
  <si>
    <t>11:37:35</t>
  </si>
  <si>
    <t>AQ113259</t>
  </si>
  <si>
    <t>江家榮</t>
  </si>
  <si>
    <t>20260321113606010681</t>
  </si>
  <si>
    <t>11:36:06</t>
  </si>
  <si>
    <t>20260321092330010752</t>
  </si>
  <si>
    <t>09:23:30</t>
  </si>
  <si>
    <t>20260321090545010978</t>
  </si>
  <si>
    <t>09:05:45</t>
  </si>
  <si>
    <t>20260320110500010563</t>
  </si>
  <si>
    <t>11:05:00</t>
  </si>
  <si>
    <t>CQ113550</t>
  </si>
  <si>
    <t>洪祥恩 洪晨祐</t>
  </si>
  <si>
    <t>20260320104532010217</t>
  </si>
  <si>
    <t>10:45:32</t>
  </si>
  <si>
    <t>20260319202847010077</t>
  </si>
  <si>
    <t>20:28:47</t>
  </si>
  <si>
    <t>20260315134907010636</t>
  </si>
  <si>
    <t>13:49:07</t>
  </si>
  <si>
    <t>20260315134751010241</t>
  </si>
  <si>
    <t>13:47:51</t>
  </si>
  <si>
    <t>BQ113074</t>
  </si>
  <si>
    <t>周煊秝</t>
  </si>
  <si>
    <t>20260315130836010452</t>
  </si>
  <si>
    <t>13:08:36</t>
  </si>
  <si>
    <t>20260314174934010769</t>
  </si>
  <si>
    <t>17:49:34</t>
  </si>
  <si>
    <t>CQ114064</t>
  </si>
  <si>
    <t>簡妍恩</t>
  </si>
  <si>
    <t>20260314174902010204</t>
  </si>
  <si>
    <t>17:49:02</t>
  </si>
  <si>
    <t>20260314174828010595</t>
  </si>
  <si>
    <t>17:48:28</t>
  </si>
  <si>
    <t>20260314174748010858</t>
  </si>
  <si>
    <t>17:47:48</t>
  </si>
  <si>
    <t>20260314174709010944</t>
  </si>
  <si>
    <t>17:47:09</t>
  </si>
  <si>
    <t>20260314174628010932</t>
  </si>
  <si>
    <t>17:46:28</t>
  </si>
  <si>
    <t>20260314174535010935</t>
  </si>
  <si>
    <t>17:45:35</t>
  </si>
  <si>
    <t>20260314105807010908</t>
  </si>
  <si>
    <t>10:58:07</t>
  </si>
  <si>
    <t>CQ115009</t>
  </si>
  <si>
    <r>
      <rPr>
        <sz val="10"/>
        <rFont val="Noto Sans CJK SC"/>
        <family val="2"/>
      </rPr>
      <t>林凡恩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顧⼦琪</t>
    </r>
  </si>
  <si>
    <t>20260314075359010991</t>
  </si>
  <si>
    <t>07:53:59</t>
  </si>
  <si>
    <t>20260313181736010458</t>
  </si>
  <si>
    <t>18:17:36</t>
  </si>
  <si>
    <t>CQ115008</t>
  </si>
  <si>
    <r>
      <rPr>
        <sz val="10"/>
        <rFont val="Noto Sans CJK SC"/>
        <family val="2"/>
      </rPr>
      <t>林煦</t>
    </r>
    <r>
      <rPr>
        <sz val="10"/>
        <rFont val="Microsoft JhengHei"/>
        <family val="2"/>
        <charset val="136"/>
      </rPr>
      <t>,</t>
    </r>
    <r>
      <rPr>
        <sz val="10"/>
        <rFont val="Noto Sans CJK SC"/>
        <family val="2"/>
      </rPr>
      <t>鄭芃芸</t>
    </r>
    <r>
      <rPr>
        <sz val="10"/>
        <rFont val="Microsoft JhengHei"/>
        <family val="2"/>
        <charset val="136"/>
      </rPr>
      <t>,</t>
    </r>
    <r>
      <rPr>
        <sz val="10"/>
        <rFont val="Noto Sans CJK SC"/>
        <family val="2"/>
      </rPr>
      <t>褚弘旭</t>
    </r>
  </si>
  <si>
    <t>20260313181449010394</t>
  </si>
  <si>
    <t>18:14:49</t>
  </si>
  <si>
    <t>20260313181336010662</t>
  </si>
  <si>
    <t>18:13:36</t>
  </si>
  <si>
    <t>20260311193200010586</t>
  </si>
  <si>
    <t>19:32:00</t>
  </si>
  <si>
    <t>20260310190605010628</t>
  </si>
  <si>
    <t>19:06:05</t>
  </si>
  <si>
    <t>BQ115011</t>
  </si>
  <si>
    <r>
      <rPr>
        <sz val="10"/>
        <rFont val="Noto Sans CJK SC"/>
        <family val="2"/>
      </rPr>
      <t>黃苡昕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黃⼦妍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黃⼦沂</t>
    </r>
  </si>
  <si>
    <t>20260310181232010676</t>
  </si>
  <si>
    <t>18:12:32</t>
  </si>
  <si>
    <t>20260310175023010113</t>
  </si>
  <si>
    <t>17:50:23</t>
  </si>
  <si>
    <t>CQ1150008</t>
  </si>
  <si>
    <t>林姿伶</t>
  </si>
  <si>
    <t>20260310155816010330</t>
  </si>
  <si>
    <t>15:58:16</t>
  </si>
  <si>
    <t>BQ114927</t>
  </si>
  <si>
    <t>曹琳</t>
  </si>
  <si>
    <t>20260310155456010235</t>
  </si>
  <si>
    <t>15:54:56</t>
  </si>
  <si>
    <t>20260308152110010447</t>
  </si>
  <si>
    <t>15:21:10</t>
  </si>
  <si>
    <t>20260307162114010106</t>
  </si>
  <si>
    <t>16:21:14</t>
  </si>
  <si>
    <t>CQ113702</t>
  </si>
  <si>
    <t>邱錫安 邱翌安</t>
  </si>
  <si>
    <t>20260306195639010598</t>
  </si>
  <si>
    <t>19:56:39</t>
  </si>
  <si>
    <t>CQ114318</t>
  </si>
  <si>
    <t>蔡旻叡 蔡旻軒蔡宗和</t>
  </si>
  <si>
    <t>20260306195435010292</t>
  </si>
  <si>
    <t>19:54:35</t>
  </si>
  <si>
    <t>AQ115036</t>
  </si>
  <si>
    <t>江玟誼 江姿誼</t>
  </si>
  <si>
    <t>20260306195306010403</t>
  </si>
  <si>
    <t>19:53:06</t>
  </si>
  <si>
    <t>20260306194413010707</t>
  </si>
  <si>
    <t>19:44:13</t>
  </si>
  <si>
    <t>20260304211907010277</t>
  </si>
  <si>
    <t>21:19:07</t>
  </si>
  <si>
    <t>20260304211622010829</t>
  </si>
  <si>
    <t>21:16:22</t>
  </si>
  <si>
    <t>CQ114245</t>
  </si>
  <si>
    <r>
      <rPr>
        <sz val="10"/>
        <rFont val="Noto Sans CJK SC"/>
        <family val="2"/>
      </rPr>
      <t>林庭寬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林庭樂</t>
    </r>
  </si>
  <si>
    <t>20260304211550010555</t>
  </si>
  <si>
    <t>21:15:50</t>
  </si>
  <si>
    <t>20260304211503010591</t>
  </si>
  <si>
    <t>21:15:03</t>
  </si>
  <si>
    <t>20260304211315010114</t>
  </si>
  <si>
    <t>21:13:15</t>
  </si>
  <si>
    <t>CQ115006</t>
  </si>
  <si>
    <r>
      <rPr>
        <sz val="10"/>
        <rFont val="Noto Sans CJK SC"/>
        <family val="2"/>
      </rPr>
      <t>謝向晴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謝昊恩</t>
    </r>
  </si>
  <si>
    <t>20260304210612010053</t>
  </si>
  <si>
    <t>21:06:12</t>
  </si>
  <si>
    <t>CQ115005</t>
  </si>
  <si>
    <r>
      <rPr>
        <sz val="10"/>
        <rFont val="Noto Sans CJK SC"/>
        <family val="2"/>
      </rPr>
      <t>黃晨愷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林楷翔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邱恬葳</t>
    </r>
  </si>
  <si>
    <t>20260304210535010929</t>
  </si>
  <si>
    <t>21:05:35</t>
  </si>
  <si>
    <t>20260304210420010287</t>
  </si>
  <si>
    <t>21:04:20</t>
  </si>
  <si>
    <r>
      <rPr>
        <sz val="10"/>
        <rFont val="Noto Sans CJK SC"/>
        <family val="2"/>
      </rPr>
      <t>黃晨愷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林楷翔</t>
    </r>
    <r>
      <rPr>
        <sz val="10"/>
        <rFont val="Microsoft JhengHei"/>
        <family val="2"/>
        <charset val="136"/>
      </rPr>
      <t>.</t>
    </r>
  </si>
  <si>
    <t>20260304205623010228</t>
  </si>
  <si>
    <t>20:56:23</t>
  </si>
  <si>
    <t>CQ113566</t>
  </si>
  <si>
    <t>李亭妤 李亭萱</t>
  </si>
  <si>
    <t>20260304195321010416</t>
  </si>
  <si>
    <t>19:53:21</t>
  </si>
  <si>
    <t>20260304194144010413</t>
  </si>
  <si>
    <t>19:41:44</t>
  </si>
  <si>
    <t>CQ114364</t>
  </si>
  <si>
    <t>何忻玥，郭家淇</t>
  </si>
  <si>
    <t>20260304194107010719</t>
  </si>
  <si>
    <t>19:41:07</t>
  </si>
  <si>
    <t>20260304193931010565</t>
  </si>
  <si>
    <t>19:39:31</t>
  </si>
  <si>
    <t>20260304192945010089</t>
  </si>
  <si>
    <t>19:29:45</t>
  </si>
  <si>
    <t>CQ115001</t>
  </si>
  <si>
    <t>陳亭諭、陳亭穎</t>
  </si>
  <si>
    <t>20260304192910010369</t>
  </si>
  <si>
    <t>19:29:10</t>
  </si>
  <si>
    <t>20260304192821010892</t>
  </si>
  <si>
    <t>19:28:21</t>
  </si>
  <si>
    <t>20260304192630010534</t>
  </si>
  <si>
    <t>19:26:30</t>
  </si>
  <si>
    <t>20260304192523010605</t>
  </si>
  <si>
    <t>19:25:23</t>
  </si>
  <si>
    <t>20260304143625010043</t>
  </si>
  <si>
    <t>14:36:25</t>
  </si>
  <si>
    <t>20260301170116010853</t>
  </si>
  <si>
    <t>17:01:16</t>
  </si>
  <si>
    <t>20260301170022010203</t>
  </si>
  <si>
    <t>17:00:22</t>
  </si>
  <si>
    <t>20260301092607010494</t>
  </si>
  <si>
    <t>09:26:07</t>
  </si>
  <si>
    <t>20260227152151010968</t>
  </si>
  <si>
    <t>15:21:51</t>
  </si>
  <si>
    <t>20260227150633010412</t>
  </si>
  <si>
    <t>15:06:33</t>
  </si>
  <si>
    <t>BQ114956</t>
  </si>
  <si>
    <r>
      <rPr>
        <sz val="10"/>
        <rFont val="Noto Sans CJK SC"/>
        <family val="2"/>
      </rPr>
      <t>羅⼦涵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郭品樂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楊騏⾀</t>
    </r>
  </si>
  <si>
    <t>20260227145644010980</t>
  </si>
  <si>
    <t>14:56:44</t>
  </si>
  <si>
    <t>20260225161935010788</t>
  </si>
  <si>
    <t>16:19:35</t>
  </si>
  <si>
    <t>20260225161823010779</t>
  </si>
  <si>
    <t>16:18:23</t>
  </si>
  <si>
    <t>AQ1141116</t>
  </si>
  <si>
    <t>陳俊孝</t>
  </si>
  <si>
    <t>20260214084151010440</t>
  </si>
  <si>
    <t>08:41:51</t>
  </si>
  <si>
    <t>AQ113502</t>
  </si>
  <si>
    <t>戴⼦瑜 林予翔</t>
  </si>
  <si>
    <t>20260209144153010864</t>
  </si>
  <si>
    <t>14:41:53</t>
  </si>
  <si>
    <t>BQ113263</t>
  </si>
  <si>
    <t>李⽻涵 李⽟瑄許秝岷</t>
  </si>
  <si>
    <t>20260209141433010657</t>
  </si>
  <si>
    <t>14:14:33</t>
  </si>
  <si>
    <t>CQ113705</t>
  </si>
  <si>
    <r>
      <rPr>
        <sz val="10"/>
        <rFont val="Noto Sans CJK SC"/>
        <family val="2"/>
      </rPr>
      <t>陳牧可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陳宇芙</t>
    </r>
  </si>
  <si>
    <t>20260209084529010157</t>
  </si>
  <si>
    <t>08:45:29</t>
  </si>
  <si>
    <t>胡雅琪</t>
  </si>
  <si>
    <t>AQ1146666</t>
  </si>
  <si>
    <t>林宸銘 林宸瑋</t>
  </si>
  <si>
    <t>20260209084449010132</t>
  </si>
  <si>
    <t>08:44:49</t>
  </si>
  <si>
    <t>20260206120741010193</t>
  </si>
  <si>
    <t>12:07:41</t>
  </si>
  <si>
    <t>BQ115009</t>
  </si>
  <si>
    <r>
      <rPr>
        <sz val="10"/>
        <rFont val="Noto Sans CJK SC"/>
        <family val="2"/>
      </rPr>
      <t>江學耘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江昀恬</t>
    </r>
  </si>
  <si>
    <t>20260206115725010470</t>
  </si>
  <si>
    <t>11:57:25</t>
  </si>
  <si>
    <t>BQ113294</t>
  </si>
  <si>
    <t>黃翊愷</t>
  </si>
  <si>
    <t>20260205195620010316</t>
  </si>
  <si>
    <t>19:56:20</t>
  </si>
  <si>
    <t>AQ113992</t>
  </si>
  <si>
    <t>葉哲綸 葉⼦瑜</t>
  </si>
  <si>
    <t>20260205195543010028</t>
  </si>
  <si>
    <t>19:55:43</t>
  </si>
  <si>
    <t>20260205163931010624</t>
  </si>
  <si>
    <t>16:39:31</t>
  </si>
  <si>
    <t>CQ114211</t>
  </si>
  <si>
    <t>黃奕榛 廖紹淯</t>
  </si>
  <si>
    <t>20260205092537010521</t>
  </si>
  <si>
    <t>09:25:37</t>
  </si>
  <si>
    <t>AQ112016</t>
  </si>
  <si>
    <t>謝昊廷 謝昀彤</t>
  </si>
  <si>
    <t>20260205092454010610</t>
  </si>
  <si>
    <t>09:24:54</t>
  </si>
  <si>
    <t>20260205092405010110</t>
  </si>
  <si>
    <t>09:24:05</t>
  </si>
  <si>
    <t>20260204195048010389</t>
  </si>
  <si>
    <t>19:50:48</t>
  </si>
  <si>
    <t>AQ113324</t>
  </si>
  <si>
    <t>吳栩寬 吳玳儀</t>
  </si>
  <si>
    <t>20260204194951010021</t>
  </si>
  <si>
    <t>19:49:51</t>
  </si>
  <si>
    <t>20260204194918010077</t>
  </si>
  <si>
    <t>19:49:18</t>
  </si>
  <si>
    <t>20260203214344010924</t>
  </si>
  <si>
    <t>21:43:44</t>
  </si>
  <si>
    <t>BQ114154</t>
  </si>
  <si>
    <r>
      <rPr>
        <sz val="10"/>
        <rFont val="Noto Sans CJK SC"/>
        <family val="2"/>
      </rPr>
      <t>陳⼼妍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李姝諭</t>
    </r>
  </si>
  <si>
    <t>20260203165000010465</t>
  </si>
  <si>
    <t>16:50:00</t>
  </si>
  <si>
    <t>BQ114106</t>
  </si>
  <si>
    <t>李昊陽、李雨桐</t>
  </si>
  <si>
    <t>20260203132950010210</t>
  </si>
  <si>
    <t>13:29:50</t>
  </si>
  <si>
    <t>AQ113208</t>
  </si>
  <si>
    <t>陳柏碩</t>
  </si>
  <si>
    <t>20260203132918010702</t>
  </si>
  <si>
    <t>13:29:18</t>
  </si>
  <si>
    <t>20260203132839010095</t>
  </si>
  <si>
    <t>13:28:39</t>
  </si>
  <si>
    <t>20260203131847010406</t>
  </si>
  <si>
    <t>13:18:47</t>
  </si>
  <si>
    <t>20260203125455010032</t>
  </si>
  <si>
    <t>12:54:55</t>
  </si>
  <si>
    <t>1150203</t>
  </si>
  <si>
    <r>
      <rPr>
        <sz val="10"/>
        <rFont val="Noto Sans CJK SC"/>
        <family val="2"/>
      </rPr>
      <t>陳柏碩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陳霖</t>
    </r>
  </si>
  <si>
    <t>20260202154329010553</t>
  </si>
  <si>
    <t>15:43:29</t>
  </si>
  <si>
    <t>BQ115008</t>
  </si>
  <si>
    <t>許馥薇</t>
  </si>
  <si>
    <t>20260202152655010789</t>
  </si>
  <si>
    <t>15:26:55</t>
  </si>
  <si>
    <t>BQ114014</t>
  </si>
  <si>
    <r>
      <rPr>
        <sz val="10"/>
        <rFont val="Noto Sans CJK SC"/>
        <family val="2"/>
      </rPr>
      <t>胡允斌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林可欣</t>
    </r>
  </si>
  <si>
    <t>20260202151325010032</t>
  </si>
  <si>
    <t>15:13:25</t>
  </si>
  <si>
    <t>BQ114949</t>
  </si>
  <si>
    <r>
      <rPr>
        <sz val="10"/>
        <rFont val="Noto Sans CJK SC"/>
        <family val="2"/>
      </rPr>
      <t>林俐樺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何思甸</t>
    </r>
  </si>
  <si>
    <t>20260202145644010043</t>
  </si>
  <si>
    <t>BQ114957</t>
  </si>
  <si>
    <r>
      <rPr>
        <sz val="10"/>
        <rFont val="Noto Sans CJK SC"/>
        <family val="2"/>
      </rPr>
      <t>林裕淮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林晉慶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林恩霈</t>
    </r>
  </si>
  <si>
    <t>20260202104212010881</t>
  </si>
  <si>
    <t>10:42:12</t>
  </si>
  <si>
    <t>1150202</t>
  </si>
  <si>
    <r>
      <rPr>
        <sz val="10"/>
        <rFont val="Noto Sans CJK SC"/>
        <family val="2"/>
      </rPr>
      <t>蔡昕桐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蔡昕恩</t>
    </r>
    <r>
      <rPr>
        <sz val="10"/>
        <rFont val="Microsoft JhengHei"/>
        <family val="2"/>
        <charset val="136"/>
      </rPr>
      <t>.</t>
    </r>
  </si>
  <si>
    <t>20260202104130010966</t>
  </si>
  <si>
    <t>10:41:30</t>
  </si>
  <si>
    <t>20260202103958010618</t>
  </si>
  <si>
    <t>10:39:58</t>
  </si>
  <si>
    <t>20260202100751010088</t>
  </si>
  <si>
    <t>10:07:51</t>
  </si>
  <si>
    <t>CQ114339</t>
  </si>
  <si>
    <r>
      <rPr>
        <sz val="10"/>
        <rFont val="Noto Sans CJK SC"/>
        <family val="2"/>
      </rPr>
      <t>賴安綺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曾詩涵</t>
    </r>
  </si>
  <si>
    <t>20260202100652010248</t>
  </si>
  <si>
    <t>10:06:52</t>
  </si>
  <si>
    <t>20260130213246010999</t>
  </si>
  <si>
    <t>21:32:46</t>
  </si>
  <si>
    <t>20260130211513010152</t>
  </si>
  <si>
    <t>21:15:13</t>
  </si>
  <si>
    <t>BQ113360</t>
  </si>
  <si>
    <t>吳邦誠 張雅欣</t>
  </si>
  <si>
    <t>20260130135828010859</t>
  </si>
  <si>
    <t>13:58:28</t>
  </si>
  <si>
    <t>CQ114279</t>
  </si>
  <si>
    <t>郭芷妤 王洛澄鄭韓霏</t>
  </si>
  <si>
    <t>20260130135127010301</t>
  </si>
  <si>
    <t>13:51:27</t>
  </si>
  <si>
    <t>AQ114015</t>
  </si>
  <si>
    <t>謝可祺 涂瑩暄</t>
  </si>
  <si>
    <t>20260130135009010497</t>
  </si>
  <si>
    <t>13:50:09</t>
  </si>
  <si>
    <t>20260130134919010927</t>
  </si>
  <si>
    <t>13:49:19</t>
  </si>
  <si>
    <t>20260130093434010777</t>
  </si>
  <si>
    <t>09:34:34</t>
  </si>
  <si>
    <t>CQ1131010</t>
  </si>
  <si>
    <r>
      <rPr>
        <sz val="10"/>
        <rFont val="Noto Sans CJK SC"/>
        <family val="2"/>
      </rPr>
      <t>周⽻莘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周語澄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黃郁琁</t>
    </r>
  </si>
  <si>
    <t>20260130093358010025</t>
  </si>
  <si>
    <t>09:33:58</t>
  </si>
  <si>
    <t>20260130093318010261</t>
  </si>
  <si>
    <t>09:33:18</t>
  </si>
  <si>
    <t>20260130092935010388</t>
  </si>
  <si>
    <t>09:29:35</t>
  </si>
  <si>
    <t>CQ114006</t>
  </si>
  <si>
    <t>李采玹，陳亭諭</t>
  </si>
  <si>
    <t>20260130092812010266</t>
  </si>
  <si>
    <t>09:28:12</t>
  </si>
  <si>
    <t>20260130092726010355</t>
  </si>
  <si>
    <t>09:27:26</t>
  </si>
  <si>
    <t>20260130083646010737</t>
  </si>
  <si>
    <t>08:36:46</t>
  </si>
  <si>
    <t>CQ113545</t>
  </si>
  <si>
    <t>李耘樂</t>
  </si>
  <si>
    <t>20260130083558010604</t>
  </si>
  <si>
    <t>08:35:58</t>
  </si>
  <si>
    <t>20260130083513010278</t>
  </si>
  <si>
    <t>08:35:13</t>
  </si>
  <si>
    <t>20260130082240010469</t>
  </si>
  <si>
    <t>08:22:40</t>
  </si>
  <si>
    <t>CQ114002</t>
  </si>
  <si>
    <t>林琬潼</t>
  </si>
  <si>
    <t>20260130081519010524</t>
  </si>
  <si>
    <t>08:15:19</t>
  </si>
  <si>
    <t>CQ114184</t>
  </si>
  <si>
    <t>張語安 張可妍</t>
  </si>
  <si>
    <t>20260130081428010234</t>
  </si>
  <si>
    <t>08:14:28</t>
  </si>
  <si>
    <t>20260130081311010016</t>
  </si>
  <si>
    <t>08:13:11</t>
  </si>
  <si>
    <t>20260130075214010692</t>
  </si>
  <si>
    <t>07:52:14</t>
  </si>
  <si>
    <t>CQ1140130</t>
  </si>
  <si>
    <t>林謙諾、余惈、余㦡、蔡沐宸、陳芝琪</t>
  </si>
  <si>
    <t>20260130074924010645</t>
  </si>
  <si>
    <t>07:49:24</t>
  </si>
  <si>
    <t>CQ114325</t>
  </si>
  <si>
    <t>柯乃⽂ 江美儀</t>
  </si>
  <si>
    <t>20260130074818010056</t>
  </si>
  <si>
    <t>07:48:18</t>
  </si>
  <si>
    <t>20260130074658010422</t>
  </si>
  <si>
    <t>07:46:58</t>
  </si>
  <si>
    <t>20260129191735010540</t>
  </si>
  <si>
    <t>19:17:35</t>
  </si>
  <si>
    <t>BQ113244</t>
  </si>
  <si>
    <r>
      <rPr>
        <sz val="10"/>
        <rFont val="Noto Sans CJK SC"/>
        <family val="2"/>
      </rPr>
      <t>王宥琋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郭宣妤</t>
    </r>
  </si>
  <si>
    <t>20260129190101010206</t>
  </si>
  <si>
    <t>19:01:01</t>
  </si>
  <si>
    <t>AQ11411221</t>
  </si>
  <si>
    <t>彭俊道</t>
  </si>
  <si>
    <t>20260129185510010538</t>
  </si>
  <si>
    <t>18:55:10</t>
  </si>
  <si>
    <t>BQ114712</t>
  </si>
  <si>
    <t>張立臻</t>
  </si>
  <si>
    <t>20260129183629010258</t>
  </si>
  <si>
    <t>18:36:29</t>
  </si>
  <si>
    <t>20260129181851010034</t>
  </si>
  <si>
    <t>18:18:51</t>
  </si>
  <si>
    <t>20260129181424010240</t>
  </si>
  <si>
    <t>18:14:24</t>
  </si>
  <si>
    <t>20260129180636010834</t>
  </si>
  <si>
    <t>18:06:36</t>
  </si>
  <si>
    <t>BQ114955</t>
  </si>
  <si>
    <t>蔡瑞敏 張宸均</t>
  </si>
  <si>
    <t>20260129131234010271</t>
  </si>
  <si>
    <t>13:12:34</t>
  </si>
  <si>
    <t>AQ114999</t>
  </si>
  <si>
    <t>楊忠穎</t>
  </si>
  <si>
    <t>20260129105250010138</t>
  </si>
  <si>
    <t>10:52:50</t>
  </si>
  <si>
    <t>AQ114050</t>
  </si>
  <si>
    <t>張佳雯 楊恆宇</t>
  </si>
  <si>
    <t>20260128212328010536</t>
  </si>
  <si>
    <t>21:23:28</t>
  </si>
  <si>
    <t>BQ113352</t>
  </si>
  <si>
    <r>
      <rPr>
        <sz val="10"/>
        <rFont val="Noto Sans CJK SC"/>
        <family val="2"/>
      </rPr>
      <t>張嚴⽂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張恩赫</t>
    </r>
  </si>
  <si>
    <t>20260128203733010148</t>
  </si>
  <si>
    <t>20:37:33</t>
  </si>
  <si>
    <t>BQ113291</t>
  </si>
  <si>
    <r>
      <rPr>
        <sz val="10"/>
        <rFont val="Noto Sans CJK SC"/>
        <family val="2"/>
      </rPr>
      <t>李品慧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李⽻晟</t>
    </r>
  </si>
  <si>
    <t>20260128201856010740</t>
  </si>
  <si>
    <t>20:18:56</t>
  </si>
  <si>
    <t>BQ115004</t>
  </si>
  <si>
    <t>李梓恬</t>
  </si>
  <si>
    <t>20260128183952010419</t>
  </si>
  <si>
    <t>18:39:52</t>
  </si>
  <si>
    <t>CQ113661</t>
  </si>
  <si>
    <t>黃品嘉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</si>
  <si>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>1x6900</t>
    </r>
  </si>
  <si>
    <t>20260128183341010925</t>
  </si>
  <si>
    <t>18:33:41</t>
  </si>
  <si>
    <t>CQ113606</t>
  </si>
  <si>
    <t>賴禹⼼ 賴楷承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</si>
  <si>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(50%) 1x10800</t>
    </r>
  </si>
  <si>
    <t>20260128182516010646</t>
  </si>
  <si>
    <t>18:25:16</t>
  </si>
  <si>
    <t>CQ114230</t>
  </si>
  <si>
    <r>
      <rPr>
        <sz val="10"/>
        <rFont val="Noto Sans CJK SC"/>
        <family val="2"/>
      </rPr>
      <t>黃靖惠</t>
    </r>
    <r>
      <rPr>
        <sz val="10"/>
        <rFont val="Microsoft JhengHei"/>
        <family val="2"/>
        <charset val="136"/>
      </rPr>
      <t xml:space="preserve">. </t>
    </r>
    <r>
      <rPr>
        <sz val="10"/>
        <rFont val="Noto Sans CJK SC"/>
        <family val="2"/>
      </rPr>
      <t>吳虹樺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張愷恩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張⼜⼼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</si>
  <si>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1x12000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1x12000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1x12000</t>
    </r>
  </si>
  <si>
    <t>20260128181145010135</t>
  </si>
  <si>
    <t>18:11:45</t>
  </si>
  <si>
    <t>CQ114251</t>
  </si>
  <si>
    <t>吳毅霆</t>
  </si>
  <si>
    <t>20260128180443010918</t>
  </si>
  <si>
    <t>18:04:43</t>
  </si>
  <si>
    <t>CQ114149</t>
  </si>
  <si>
    <t>陳儒佑 陳姿欣陳漢祥</t>
  </si>
  <si>
    <t>20260128175749010863</t>
  </si>
  <si>
    <t>17:57:49</t>
  </si>
  <si>
    <t>CQ1140015</t>
  </si>
  <si>
    <r>
      <rPr>
        <sz val="10"/>
        <rFont val="Noto Sans CJK SC"/>
        <family val="2"/>
      </rPr>
      <t>林偉程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陳儒佑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陳漢祥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陳姿欣</t>
    </r>
  </si>
  <si>
    <t>20260128174401010052</t>
  </si>
  <si>
    <t>17:44:01</t>
  </si>
  <si>
    <t>CQ114071</t>
  </si>
  <si>
    <t>王丞佑 王昕卉</t>
  </si>
  <si>
    <t>20260128172516010250</t>
  </si>
  <si>
    <t>17:25:16</t>
  </si>
  <si>
    <t>CQ114228</t>
  </si>
  <si>
    <t>洪睿⾔ 溫品萱丁翊洆</t>
  </si>
  <si>
    <t>20260128171634010314</t>
  </si>
  <si>
    <t>17:16:34</t>
  </si>
  <si>
    <t>20260128094300010600</t>
  </si>
  <si>
    <t>09:43:00</t>
  </si>
  <si>
    <t>20260127182719010797</t>
  </si>
  <si>
    <t>18:27:19</t>
  </si>
  <si>
    <t>BQ114942</t>
  </si>
  <si>
    <r>
      <rPr>
        <sz val="10"/>
        <rFont val="Noto Sans CJK SC"/>
        <family val="2"/>
      </rPr>
      <t>鄒芷妍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王寀溱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鄒采妍</t>
    </r>
  </si>
  <si>
    <t>20260127181210010147</t>
  </si>
  <si>
    <t>18:12:10</t>
  </si>
  <si>
    <t>BQ114947</t>
  </si>
  <si>
    <r>
      <rPr>
        <sz val="10"/>
        <rFont val="Noto Sans CJK SC"/>
        <family val="2"/>
      </rPr>
      <t>陳玥凝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陳宥安</t>
    </r>
  </si>
  <si>
    <t>20260127171938010300</t>
  </si>
  <si>
    <t>17:19:38</t>
  </si>
  <si>
    <t>BQ140007</t>
  </si>
  <si>
    <r>
      <rPr>
        <sz val="10"/>
        <rFont val="Noto Sans CJK SC"/>
        <family val="2"/>
      </rPr>
      <t>詹昕樺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詹沂穎</t>
    </r>
  </si>
  <si>
    <t>20260127163327010760</t>
  </si>
  <si>
    <t>16:33:27</t>
  </si>
  <si>
    <t>BQ114934</t>
  </si>
  <si>
    <r>
      <rPr>
        <sz val="10"/>
        <rFont val="Noto Sans CJK SC"/>
        <family val="2"/>
      </rPr>
      <t>盧紫妍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李昀襄</t>
    </r>
  </si>
  <si>
    <t>20260127161930010365</t>
  </si>
  <si>
    <t>16:19:30</t>
  </si>
  <si>
    <t>BQ115006</t>
  </si>
  <si>
    <r>
      <rPr>
        <sz val="10"/>
        <rFont val="Noto Sans CJK SC"/>
        <family val="2"/>
      </rPr>
      <t>張宸碩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許允謙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許允亮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</si>
  <si>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1x9900</t>
    </r>
  </si>
  <si>
    <t>20260127155015010326</t>
  </si>
  <si>
    <t>15:50:15</t>
  </si>
  <si>
    <t>CQ1150126</t>
  </si>
  <si>
    <t>李雅惠、鄒華⽟</t>
  </si>
  <si>
    <t>20260127154958010296</t>
  </si>
  <si>
    <t>15:49:58</t>
  </si>
  <si>
    <t>BQ114040</t>
  </si>
  <si>
    <r>
      <rPr>
        <sz val="10"/>
        <rFont val="Noto Sans CJK SC"/>
        <family val="2"/>
      </rPr>
      <t>張庭榛</t>
    </r>
    <r>
      <rPr>
        <sz val="10"/>
        <rFont val="Microsoft JhengHei"/>
        <family val="2"/>
        <charset val="136"/>
      </rPr>
      <t xml:space="preserve">. </t>
    </r>
    <r>
      <rPr>
        <sz val="10"/>
        <rFont val="Noto Sans CJK SC"/>
        <family val="2"/>
      </rPr>
      <t>許芷甯</t>
    </r>
  </si>
  <si>
    <t>20260127154835010344</t>
  </si>
  <si>
    <t>15:48:35</t>
  </si>
  <si>
    <t>20260127154743010654</t>
  </si>
  <si>
    <t>15:47:43</t>
  </si>
  <si>
    <t>20260127154025010660</t>
  </si>
  <si>
    <t>15:40:25</t>
  </si>
  <si>
    <t>CQ113492</t>
  </si>
  <si>
    <t>李冠毅 李芃葳游芙⽻ 游昕芸</t>
  </si>
  <si>
    <t>20260127153950010370</t>
  </si>
  <si>
    <t>15:39:50</t>
  </si>
  <si>
    <t>20260127153901010476</t>
  </si>
  <si>
    <t>15:39:01</t>
  </si>
  <si>
    <t>20260127153513010383</t>
  </si>
  <si>
    <t>CQ113632</t>
  </si>
  <si>
    <t>李冠毅 李芃葳</t>
  </si>
  <si>
    <t>20260127153435010477</t>
  </si>
  <si>
    <t>15:34:35</t>
  </si>
  <si>
    <t>20260127153405010638</t>
  </si>
  <si>
    <t>15:34:05</t>
  </si>
  <si>
    <t>20260127151936010742</t>
  </si>
  <si>
    <t>15:19:36</t>
  </si>
  <si>
    <t>20260127151905010940</t>
  </si>
  <si>
    <t>15:19:05</t>
  </si>
  <si>
    <t>20260127151617010017</t>
  </si>
  <si>
    <t>15:16:17</t>
  </si>
  <si>
    <t>CQ1150127</t>
  </si>
  <si>
    <t>許立紘、楊千瑩</t>
  </si>
  <si>
    <t>20260127151552010995</t>
  </si>
  <si>
    <t>15:15:52</t>
  </si>
  <si>
    <t>20260127151508010743</t>
  </si>
  <si>
    <t>15:15:08</t>
  </si>
  <si>
    <t>20260127150832010463</t>
  </si>
  <si>
    <t>15:08:32</t>
  </si>
  <si>
    <t>20260127150630010064</t>
  </si>
  <si>
    <t>15:06:30</t>
  </si>
  <si>
    <t>20260127150508010685</t>
  </si>
  <si>
    <t>15:05:08</t>
  </si>
  <si>
    <t>20260127142452010201</t>
  </si>
  <si>
    <t>14:24:52</t>
  </si>
  <si>
    <t>CQ113008</t>
  </si>
  <si>
    <r>
      <rPr>
        <sz val="10"/>
        <rFont val="Noto Sans CJK SC"/>
        <family val="2"/>
      </rPr>
      <t>李芸宣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李⽻翔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李⽻岑</t>
    </r>
  </si>
  <si>
    <t>20260127142416010268</t>
  </si>
  <si>
    <t>14:24:16</t>
  </si>
  <si>
    <t>20260127142328010593</t>
  </si>
  <si>
    <t>14:23:28</t>
  </si>
  <si>
    <t>20260127141916010923</t>
  </si>
  <si>
    <t>14:19:16</t>
  </si>
  <si>
    <t>CQ114203</t>
  </si>
  <si>
    <t>陳語謙 陳昱希</t>
  </si>
  <si>
    <t>20260127141834010792</t>
  </si>
  <si>
    <t>14:18:34</t>
  </si>
  <si>
    <t>陳語謙 陳昱希陳品妍 陳品安</t>
  </si>
  <si>
    <t>20260127141737010803</t>
  </si>
  <si>
    <t>14:17:37</t>
  </si>
  <si>
    <t>20260125110336010179</t>
  </si>
  <si>
    <t>11:03:36</t>
  </si>
  <si>
    <t>20260124162345010619</t>
  </si>
  <si>
    <t>16:23:45</t>
  </si>
  <si>
    <t>BQ113419</t>
  </si>
  <si>
    <r>
      <rPr>
        <sz val="10"/>
        <rFont val="Noto Sans CJK SC"/>
        <family val="2"/>
      </rPr>
      <t>周品辰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張宇姍</t>
    </r>
  </si>
  <si>
    <t>20260124160046010013</t>
  </si>
  <si>
    <t>16:00:46</t>
  </si>
  <si>
    <t>AQ1131015</t>
  </si>
  <si>
    <t>姚星佑 林楷恩</t>
  </si>
  <si>
    <t>20260124154949010071</t>
  </si>
  <si>
    <t>15:49:49</t>
  </si>
  <si>
    <t>BQ114952</t>
  </si>
  <si>
    <r>
      <rPr>
        <sz val="10"/>
        <rFont val="Noto Sans CJK SC"/>
        <family val="2"/>
      </rPr>
      <t>陳冠廷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黃詩婷</t>
    </r>
  </si>
  <si>
    <t>20260124154429010787</t>
  </si>
  <si>
    <t>15:44:29</t>
  </si>
  <si>
    <t>BQ114921</t>
  </si>
  <si>
    <t>簡瑀廷</t>
  </si>
  <si>
    <t>20260123185929010574</t>
  </si>
  <si>
    <t>18:59:29</t>
  </si>
  <si>
    <t>AQ1140106</t>
  </si>
  <si>
    <t>李柔儀</t>
  </si>
  <si>
    <t>20260123185858010626</t>
  </si>
  <si>
    <t>18:58:58</t>
  </si>
  <si>
    <t>20260123185759010892</t>
  </si>
  <si>
    <t>18:57:59</t>
  </si>
  <si>
    <t>20260123155238010093</t>
  </si>
  <si>
    <t>15:52:38</t>
  </si>
  <si>
    <t>CQ114328</t>
  </si>
  <si>
    <t>李可瑜 吳婧⽻</t>
  </si>
  <si>
    <t>20260123153529010159</t>
  </si>
  <si>
    <t>15:35:29</t>
  </si>
  <si>
    <t>CQ115123</t>
  </si>
  <si>
    <r>
      <rPr>
        <sz val="10"/>
        <rFont val="Noto Sans CJK SC"/>
        <family val="2"/>
      </rPr>
      <t>郭甯菲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林碩恩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林泯⾔</t>
    </r>
  </si>
  <si>
    <t>20260123150437010422</t>
  </si>
  <si>
    <t>15:04:37</t>
  </si>
  <si>
    <t>CQ114107</t>
  </si>
  <si>
    <t>林軒宇 李辰萱</t>
  </si>
  <si>
    <t>20260123143519010485</t>
  </si>
  <si>
    <t>14:35:19</t>
  </si>
  <si>
    <t>AQ113060</t>
  </si>
  <si>
    <t>鄧縉琥</t>
  </si>
  <si>
    <t>20260122213640010628</t>
  </si>
  <si>
    <t>21:36:40</t>
  </si>
  <si>
    <t>20260122213605010566</t>
  </si>
  <si>
    <t>21:36:05</t>
  </si>
  <si>
    <t>20260122213526010579</t>
  </si>
  <si>
    <t>21:35:26</t>
  </si>
  <si>
    <t>20260122213346010824</t>
  </si>
  <si>
    <t>21:33:46</t>
  </si>
  <si>
    <t>BQ113282</t>
  </si>
  <si>
    <r>
      <rPr>
        <sz val="10"/>
        <rFont val="Noto Sans CJK SC"/>
        <family val="2"/>
      </rPr>
      <t>林祐正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林妤芯</t>
    </r>
  </si>
  <si>
    <t>20260122213306010727</t>
  </si>
  <si>
    <t>21:33:06</t>
  </si>
  <si>
    <t>20260122213233010264</t>
  </si>
  <si>
    <t>21:32:33</t>
  </si>
  <si>
    <t>20260122211825010555</t>
  </si>
  <si>
    <t>21:18:25</t>
  </si>
  <si>
    <t>AQ113059</t>
  </si>
  <si>
    <t>王宏睿 王宏遠</t>
  </si>
  <si>
    <t>20260122211746010530</t>
  </si>
  <si>
    <t>21:17:46</t>
  </si>
  <si>
    <t>20260122211715010136</t>
  </si>
  <si>
    <t>21:17:15</t>
  </si>
  <si>
    <t>20260122211629010473</t>
  </si>
  <si>
    <t>21:16:29</t>
  </si>
  <si>
    <t>20260122200755010004</t>
  </si>
  <si>
    <t>20:07:55</t>
  </si>
  <si>
    <t>BQ115003</t>
  </si>
  <si>
    <r>
      <rPr>
        <sz val="10"/>
        <rFont val="Noto Sans CJK SC"/>
        <family val="2"/>
      </rPr>
      <t>李浩誠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李泓治</t>
    </r>
    <r>
      <rPr>
        <sz val="10"/>
        <rFont val="Microsoft JhengHei"/>
        <family val="2"/>
        <charset val="136"/>
      </rPr>
      <t>.Benny</t>
    </r>
  </si>
  <si>
    <t>20260122195245010194</t>
  </si>
  <si>
    <t>19:52:45</t>
  </si>
  <si>
    <t>BQ11406281</t>
  </si>
  <si>
    <t>潘宣綺 陳奕安陳思彤</t>
  </si>
  <si>
    <t>20260121200341010017</t>
  </si>
  <si>
    <t>20:03:41</t>
  </si>
  <si>
    <t>AQ11308132</t>
  </si>
  <si>
    <t>賴怡君</t>
  </si>
  <si>
    <t>20260121195827010362</t>
  </si>
  <si>
    <t>19:58:27</t>
  </si>
  <si>
    <t>AQ114081</t>
  </si>
  <si>
    <t>李品鋐 李品叡</t>
  </si>
  <si>
    <t>20260121195757010572</t>
  </si>
  <si>
    <t>19:57:57</t>
  </si>
  <si>
    <t>20260121195658010456</t>
  </si>
  <si>
    <t>19:56:58</t>
  </si>
  <si>
    <t>20260121190125010414</t>
  </si>
  <si>
    <t>19:01:25</t>
  </si>
  <si>
    <t>AQ1150105</t>
  </si>
  <si>
    <t>⾼尚銓</t>
  </si>
  <si>
    <t>20260120195628010769</t>
  </si>
  <si>
    <t>19:56:28</t>
  </si>
  <si>
    <t>BQ114936</t>
  </si>
  <si>
    <r>
      <rPr>
        <sz val="10"/>
        <rFont val="Noto Sans CJK SC"/>
        <family val="2"/>
      </rPr>
      <t>陳星妤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陳星妍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史柏允</t>
    </r>
  </si>
  <si>
    <t>20260120190424010527</t>
  </si>
  <si>
    <t>19:04:24</t>
  </si>
  <si>
    <t>AQ113358</t>
  </si>
  <si>
    <r>
      <rPr>
        <sz val="10"/>
        <rFont val="Noto Sans CJK SC"/>
        <family val="2"/>
      </rPr>
      <t>林雅玟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廖庭誼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廖錦鋐</t>
    </r>
  </si>
  <si>
    <t>20260119210217010192</t>
  </si>
  <si>
    <t>21:02:17</t>
  </si>
  <si>
    <t>BQ114010</t>
  </si>
  <si>
    <r>
      <rPr>
        <sz val="10"/>
        <rFont val="Noto Sans CJK SC"/>
        <family val="2"/>
      </rPr>
      <t>陳星蒨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陳星澔</t>
    </r>
  </si>
  <si>
    <t>20260119204550010387</t>
  </si>
  <si>
    <t>20:45:50</t>
  </si>
  <si>
    <t>BQ115002</t>
  </si>
  <si>
    <t>陳蔧如</t>
  </si>
  <si>
    <t>20260119202615010986</t>
  </si>
  <si>
    <t>20:26:15</t>
  </si>
  <si>
    <t>BQ114151</t>
  </si>
  <si>
    <r>
      <rPr>
        <sz val="10"/>
        <rFont val="Noto Sans CJK SC"/>
        <family val="2"/>
      </rPr>
      <t>林詠潔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林暐珊</t>
    </r>
  </si>
  <si>
    <t>20260119195941010130</t>
  </si>
  <si>
    <t>19:59:41</t>
  </si>
  <si>
    <t>BQ113090</t>
  </si>
  <si>
    <t>黃煒宸 黃⼩香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</si>
  <si>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6.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1x7500</t>
    </r>
  </si>
  <si>
    <t>20260119192439010172</t>
  </si>
  <si>
    <t>19:24:39</t>
  </si>
  <si>
    <t>AQ1150119</t>
  </si>
  <si>
    <t>張皓然 張禹晴</t>
  </si>
  <si>
    <t>20260119192412010041</t>
  </si>
  <si>
    <t>19:24:12</t>
  </si>
  <si>
    <t>20260119192333010496</t>
  </si>
  <si>
    <t>19:23:33</t>
  </si>
  <si>
    <t>20260119191801010437</t>
  </si>
  <si>
    <t>19:18:01</t>
  </si>
  <si>
    <t>20260118173114010306</t>
  </si>
  <si>
    <t>17:31:14</t>
  </si>
  <si>
    <t>20260118144918010643</t>
  </si>
  <si>
    <t>14:49:18</t>
  </si>
  <si>
    <t>CQ115002</t>
  </si>
  <si>
    <t>陳亭諭</t>
  </si>
  <si>
    <t>20260118140615010698</t>
  </si>
  <si>
    <t>14:06:15</t>
  </si>
  <si>
    <t>20260118134538010732</t>
  </si>
  <si>
    <t>13:45:38</t>
  </si>
  <si>
    <t>BQ115001</t>
  </si>
  <si>
    <r>
      <rPr>
        <sz val="10"/>
        <rFont val="Noto Sans CJK SC"/>
        <family val="2"/>
      </rPr>
      <t>張宇辰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張宇亨</t>
    </r>
  </si>
  <si>
    <t>20260118132929010959</t>
  </si>
  <si>
    <t>13:29:29</t>
  </si>
  <si>
    <t>BQ114946</t>
  </si>
  <si>
    <r>
      <rPr>
        <sz val="10"/>
        <rFont val="Noto Sans CJK SC"/>
        <family val="2"/>
      </rPr>
      <t>何珮瑩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林宜蒨</t>
    </r>
  </si>
  <si>
    <t>20260118131426010362</t>
  </si>
  <si>
    <t>13:14:26</t>
  </si>
  <si>
    <t>BQ114124</t>
  </si>
  <si>
    <r>
      <rPr>
        <sz val="10"/>
        <rFont val="Noto Sans CJK SC"/>
        <family val="2"/>
      </rPr>
      <t>謝桓宇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謝沁恩</t>
    </r>
  </si>
  <si>
    <t>20260118125102010343</t>
  </si>
  <si>
    <t>12:51:02</t>
  </si>
  <si>
    <t>BQ114013</t>
  </si>
  <si>
    <t>謝昕祐</t>
  </si>
  <si>
    <t>20260117091811010687</t>
  </si>
  <si>
    <t>09:18:11</t>
  </si>
  <si>
    <t>CQ113568</t>
  </si>
  <si>
    <t>陳星霓 陳彥睿</t>
  </si>
  <si>
    <t>20260116212033010259</t>
  </si>
  <si>
    <t>21:20:33</t>
  </si>
  <si>
    <t>BQ114007</t>
  </si>
  <si>
    <t>李偲嘉</t>
  </si>
  <si>
    <t>20260116203748010020</t>
  </si>
  <si>
    <t>20:37:48</t>
  </si>
  <si>
    <t>BQ114166</t>
  </si>
  <si>
    <r>
      <rPr>
        <sz val="10"/>
        <rFont val="Noto Sans CJK SC"/>
        <family val="2"/>
      </rPr>
      <t>賴妍昕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賴語宸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賴盈妡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賴柏俞</t>
    </r>
  </si>
  <si>
    <t>20260116202901010829</t>
  </si>
  <si>
    <t>20:29:01</t>
  </si>
  <si>
    <t>BQ114100</t>
  </si>
  <si>
    <t>李軒毅、黃晨芯</t>
  </si>
  <si>
    <t>20260116195017010501</t>
  </si>
  <si>
    <t>19:50:17</t>
  </si>
  <si>
    <t>AQ113079</t>
  </si>
  <si>
    <t>劉承昆</t>
  </si>
  <si>
    <t>20260116194940010063</t>
  </si>
  <si>
    <t>19:49:40</t>
  </si>
  <si>
    <t>20260116194906010680</t>
  </si>
  <si>
    <t>19:49:06</t>
  </si>
  <si>
    <t>20260116194116010368</t>
  </si>
  <si>
    <t>19:41:16</t>
  </si>
  <si>
    <t>AQ113082</t>
  </si>
  <si>
    <t>劉騏禎 劉嚴⽂</t>
  </si>
  <si>
    <t>20260116194032010282</t>
  </si>
  <si>
    <t>19:40:32</t>
  </si>
  <si>
    <t>20260116193947010847</t>
  </si>
  <si>
    <t>19:39:47</t>
  </si>
  <si>
    <t>20260115215356010124</t>
  </si>
  <si>
    <t>21:53:56</t>
  </si>
  <si>
    <t>BQ114941</t>
  </si>
  <si>
    <t>王冠惟 莊⼼慈劉宸豪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</si>
  <si>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1x9900
6.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1x9900</t>
    </r>
  </si>
  <si>
    <t>20260115214455010337</t>
  </si>
  <si>
    <t>21:44:55</t>
  </si>
  <si>
    <t>BQ114024</t>
  </si>
  <si>
    <r>
      <rPr>
        <sz val="10"/>
        <rFont val="Noto Sans CJK SC"/>
        <family val="2"/>
      </rPr>
      <t>許宥湄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許宥婕</t>
    </r>
  </si>
  <si>
    <t>20260115213723010611</t>
  </si>
  <si>
    <t>21:37:23</t>
  </si>
  <si>
    <t>AQ113334</t>
  </si>
  <si>
    <t>林⼦晴 林芊帆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</si>
  <si>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(50%) 1x10800</t>
    </r>
  </si>
  <si>
    <t>20260115211700010821</t>
  </si>
  <si>
    <t>21:17:00</t>
  </si>
  <si>
    <t>20260115211621010722</t>
  </si>
  <si>
    <t>21:16:21</t>
  </si>
  <si>
    <t>BQ114155</t>
  </si>
  <si>
    <r>
      <rPr>
        <sz val="10"/>
        <rFont val="Noto Sans CJK SC"/>
        <family val="2"/>
      </rPr>
      <t>姜昀希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潘衍丞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陳昱睿</t>
    </r>
  </si>
  <si>
    <t>20260115205828010495</t>
  </si>
  <si>
    <t>20:58:28</t>
  </si>
  <si>
    <t>AQ113343</t>
  </si>
  <si>
    <t>李宥瑄</t>
  </si>
  <si>
    <t>20260115205824010759</t>
  </si>
  <si>
    <t>20:58:24</t>
  </si>
  <si>
    <t>20260115205803010640</t>
  </si>
  <si>
    <t>20:58:03</t>
  </si>
  <si>
    <t>20260115205717010247</t>
  </si>
  <si>
    <t>20:57:17</t>
  </si>
  <si>
    <t>20260115205621010760</t>
  </si>
  <si>
    <t>20:56:21</t>
  </si>
  <si>
    <t>20260115205558010767</t>
  </si>
  <si>
    <t>20:55:58</t>
  </si>
  <si>
    <t>BQ113144</t>
  </si>
  <si>
    <t>許家愷、許翔宥</t>
  </si>
  <si>
    <t>20260115205539010015</t>
  </si>
  <si>
    <t>20:55:39</t>
  </si>
  <si>
    <t>20260115205503010222</t>
  </si>
  <si>
    <t>20:55:03</t>
  </si>
  <si>
    <t>20260115205351010069</t>
  </si>
  <si>
    <t>20:53:51</t>
  </si>
  <si>
    <t>20260115204758010669</t>
  </si>
  <si>
    <t>20:47:58</t>
  </si>
  <si>
    <t>BQ114059</t>
  </si>
  <si>
    <r>
      <rPr>
        <sz val="10"/>
        <rFont val="Noto Sans CJK SC"/>
        <family val="2"/>
      </rPr>
      <t>施鈞傑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⾼佩侑</t>
    </r>
  </si>
  <si>
    <t>20260115203627010477</t>
  </si>
  <si>
    <t>20:36:27</t>
  </si>
  <si>
    <t>20260115184711010779</t>
  </si>
  <si>
    <t>18:47:11</t>
  </si>
  <si>
    <t>CQ113704</t>
  </si>
  <si>
    <t>羅晨墐 羅湘涵</t>
  </si>
  <si>
    <t>20260115174323010111</t>
  </si>
  <si>
    <t>17:43:23</t>
  </si>
  <si>
    <t>CQ117102</t>
  </si>
  <si>
    <t>何啓睿 何宜瑾</t>
  </si>
  <si>
    <t>20260115173924010602</t>
  </si>
  <si>
    <t>17:39:24</t>
  </si>
  <si>
    <t>CQ114382</t>
  </si>
  <si>
    <t>鄭晴瀠 鄭恩宥</t>
  </si>
  <si>
    <t>20260115173743010655</t>
  </si>
  <si>
    <t>17:37:43</t>
  </si>
  <si>
    <t>CQ113346</t>
  </si>
  <si>
    <t>江靜亭</t>
  </si>
  <si>
    <t>20260115173630010099</t>
  </si>
  <si>
    <t>17:36:30</t>
  </si>
  <si>
    <t>CQ113345</t>
  </si>
  <si>
    <t>江靜亭 江鳴蕙</t>
  </si>
  <si>
    <t>20260115171541010910</t>
  </si>
  <si>
    <t>17:15:41</t>
  </si>
  <si>
    <t>20260115171458010730</t>
  </si>
  <si>
    <t>17:14:58</t>
  </si>
  <si>
    <t>CQ115004</t>
  </si>
  <si>
    <t>徐歆恬 郭芮彤</t>
  </si>
  <si>
    <t>20260115170857010782</t>
  </si>
  <si>
    <t>17:08:57</t>
  </si>
  <si>
    <t>20260115170646010173</t>
  </si>
  <si>
    <t>17:06:46</t>
  </si>
  <si>
    <t>CQ114202</t>
  </si>
  <si>
    <t>陳昱勳 陳祺東</t>
  </si>
  <si>
    <t>20260112211043010229</t>
  </si>
  <si>
    <t>21:10:43</t>
  </si>
  <si>
    <t>BQ113167</t>
  </si>
  <si>
    <t>王亮尹</t>
  </si>
  <si>
    <t>20260112210032010801</t>
  </si>
  <si>
    <t>21:00:32</t>
  </si>
  <si>
    <t>20260111121811010181</t>
  </si>
  <si>
    <t>12:18:11</t>
  </si>
  <si>
    <t>20260104102427010187</t>
  </si>
  <si>
    <t>10:24:27</t>
  </si>
  <si>
    <t>20260103161637010120</t>
  </si>
  <si>
    <t>16:16:37</t>
  </si>
  <si>
    <t>20260102182911010003</t>
  </si>
  <si>
    <t>18:29:11</t>
  </si>
  <si>
    <t>20260102182824010771</t>
  </si>
  <si>
    <t>18:28:24</t>
  </si>
  <si>
    <t>20260102163349010282</t>
  </si>
  <si>
    <t>16:33:49</t>
  </si>
  <si>
    <t>20260102152906010225</t>
  </si>
  <si>
    <t>15:29:06</t>
  </si>
  <si>
    <t>AQ113057</t>
  </si>
  <si>
    <t>李宛萍</t>
  </si>
  <si>
    <t>20260102152529010914</t>
  </si>
  <si>
    <t>15:25:29</t>
  </si>
  <si>
    <t>BQ114958</t>
  </si>
  <si>
    <t>章陽中</t>
  </si>
  <si>
    <t>20260102151851010808</t>
  </si>
  <si>
    <t>15:18:51</t>
  </si>
  <si>
    <t>20251231194729010744</t>
  </si>
  <si>
    <t>19:47:29</t>
  </si>
  <si>
    <t>20251231172946010233</t>
  </si>
  <si>
    <t>17:29:46</t>
  </si>
  <si>
    <t>CQ114269</t>
  </si>
  <si>
    <t>廖翌晴</t>
  </si>
  <si>
    <t>20251230171723010421</t>
  </si>
  <si>
    <t>17:17:23</t>
  </si>
  <si>
    <t>20251229163031010355</t>
  </si>
  <si>
    <t>16:30:31</t>
  </si>
  <si>
    <t>20251229162827010545</t>
  </si>
  <si>
    <t>16:28:27</t>
  </si>
  <si>
    <t>20251228100948010808</t>
  </si>
  <si>
    <t>10:09:48</t>
  </si>
  <si>
    <t>20251228100805010259</t>
  </si>
  <si>
    <t>10:08:05</t>
  </si>
  <si>
    <t>20251226182052010471</t>
  </si>
  <si>
    <t>18:20:52</t>
  </si>
  <si>
    <t>CQ114323</t>
  </si>
  <si>
    <t>洪慈蔭</t>
  </si>
  <si>
    <t>20251226154112010334</t>
  </si>
  <si>
    <t>15:41:12</t>
  </si>
  <si>
    <t>20251224172628010834</t>
  </si>
  <si>
    <t>17:26:28</t>
  </si>
  <si>
    <t>CQ114376</t>
  </si>
  <si>
    <t>吳宜娟</t>
  </si>
  <si>
    <t>20251222172004010560</t>
  </si>
  <si>
    <t>17:20:04</t>
  </si>
  <si>
    <t>20251221204850010392</t>
  </si>
  <si>
    <t>20:48:50</t>
  </si>
  <si>
    <t>20251221193610010332</t>
  </si>
  <si>
    <t>19:36:10</t>
  </si>
  <si>
    <t>20251221162438010305</t>
  </si>
  <si>
    <t>16:24:38</t>
  </si>
  <si>
    <t>20251221083937010121</t>
  </si>
  <si>
    <t>08:39:37</t>
  </si>
  <si>
    <t>20251221083455010147</t>
  </si>
  <si>
    <t>08:34:55</t>
  </si>
  <si>
    <t>CQ114381</t>
  </si>
  <si>
    <t>李以樂</t>
  </si>
  <si>
    <t>20251220173015010546</t>
  </si>
  <si>
    <t>17:30:15</t>
  </si>
  <si>
    <t>20251218211034010098</t>
  </si>
  <si>
    <t>21:10:34</t>
  </si>
  <si>
    <t>BQ114172</t>
  </si>
  <si>
    <r>
      <rPr>
        <sz val="10"/>
        <rFont val="Noto Sans CJK SC"/>
        <family val="2"/>
      </rPr>
      <t>⽩欣穎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周佳樂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周芯⾙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周孜禮</t>
    </r>
  </si>
  <si>
    <t>20251218210439010604</t>
  </si>
  <si>
    <t>21:04:39</t>
  </si>
  <si>
    <t>20251216201148010609</t>
  </si>
  <si>
    <t>20:11:48</t>
  </si>
  <si>
    <t>AQ1140805</t>
  </si>
  <si>
    <t>游⾀宸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</si>
  <si>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(50%) 1x9000</t>
    </r>
  </si>
  <si>
    <t>20251216194338010926</t>
  </si>
  <si>
    <t>19:43:38</t>
  </si>
  <si>
    <t>BQ113231</t>
  </si>
  <si>
    <r>
      <rPr>
        <sz val="10"/>
        <rFont val="Noto Sans CJK SC"/>
        <family val="2"/>
      </rPr>
      <t>許晏紳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許馥薇</t>
    </r>
  </si>
  <si>
    <t>20251216194154010220</t>
  </si>
  <si>
    <t>19:41:54</t>
  </si>
  <si>
    <t>20251216194027010611</t>
  </si>
  <si>
    <t>19:40:27</t>
  </si>
  <si>
    <t>20251216193929010241</t>
  </si>
  <si>
    <t>19:39:29</t>
  </si>
  <si>
    <t>20251216192507010169</t>
  </si>
  <si>
    <t>19:25:07</t>
  </si>
  <si>
    <t>20251216192420010750</t>
  </si>
  <si>
    <t>19:24:20</t>
  </si>
  <si>
    <t>20251216192303010950</t>
  </si>
  <si>
    <t>19:23:03</t>
  </si>
  <si>
    <t>AQ114002</t>
  </si>
  <si>
    <t>李采玹</t>
  </si>
  <si>
    <t>20251216192037010264</t>
  </si>
  <si>
    <t>19:20:37</t>
  </si>
  <si>
    <t>20251216191543010238</t>
  </si>
  <si>
    <t>19:15:43</t>
  </si>
  <si>
    <t>20251216191429010625</t>
  </si>
  <si>
    <t>19:14:29</t>
  </si>
  <si>
    <t>20251216190928010776</t>
  </si>
  <si>
    <t>19:09:28</t>
  </si>
  <si>
    <t>20251216190804010110</t>
  </si>
  <si>
    <t>19:08:04</t>
  </si>
  <si>
    <t>20251213092910010201</t>
  </si>
  <si>
    <t>09:29:10</t>
  </si>
  <si>
    <t>CQ114311</t>
  </si>
  <si>
    <t>邱恬葳、黃晨愷、林楷翔</t>
  </si>
  <si>
    <t>20251212172742010755</t>
  </si>
  <si>
    <t>17:27:42</t>
  </si>
  <si>
    <t>20251212172019010680</t>
  </si>
  <si>
    <t>17:20:19</t>
  </si>
  <si>
    <t>CQ114225</t>
  </si>
  <si>
    <t>張皓鈞 王承安</t>
  </si>
  <si>
    <t>20251211174047010514</t>
  </si>
  <si>
    <t>17:40:47</t>
  </si>
  <si>
    <t>AQ113312</t>
  </si>
  <si>
    <t>楊卓源、楊禮源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</si>
  <si>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6.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(50%) 1x10800</t>
    </r>
  </si>
  <si>
    <t>20251211172746010405</t>
  </si>
  <si>
    <t>17:27:46</t>
  </si>
  <si>
    <t>AQ113102</t>
  </si>
  <si>
    <t>李綰菲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</si>
  <si>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(50%) 1x9000</t>
    </r>
  </si>
  <si>
    <t>20251211171648010276</t>
  </si>
  <si>
    <t>17:16:48</t>
  </si>
  <si>
    <t>AQ112530</t>
  </si>
  <si>
    <t>詹加靖 詹加右</t>
  </si>
  <si>
    <t>20251211164511010009</t>
  </si>
  <si>
    <t>16:45:11</t>
  </si>
  <si>
    <t>AQ114112</t>
  </si>
  <si>
    <t>陳雅雯</t>
  </si>
  <si>
    <t>20251210192718010332</t>
  </si>
  <si>
    <t>19:27:18</t>
  </si>
  <si>
    <t>20251210191902010356</t>
  </si>
  <si>
    <t>19:19:02</t>
  </si>
  <si>
    <t>20251210185048010606</t>
  </si>
  <si>
    <t>18:50:48</t>
  </si>
  <si>
    <t>20251209184713010726</t>
  </si>
  <si>
    <t>18:47:13</t>
  </si>
  <si>
    <t>20251209184209010566</t>
  </si>
  <si>
    <t>18:42:09</t>
  </si>
  <si>
    <t>20251208174327010271</t>
  </si>
  <si>
    <t>17:43:27</t>
  </si>
  <si>
    <t>20251208173831010785</t>
  </si>
  <si>
    <t>17:38:31</t>
  </si>
  <si>
    <t>20251206152847010658</t>
  </si>
  <si>
    <t>15:28:47</t>
  </si>
  <si>
    <t>20251202164825010623</t>
  </si>
  <si>
    <t>16:48:25</t>
  </si>
  <si>
    <t>20251126203805010679</t>
  </si>
  <si>
    <t>20:38:05</t>
  </si>
  <si>
    <t>20251126185806010230</t>
  </si>
  <si>
    <t>18:58:06</t>
  </si>
  <si>
    <t>AQ1140990</t>
  </si>
  <si>
    <r>
      <rPr>
        <sz val="10"/>
        <rFont val="Noto Sans CJK SC"/>
        <family val="2"/>
      </rPr>
      <t>蕭予辰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蕭宇佟</t>
    </r>
  </si>
  <si>
    <t>20251126185317010759</t>
  </si>
  <si>
    <t>18:53:17</t>
  </si>
  <si>
    <t>20251126183749010851</t>
  </si>
  <si>
    <t>18:37:49</t>
  </si>
  <si>
    <t>AQ1140822</t>
  </si>
  <si>
    <t>廖宥綺 劉倩宇</t>
  </si>
  <si>
    <t>20251126183640010924</t>
  </si>
  <si>
    <t>18:36:40</t>
  </si>
  <si>
    <t>20251125170717010101</t>
  </si>
  <si>
    <t>17:07:17</t>
  </si>
  <si>
    <t>BQ114052</t>
  </si>
  <si>
    <r>
      <rPr>
        <sz val="10"/>
        <rFont val="Noto Sans CJK SC"/>
        <family val="2"/>
      </rPr>
      <t>吳尚恩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呂妍萱</t>
    </r>
  </si>
  <si>
    <t>20251122084841010552</t>
  </si>
  <si>
    <t>08:48:41</t>
  </si>
  <si>
    <t>AQ1131114</t>
  </si>
  <si>
    <t>呂庭攸 呂彥錞</t>
  </si>
  <si>
    <t>20251122084711010465</t>
  </si>
  <si>
    <t>08:47:11</t>
  </si>
  <si>
    <t>20251122084603010291</t>
  </si>
  <si>
    <t>08:46:03</t>
  </si>
  <si>
    <t>20251121164225010270</t>
  </si>
  <si>
    <t>16:42:25</t>
  </si>
  <si>
    <t>20251121163532010562</t>
  </si>
  <si>
    <t>16:35:32</t>
  </si>
  <si>
    <t>BQ113407</t>
  </si>
  <si>
    <t>余姵穎</t>
  </si>
  <si>
    <t>20251120192159010326</t>
  </si>
  <si>
    <t>19:21:59</t>
  </si>
  <si>
    <t>CQ114229</t>
  </si>
  <si>
    <t>林秋睿 李佳萱林秉均</t>
  </si>
  <si>
    <t>20251120191036010078</t>
  </si>
  <si>
    <t>19:10:36</t>
  </si>
  <si>
    <t>20251119201256010589</t>
  </si>
  <si>
    <t>20:12:56</t>
  </si>
  <si>
    <t>20251119201223010439</t>
  </si>
  <si>
    <t>20:12:23</t>
  </si>
  <si>
    <t>20251116110225010705</t>
  </si>
  <si>
    <t>11:02:25</t>
  </si>
  <si>
    <t>AQ113049</t>
  </si>
  <si>
    <t>洪苡溱</t>
  </si>
  <si>
    <t>20251116105808010889</t>
  </si>
  <si>
    <t>10:58:08</t>
  </si>
  <si>
    <t>20251115155159010730</t>
  </si>
  <si>
    <t>15:51:59</t>
  </si>
  <si>
    <t>20251115144935011449</t>
  </si>
  <si>
    <t>14:49:35</t>
  </si>
  <si>
    <t>20251114181720010692</t>
  </si>
  <si>
    <t>18:17:20</t>
  </si>
  <si>
    <t>20251114164116010296</t>
  </si>
  <si>
    <t>16:41:16</t>
  </si>
  <si>
    <t>20251114163149010067</t>
  </si>
  <si>
    <t>16:31:49</t>
  </si>
  <si>
    <t>20251114161908010922</t>
  </si>
  <si>
    <t>16:19:08</t>
  </si>
  <si>
    <t>20251114142539010678</t>
  </si>
  <si>
    <t>14:25:39</t>
  </si>
  <si>
    <t>CQ114324</t>
  </si>
  <si>
    <t>郭語恩</t>
  </si>
  <si>
    <t>20251114142500010069</t>
  </si>
  <si>
    <t>14:25:00</t>
  </si>
  <si>
    <t>20251112204559010368</t>
  </si>
  <si>
    <t>20:45:59</t>
  </si>
  <si>
    <t>20251112202606010374</t>
  </si>
  <si>
    <t>20:26:06</t>
  </si>
  <si>
    <t>20251112202009010677</t>
  </si>
  <si>
    <t>20:20:09</t>
  </si>
  <si>
    <t>BQ114174</t>
  </si>
  <si>
    <t>許家褘</t>
  </si>
  <si>
    <t>20251112201113010170</t>
  </si>
  <si>
    <t>20:11:13</t>
  </si>
  <si>
    <t>BQ113412</t>
  </si>
  <si>
    <r>
      <rPr>
        <sz val="10"/>
        <rFont val="Noto Sans CJK SC"/>
        <family val="2"/>
      </rPr>
      <t>賴楷勝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賴楷翔</t>
    </r>
  </si>
  <si>
    <t>20251112195718010154</t>
  </si>
  <si>
    <t>19:57:18</t>
  </si>
  <si>
    <t>20251112194551010703</t>
  </si>
  <si>
    <t>19:45:51</t>
  </si>
  <si>
    <t>BQ114165</t>
  </si>
  <si>
    <t>林佳琳</t>
  </si>
  <si>
    <t>20251112194401010847</t>
  </si>
  <si>
    <t>19:44:01</t>
  </si>
  <si>
    <t>BQ114173</t>
  </si>
  <si>
    <t>董詠翔 許荃蔓</t>
  </si>
  <si>
    <t>20251112191716010971</t>
  </si>
  <si>
    <t>19:17:16</t>
  </si>
  <si>
    <t>CQ114231</t>
  </si>
  <si>
    <r>
      <rPr>
        <sz val="10"/>
        <rFont val="Noto Sans CJK SC"/>
        <family val="2"/>
      </rPr>
      <t>李恒亦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鍾亦涵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鍾昊軒</t>
    </r>
  </si>
  <si>
    <t>20251112191620010653</t>
  </si>
  <si>
    <t>19:16:20</t>
  </si>
  <si>
    <t>CQ114254</t>
  </si>
  <si>
    <r>
      <rPr>
        <sz val="10"/>
        <rFont val="Noto Sans CJK SC"/>
        <family val="2"/>
      </rPr>
      <t>李采芯</t>
    </r>
    <r>
      <rPr>
        <sz val="10"/>
        <rFont val="Microsoft JhengHei"/>
        <family val="2"/>
        <charset val="136"/>
      </rPr>
      <t xml:space="preserve">. </t>
    </r>
    <r>
      <rPr>
        <sz val="10"/>
        <rFont val="Noto Sans CJK SC"/>
        <family val="2"/>
      </rPr>
      <t>翁⼦甯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翁識允</t>
    </r>
  </si>
  <si>
    <t>20251112191545010579</t>
  </si>
  <si>
    <t>19:15:45</t>
  </si>
  <si>
    <t>CQ11478</t>
  </si>
  <si>
    <t>吳品翰 吳映璇蔡芳怡</t>
  </si>
  <si>
    <t>20251112191503010047</t>
  </si>
  <si>
    <t>19:15:03</t>
  </si>
  <si>
    <t>20251112191346010621</t>
  </si>
  <si>
    <t>19:13:46</t>
  </si>
  <si>
    <t>CQ114357</t>
  </si>
  <si>
    <t>林敬勳</t>
  </si>
  <si>
    <t>20251112191158010100</t>
  </si>
  <si>
    <t>20251112191120010078</t>
  </si>
  <si>
    <t>19:11:20</t>
  </si>
  <si>
    <t>20251112191040010066</t>
  </si>
  <si>
    <t>19:10:40</t>
  </si>
  <si>
    <t>AQ1140717</t>
  </si>
  <si>
    <t>趙⼦翊 趙沛縈</t>
  </si>
  <si>
    <t>20251112191000010769</t>
  </si>
  <si>
    <t>19:10:00</t>
  </si>
  <si>
    <t>20251110195416010200</t>
  </si>
  <si>
    <t>19:54:16</t>
  </si>
  <si>
    <t>20251110194757010389</t>
  </si>
  <si>
    <t>19:47:57</t>
  </si>
  <si>
    <t>20251110192251010180</t>
  </si>
  <si>
    <t>19:22:51</t>
  </si>
  <si>
    <t>20251110175336010217</t>
  </si>
  <si>
    <t>17:53:36</t>
  </si>
  <si>
    <t>20251108113118011043</t>
  </si>
  <si>
    <t>11:31:18</t>
  </si>
  <si>
    <t>AQ1141108</t>
  </si>
  <si>
    <t>陳宥博 黃⾀緯</t>
  </si>
  <si>
    <t>20251108091929010393</t>
  </si>
  <si>
    <t>09:19:29</t>
  </si>
  <si>
    <t>20251108091810010635</t>
  </si>
  <si>
    <t>09:18:10</t>
  </si>
  <si>
    <t>20251106155307010977</t>
  </si>
  <si>
    <t>15:53:07</t>
  </si>
  <si>
    <t>20251105180118010980</t>
  </si>
  <si>
    <t>18:01:18</t>
  </si>
  <si>
    <t>CQ113471</t>
  </si>
  <si>
    <t>張智傑 張喬臻</t>
  </si>
  <si>
    <t>20251105175629010518</t>
  </si>
  <si>
    <t>17:56:29</t>
  </si>
  <si>
    <t>20251105174803010650</t>
  </si>
  <si>
    <t>17:48:03</t>
  </si>
  <si>
    <t>CQ114214</t>
  </si>
  <si>
    <t>吳宥嫻 吳晞⽞</t>
  </si>
  <si>
    <t>20251105174144010422</t>
  </si>
  <si>
    <t>17:41:44</t>
  </si>
  <si>
    <t>CQ114217</t>
  </si>
  <si>
    <t>林致宇</t>
  </si>
  <si>
    <t>20251102151106010254</t>
  </si>
  <si>
    <t>15:11:06</t>
  </si>
  <si>
    <t>20251102142503010990</t>
  </si>
  <si>
    <t>14:25:03</t>
  </si>
  <si>
    <t>20251102120153010102</t>
  </si>
  <si>
    <t>12:01:53</t>
  </si>
  <si>
    <t>20251102114458010054</t>
  </si>
  <si>
    <t>11:44:58</t>
  </si>
  <si>
    <t>20251102113558010357</t>
  </si>
  <si>
    <t>11:35:58</t>
  </si>
  <si>
    <t>BQ114023</t>
  </si>
  <si>
    <t>盧嬑瑩</t>
  </si>
  <si>
    <t>20251102112800010887</t>
  </si>
  <si>
    <t>11:28:00</t>
  </si>
  <si>
    <t>20251102110835010066</t>
  </si>
  <si>
    <t>11:08:35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</si>
  <si>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(20%) 1x14400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(20%) 1x11880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(20%) 1x11880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(20%) 1x11880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(20%) 1x14400</t>
    </r>
  </si>
  <si>
    <t>20251031205554010979</t>
  </si>
  <si>
    <t>20:55:54</t>
  </si>
  <si>
    <t>20251031160222010124</t>
  </si>
  <si>
    <t>16:02:22</t>
  </si>
  <si>
    <t>20251030201903010419</t>
  </si>
  <si>
    <t>20:19:03</t>
  </si>
  <si>
    <t>20251029191626010757</t>
  </si>
  <si>
    <t>19:16:26</t>
  </si>
  <si>
    <t>20251029191135010701</t>
  </si>
  <si>
    <t>19:11:35</t>
  </si>
  <si>
    <t>20251029190451010231</t>
  </si>
  <si>
    <t>19:04:51</t>
  </si>
  <si>
    <t>20251029182237010998</t>
  </si>
  <si>
    <t>18:22:37</t>
  </si>
  <si>
    <t>20251029181116010661</t>
  </si>
  <si>
    <t>18:11:16</t>
  </si>
  <si>
    <t>20251026112040010933</t>
  </si>
  <si>
    <t>11:20:40</t>
  </si>
  <si>
    <t>CQ114345</t>
  </si>
  <si>
    <t>王俞云</t>
  </si>
  <si>
    <t>20251026111304010404</t>
  </si>
  <si>
    <t>11:13:04</t>
  </si>
  <si>
    <t>20251026110622010375</t>
  </si>
  <si>
    <t>11:06:22</t>
  </si>
  <si>
    <t>20251026104310010840</t>
  </si>
  <si>
    <t>10:43:10</t>
  </si>
  <si>
    <t>BQ114945</t>
  </si>
  <si>
    <r>
      <rPr>
        <sz val="10"/>
        <rFont val="Noto Sans CJK SC"/>
        <family val="2"/>
      </rPr>
      <t>廖芝瑩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洪千惠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林蕙</t>
    </r>
  </si>
  <si>
    <t>20251024202913010374</t>
  </si>
  <si>
    <t>20:29:13</t>
  </si>
  <si>
    <t>20251024171012010473</t>
  </si>
  <si>
    <t>17:10:12</t>
  </si>
  <si>
    <t>AQ1141023</t>
  </si>
  <si>
    <t>黃翠容</t>
  </si>
  <si>
    <t>20251022204104010852</t>
  </si>
  <si>
    <t>20:41:04</t>
  </si>
  <si>
    <t>20251021190316010964</t>
  </si>
  <si>
    <t>19:03:16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</si>
  <si>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【試上】家教</t>
    </r>
    <r>
      <rPr>
        <sz val="10"/>
        <rFont val="Microsoft JhengHei"/>
        <family val="2"/>
        <charset val="136"/>
      </rPr>
      <t>1vs4 1x2000</t>
    </r>
  </si>
  <si>
    <t>20251021173919010462</t>
  </si>
  <si>
    <t>17:39:19</t>
  </si>
  <si>
    <t>BQ114944</t>
  </si>
  <si>
    <t>林俊瀚</t>
  </si>
  <si>
    <t>20251021173553010883</t>
  </si>
  <si>
    <t>17:35:53</t>
  </si>
  <si>
    <t>BQ114943</t>
  </si>
  <si>
    <t>陳妍⽻</t>
  </si>
  <si>
    <t>20251021161028010197</t>
  </si>
  <si>
    <t>16:10:28</t>
  </si>
  <si>
    <t>20251021151638010489</t>
  </si>
  <si>
    <t>15:16:38</t>
  </si>
  <si>
    <t>20251021142104010368</t>
  </si>
  <si>
    <t>14:21:04</t>
  </si>
  <si>
    <t>CQ114341</t>
  </si>
  <si>
    <t>林郅伭 林亞霓</t>
  </si>
  <si>
    <t>20251020171013010825</t>
  </si>
  <si>
    <t>17:10:13</t>
  </si>
  <si>
    <t>AQ1140706</t>
  </si>
  <si>
    <r>
      <rPr>
        <sz val="10"/>
        <rFont val="Noto Sans CJK SC"/>
        <family val="2"/>
      </rPr>
      <t>粘建凱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粘⼦紳</t>
    </r>
  </si>
  <si>
    <t>20251020170436010622</t>
  </si>
  <si>
    <t>17:04:36</t>
  </si>
  <si>
    <t>20251020170205010921</t>
  </si>
  <si>
    <t>17:02:05</t>
  </si>
  <si>
    <t>BQ114938</t>
  </si>
  <si>
    <r>
      <rPr>
        <sz val="10"/>
        <rFont val="Noto Sans CJK SC"/>
        <family val="2"/>
      </rPr>
      <t>林裕淮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林晉慶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林恩霈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鄒采妍</t>
    </r>
  </si>
  <si>
    <t>20251019192457010563</t>
  </si>
  <si>
    <t>19:24:57</t>
  </si>
  <si>
    <t>20251019154105010853</t>
  </si>
  <si>
    <t>15:41:05</t>
  </si>
  <si>
    <t>BQ114940</t>
  </si>
  <si>
    <t>張天輔</t>
  </si>
  <si>
    <t>20251019111323010641</t>
  </si>
  <si>
    <t>11:13:23</t>
  </si>
  <si>
    <t>BQ114939</t>
  </si>
  <si>
    <r>
      <rPr>
        <sz val="10"/>
        <rFont val="Noto Sans CJK SC"/>
        <family val="2"/>
      </rPr>
      <t>鄭伊恩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楊哲嘉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陳右安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黃妍寧</t>
    </r>
  </si>
  <si>
    <t>20251019103010010029</t>
  </si>
  <si>
    <t>10:30:10</t>
  </si>
  <si>
    <t>AQ113066</t>
  </si>
  <si>
    <t>廖家瑩、廖恩瑩</t>
  </si>
  <si>
    <t>20251019101410010975</t>
  </si>
  <si>
    <t>10:14:10</t>
  </si>
  <si>
    <t>20251018161652010715</t>
  </si>
  <si>
    <t>16:16:52</t>
  </si>
  <si>
    <t>20251018134603010151</t>
  </si>
  <si>
    <t>13:46:03</t>
  </si>
  <si>
    <t>20251018121518010399</t>
  </si>
  <si>
    <t>12:15:18</t>
  </si>
  <si>
    <t>BQ114937</t>
  </si>
  <si>
    <r>
      <rPr>
        <sz val="10"/>
        <rFont val="Noto Sans CJK SC"/>
        <family val="2"/>
      </rPr>
      <t>蔡艾秢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王寀瑧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鄒芷妍</t>
    </r>
  </si>
  <si>
    <t>20251017204525010317</t>
  </si>
  <si>
    <t>20:45:25</t>
  </si>
  <si>
    <t>20251017193341010622</t>
  </si>
  <si>
    <t>19:33:41</t>
  </si>
  <si>
    <t>AQ113326</t>
  </si>
  <si>
    <t>林昕嬡 林侑廷</t>
  </si>
  <si>
    <t>20251017192742010233</t>
  </si>
  <si>
    <t>19:27:42</t>
  </si>
  <si>
    <t>AQ113399</t>
  </si>
  <si>
    <r>
      <rPr>
        <sz val="10"/>
        <rFont val="Noto Sans CJK SC"/>
        <family val="2"/>
      </rPr>
      <t>林典嬡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林加叡</t>
    </r>
  </si>
  <si>
    <t>20251017174124010078</t>
  </si>
  <si>
    <t>17:41:24</t>
  </si>
  <si>
    <t>20251017173819010377</t>
  </si>
  <si>
    <t>17:38:19</t>
  </si>
  <si>
    <t>CQ114220</t>
  </si>
  <si>
    <t>涂瑩暄、謝可稘、許采寧</t>
  </si>
  <si>
    <t>20251017173543010196</t>
  </si>
  <si>
    <t>17:35:43</t>
  </si>
  <si>
    <t>20251017173347010192</t>
  </si>
  <si>
    <t>17:33:47</t>
  </si>
  <si>
    <t>20251017173158010254</t>
  </si>
  <si>
    <t>17:31:58</t>
  </si>
  <si>
    <t>20251017173039010615</t>
  </si>
  <si>
    <t>17:30:39</t>
  </si>
  <si>
    <t>CQ113715</t>
  </si>
  <si>
    <t>吳芮昕 羅晨墐</t>
  </si>
  <si>
    <t>20251017172451010286</t>
  </si>
  <si>
    <t>17:24:51</t>
  </si>
  <si>
    <t>20251017133148010496</t>
  </si>
  <si>
    <t>13:31:48</t>
  </si>
  <si>
    <t>CQ1140013</t>
  </si>
  <si>
    <r>
      <rPr>
        <sz val="10"/>
        <rFont val="Noto Sans CJK SC"/>
        <family val="2"/>
      </rPr>
      <t>鄭光志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鄭⽻芮</t>
    </r>
  </si>
  <si>
    <t>20251014195805010227</t>
  </si>
  <si>
    <t>19:58:05</t>
  </si>
  <si>
    <t>20251012183220010546</t>
  </si>
  <si>
    <t>18:32:20</t>
  </si>
  <si>
    <t>AQ114155</t>
  </si>
  <si>
    <t>盧軒宇</t>
  </si>
  <si>
    <t>20251012142045010739</t>
  </si>
  <si>
    <t>14:20:45</t>
  </si>
  <si>
    <t>CQ114331</t>
  </si>
  <si>
    <t>蔡宗和 蔡旻叡</t>
  </si>
  <si>
    <t>20251012141741010909</t>
  </si>
  <si>
    <t>14:17:41</t>
  </si>
  <si>
    <t>20251012141455010476</t>
  </si>
  <si>
    <t>14:14:55</t>
  </si>
  <si>
    <t>CQ114085</t>
  </si>
  <si>
    <t>劉彧志 劉宇翔</t>
  </si>
  <si>
    <t>20251012141256010418</t>
  </si>
  <si>
    <t>14:12:56</t>
  </si>
  <si>
    <t>20251012140714010172</t>
  </si>
  <si>
    <t>14:07:14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</si>
  <si>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(20%) 1x14400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(20%) 1x14400</t>
    </r>
  </si>
  <si>
    <t>20251012101711010070</t>
  </si>
  <si>
    <t>10:17:11</t>
  </si>
  <si>
    <t>CQ114327</t>
  </si>
  <si>
    <t>王⼼妍 王浩凱</t>
  </si>
  <si>
    <t>20251011112738010499</t>
  </si>
  <si>
    <t>11:27:38</t>
  </si>
  <si>
    <t>20251011111643010814</t>
  </si>
  <si>
    <t>11:16:43</t>
  </si>
  <si>
    <t>20251009180031010327</t>
  </si>
  <si>
    <t>18:00:31</t>
  </si>
  <si>
    <t>20251008215055010345</t>
  </si>
  <si>
    <t>21:50:55</t>
  </si>
  <si>
    <t>20251008214521010476</t>
  </si>
  <si>
    <t>21:45:21</t>
  </si>
  <si>
    <t>20251008214254010343</t>
  </si>
  <si>
    <t>21:42:54</t>
  </si>
  <si>
    <t>20251008213405010809</t>
  </si>
  <si>
    <t>21:34:05</t>
  </si>
  <si>
    <t>20251008211548010677</t>
  </si>
  <si>
    <t>21:15:48</t>
  </si>
  <si>
    <t>BQ114933</t>
  </si>
  <si>
    <r>
      <rPr>
        <sz val="10"/>
        <rFont val="Noto Sans CJK SC"/>
        <family val="2"/>
      </rPr>
      <t>許宸嫣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許宸禎</t>
    </r>
  </si>
  <si>
    <t>20251008210839010230</t>
  </si>
  <si>
    <t>21:08:39</t>
  </si>
  <si>
    <t>BQ114932</t>
  </si>
  <si>
    <r>
      <rPr>
        <sz val="10"/>
        <rFont val="Noto Sans CJK SC"/>
        <family val="2"/>
      </rPr>
      <t>蔡知妍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蔡佳妤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林玧霏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林潔依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林湘芸</t>
    </r>
  </si>
  <si>
    <t>20251008183035010774</t>
  </si>
  <si>
    <t>18:30:35</t>
  </si>
  <si>
    <t>20251008173637010821</t>
  </si>
  <si>
    <t>17:36:37</t>
  </si>
  <si>
    <t>BQ114931</t>
  </si>
  <si>
    <t>林岐玲</t>
  </si>
  <si>
    <t>20251008162214010350</t>
  </si>
  <si>
    <t>16:22:14</t>
  </si>
  <si>
    <t>20251005095851010144</t>
  </si>
  <si>
    <t>09:58:51</t>
  </si>
  <si>
    <t>AQ113215</t>
  </si>
  <si>
    <t>鐘昀芯 鐘秉燁</t>
  </si>
  <si>
    <t>20251004150006010818</t>
  </si>
  <si>
    <t>15:00:06</t>
  </si>
  <si>
    <t>CQ114322</t>
  </si>
  <si>
    <t>林勁學</t>
  </si>
  <si>
    <t>20251004104822010922</t>
  </si>
  <si>
    <t>10:48:22</t>
  </si>
  <si>
    <t>AQ114051</t>
  </si>
  <si>
    <t>林世偉 林豊軒林豊翔</t>
  </si>
  <si>
    <t>20251004104650010009</t>
  </si>
  <si>
    <t>10:46:50</t>
  </si>
  <si>
    <t>20251004103157010267</t>
  </si>
  <si>
    <t>10:31:57</t>
  </si>
  <si>
    <t>20251004091854010994</t>
  </si>
  <si>
    <t>09:18:54</t>
  </si>
  <si>
    <t>20251004090640010408</t>
  </si>
  <si>
    <t>09:06:40</t>
  </si>
  <si>
    <t>20251002184659010874</t>
  </si>
  <si>
    <t>18:46:59</t>
  </si>
  <si>
    <t>CQ114321</t>
  </si>
  <si>
    <t>⽅睿德 ⽅睿逸李泑盤 鍾叡澤</t>
  </si>
  <si>
    <t>20251002182754010234</t>
  </si>
  <si>
    <t>18:27:54</t>
  </si>
  <si>
    <t>20251002182223010556</t>
  </si>
  <si>
    <t>18:22:23</t>
  </si>
  <si>
    <t>20251002170816010549</t>
  </si>
  <si>
    <t>17:08:16</t>
  </si>
  <si>
    <t>BQ114929</t>
  </si>
  <si>
    <t>郭家汝 陳瑞彤</t>
  </si>
  <si>
    <t>20251001190808010912</t>
  </si>
  <si>
    <t>19:08:08</t>
  </si>
  <si>
    <t>BQ114922</t>
  </si>
  <si>
    <t>王嘉豪</t>
  </si>
  <si>
    <t>20250930205610010220</t>
  </si>
  <si>
    <t>20:56:10</t>
  </si>
  <si>
    <t>20250929190320010372</t>
  </si>
  <si>
    <t>19:03:20</t>
  </si>
  <si>
    <t>20250929190003010254</t>
  </si>
  <si>
    <t>19:00:03</t>
  </si>
  <si>
    <t>20250929184612010142</t>
  </si>
  <si>
    <t>18:46:12</t>
  </si>
  <si>
    <t>BQ114175</t>
  </si>
  <si>
    <t>謝惠淳</t>
  </si>
  <si>
    <t>20250929183914010649</t>
  </si>
  <si>
    <t>18:39:14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</si>
  <si>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2. </t>
    </r>
    <r>
      <rPr>
        <sz val="10"/>
        <rFont val="Noto Sans CJK SC"/>
        <family val="2"/>
      </rPr>
      <t>【試上】家教</t>
    </r>
    <r>
      <rPr>
        <sz val="10"/>
        <rFont val="Microsoft JhengHei"/>
        <family val="2"/>
        <charset val="136"/>
      </rPr>
      <t>1VS1 1x1200</t>
    </r>
  </si>
  <si>
    <t>20250929183420010619</t>
  </si>
  <si>
    <t>18:34:20</t>
  </si>
  <si>
    <t>BQ114926</t>
  </si>
  <si>
    <t>何昀夏 何芸舞</t>
  </si>
  <si>
    <t>20250929182904010475</t>
  </si>
  <si>
    <t>18:29:04</t>
  </si>
  <si>
    <t>20250929164336010631</t>
  </si>
  <si>
    <t>16:43:36</t>
  </si>
  <si>
    <t>BQ114925</t>
  </si>
  <si>
    <t>黃素芬 馮素貞</t>
  </si>
  <si>
    <t>20250929145754010336</t>
  </si>
  <si>
    <t>14:57:54</t>
  </si>
  <si>
    <t>20250929144154010375</t>
  </si>
  <si>
    <t>14:41:54</t>
  </si>
  <si>
    <t>20250927155235010584</t>
  </si>
  <si>
    <t>15:52:35</t>
  </si>
  <si>
    <t>20250927142252010144</t>
  </si>
  <si>
    <t>14:22:52</t>
  </si>
  <si>
    <t>BQ113256</t>
  </si>
  <si>
    <r>
      <rPr>
        <sz val="10"/>
        <rFont val="Noto Sans CJK SC"/>
        <family val="2"/>
      </rPr>
      <t>邱之弘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邱安喬</t>
    </r>
  </si>
  <si>
    <t>20250927141337010805</t>
  </si>
  <si>
    <t>14:13:37</t>
  </si>
  <si>
    <t>BQ114713</t>
  </si>
  <si>
    <t>胡詩郁</t>
  </si>
  <si>
    <t>20250927140342010875</t>
  </si>
  <si>
    <t>14:03:42</t>
  </si>
  <si>
    <t>BQ114924</t>
  </si>
  <si>
    <t>李芷瑜</t>
  </si>
  <si>
    <t>20250927131727010244</t>
  </si>
  <si>
    <t>13:17:27</t>
  </si>
  <si>
    <t>CQ114317</t>
  </si>
  <si>
    <t>賀千毓 姚傑仁姚品宏</t>
  </si>
  <si>
    <t>20250927123305010720</t>
  </si>
  <si>
    <t>12:33:05</t>
  </si>
  <si>
    <t>CQ113316</t>
  </si>
  <si>
    <t>陳榆奇 陳汨檍</t>
  </si>
  <si>
    <t>20250925170813010052</t>
  </si>
  <si>
    <t>17:08:13</t>
  </si>
  <si>
    <t>BQ114923</t>
  </si>
  <si>
    <t>柳憲章</t>
  </si>
  <si>
    <t>20250924192513010355</t>
  </si>
  <si>
    <t>19:25:13</t>
  </si>
  <si>
    <t>20250923172424010817</t>
  </si>
  <si>
    <t>17:24:24</t>
  </si>
  <si>
    <t>20250922163122010334</t>
  </si>
  <si>
    <t>16:31:22</t>
  </si>
  <si>
    <t>20250922101034010799</t>
  </si>
  <si>
    <t>10:10:34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</si>
  <si>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【試上】家教</t>
    </r>
    <r>
      <rPr>
        <sz val="10"/>
        <rFont val="Microsoft JhengHei"/>
        <family val="2"/>
        <charset val="136"/>
      </rPr>
      <t xml:space="preserve">1VS1 1x1200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>1x6900</t>
    </r>
  </si>
  <si>
    <t>20250921175315010276</t>
  </si>
  <si>
    <t>17:53:15</t>
  </si>
  <si>
    <t>20250921105603010427</t>
  </si>
  <si>
    <t>10:56:03</t>
  </si>
  <si>
    <t>AQ113300</t>
  </si>
  <si>
    <t>翁藝榛、翁薪程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</si>
  <si>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1x7500</t>
    </r>
  </si>
  <si>
    <t>20250921091708010566</t>
  </si>
  <si>
    <t>09:17:08</t>
  </si>
  <si>
    <t>20250920171504010108</t>
  </si>
  <si>
    <t>17:15:04</t>
  </si>
  <si>
    <t>CQ114109</t>
  </si>
  <si>
    <t>許立紘 曾懷萱楊千瑩</t>
  </si>
  <si>
    <t>20250920151145010368</t>
  </si>
  <si>
    <t>15:11:45</t>
  </si>
  <si>
    <t>CQ114312</t>
  </si>
  <si>
    <r>
      <rPr>
        <sz val="10"/>
        <rFont val="Noto Sans CJK SC"/>
        <family val="2"/>
      </rPr>
      <t>梁庭瑋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何沛澄</t>
    </r>
  </si>
  <si>
    <t>20250920143003010838</t>
  </si>
  <si>
    <t>14:30:03</t>
  </si>
  <si>
    <t>20250920130808010806</t>
  </si>
  <si>
    <t>13:08:08</t>
  </si>
  <si>
    <t>CQ113711</t>
  </si>
  <si>
    <t>林芷妍 林勁學</t>
  </si>
  <si>
    <t>20250920103226010759</t>
  </si>
  <si>
    <t>10:32:26</t>
  </si>
  <si>
    <t>20250920102423010816</t>
  </si>
  <si>
    <t>10:24:23</t>
  </si>
  <si>
    <t>20250920090611010600</t>
  </si>
  <si>
    <t>09:06:11</t>
  </si>
  <si>
    <t>20250920082833010467</t>
  </si>
  <si>
    <t>08:28:33</t>
  </si>
  <si>
    <t>CQ113644</t>
  </si>
  <si>
    <t>羅鎮吾 羅鎮恩</t>
  </si>
  <si>
    <t>20250920082231010518</t>
  </si>
  <si>
    <t>08:22:31</t>
  </si>
  <si>
    <t>CQ114289</t>
  </si>
  <si>
    <r>
      <rPr>
        <sz val="10"/>
        <rFont val="Noto Sans CJK SC"/>
        <family val="2"/>
      </rPr>
      <t>錢奕安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陳俊赫</t>
    </r>
  </si>
  <si>
    <t>20250920080627010985</t>
  </si>
  <si>
    <t>08:06:27</t>
  </si>
  <si>
    <t>CQ114288</t>
  </si>
  <si>
    <t>吳冠緯</t>
  </si>
  <si>
    <t>20250919202649010953</t>
  </si>
  <si>
    <t>20:26:49</t>
  </si>
  <si>
    <t>20250919201934010117</t>
  </si>
  <si>
    <t>20:19:34</t>
  </si>
  <si>
    <t>20250919194042010865</t>
  </si>
  <si>
    <t>19:40:42</t>
  </si>
  <si>
    <t>CQ113792</t>
  </si>
  <si>
    <r>
      <rPr>
        <sz val="10"/>
        <rFont val="Noto Sans CJK SC"/>
        <family val="2"/>
      </rPr>
      <t>莊舜晴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呂芊岑</t>
    </r>
  </si>
  <si>
    <t>20250919190640010977</t>
  </si>
  <si>
    <t>19:06:40</t>
  </si>
  <si>
    <t>20250919185946010464</t>
  </si>
  <si>
    <t>18:59:46</t>
  </si>
  <si>
    <t>20250919183426010178</t>
  </si>
  <si>
    <t>18:34:26</t>
  </si>
  <si>
    <t>20250919182524010817</t>
  </si>
  <si>
    <t>18:25:24</t>
  </si>
  <si>
    <t>CQ1131019</t>
  </si>
  <si>
    <t>陳冠瑋</t>
  </si>
  <si>
    <t>20250919163025010100</t>
  </si>
  <si>
    <t>16:30:25</t>
  </si>
  <si>
    <t>20250918195034010183</t>
  </si>
  <si>
    <t>19:50:34</t>
  </si>
  <si>
    <t>20250918180243010774</t>
  </si>
  <si>
    <t>18:02:43</t>
  </si>
  <si>
    <t>20250917205130010051</t>
  </si>
  <si>
    <t>20:51:30</t>
  </si>
  <si>
    <t>AQ112434</t>
  </si>
  <si>
    <t>曾梓軒</t>
  </si>
  <si>
    <t>20250917205026010885</t>
  </si>
  <si>
    <t>20:50:26</t>
  </si>
  <si>
    <t>AQ113827</t>
  </si>
  <si>
    <t>李依倢</t>
  </si>
  <si>
    <t>20250917204938010128</t>
  </si>
  <si>
    <t>20:49:38</t>
  </si>
  <si>
    <t>AQ1140992</t>
  </si>
  <si>
    <t>游思虹</t>
  </si>
  <si>
    <t>20250916184559010535</t>
  </si>
  <si>
    <t>18:45:59</t>
  </si>
  <si>
    <t>20250915213858010527</t>
  </si>
  <si>
    <t>21:38:58</t>
  </si>
  <si>
    <t>20250915213456010429</t>
  </si>
  <si>
    <t>21:34:56</t>
  </si>
  <si>
    <t>AQ113190</t>
  </si>
  <si>
    <t>曾丞希 曾昶葳</t>
  </si>
  <si>
    <t>20250915210459010432</t>
  </si>
  <si>
    <t>21:04:59</t>
  </si>
  <si>
    <t>BQ114147</t>
  </si>
  <si>
    <r>
      <rPr>
        <sz val="10"/>
        <rFont val="Noto Sans CJK SC"/>
        <family val="2"/>
      </rPr>
      <t>簡于寧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葉⾦蓉</t>
    </r>
  </si>
  <si>
    <t>20250915210348010018</t>
  </si>
  <si>
    <t>21:03:48</t>
  </si>
  <si>
    <t>李昊陽、李雨</t>
  </si>
  <si>
    <t>20250915210158010252</t>
  </si>
  <si>
    <t>21:01:58</t>
  </si>
  <si>
    <t>BQ113425</t>
  </si>
  <si>
    <r>
      <rPr>
        <sz val="10"/>
        <rFont val="Noto Sans CJK SC"/>
        <family val="2"/>
      </rPr>
      <t>黃芃甯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黃苡睿</t>
    </r>
  </si>
  <si>
    <t>20250915210041010620</t>
  </si>
  <si>
    <t>21:00:41</t>
  </si>
  <si>
    <t>BQ113270</t>
  </si>
  <si>
    <r>
      <rPr>
        <sz val="10"/>
        <rFont val="Noto Sans CJK SC"/>
        <family val="2"/>
      </rPr>
      <t>陳宥臻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陳宣曄</t>
    </r>
  </si>
  <si>
    <t>20250915205911010441</t>
  </si>
  <si>
    <t>20:59:11</t>
  </si>
  <si>
    <t>BQ113336</t>
  </si>
  <si>
    <t>蔡薰賢洪楨雅宇桁</t>
  </si>
  <si>
    <t>20250915205706010217</t>
  </si>
  <si>
    <t>20:57:06</t>
  </si>
  <si>
    <t>20250915203006010659</t>
  </si>
  <si>
    <t>20:30:06</t>
  </si>
  <si>
    <t>20250915202805010473</t>
  </si>
  <si>
    <t>20:28:05</t>
  </si>
  <si>
    <t>20250915202552010174</t>
  </si>
  <si>
    <t>20:25:52</t>
  </si>
  <si>
    <t>CQ114277</t>
  </si>
  <si>
    <t>陳佑宇</t>
  </si>
  <si>
    <t>20250915202312010585</t>
  </si>
  <si>
    <t>20:23:12</t>
  </si>
  <si>
    <t>CQ114272</t>
  </si>
  <si>
    <t>李⾱辰 孫鵬恩梁庭碩</t>
  </si>
  <si>
    <t>20250915201719010925</t>
  </si>
  <si>
    <t>20:17:19</t>
  </si>
  <si>
    <t>CQ113572</t>
  </si>
  <si>
    <t>徐千婷 徐⼦翔徐溢成</t>
  </si>
  <si>
    <t>20250915201535010580</t>
  </si>
  <si>
    <t>20:15:35</t>
  </si>
  <si>
    <t>20250915201424010794</t>
  </si>
  <si>
    <t>20:14:24</t>
  </si>
  <si>
    <t>20250915201004010108</t>
  </si>
  <si>
    <t>20:10:04</t>
  </si>
  <si>
    <t>CQ114072</t>
  </si>
  <si>
    <t>黃靖橙 丁鈺欣丁鈺軒 葉萱妍</t>
  </si>
  <si>
    <t>20250914155549010137</t>
  </si>
  <si>
    <t>15:55:49</t>
  </si>
  <si>
    <t>CQ114271</t>
  </si>
  <si>
    <t>王悅圻</t>
  </si>
  <si>
    <t>20250914135009010473</t>
  </si>
  <si>
    <t>20250914093520010726</t>
  </si>
  <si>
    <t>09:35:20</t>
  </si>
  <si>
    <t>CQ114270</t>
  </si>
  <si>
    <t>陳伊緁 陳尚騏</t>
  </si>
  <si>
    <t>20250914093223010770</t>
  </si>
  <si>
    <t>09:32:23</t>
  </si>
  <si>
    <t>20250913170936010840</t>
  </si>
  <si>
    <t>17:09:36</t>
  </si>
  <si>
    <t>20250913160900010051</t>
  </si>
  <si>
    <t>16:09:00</t>
  </si>
  <si>
    <t>AQ11400055</t>
  </si>
  <si>
    <t>蕭予辰 蕭予佟</t>
  </si>
  <si>
    <t>20250913153618010850</t>
  </si>
  <si>
    <t>15:36:18</t>
  </si>
  <si>
    <t>CQ114193</t>
  </si>
  <si>
    <t>20250913153338010300</t>
  </si>
  <si>
    <t>15:33:38</t>
  </si>
  <si>
    <t>CQ114210</t>
  </si>
  <si>
    <t>陳品⾔ 林渝菲</t>
  </si>
  <si>
    <t>20250913141702010262</t>
  </si>
  <si>
    <t>14:17:02</t>
  </si>
  <si>
    <t>BQ114027</t>
  </si>
  <si>
    <t>邱品臻 邱雋詠</t>
  </si>
  <si>
    <t>20250913130541010510</t>
  </si>
  <si>
    <t>13:05:41</t>
  </si>
  <si>
    <t>CQ114266</t>
  </si>
  <si>
    <t>吳奕萬 郭閔誠</t>
  </si>
  <si>
    <t>20250912212157010991</t>
  </si>
  <si>
    <t>21:21:57</t>
  </si>
  <si>
    <t>20250911204821010124</t>
  </si>
  <si>
    <t>20:48:21</t>
  </si>
  <si>
    <t>CQ114264</t>
  </si>
  <si>
    <t>侯昱辰 侯品均</t>
  </si>
  <si>
    <t>20250911204321010876</t>
  </si>
  <si>
    <t>20:43:21</t>
  </si>
  <si>
    <t>20250911204059010894</t>
  </si>
  <si>
    <t>20:40:59</t>
  </si>
  <si>
    <t>20250911203846010108</t>
  </si>
  <si>
    <t>20:38:46</t>
  </si>
  <si>
    <t>CQ114261</t>
  </si>
  <si>
    <t>蘇芯儀</t>
  </si>
  <si>
    <t>20250911203453010928</t>
  </si>
  <si>
    <t>20:34:53</t>
  </si>
  <si>
    <t>CQ114260</t>
  </si>
  <si>
    <t>黃敬淳 黃泓順</t>
  </si>
  <si>
    <t>20250911190435010579</t>
  </si>
  <si>
    <t>19:04:35</t>
  </si>
  <si>
    <t>20250910185857010167</t>
  </si>
  <si>
    <t>18:58:57</t>
  </si>
  <si>
    <t>20250910172838010848</t>
  </si>
  <si>
    <t>17:28:38</t>
  </si>
  <si>
    <t>CQ1132001</t>
  </si>
  <si>
    <r>
      <rPr>
        <sz val="10"/>
        <rFont val="Noto Sans CJK SC"/>
        <family val="2"/>
      </rPr>
      <t>楊程鴻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賴羿諠</t>
    </r>
  </si>
  <si>
    <t>20250909202856010408</t>
  </si>
  <si>
    <t>20:28:56</t>
  </si>
  <si>
    <t>20250909201026010062</t>
  </si>
  <si>
    <t>20:10:26</t>
  </si>
  <si>
    <t>20250908171243010974</t>
  </si>
  <si>
    <t>17:12:43</t>
  </si>
  <si>
    <t>20250907173929010001</t>
  </si>
  <si>
    <t>17:39:29</t>
  </si>
  <si>
    <t>20250907154741010966</t>
  </si>
  <si>
    <t>15:47:41</t>
  </si>
  <si>
    <t>20250907115918010460</t>
  </si>
  <si>
    <t>11:59:18</t>
  </si>
  <si>
    <t>CQ114247</t>
  </si>
  <si>
    <t>王晨芯</t>
  </si>
  <si>
    <t>20250906184113010233</t>
  </si>
  <si>
    <t>18:41:13</t>
  </si>
  <si>
    <t>BQ114066</t>
  </si>
  <si>
    <t>游映龍</t>
  </si>
  <si>
    <t>20250906095500010930</t>
  </si>
  <si>
    <t>09:55:00</t>
  </si>
  <si>
    <t>20250906092009010888</t>
  </si>
  <si>
    <t>09:20:09</t>
  </si>
  <si>
    <t>BQ114171</t>
  </si>
  <si>
    <r>
      <rPr>
        <sz val="10"/>
        <rFont val="Noto Sans CJK SC"/>
        <family val="2"/>
      </rPr>
      <t>林雅慧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劉妍靚</t>
    </r>
  </si>
  <si>
    <t>20250905201917010527</t>
  </si>
  <si>
    <t>20:19:17</t>
  </si>
  <si>
    <t>BQ114105</t>
  </si>
  <si>
    <t>陳意媗</t>
  </si>
  <si>
    <t>20250904213811010511</t>
  </si>
  <si>
    <t>21:38:11</t>
  </si>
  <si>
    <t>20250904212931010900</t>
  </si>
  <si>
    <t>21:29:31</t>
  </si>
  <si>
    <t>20250904203855010401</t>
  </si>
  <si>
    <t>20:38:55</t>
  </si>
  <si>
    <t>BQ113484</t>
  </si>
  <si>
    <t>林柏廷</t>
  </si>
  <si>
    <t>20250904174225010914</t>
  </si>
  <si>
    <t>17:42:25</t>
  </si>
  <si>
    <t>20250904170041010388</t>
  </si>
  <si>
    <t>17:00:41</t>
  </si>
  <si>
    <t>AQ114152</t>
  </si>
  <si>
    <t>蔡姍諭 蔡萱螢詹博森</t>
  </si>
  <si>
    <t>20250902203829010157</t>
  </si>
  <si>
    <t>20:38:29</t>
  </si>
  <si>
    <t>BQ1147122</t>
  </si>
  <si>
    <r>
      <rPr>
        <sz val="10"/>
        <rFont val="Noto Sans CJK SC"/>
        <family val="2"/>
      </rPr>
      <t>郭宣妤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曹⾄菲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王宥希</t>
    </r>
  </si>
  <si>
    <t>20250902093429010644</t>
  </si>
  <si>
    <t>09:34:29</t>
  </si>
  <si>
    <t>CQ114105</t>
  </si>
  <si>
    <t>邱恬葳 黃晨愷</t>
  </si>
  <si>
    <t>20250902092928010217</t>
  </si>
  <si>
    <t>09:29:28</t>
  </si>
  <si>
    <t>BQ114102</t>
  </si>
  <si>
    <t>莊鎮睿</t>
  </si>
  <si>
    <t>20250902085732010570</t>
  </si>
  <si>
    <t>08:57:32</t>
  </si>
  <si>
    <t>CQ114416</t>
  </si>
  <si>
    <t>王⼦睿、辜向⾔、辜向辰</t>
  </si>
  <si>
    <t>20250902085235010117</t>
  </si>
  <si>
    <t>08:52:35</t>
  </si>
  <si>
    <t>BQ114101</t>
  </si>
  <si>
    <t>許凱甯，李梓恬</t>
  </si>
  <si>
    <t>20250902083701010445</t>
  </si>
  <si>
    <t>08:37:01</t>
  </si>
  <si>
    <t>20250901214408010580</t>
  </si>
  <si>
    <t>21:44:08</t>
  </si>
  <si>
    <t>BQ112414</t>
  </si>
  <si>
    <r>
      <rPr>
        <sz val="10"/>
        <rFont val="Noto Sans CJK SC"/>
        <family val="2"/>
      </rPr>
      <t>李宇皓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李宇彤</t>
    </r>
  </si>
  <si>
    <t>20250901214146010816</t>
  </si>
  <si>
    <t>21:41:46</t>
  </si>
  <si>
    <t>CQ113791</t>
  </si>
  <si>
    <t>陳晴薏</t>
  </si>
  <si>
    <t>20250901214024010046</t>
  </si>
  <si>
    <t>21:40:24</t>
  </si>
  <si>
    <t>CQ1131002</t>
  </si>
  <si>
    <t>鄭⽻辰</t>
  </si>
  <si>
    <t>20250901213740010221</t>
  </si>
  <si>
    <t>21:37:40</t>
  </si>
  <si>
    <t>AQ1140707</t>
  </si>
  <si>
    <t>張喆硯</t>
  </si>
  <si>
    <t>20250901213553010293</t>
  </si>
  <si>
    <t>21:35:53</t>
  </si>
  <si>
    <t>20250901213352010230</t>
  </si>
  <si>
    <t>21:33:52</t>
  </si>
  <si>
    <t>20250901213308010750</t>
  </si>
  <si>
    <t>21:33:08</t>
  </si>
  <si>
    <t>CQ114255</t>
  </si>
  <si>
    <r>
      <rPr>
        <sz val="10"/>
        <rFont val="Noto Sans CJK SC"/>
        <family val="2"/>
      </rPr>
      <t>施品嘉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施品溱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游傑凱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呂澄⼼</t>
    </r>
  </si>
  <si>
    <t>20250901213216010861</t>
  </si>
  <si>
    <t>21:32:16</t>
  </si>
  <si>
    <t>CQ113369</t>
  </si>
  <si>
    <t>李培綸</t>
  </si>
  <si>
    <t>20250901213125010763</t>
  </si>
  <si>
    <t>21:31:25</t>
  </si>
  <si>
    <t>CQ114121</t>
  </si>
  <si>
    <r>
      <rPr>
        <sz val="10"/>
        <rFont val="Noto Sans CJK SC"/>
        <family val="2"/>
      </rPr>
      <t>陳采緹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陳維苹</t>
    </r>
  </si>
  <si>
    <t>20250901213048010741</t>
  </si>
  <si>
    <t>21:30:48</t>
  </si>
  <si>
    <t>20250901212928010020</t>
  </si>
  <si>
    <t>21:29:28</t>
  </si>
  <si>
    <t>20250901212735010089</t>
  </si>
  <si>
    <t>21:27:35</t>
  </si>
  <si>
    <t>20250901212636010803</t>
  </si>
  <si>
    <t>21:26:36</t>
  </si>
  <si>
    <t>cq1140601</t>
  </si>
  <si>
    <t>謝鈞宇</t>
  </si>
  <si>
    <t>20250901212548010232</t>
  </si>
  <si>
    <t>21:25:48</t>
  </si>
  <si>
    <t>CQ114136</t>
  </si>
  <si>
    <t>陳品霓</t>
  </si>
  <si>
    <t>20250901212411010438</t>
  </si>
  <si>
    <t>21:24:11</t>
  </si>
  <si>
    <t>20250901212324010182</t>
  </si>
  <si>
    <t>21:23:24</t>
  </si>
  <si>
    <t>20250901212205010942</t>
  </si>
  <si>
    <t>21:22:05</t>
  </si>
  <si>
    <t>CQ114250</t>
  </si>
  <si>
    <t>陳奕晴</t>
  </si>
  <si>
    <t>20250901153826010646</t>
  </si>
  <si>
    <t>15:38:26</t>
  </si>
  <si>
    <t>CQ114249</t>
  </si>
  <si>
    <r>
      <rPr>
        <sz val="10"/>
        <rFont val="Noto Sans CJK SC"/>
        <family val="2"/>
      </rPr>
      <t>張家瑋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周秭卉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周書毅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杜欣桐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杜承澔</t>
    </r>
  </si>
  <si>
    <t>20250901152655010457</t>
  </si>
  <si>
    <t>CQ114248</t>
  </si>
  <si>
    <r>
      <rPr>
        <sz val="10"/>
        <rFont val="Noto Sans CJK SC"/>
        <family val="2"/>
      </rPr>
      <t>陳語熙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陳浩之</t>
    </r>
  </si>
  <si>
    <t>20250901151741010040</t>
  </si>
  <si>
    <t>15:17:41</t>
  </si>
  <si>
    <t>CQ112010</t>
  </si>
  <si>
    <t>林⼩萍 曾⼠修曾喬歆 曾偉宸</t>
  </si>
  <si>
    <t>20250901143910010404</t>
  </si>
  <si>
    <t>14:39:10</t>
  </si>
  <si>
    <t>CQ114246</t>
  </si>
  <si>
    <r>
      <rPr>
        <sz val="10"/>
        <rFont val="Noto Sans CJK SC"/>
        <family val="2"/>
      </rPr>
      <t>黃翊庭</t>
    </r>
    <r>
      <rPr>
        <sz val="10"/>
        <rFont val="Microsoft JhengHei"/>
        <family val="2"/>
        <charset val="136"/>
      </rPr>
      <t xml:space="preserve">. </t>
    </r>
    <r>
      <rPr>
        <sz val="10"/>
        <rFont val="Noto Sans CJK SC"/>
        <family val="2"/>
      </rPr>
      <t>陳汨檍</t>
    </r>
  </si>
  <si>
    <t>20250901142940010209</t>
  </si>
  <si>
    <t>14:29:40</t>
  </si>
  <si>
    <t>20250901142640010696</t>
  </si>
  <si>
    <t>14:26:40</t>
  </si>
  <si>
    <t>CQ114244</t>
  </si>
  <si>
    <r>
      <rPr>
        <sz val="10"/>
        <rFont val="Noto Sans CJK SC"/>
        <family val="2"/>
      </rPr>
      <t>鄭若妍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葉展睿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莫翔宇</t>
    </r>
  </si>
  <si>
    <t>20250901141423010004</t>
  </si>
  <si>
    <t>14:14:23</t>
  </si>
  <si>
    <t>BQ11407124</t>
  </si>
  <si>
    <t>彭冠豪、彭弈菲</t>
  </si>
  <si>
    <t>20250901135539010076</t>
  </si>
  <si>
    <t>13:55:39</t>
  </si>
  <si>
    <t>AQ11400054</t>
  </si>
  <si>
    <t>黃宥升、嚴奕婷</t>
  </si>
  <si>
    <t>20250831184639010143</t>
  </si>
  <si>
    <t>18:46:39</t>
  </si>
  <si>
    <t>BQ113156</t>
  </si>
  <si>
    <t>戴依辰</t>
  </si>
  <si>
    <t>20250830154228010127</t>
  </si>
  <si>
    <t>15:42:28</t>
  </si>
  <si>
    <t>20250830143611010589</t>
  </si>
  <si>
    <t>14:36:11</t>
  </si>
  <si>
    <t>20250830143304010838</t>
  </si>
  <si>
    <t>14:33:04</t>
  </si>
  <si>
    <t>CQ113795</t>
  </si>
  <si>
    <t>張芯語葉宇宸</t>
  </si>
  <si>
    <t>20250830143142010058</t>
  </si>
  <si>
    <t>14:31:42</t>
  </si>
  <si>
    <t>CQ114118</t>
  </si>
  <si>
    <t>陳靜雯 蔡品愉蔡依妡</t>
  </si>
  <si>
    <t>20250830142039010626</t>
  </si>
  <si>
    <t>14:20:39</t>
  </si>
  <si>
    <t>20250830141852010072</t>
  </si>
  <si>
    <t>14:18:52</t>
  </si>
  <si>
    <t>CQ114239</t>
  </si>
  <si>
    <t>陳鈺璇 吳宜娟</t>
  </si>
  <si>
    <t>20250830141611010988</t>
  </si>
  <si>
    <t>14:16:11</t>
  </si>
  <si>
    <t>20250830112051010925</t>
  </si>
  <si>
    <t>11:20:51</t>
  </si>
  <si>
    <t>CQ114237</t>
  </si>
  <si>
    <t>陳汩檍</t>
  </si>
  <si>
    <t>20250830110436010237</t>
  </si>
  <si>
    <t>11:04:36</t>
  </si>
  <si>
    <t>20250829162811010123</t>
  </si>
  <si>
    <t>16:28:11</t>
  </si>
  <si>
    <t>20250829140555010280</t>
  </si>
  <si>
    <t>14:05:55</t>
  </si>
  <si>
    <t>CQ114234</t>
  </si>
  <si>
    <r>
      <rPr>
        <sz val="10"/>
        <rFont val="Noto Sans CJK SC"/>
        <family val="2"/>
      </rPr>
      <t>陳育彤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陳秉豐</t>
    </r>
  </si>
  <si>
    <t>20250829134155010195</t>
  </si>
  <si>
    <t>13:41:55</t>
  </si>
  <si>
    <t>CQ114235</t>
  </si>
  <si>
    <r>
      <rPr>
        <sz val="10"/>
        <rFont val="Noto Sans CJK SC"/>
        <family val="2"/>
      </rPr>
      <t>林沂霏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林品辰</t>
    </r>
  </si>
  <si>
    <t>20250829130306010723</t>
  </si>
  <si>
    <t>13:03:06</t>
  </si>
  <si>
    <t>CQ1131006</t>
  </si>
  <si>
    <r>
      <rPr>
        <sz val="10"/>
        <rFont val="Noto Sans CJK SC"/>
        <family val="2"/>
      </rPr>
      <t>許允衫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許丞濬</t>
    </r>
  </si>
  <si>
    <t>20250829125721010779</t>
  </si>
  <si>
    <t>12:57:21</t>
  </si>
  <si>
    <t>20250828141936010365</t>
  </si>
  <si>
    <t>14:19:36</t>
  </si>
  <si>
    <t>AQ113987</t>
  </si>
  <si>
    <t>20250828141538010517</t>
  </si>
  <si>
    <t>14:15:38</t>
  </si>
  <si>
    <t>20250828134314010418</t>
  </si>
  <si>
    <t>13:43:14</t>
  </si>
  <si>
    <t>20250828134004010511</t>
  </si>
  <si>
    <t>13:40:04</t>
  </si>
  <si>
    <t>20250828114626010079</t>
  </si>
  <si>
    <t>11:46:26</t>
  </si>
  <si>
    <t>20250828114542010662</t>
  </si>
  <si>
    <t>11:45:42</t>
  </si>
  <si>
    <t>20250828114450010179</t>
  </si>
  <si>
    <t>11:44:50</t>
  </si>
  <si>
    <t>20250828113849010562</t>
  </si>
  <si>
    <t>11:38:49</t>
  </si>
  <si>
    <t>20250828093423010954</t>
  </si>
  <si>
    <t>09:34:23</t>
  </si>
  <si>
    <t>BQ113276</t>
  </si>
  <si>
    <t>黃禎亮</t>
  </si>
  <si>
    <t>20250827200346010401</t>
  </si>
  <si>
    <t>20:03:46</t>
  </si>
  <si>
    <t>20250827170821010565</t>
  </si>
  <si>
    <t>17:08:21</t>
  </si>
  <si>
    <t>BQ114145</t>
  </si>
  <si>
    <t>呂允樂</t>
  </si>
  <si>
    <t>20250827170640010227</t>
  </si>
  <si>
    <t>17:06:40</t>
  </si>
  <si>
    <t>20250827095637010751</t>
  </si>
  <si>
    <t>09:56:37</t>
  </si>
  <si>
    <t>CQ113706</t>
  </si>
  <si>
    <t>張⼜勻 黃馨蓉陳怡均</t>
  </si>
  <si>
    <t>20250826154630010622</t>
  </si>
  <si>
    <t>15:46:30</t>
  </si>
  <si>
    <t>BQ114167</t>
  </si>
  <si>
    <t>周品辰 張宇珊</t>
  </si>
  <si>
    <t>20250826140814010622</t>
  </si>
  <si>
    <t>14:08:14</t>
  </si>
  <si>
    <t>20250826102449010433</t>
  </si>
  <si>
    <t>10:24:49</t>
  </si>
  <si>
    <t>20250826100938010778</t>
  </si>
  <si>
    <t>10:09:38</t>
  </si>
  <si>
    <t>20250826100800010637</t>
  </si>
  <si>
    <t>10:08:00</t>
  </si>
  <si>
    <t>20250826100640010089</t>
  </si>
  <si>
    <t>10:06:40</t>
  </si>
  <si>
    <t>BQ114168</t>
  </si>
  <si>
    <t>20250826100534010678</t>
  </si>
  <si>
    <t>10:05:34</t>
  </si>
  <si>
    <t>BQ114169</t>
  </si>
  <si>
    <t>楊⼀中</t>
  </si>
  <si>
    <t>20250826100430010817</t>
  </si>
  <si>
    <t>10:04:30</t>
  </si>
  <si>
    <t>BQ114170</t>
  </si>
  <si>
    <t>黃鈺淳</t>
  </si>
  <si>
    <t>20250826092115010867</t>
  </si>
  <si>
    <t>09:21:15</t>
  </si>
  <si>
    <t>CQ114232</t>
  </si>
  <si>
    <r>
      <rPr>
        <sz val="10"/>
        <rFont val="Noto Sans CJK SC"/>
        <family val="2"/>
      </rPr>
      <t>李光祖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李光允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李沁霏</t>
    </r>
  </si>
  <si>
    <t>20250826090720010397</t>
  </si>
  <si>
    <t>09:07:20</t>
  </si>
  <si>
    <t>20250826083058010126</t>
  </si>
  <si>
    <t>08:30:58</t>
  </si>
  <si>
    <t>CQ114212</t>
  </si>
  <si>
    <t>李妍霓 張智晞吳忻芸</t>
  </si>
  <si>
    <t>20250826081958010255</t>
  </si>
  <si>
    <t>08:19:58</t>
  </si>
  <si>
    <t>20250825191727010092</t>
  </si>
  <si>
    <t>19:17:27</t>
  </si>
  <si>
    <t>20250825170714010287</t>
  </si>
  <si>
    <t>17:07:14</t>
  </si>
  <si>
    <t>20250825170440010617</t>
  </si>
  <si>
    <t>17:04:40</t>
  </si>
  <si>
    <t>AQ111426</t>
  </si>
  <si>
    <r>
      <rPr>
        <sz val="10"/>
        <rFont val="Noto Sans CJK SC"/>
        <family val="2"/>
      </rPr>
      <t>廖晨伃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郭⼦綺</t>
    </r>
  </si>
  <si>
    <t>20250825123129010527</t>
  </si>
  <si>
    <t>12:31:29</t>
  </si>
  <si>
    <t>AQ113327</t>
  </si>
  <si>
    <t>楊坤 吳欣珣</t>
  </si>
  <si>
    <t>20250825102525010874</t>
  </si>
  <si>
    <t>10:25:25</t>
  </si>
  <si>
    <t>AQ11400053</t>
  </si>
  <si>
    <r>
      <rPr>
        <sz val="10"/>
        <rFont val="Noto Sans CJK SC"/>
        <family val="2"/>
      </rPr>
      <t>詹采婕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江欣庭</t>
    </r>
  </si>
  <si>
    <t>20250824151212010611</t>
  </si>
  <si>
    <t>15:12:12</t>
  </si>
  <si>
    <t>AQ1130824</t>
  </si>
  <si>
    <t>林愷杰 張守君李赫雅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</si>
  <si>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(50%) 1x14850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(50%) 1x14850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(50%) 1x14850</t>
    </r>
  </si>
  <si>
    <t>20250824150518010258</t>
  </si>
  <si>
    <t>15:05:18</t>
  </si>
  <si>
    <t>AQ113038</t>
  </si>
  <si>
    <t>詹加右</t>
  </si>
  <si>
    <t>20250824135831010791</t>
  </si>
  <si>
    <t>13:58:31</t>
  </si>
  <si>
    <t>20250824135455010204</t>
  </si>
  <si>
    <t>13:54:55</t>
  </si>
  <si>
    <t>20250824134939010648</t>
  </si>
  <si>
    <t>13:49:39</t>
  </si>
  <si>
    <t>20250824134517010888</t>
  </si>
  <si>
    <t>13:45:17</t>
  </si>
  <si>
    <t>20250824134359010200</t>
  </si>
  <si>
    <t>13:43:59</t>
  </si>
  <si>
    <t>20250824104903010777</t>
  </si>
  <si>
    <t>10:49:03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</si>
  <si>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1x1400</t>
    </r>
  </si>
  <si>
    <t>20250824081701010075</t>
  </si>
  <si>
    <t>08:17:01</t>
  </si>
  <si>
    <t>CQ114224</t>
  </si>
  <si>
    <t>林宜臻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</si>
  <si>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1x1200</t>
    </r>
  </si>
  <si>
    <t>20250823204830010819</t>
  </si>
  <si>
    <t>20:48:30</t>
  </si>
  <si>
    <t>AQ114150</t>
  </si>
  <si>
    <t>林欣彤 洪宇蓁</t>
  </si>
  <si>
    <t>20250823202025010287</t>
  </si>
  <si>
    <t>20:20:25</t>
  </si>
  <si>
    <t>AQ114151</t>
  </si>
  <si>
    <t>王宏遠 王紘軒</t>
  </si>
  <si>
    <t>20250823124822010401</t>
  </si>
  <si>
    <t>12:48:22</t>
  </si>
  <si>
    <t>20250823124710010130</t>
  </si>
  <si>
    <t>12:47:10</t>
  </si>
  <si>
    <t>20250823124537010307</t>
  </si>
  <si>
    <t>12:45:37</t>
  </si>
  <si>
    <t>BQ114164</t>
  </si>
  <si>
    <t>周柏廷</t>
  </si>
  <si>
    <t>20250823124431010796</t>
  </si>
  <si>
    <t>12:44:31</t>
  </si>
  <si>
    <t>BQ114162</t>
  </si>
  <si>
    <t>尤韻茹</t>
  </si>
  <si>
    <t>20250823124301010091</t>
  </si>
  <si>
    <t>12:43:01</t>
  </si>
  <si>
    <t>BQ114163</t>
  </si>
  <si>
    <r>
      <rPr>
        <sz val="10"/>
        <rFont val="Noto Sans CJK SC"/>
        <family val="2"/>
      </rPr>
      <t>陳昱潔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陳星宇</t>
    </r>
  </si>
  <si>
    <t>20250823124122010214</t>
  </si>
  <si>
    <t>12:41:22</t>
  </si>
  <si>
    <t>20250823123943010138</t>
  </si>
  <si>
    <t>12:39:43</t>
  </si>
  <si>
    <t>20250823123835010878</t>
  </si>
  <si>
    <t>12:38:35</t>
  </si>
  <si>
    <t>20250823123625010639</t>
  </si>
  <si>
    <t>12:36:25</t>
  </si>
  <si>
    <t>20250823123406010430</t>
  </si>
  <si>
    <t>12:34:06</t>
  </si>
  <si>
    <t>20250823115840010733</t>
  </si>
  <si>
    <t>11:58:40</t>
  </si>
  <si>
    <t>20250822192304010660</t>
  </si>
  <si>
    <t>19:23:04</t>
  </si>
  <si>
    <t>20250822155810010007</t>
  </si>
  <si>
    <t>15:58:10</t>
  </si>
  <si>
    <t>CQ114222</t>
  </si>
  <si>
    <r>
      <rPr>
        <sz val="10"/>
        <rFont val="Noto Sans CJK SC"/>
        <family val="2"/>
      </rPr>
      <t>郭甯菲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林爍恩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林泯⾔</t>
    </r>
  </si>
  <si>
    <t>20250822132127010619</t>
  </si>
  <si>
    <t>13:21:27</t>
  </si>
  <si>
    <t>20250822130831010836</t>
  </si>
  <si>
    <t>13:08:31</t>
  </si>
  <si>
    <t>20250822125808010172</t>
  </si>
  <si>
    <t>12:58:08</t>
  </si>
  <si>
    <t>20250822124744010598</t>
  </si>
  <si>
    <t>12:47:44</t>
  </si>
  <si>
    <t>20250822082215010463</t>
  </si>
  <si>
    <t>08:22:15</t>
  </si>
  <si>
    <t>CQ114173</t>
  </si>
  <si>
    <r>
      <rPr>
        <sz val="10"/>
        <rFont val="Noto Sans CJK SC"/>
        <family val="2"/>
      </rPr>
      <t>黃晨瑋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楊智皓</t>
    </r>
  </si>
  <si>
    <t>20250821144500010938</t>
  </si>
  <si>
    <t>14:45:00</t>
  </si>
  <si>
    <t>CQ114169</t>
  </si>
  <si>
    <t>陳芳菲 邱⾦蚋</t>
  </si>
  <si>
    <t>20250821114447010835</t>
  </si>
  <si>
    <t>11:44:47</t>
  </si>
  <si>
    <t>CQ114182</t>
  </si>
  <si>
    <t>張雨晴 張可晴</t>
  </si>
  <si>
    <t>20250821094549010536</t>
  </si>
  <si>
    <t>09:45:49</t>
  </si>
  <si>
    <t>20250821092521010150</t>
  </si>
  <si>
    <t>09:25:21</t>
  </si>
  <si>
    <t>20250821091507010651</t>
  </si>
  <si>
    <t>09:15:07</t>
  </si>
  <si>
    <t>20250821091140010646</t>
  </si>
  <si>
    <t>09:11:40</t>
  </si>
  <si>
    <t>20250821090930010857</t>
  </si>
  <si>
    <t>09:09:30</t>
  </si>
  <si>
    <t>AQ114201</t>
  </si>
  <si>
    <t>劉苡萱 李依球</t>
  </si>
  <si>
    <t>20250820132000010425</t>
  </si>
  <si>
    <t>13:20:00</t>
  </si>
  <si>
    <t>CQ114218</t>
  </si>
  <si>
    <t>20250820110100010831</t>
  </si>
  <si>
    <t>11:01:00</t>
  </si>
  <si>
    <t>AQ11405120</t>
  </si>
  <si>
    <t>黃宥升 嚴奕婷</t>
  </si>
  <si>
    <t>20250820105122010526</t>
  </si>
  <si>
    <t>10:51:22</t>
  </si>
  <si>
    <t>20250820101720010375</t>
  </si>
  <si>
    <t>10:17:20</t>
  </si>
  <si>
    <t>CQ114216</t>
  </si>
  <si>
    <t>20250820095508010653</t>
  </si>
  <si>
    <t>09:55:08</t>
  </si>
  <si>
    <t>BQ11407123</t>
  </si>
  <si>
    <t>李筱薇</t>
  </si>
  <si>
    <t>20250820094339010094</t>
  </si>
  <si>
    <t>09:43:39</t>
  </si>
  <si>
    <t>20250819173109010534</t>
  </si>
  <si>
    <t>17:31:09</t>
  </si>
  <si>
    <t>20250819100049010821</t>
  </si>
  <si>
    <t>10:00:49</t>
  </si>
  <si>
    <t>20250819095524010830</t>
  </si>
  <si>
    <t>09:55:24</t>
  </si>
  <si>
    <t>BQ114060</t>
  </si>
  <si>
    <r>
      <rPr>
        <sz val="10"/>
        <rFont val="Noto Sans CJK SC"/>
        <family val="2"/>
      </rPr>
      <t>洪振崴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洪韻筑</t>
    </r>
  </si>
  <si>
    <t>20250819081804010903</t>
  </si>
  <si>
    <t>08:18:04</t>
  </si>
  <si>
    <t>20250819080951010162</t>
  </si>
  <si>
    <t>08:09:51</t>
  </si>
  <si>
    <t>AQ113168</t>
  </si>
  <si>
    <t>陳湘妮、江采妍、江晨祥</t>
  </si>
  <si>
    <t>20250819080841010014</t>
  </si>
  <si>
    <t>08:08:41</t>
  </si>
  <si>
    <t>20250818173350010565</t>
  </si>
  <si>
    <t>17:33:50</t>
  </si>
  <si>
    <t>20250818170937010951</t>
  </si>
  <si>
    <t>17:09:37</t>
  </si>
  <si>
    <t>20250818160055010081</t>
  </si>
  <si>
    <t>16:00:55</t>
  </si>
  <si>
    <t>20250818155333010798</t>
  </si>
  <si>
    <t>15:53:33</t>
  </si>
  <si>
    <t>BQ114160</t>
  </si>
  <si>
    <r>
      <rPr>
        <sz val="10"/>
        <rFont val="Noto Sans CJK SC"/>
        <family val="2"/>
      </rPr>
      <t>王怡⽂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林芯卉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鄭杏⽟</t>
    </r>
  </si>
  <si>
    <t>20250818133113010170</t>
  </si>
  <si>
    <t>13:31:13</t>
  </si>
  <si>
    <t>AQ113237</t>
  </si>
  <si>
    <t>廖殷詰 雷昕融廖桓語</t>
  </si>
  <si>
    <t>20250817190355010193</t>
  </si>
  <si>
    <t>19:03:55</t>
  </si>
  <si>
    <t>20250817170055010319</t>
  </si>
  <si>
    <t>17:00:55</t>
  </si>
  <si>
    <t>20250817152339010025</t>
  </si>
  <si>
    <t>15:23:39</t>
  </si>
  <si>
    <t>20250817150241010141</t>
  </si>
  <si>
    <t>15:02:41</t>
  </si>
  <si>
    <t>BQ114159</t>
  </si>
  <si>
    <t>葉軒綸</t>
  </si>
  <si>
    <t>20250816204418010705</t>
  </si>
  <si>
    <t>20:44:18</t>
  </si>
  <si>
    <t>20250816202927010440</t>
  </si>
  <si>
    <t>20:29:27</t>
  </si>
  <si>
    <t>AQ113028</t>
  </si>
  <si>
    <t>邱唯晴 邱若穎</t>
  </si>
  <si>
    <t>20250816194301010412</t>
  </si>
  <si>
    <t>19:43:01</t>
  </si>
  <si>
    <t>20250816191943010229</t>
  </si>
  <si>
    <t>19:19:43</t>
  </si>
  <si>
    <t>20250816161501010467</t>
  </si>
  <si>
    <t>16:15:01</t>
  </si>
  <si>
    <t>BQ114158</t>
  </si>
  <si>
    <r>
      <rPr>
        <sz val="10"/>
        <rFont val="Noto Sans CJK SC"/>
        <family val="2"/>
      </rPr>
      <t>胡明琪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胡昭瑜</t>
    </r>
  </si>
  <si>
    <t>20250816155134010265</t>
  </si>
  <si>
    <t>15:51:34</t>
  </si>
  <si>
    <t>AQ113021</t>
  </si>
  <si>
    <t>吳雅薇 邱天</t>
  </si>
  <si>
    <t>20250816151341010938</t>
  </si>
  <si>
    <t>15:13:41</t>
  </si>
  <si>
    <t>BQ114157</t>
  </si>
  <si>
    <t>王東尼</t>
  </si>
  <si>
    <t>20250816145708010276</t>
  </si>
  <si>
    <t>14:57:08</t>
  </si>
  <si>
    <t>20250816140939010317</t>
  </si>
  <si>
    <t>14:09:39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</si>
  <si>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1x2100</t>
    </r>
  </si>
  <si>
    <t>20250816120454010538</t>
  </si>
  <si>
    <t>12:04:54</t>
  </si>
  <si>
    <t>20250815191723010688</t>
  </si>
  <si>
    <t>19:17:23</t>
  </si>
  <si>
    <t>20250815181312010843</t>
  </si>
  <si>
    <t>18:13:12</t>
  </si>
  <si>
    <t>20250815110341010472</t>
  </si>
  <si>
    <t>11:03:41</t>
  </si>
  <si>
    <t>20250815110238010650</t>
  </si>
  <si>
    <t>11:02:38</t>
  </si>
  <si>
    <t>20250815110111010999</t>
  </si>
  <si>
    <t>11:01:11</t>
  </si>
  <si>
    <t>CQ113477</t>
  </si>
  <si>
    <t>何映榆 何映彤</t>
  </si>
  <si>
    <t>20250815105915010404</t>
  </si>
  <si>
    <t>10:59:15</t>
  </si>
  <si>
    <t>CQ114087</t>
  </si>
  <si>
    <t>粘洛⿑徐芷韻</t>
  </si>
  <si>
    <t>20250815105733010050</t>
  </si>
  <si>
    <t>10:57:33</t>
  </si>
  <si>
    <t>20250815105530010652</t>
  </si>
  <si>
    <t>10:55:30</t>
  </si>
  <si>
    <t>20250814203114010193</t>
  </si>
  <si>
    <t>20:31:14</t>
  </si>
  <si>
    <t>20250814193211010758</t>
  </si>
  <si>
    <t>19:32:11</t>
  </si>
  <si>
    <t>CQ114204</t>
  </si>
  <si>
    <t>錢奕安 陳俊赫江玟誼 江姿誼</t>
  </si>
  <si>
    <t>20250814160857010796</t>
  </si>
  <si>
    <t>16:08:57</t>
  </si>
  <si>
    <t>AQ114149</t>
  </si>
  <si>
    <r>
      <rPr>
        <sz val="10"/>
        <rFont val="Noto Sans CJK SC"/>
        <family val="2"/>
      </rPr>
      <t>康薰尹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康宸瑄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康祐瑄</t>
    </r>
  </si>
  <si>
    <t>20250814160135010925</t>
  </si>
  <si>
    <t>16:01:35</t>
  </si>
  <si>
    <t>20250814154821010563</t>
  </si>
  <si>
    <t>15:48:21</t>
  </si>
  <si>
    <t>20250814143937010895</t>
  </si>
  <si>
    <t>14:39:37</t>
  </si>
  <si>
    <t>20250814130858010248</t>
  </si>
  <si>
    <t>13:08:58</t>
  </si>
  <si>
    <t>20250814122218010046</t>
  </si>
  <si>
    <t>12:22:18</t>
  </si>
  <si>
    <t>BQ113323</t>
  </si>
  <si>
    <r>
      <rPr>
        <sz val="10"/>
        <rFont val="Noto Sans CJK SC"/>
        <family val="2"/>
      </rPr>
      <t>江宥磊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江宥緯</t>
    </r>
  </si>
  <si>
    <t>20250814122007010440</t>
  </si>
  <si>
    <t>12:20:07</t>
  </si>
  <si>
    <t>20250813190331010849</t>
  </si>
  <si>
    <t>19:03:31</t>
  </si>
  <si>
    <t>20250813162111010922</t>
  </si>
  <si>
    <t>16:21:11</t>
  </si>
  <si>
    <t>20250813161358010878</t>
  </si>
  <si>
    <t>16:13:58</t>
  </si>
  <si>
    <t>20250813161233010604</t>
  </si>
  <si>
    <t>16:12:33</t>
  </si>
  <si>
    <t>20250813160939010901</t>
  </si>
  <si>
    <t>16:09:39</t>
  </si>
  <si>
    <t>20250813160811010467</t>
  </si>
  <si>
    <t>16:08:11</t>
  </si>
  <si>
    <t>20250813160623010874</t>
  </si>
  <si>
    <t>16:06:23</t>
  </si>
  <si>
    <t>BQ114152</t>
  </si>
  <si>
    <t>張琰承</t>
  </si>
  <si>
    <t>20250813111123010410</t>
  </si>
  <si>
    <t>11:11:23</t>
  </si>
  <si>
    <t>BQ114153</t>
  </si>
  <si>
    <t>楊博全 楊博光</t>
  </si>
  <si>
    <t>20250813100910010601</t>
  </si>
  <si>
    <t>10:09:10</t>
  </si>
  <si>
    <t>AQ114147</t>
  </si>
  <si>
    <r>
      <rPr>
        <sz val="10"/>
        <rFont val="Microsoft JhengHei"/>
        <family val="2"/>
        <charset val="136"/>
      </rPr>
      <t>Mia</t>
    </r>
    <r>
      <rPr>
        <sz val="10"/>
        <rFont val="Noto Sans CJK SC"/>
        <family val="2"/>
      </rPr>
      <t xml:space="preserve">林 </t>
    </r>
    <r>
      <rPr>
        <sz val="10"/>
        <rFont val="Microsoft JhengHei"/>
        <family val="2"/>
        <charset val="136"/>
      </rPr>
      <t>Reed</t>
    </r>
    <r>
      <rPr>
        <sz val="10"/>
        <rFont val="Noto Sans CJK SC"/>
        <family val="2"/>
      </rPr>
      <t>林</t>
    </r>
  </si>
  <si>
    <r>
      <rPr>
        <sz val="10"/>
        <rFont val="Microsoft JhengHei"/>
        <family val="2"/>
        <charset val="136"/>
      </rPr>
      <t>1. 1VS1</t>
    </r>
    <r>
      <rPr>
        <sz val="10"/>
        <rFont val="Noto Sans CJK SC"/>
        <family val="2"/>
      </rPr>
      <t>試上</t>
    </r>
    <r>
      <rPr>
        <sz val="10"/>
        <rFont val="Microsoft JhengHei"/>
        <family val="2"/>
        <charset val="136"/>
      </rPr>
      <t>(50%) 1x1500
2. 1VS1</t>
    </r>
    <r>
      <rPr>
        <sz val="10"/>
        <rFont val="Noto Sans CJK SC"/>
        <family val="2"/>
      </rPr>
      <t>試上</t>
    </r>
    <r>
      <rPr>
        <sz val="10"/>
        <rFont val="Microsoft JhengHei"/>
        <family val="2"/>
        <charset val="136"/>
      </rPr>
      <t>(50%) 1x1500
3. 1VS1</t>
    </r>
    <r>
      <rPr>
        <sz val="10"/>
        <rFont val="Noto Sans CJK SC"/>
        <family val="2"/>
      </rPr>
      <t>試上</t>
    </r>
    <r>
      <rPr>
        <sz val="10"/>
        <rFont val="Microsoft JhengHei"/>
        <family val="2"/>
        <charset val="136"/>
      </rPr>
      <t>(50%) 1x1500</t>
    </r>
  </si>
  <si>
    <t>20250812212203010130</t>
  </si>
  <si>
    <t>21:22:03</t>
  </si>
  <si>
    <t>20250811200450010574</t>
  </si>
  <si>
    <t>20:04:50</t>
  </si>
  <si>
    <t>CQ114191</t>
  </si>
  <si>
    <t>張少恆 謝昀旂劉岱柔 劉泌柔陳妍妏</t>
  </si>
  <si>
    <t>20250811200103010478</t>
  </si>
  <si>
    <t>20:01:03</t>
  </si>
  <si>
    <t>BQ113271</t>
  </si>
  <si>
    <t>何柏漢</t>
  </si>
  <si>
    <t>20250811170130010288</t>
  </si>
  <si>
    <t>17:01:30</t>
  </si>
  <si>
    <r>
      <rPr>
        <sz val="10"/>
        <rFont val="Microsoft JhengHei"/>
        <family val="2"/>
        <charset val="136"/>
      </rPr>
      <t>CQ11</t>
    </r>
    <r>
      <rPr>
        <sz val="10"/>
        <rFont val="Noto Sans CJK SC"/>
        <family val="2"/>
      </rPr>
      <t>４２０１簡妍思</t>
    </r>
  </si>
  <si>
    <t>20250811100110010470</t>
  </si>
  <si>
    <t>10:01:10</t>
  </si>
  <si>
    <t>20250810161107010111</t>
  </si>
  <si>
    <t>16:11:07</t>
  </si>
  <si>
    <t>20250810160445010056</t>
  </si>
  <si>
    <t>16:04:45</t>
  </si>
  <si>
    <t>BQ114150</t>
  </si>
  <si>
    <t>陳潔⽟ 陳冠⽂</t>
  </si>
  <si>
    <t>20250810155418010556</t>
  </si>
  <si>
    <t>15:54:18</t>
  </si>
  <si>
    <t>20250810135813010990</t>
  </si>
  <si>
    <t>13:58:13</t>
  </si>
  <si>
    <t>CQ113258</t>
  </si>
  <si>
    <t>吳奕萬 郭閔誠劉彥誠</t>
  </si>
  <si>
    <t>20250810084112010544</t>
  </si>
  <si>
    <t>08:41:12</t>
  </si>
  <si>
    <t>CQ113538</t>
  </si>
  <si>
    <t>李祈萱</t>
  </si>
  <si>
    <t>20250809185005010380</t>
  </si>
  <si>
    <t>18:50:05</t>
  </si>
  <si>
    <t>20250809184233010906</t>
  </si>
  <si>
    <t>18:42:33</t>
  </si>
  <si>
    <t>CQ114154</t>
  </si>
  <si>
    <t>陳云霈</t>
  </si>
  <si>
    <t>20250809173509010515</t>
  </si>
  <si>
    <t>17:35:09</t>
  </si>
  <si>
    <t>AQ1140808</t>
  </si>
  <si>
    <t>盧奕帆</t>
  </si>
  <si>
    <t>20250809161620010298</t>
  </si>
  <si>
    <t>16:16:20</t>
  </si>
  <si>
    <t>20250809142705010980</t>
  </si>
  <si>
    <t>14:27:05</t>
  </si>
  <si>
    <t>CQ114197</t>
  </si>
  <si>
    <t>李擢秀 蔡嵂翔蔡嵂甯 蔡承志賴佩霜</t>
  </si>
  <si>
    <t>20250809131919010219</t>
  </si>
  <si>
    <t>13:19:19</t>
  </si>
  <si>
    <t>20250809131553010120</t>
  </si>
  <si>
    <t>13:15:53</t>
  </si>
  <si>
    <t>20250809123728010310</t>
  </si>
  <si>
    <t>12:37:28</t>
  </si>
  <si>
    <t>CQ114195</t>
  </si>
  <si>
    <t>江姿誼 江玟誼錢奕安 陳昱勳</t>
  </si>
  <si>
    <t>20250809121537010936</t>
  </si>
  <si>
    <t>12:15:37</t>
  </si>
  <si>
    <t>CQ114196</t>
  </si>
  <si>
    <t>李祈萱 李采頤</t>
  </si>
  <si>
    <t>20250808163255010453</t>
  </si>
  <si>
    <t>16:32:55</t>
  </si>
  <si>
    <t>AQ112481</t>
  </si>
  <si>
    <t>吳宥燊 林柏叡葉宸希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</si>
  <si>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(50%) 1x14850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(50%) 1x14850</t>
    </r>
  </si>
  <si>
    <t>20250808161724010186</t>
  </si>
  <si>
    <t>16:17:24</t>
  </si>
  <si>
    <t>AQ1140625</t>
  </si>
  <si>
    <t>游以晨 游宥辰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</si>
  <si>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(50%) 1x10800</t>
    </r>
  </si>
  <si>
    <t>20250808161200010632</t>
  </si>
  <si>
    <t>16:12:00</t>
  </si>
  <si>
    <t>20250808160750010348</t>
  </si>
  <si>
    <t>16:07:50</t>
  </si>
  <si>
    <t>20250808144556010404</t>
  </si>
  <si>
    <t>14:45:56</t>
  </si>
  <si>
    <t>BQ114149</t>
  </si>
  <si>
    <t>許維辰</t>
  </si>
  <si>
    <t>20250808125529010774</t>
  </si>
  <si>
    <t>12:55:29</t>
  </si>
  <si>
    <t>20250807133714010420</t>
  </si>
  <si>
    <t>13:37:14</t>
  </si>
  <si>
    <t>AQ1140807</t>
  </si>
  <si>
    <t>陳紘峻 陳湘尼</t>
  </si>
  <si>
    <t>20250806192904010850</t>
  </si>
  <si>
    <t>19:29:04</t>
  </si>
  <si>
    <t>BQ113361</t>
  </si>
  <si>
    <t>羅亦辰 黃鈺捷黃鈺峰</t>
  </si>
  <si>
    <t>20250806180107010185</t>
  </si>
  <si>
    <t>18:01:07</t>
  </si>
  <si>
    <t>CQ113523</t>
  </si>
  <si>
    <t>林瑀岑 林祐旭</t>
  </si>
  <si>
    <t>20250806081201010458</t>
  </si>
  <si>
    <t>08:12:01</t>
  </si>
  <si>
    <t>BQ113404</t>
  </si>
  <si>
    <t>范仲廷</t>
  </si>
  <si>
    <t>20250805205648010694</t>
  </si>
  <si>
    <t>20:56:48</t>
  </si>
  <si>
    <t>BQ114128</t>
  </si>
  <si>
    <t>王宥思</t>
  </si>
  <si>
    <t>20250805195824010758</t>
  </si>
  <si>
    <t>19:58:24</t>
  </si>
  <si>
    <t>BQ114053</t>
  </si>
  <si>
    <r>
      <rPr>
        <sz val="10"/>
        <rFont val="Noto Sans CJK SC"/>
        <family val="2"/>
      </rPr>
      <t>王舒⽞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林昊均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林廷曜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夏凱均</t>
    </r>
  </si>
  <si>
    <t>20250805195815010540</t>
  </si>
  <si>
    <t>19:58:15</t>
  </si>
  <si>
    <t>20250805193609010559</t>
  </si>
  <si>
    <t>19:36:09</t>
  </si>
  <si>
    <t>20250805173544010415</t>
  </si>
  <si>
    <t>17:35:44</t>
  </si>
  <si>
    <t>CQ113577</t>
  </si>
  <si>
    <t>張芷寧 張芸榕</t>
  </si>
  <si>
    <t>20250805160512010289</t>
  </si>
  <si>
    <t>16:05:12</t>
  </si>
  <si>
    <t>BQ114148</t>
  </si>
  <si>
    <t>蔡宜芳 蔡竣宇</t>
  </si>
  <si>
    <t>20250805081322010001</t>
  </si>
  <si>
    <t>08:13:22</t>
  </si>
  <si>
    <t>AQ11356</t>
  </si>
  <si>
    <t>陳良諺 陳洛妍</t>
  </si>
  <si>
    <t>20250804181441010526</t>
  </si>
  <si>
    <t>18:14:41</t>
  </si>
  <si>
    <t>20250804121744010415</t>
  </si>
  <si>
    <t>12:17:44</t>
  </si>
  <si>
    <t>20250804112604010373</t>
  </si>
  <si>
    <t>11:26:04</t>
  </si>
  <si>
    <t>20250804105246010156</t>
  </si>
  <si>
    <t>10:52:46</t>
  </si>
  <si>
    <t>20250803143500010038</t>
  </si>
  <si>
    <t>14:35:00</t>
  </si>
  <si>
    <t>BQ114143</t>
  </si>
  <si>
    <t>張祤</t>
  </si>
  <si>
    <t>20250803142815010403</t>
  </si>
  <si>
    <t>14:28:15</t>
  </si>
  <si>
    <t>CQ1130504</t>
  </si>
  <si>
    <t>余沐樺 余博洋</t>
  </si>
  <si>
    <t>20250803133000010693</t>
  </si>
  <si>
    <t>13:30:00</t>
  </si>
  <si>
    <t>20250803114210011353</t>
  </si>
  <si>
    <t>11:42:10</t>
  </si>
  <si>
    <t>AQ113293</t>
  </si>
  <si>
    <t>王韻中 王珩燁</t>
  </si>
  <si>
    <t>20250803095535010700</t>
  </si>
  <si>
    <t>09:55:35</t>
  </si>
  <si>
    <t>20250802162946010116</t>
  </si>
  <si>
    <t>16:29:46</t>
  </si>
  <si>
    <t>BQ113289</t>
  </si>
  <si>
    <r>
      <rPr>
        <sz val="10"/>
        <rFont val="Noto Sans CJK SC"/>
        <family val="2"/>
      </rPr>
      <t>謝東哲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謝佩璇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謝依靜</t>
    </r>
  </si>
  <si>
    <t>20250802141507010499</t>
  </si>
  <si>
    <t>14:15:07</t>
  </si>
  <si>
    <t>20250802121202010257</t>
  </si>
  <si>
    <t>12:12:02</t>
  </si>
  <si>
    <t>CQ114187</t>
  </si>
  <si>
    <t>楊智媛 姚思安姚品宏 姚棨仁鄭雨旋</t>
  </si>
  <si>
    <t>20250802121137010255</t>
  </si>
  <si>
    <t>12:11:37</t>
  </si>
  <si>
    <t>20250802083541010623</t>
  </si>
  <si>
    <t>08:35:41</t>
  </si>
  <si>
    <t>BQ114062</t>
  </si>
  <si>
    <t>賴姵妡 賴姵縈</t>
  </si>
  <si>
    <t>20250801220729010311</t>
  </si>
  <si>
    <t>22:07:29</t>
  </si>
  <si>
    <t>AQ111323</t>
  </si>
  <si>
    <t>蘇重澐 蘇重寧</t>
  </si>
  <si>
    <t>20250801184545010779</t>
  </si>
  <si>
    <t>18:45:45</t>
  </si>
  <si>
    <t>20250801085420010309</t>
  </si>
  <si>
    <t>08:54:20</t>
  </si>
  <si>
    <t>AQ113137</t>
  </si>
  <si>
    <t>林昱昕 林永軒</t>
  </si>
  <si>
    <t>20250801085107010194</t>
  </si>
  <si>
    <t>08:51:07</t>
  </si>
  <si>
    <t>AQ113262</t>
  </si>
  <si>
    <t>蔡育彰、蔡忠諺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</si>
  <si>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(50%) 1x10800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(50%) 1x10800</t>
    </r>
  </si>
  <si>
    <t>20250801083156010405</t>
  </si>
  <si>
    <t>08:31:56</t>
  </si>
  <si>
    <t>AQ11308135</t>
  </si>
  <si>
    <t>⾼維憶 蔡沛恩</t>
  </si>
  <si>
    <t>20250801082251010072</t>
  </si>
  <si>
    <t>08:22:51</t>
  </si>
  <si>
    <t>20250801082154010611</t>
  </si>
  <si>
    <t>08:21:54</t>
  </si>
  <si>
    <t>20250801081149010352</t>
  </si>
  <si>
    <t>08:11:49</t>
  </si>
  <si>
    <t>20250801081021010174</t>
  </si>
  <si>
    <t>08:10:21</t>
  </si>
  <si>
    <t>20250801080912010980</t>
  </si>
  <si>
    <t>08:09:12</t>
  </si>
  <si>
    <t>20250801080518010175</t>
  </si>
  <si>
    <t>08:05:18</t>
  </si>
  <si>
    <t>AQ114055</t>
  </si>
  <si>
    <t>顏采曦 顏冠丞</t>
  </si>
  <si>
    <t>20250731192833010016</t>
  </si>
  <si>
    <t>19:28:33</t>
  </si>
  <si>
    <t>20250731171521010925</t>
  </si>
  <si>
    <t>17:15:21</t>
  </si>
  <si>
    <t>AQ114126</t>
  </si>
  <si>
    <t>曾⾱⼜ 吳衍霆</t>
  </si>
  <si>
    <t>20250731144137010631</t>
  </si>
  <si>
    <t>14:41:37</t>
  </si>
  <si>
    <t>20250730172825010645</t>
  </si>
  <si>
    <t>17:28:25</t>
  </si>
  <si>
    <t>20250730110551010045</t>
  </si>
  <si>
    <t>11:05:51</t>
  </si>
  <si>
    <t>BQ113290</t>
  </si>
  <si>
    <t>楊博全</t>
  </si>
  <si>
    <t>20250729182441010422</t>
  </si>
  <si>
    <t>18:24:41</t>
  </si>
  <si>
    <t>20250729163048010303</t>
  </si>
  <si>
    <t>16:30:48</t>
  </si>
  <si>
    <t>BQ114137</t>
  </si>
  <si>
    <t>黃宥梨</t>
  </si>
  <si>
    <t>20250729152547010141</t>
  </si>
  <si>
    <t>15:25:47</t>
  </si>
  <si>
    <t>AQ114124</t>
  </si>
  <si>
    <t>吳昱緯 吳思璇</t>
  </si>
  <si>
    <t>20250729145644010396</t>
  </si>
  <si>
    <t>20250729121953010455</t>
  </si>
  <si>
    <t>12:19:53</t>
  </si>
  <si>
    <t>20250728121405010812</t>
  </si>
  <si>
    <t>12:14:05</t>
  </si>
  <si>
    <t>BQ114144</t>
  </si>
  <si>
    <t>翁樂隼 翁⼦琁</t>
  </si>
  <si>
    <t>20250727173833010692</t>
  </si>
  <si>
    <t>17:38:33</t>
  </si>
  <si>
    <t>20250727172137010268</t>
  </si>
  <si>
    <t>17:21:37</t>
  </si>
  <si>
    <t>20250727131420010966</t>
  </si>
  <si>
    <t>13:14:20</t>
  </si>
  <si>
    <t>20250727123804010599</t>
  </si>
  <si>
    <t>12:38:04</t>
  </si>
  <si>
    <t>20250727123204010331</t>
  </si>
  <si>
    <t>12:32:04</t>
  </si>
  <si>
    <t>20250727080735010521</t>
  </si>
  <si>
    <t>08:07:35</t>
  </si>
  <si>
    <t>20250726182258010324</t>
  </si>
  <si>
    <t>18:22:58</t>
  </si>
  <si>
    <t>20250726175714010287</t>
  </si>
  <si>
    <t>17:57:14</t>
  </si>
  <si>
    <t>BQ114141</t>
  </si>
  <si>
    <r>
      <rPr>
        <sz val="10"/>
        <rFont val="Noto Sans CJK SC"/>
        <family val="2"/>
      </rPr>
      <t>張佳⽲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張承洋</t>
    </r>
  </si>
  <si>
    <t>20250726155734010887</t>
  </si>
  <si>
    <t>15:57:34</t>
  </si>
  <si>
    <t>20250726152040010420</t>
  </si>
  <si>
    <t>15:20:40</t>
  </si>
  <si>
    <t>20250726134431010590</t>
  </si>
  <si>
    <t>13:44:31</t>
  </si>
  <si>
    <t>BQ114140</t>
  </si>
  <si>
    <r>
      <rPr>
        <sz val="10"/>
        <rFont val="Noto Sans CJK SC"/>
        <family val="2"/>
      </rPr>
      <t>葉軒綸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邱雋詠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邱品臻</t>
    </r>
  </si>
  <si>
    <t>20250726113423010495</t>
  </si>
  <si>
    <t>11:34:23</t>
  </si>
  <si>
    <t>20250726113242010486</t>
  </si>
  <si>
    <t>11:32:42</t>
  </si>
  <si>
    <t>20250726093515010123</t>
  </si>
  <si>
    <t>09:35:15</t>
  </si>
  <si>
    <t>20250725210440010981</t>
  </si>
  <si>
    <t>21:04:40</t>
  </si>
  <si>
    <t>夏鈺婷</t>
  </si>
  <si>
    <t>AQ112082</t>
  </si>
  <si>
    <t>王宥凱 王宥勳</t>
  </si>
  <si>
    <t>20250725153430010628</t>
  </si>
  <si>
    <t>15:34:30</t>
  </si>
  <si>
    <t>20250725104920010439</t>
  </si>
  <si>
    <t>10:49:20</t>
  </si>
  <si>
    <t>BQ113280</t>
  </si>
  <si>
    <r>
      <rPr>
        <sz val="10"/>
        <rFont val="Noto Sans CJK SC"/>
        <family val="2"/>
      </rPr>
      <t>范濬紳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范仲廷</t>
    </r>
  </si>
  <si>
    <t>20250724202342010306</t>
  </si>
  <si>
    <t>20:23:42</t>
  </si>
  <si>
    <t>CQ113520</t>
  </si>
  <si>
    <t>蕭敬凱、蕭敬安、蕭予晞</t>
  </si>
  <si>
    <t>20250724200727010731</t>
  </si>
  <si>
    <t>20:07:27</t>
  </si>
  <si>
    <t>20250724182442010123</t>
  </si>
  <si>
    <t>18:24:42</t>
  </si>
  <si>
    <t>20250724155604010815</t>
  </si>
  <si>
    <t>15:56:04</t>
  </si>
  <si>
    <t>20250724123528010865</t>
  </si>
  <si>
    <t>12:35:28</t>
  </si>
  <si>
    <t>20250723215505010050</t>
  </si>
  <si>
    <t>21:55:05</t>
  </si>
  <si>
    <t>BQ114139</t>
  </si>
  <si>
    <r>
      <rPr>
        <sz val="10"/>
        <rFont val="Noto Sans CJK SC"/>
        <family val="2"/>
      </rPr>
      <t>李梓恬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許凱甯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許耘丞</t>
    </r>
  </si>
  <si>
    <t>20250723185910010892</t>
  </si>
  <si>
    <t>18:59:10</t>
  </si>
  <si>
    <t>AQ114723</t>
  </si>
  <si>
    <t>李舒雅 林睿哲</t>
  </si>
  <si>
    <t>20250723184449010224</t>
  </si>
  <si>
    <t>18:44:49</t>
  </si>
  <si>
    <t>20250723153127010871</t>
  </si>
  <si>
    <t>15:31:27</t>
  </si>
  <si>
    <t>20250723142556010748</t>
  </si>
  <si>
    <t>14:25:56</t>
  </si>
  <si>
    <t>AQ1140715</t>
  </si>
  <si>
    <r>
      <rPr>
        <sz val="10"/>
        <rFont val="Noto Sans CJK SC"/>
        <family val="2"/>
      </rPr>
      <t>陳禹甯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翁楷玹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翁楷淳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</si>
  <si>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(50%) 1x18000</t>
    </r>
  </si>
  <si>
    <t>20250723090238010589</t>
  </si>
  <si>
    <t>09:02:38</t>
  </si>
  <si>
    <t>CQ114139</t>
  </si>
  <si>
    <t>陳曦景 陳曦亮</t>
  </si>
  <si>
    <t>20250722202610010550</t>
  </si>
  <si>
    <t>20:26:10</t>
  </si>
  <si>
    <t>AQ1140722</t>
  </si>
  <si>
    <t>陳奕璇 陳佳欣</t>
  </si>
  <si>
    <t>20250722194809010043</t>
  </si>
  <si>
    <t>19:48:09</t>
  </si>
  <si>
    <t>CQ114126</t>
  </si>
  <si>
    <t>王皓 王晏翎 王郁甯</t>
  </si>
  <si>
    <t>20250722185158010986</t>
  </si>
  <si>
    <t>18:51:58</t>
  </si>
  <si>
    <t>BQ114136</t>
  </si>
  <si>
    <r>
      <rPr>
        <sz val="10"/>
        <rFont val="Noto Sans CJK SC"/>
        <family val="2"/>
      </rPr>
      <t>楊采論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楊承諭</t>
    </r>
  </si>
  <si>
    <t>20250722174108010531</t>
  </si>
  <si>
    <t>17:41:08</t>
  </si>
  <si>
    <t>AQ113081</t>
  </si>
  <si>
    <t>羅丞皓</t>
  </si>
  <si>
    <t>20250722165559010159</t>
  </si>
  <si>
    <t>16:55:59</t>
  </si>
  <si>
    <t>20250722165459010465</t>
  </si>
  <si>
    <t>16:54:59</t>
  </si>
  <si>
    <t>20250722161347010426</t>
  </si>
  <si>
    <t>16:13:47</t>
  </si>
  <si>
    <t>AQ114718</t>
  </si>
  <si>
    <r>
      <rPr>
        <sz val="10"/>
        <rFont val="Noto Sans CJK SC"/>
        <family val="2"/>
      </rPr>
      <t>邱彥澤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邱亮瑜</t>
    </r>
  </si>
  <si>
    <t>20250722124451010825</t>
  </si>
  <si>
    <t>12:44:51</t>
  </si>
  <si>
    <t>20250722121356010779</t>
  </si>
  <si>
    <t>12:13:56</t>
  </si>
  <si>
    <t>AQ114099</t>
  </si>
  <si>
    <r>
      <rPr>
        <sz val="10"/>
        <rFont val="Noto Sans CJK SC"/>
        <family val="2"/>
      </rPr>
      <t>蘇雨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凌依欣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張若帆</t>
    </r>
  </si>
  <si>
    <t>20250722090710010895</t>
  </si>
  <si>
    <t>CQ114174</t>
  </si>
  <si>
    <t>葉雨晴</t>
  </si>
  <si>
    <t>20250722082157010028</t>
  </si>
  <si>
    <t>08:21:57</t>
  </si>
  <si>
    <t>20250721184936010078</t>
  </si>
  <si>
    <t>18:49:36</t>
  </si>
  <si>
    <t>20250721180503010218</t>
  </si>
  <si>
    <t>18:05:03</t>
  </si>
  <si>
    <t>BQ114135</t>
  </si>
  <si>
    <r>
      <rPr>
        <sz val="10"/>
        <rFont val="Noto Sans CJK SC"/>
        <family val="2"/>
      </rPr>
      <t>許駿宥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許⼼宥</t>
    </r>
  </si>
  <si>
    <t>20250721170939010578</t>
  </si>
  <si>
    <t>17:09:39</t>
  </si>
  <si>
    <t>CQ114170</t>
  </si>
  <si>
    <t>王明澤</t>
  </si>
  <si>
    <t>20250721170742010703</t>
  </si>
  <si>
    <t>17:07:42</t>
  </si>
  <si>
    <t>20250721131750010860</t>
  </si>
  <si>
    <t>13:17:50</t>
  </si>
  <si>
    <t>BQ114134</t>
  </si>
  <si>
    <t>陳星妤 陳星妍</t>
  </si>
  <si>
    <t>20250721110147010899</t>
  </si>
  <si>
    <t>11:01:47</t>
  </si>
  <si>
    <t>20250721093232010472</t>
  </si>
  <si>
    <t>09:32:32</t>
  </si>
  <si>
    <t>20250720101622010945</t>
  </si>
  <si>
    <t>10:16:22</t>
  </si>
  <si>
    <t>BQ114133</t>
  </si>
  <si>
    <t>王豈</t>
  </si>
  <si>
    <t>20250720085222010129</t>
  </si>
  <si>
    <t>08:52:22</t>
  </si>
  <si>
    <t>20250720083146010071</t>
  </si>
  <si>
    <t>08:31:46</t>
  </si>
  <si>
    <t>CQ113101</t>
  </si>
  <si>
    <t>廖禹晴 廖禹潼</t>
  </si>
  <si>
    <t>20250719161119010976</t>
  </si>
  <si>
    <t>16:11:19</t>
  </si>
  <si>
    <t>20250719153050010911</t>
  </si>
  <si>
    <t>15:30:50</t>
  </si>
  <si>
    <t>20250719125900010508</t>
  </si>
  <si>
    <t>12:59:00</t>
  </si>
  <si>
    <t>20250719114529010182</t>
  </si>
  <si>
    <t>11:45:29</t>
  </si>
  <si>
    <t>20250718200933010325</t>
  </si>
  <si>
    <t>20:09:33</t>
  </si>
  <si>
    <t>20250718195647010960</t>
  </si>
  <si>
    <t>19:56:47</t>
  </si>
  <si>
    <t>20250718190757010110</t>
  </si>
  <si>
    <t>19:07:57</t>
  </si>
  <si>
    <t>AQ114024</t>
  </si>
  <si>
    <r>
      <rPr>
        <sz val="10"/>
        <rFont val="Noto Sans CJK SC"/>
        <family val="2"/>
      </rPr>
      <t>楊昇翰 楊浣叡</t>
    </r>
    <r>
      <rPr>
        <sz val="10"/>
        <rFont val="Microsoft JhengHei"/>
        <family val="2"/>
        <charset val="136"/>
      </rPr>
      <t>Aden</t>
    </r>
  </si>
  <si>
    <t>20250718150150010754</t>
  </si>
  <si>
    <t>15:01:50</t>
  </si>
  <si>
    <t>BQ113439</t>
  </si>
  <si>
    <t>賴楷勝、賴楷翔</t>
  </si>
  <si>
    <t>20250717210435010630</t>
  </si>
  <si>
    <t>21:04:35</t>
  </si>
  <si>
    <t>CQ114165</t>
  </si>
  <si>
    <t>張⼜中 張恩瑀</t>
  </si>
  <si>
    <t>20250717205543010213</t>
  </si>
  <si>
    <t>20:55:43</t>
  </si>
  <si>
    <t>BQ114130</t>
  </si>
  <si>
    <t>陳潔云</t>
  </si>
  <si>
    <t>20250717204813010745</t>
  </si>
  <si>
    <t>20:48:13</t>
  </si>
  <si>
    <t>BQ114129</t>
  </si>
  <si>
    <r>
      <rPr>
        <sz val="10"/>
        <rFont val="Noto Sans CJK SC"/>
        <family val="2"/>
      </rPr>
      <t>廖柏勛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廖羿琁</t>
    </r>
  </si>
  <si>
    <t>20250717204658010838</t>
  </si>
  <si>
    <t>20:46:58</t>
  </si>
  <si>
    <t>20250717175455010981</t>
  </si>
  <si>
    <t>17:54:55</t>
  </si>
  <si>
    <t>20250717171918010264</t>
  </si>
  <si>
    <t>17:19:18</t>
  </si>
  <si>
    <t>BQ114127</t>
  </si>
  <si>
    <r>
      <rPr>
        <sz val="10"/>
        <rFont val="Noto Sans CJK SC"/>
        <family val="2"/>
      </rPr>
      <t>胡萁峰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胡丞萱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林品沂</t>
    </r>
  </si>
  <si>
    <t>20250717165916010530</t>
  </si>
  <si>
    <t>16:59:16</t>
  </si>
  <si>
    <t>20250716183513010728</t>
  </si>
  <si>
    <t>18:35:13</t>
  </si>
  <si>
    <t>20250716175427010861</t>
  </si>
  <si>
    <t>17:54:27</t>
  </si>
  <si>
    <t>20250716144825010980</t>
  </si>
  <si>
    <t>14:48:25</t>
  </si>
  <si>
    <t>AQ113313</t>
  </si>
  <si>
    <t>王語涵 王語希</t>
  </si>
  <si>
    <t>20250715214117010170</t>
  </si>
  <si>
    <t>21:41:17</t>
  </si>
  <si>
    <t>AQ1130704</t>
  </si>
  <si>
    <t>邱雅橙 邱承緒霍禹碩</t>
  </si>
  <si>
    <t>20250715152716010770</t>
  </si>
  <si>
    <t>15:27:16</t>
  </si>
  <si>
    <t>CQ114162</t>
  </si>
  <si>
    <r>
      <rPr>
        <sz val="10"/>
        <rFont val="Noto Sans CJK SC"/>
        <family val="2"/>
      </rPr>
      <t>吳采妍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陳宥希</t>
    </r>
  </si>
  <si>
    <t>20250715151736010751</t>
  </si>
  <si>
    <t>15:17:36</t>
  </si>
  <si>
    <t>BQ114126</t>
  </si>
  <si>
    <t>廖芷瑀</t>
  </si>
  <si>
    <t>20250715115015010363</t>
  </si>
  <si>
    <t>11:50:15</t>
  </si>
  <si>
    <t>CQ114161</t>
  </si>
  <si>
    <t>葉雨筑</t>
  </si>
  <si>
    <t>20250715112810010266</t>
  </si>
  <si>
    <t>11:28:10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</si>
  <si>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(50%) 1x14850</t>
    </r>
  </si>
  <si>
    <t>20250715094631010510</t>
  </si>
  <si>
    <t>09:46:31</t>
  </si>
  <si>
    <t>CQ114159</t>
  </si>
  <si>
    <r>
      <rPr>
        <sz val="10"/>
        <rFont val="Noto Sans CJK SC"/>
        <family val="2"/>
      </rPr>
      <t>葉雨晴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李倢妘</t>
    </r>
  </si>
  <si>
    <t>20250714202958010454</t>
  </si>
  <si>
    <t>20:29:58</t>
  </si>
  <si>
    <t>AQ1435778</t>
  </si>
  <si>
    <t>李泓緯</t>
  </si>
  <si>
    <t>20250714195646010851</t>
  </si>
  <si>
    <t>19:56:46</t>
  </si>
  <si>
    <t>CQ114158</t>
  </si>
  <si>
    <t>傅詩茜</t>
  </si>
  <si>
    <t>20250714140531010777</t>
  </si>
  <si>
    <t>14:05:31</t>
  </si>
  <si>
    <t>20250714121156010535</t>
  </si>
  <si>
    <t>12:11:56</t>
  </si>
  <si>
    <t>BQ114125</t>
  </si>
  <si>
    <r>
      <rPr>
        <sz val="10"/>
        <rFont val="Noto Sans CJK SC"/>
        <family val="2"/>
      </rPr>
      <t>黃璿元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黃麒祐</t>
    </r>
  </si>
  <si>
    <t>20250714114310010289</t>
  </si>
  <si>
    <t>11:43:10</t>
  </si>
  <si>
    <t>AQ113260</t>
  </si>
  <si>
    <t>溫翌辰</t>
  </si>
  <si>
    <t>20250714111411010418</t>
  </si>
  <si>
    <t>11:14:11</t>
  </si>
  <si>
    <t>20250713171416010404</t>
  </si>
  <si>
    <t>17:14:16</t>
  </si>
  <si>
    <t>20250713160224010612</t>
  </si>
  <si>
    <t>16:02:24</t>
  </si>
  <si>
    <t>AQ1130713</t>
  </si>
  <si>
    <t>簡劭謙 簡⾔叡</t>
  </si>
  <si>
    <t>20250713143555010740</t>
  </si>
  <si>
    <t>14:35:55</t>
  </si>
  <si>
    <t>CQ114137</t>
  </si>
  <si>
    <t>20250713125917010458</t>
  </si>
  <si>
    <t>12:59:17</t>
  </si>
  <si>
    <t>20250713093624010782</t>
  </si>
  <si>
    <t>09:36:24</t>
  </si>
  <si>
    <t>AQ1147131</t>
  </si>
  <si>
    <t>朱家儀 江霖睿</t>
  </si>
  <si>
    <t>20250713070832010885</t>
  </si>
  <si>
    <t>07:08:32</t>
  </si>
  <si>
    <t>20250712194455010762</t>
  </si>
  <si>
    <t>19:44:55</t>
  </si>
  <si>
    <t>AQ113409</t>
  </si>
  <si>
    <t>陳妍儒楊諭晴楊諭凱陳品潔</t>
  </si>
  <si>
    <t>20250712194148010678</t>
  </si>
  <si>
    <t>19:41:48</t>
  </si>
  <si>
    <t>AQ113166</t>
  </si>
  <si>
    <t>王瑞麟 王若權</t>
  </si>
  <si>
    <t>20250712184047010331</t>
  </si>
  <si>
    <t>18:40:47</t>
  </si>
  <si>
    <t>20250712182350010232</t>
  </si>
  <si>
    <t>18:23:50</t>
  </si>
  <si>
    <t>20250712172856010474</t>
  </si>
  <si>
    <t>17:28:56</t>
  </si>
  <si>
    <t>BQ1147123</t>
  </si>
  <si>
    <t>吳禹樂 吳宇辰</t>
  </si>
  <si>
    <t>20250712172511010940</t>
  </si>
  <si>
    <t>17:25:11</t>
  </si>
  <si>
    <t>AQ113261</t>
  </si>
  <si>
    <t>邱澈、郭宸皓、李洛瑀、雷起睿</t>
  </si>
  <si>
    <t>20250712141135010485</t>
  </si>
  <si>
    <t>14:11:35</t>
  </si>
  <si>
    <t>CQ114153</t>
  </si>
  <si>
    <t>陳胤銜 陳⾔芯林祈⾔</t>
  </si>
  <si>
    <t>20250712133003010365</t>
  </si>
  <si>
    <t>13:30:03</t>
  </si>
  <si>
    <t>20250712125009010458</t>
  </si>
  <si>
    <t>12:50:09</t>
  </si>
  <si>
    <t>BQ114015</t>
  </si>
  <si>
    <r>
      <rPr>
        <sz val="10"/>
        <rFont val="Noto Sans CJK SC"/>
        <family val="2"/>
      </rPr>
      <t>胡明琪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胡昭瑜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劉濚嘉</t>
    </r>
  </si>
  <si>
    <t>20250712104233010285</t>
  </si>
  <si>
    <t>10:42:33</t>
  </si>
  <si>
    <t>20250712090717010121</t>
  </si>
  <si>
    <t>09:07:17</t>
  </si>
  <si>
    <t>20250712084751010251</t>
  </si>
  <si>
    <t>08:47:51</t>
  </si>
  <si>
    <t>20250712082216010504</t>
  </si>
  <si>
    <t>08:22:16</t>
  </si>
  <si>
    <t>AQ114801</t>
  </si>
  <si>
    <r>
      <rPr>
        <sz val="10"/>
        <rFont val="Noto Sans CJK SC"/>
        <family val="2"/>
      </rPr>
      <t>張容瑄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張容榛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張容嘉</t>
    </r>
  </si>
  <si>
    <t>20250711191452010745</t>
  </si>
  <si>
    <t>19:14:52</t>
  </si>
  <si>
    <t>CQ114152</t>
  </si>
  <si>
    <t>李鴻均 李宥廷</t>
  </si>
  <si>
    <t>20250711141451010439</t>
  </si>
  <si>
    <t>14:14:51</t>
  </si>
  <si>
    <t>CQ113516</t>
  </si>
  <si>
    <t>姜晴 周芸彤 周楷致</t>
  </si>
  <si>
    <t>20250711132034010424</t>
  </si>
  <si>
    <t>13:20:34</t>
  </si>
  <si>
    <t>BQ114042</t>
  </si>
  <si>
    <r>
      <rPr>
        <sz val="10"/>
        <rFont val="Noto Sans CJK SC"/>
        <family val="2"/>
      </rPr>
      <t>林宸妤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林竑宇</t>
    </r>
  </si>
  <si>
    <t>20250711095952010322</t>
  </si>
  <si>
    <t>09:59:52</t>
  </si>
  <si>
    <t>CQ114150</t>
  </si>
  <si>
    <t>陳巧穎 陳巧韻</t>
  </si>
  <si>
    <t>20250710203104010121</t>
  </si>
  <si>
    <t>20:31:04</t>
  </si>
  <si>
    <t>20250710181743010061</t>
  </si>
  <si>
    <t>18:17:43</t>
  </si>
  <si>
    <t>CQ113513</t>
  </si>
  <si>
    <t>劉可絨 劉可絡</t>
  </si>
  <si>
    <t>20250710162631010436</t>
  </si>
  <si>
    <t>16:26:31</t>
  </si>
  <si>
    <t>20250710162433010058</t>
  </si>
  <si>
    <t>16:24:33</t>
  </si>
  <si>
    <t>20250710135531010084</t>
  </si>
  <si>
    <t>13:55:31</t>
  </si>
  <si>
    <t>20250710132412010043</t>
  </si>
  <si>
    <t>13:24:12</t>
  </si>
  <si>
    <t>AQ1140800</t>
  </si>
  <si>
    <t>Arina JeffersLouisa Jef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</si>
  <si>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1x1300</t>
    </r>
  </si>
  <si>
    <t>20250710122724010709</t>
  </si>
  <si>
    <t>12:27:24</t>
  </si>
  <si>
    <t>CQ114144</t>
  </si>
  <si>
    <t>許友薰</t>
  </si>
  <si>
    <t>20250709180922010959</t>
  </si>
  <si>
    <t>18:09:22</t>
  </si>
  <si>
    <t>CQ114146</t>
  </si>
  <si>
    <t>張少恆 謝昀旂劉岱柔 劉泌柔</t>
  </si>
  <si>
    <t>20250709170327010155</t>
  </si>
  <si>
    <t>17:03:27</t>
  </si>
  <si>
    <t>CQ114148</t>
  </si>
  <si>
    <t>許琂曦 盧世程陳⼠妍 陳⼠宏</t>
  </si>
  <si>
    <t>20250709113701010173</t>
  </si>
  <si>
    <t>11:37:01</t>
  </si>
  <si>
    <t>CQ113515</t>
  </si>
  <si>
    <t>張芷瑜 張芷瑄</t>
  </si>
  <si>
    <t>20250709105844010822</t>
  </si>
  <si>
    <t>10:58:44</t>
  </si>
  <si>
    <t>20250708171218010795</t>
  </si>
  <si>
    <t>17:12:18</t>
  </si>
  <si>
    <t>BQ114031</t>
  </si>
  <si>
    <r>
      <rPr>
        <sz val="10"/>
        <rFont val="Noto Sans CJK SC"/>
        <family val="2"/>
      </rPr>
      <t>朱怡璇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林強</t>
    </r>
  </si>
  <si>
    <t>20250708160129010511</t>
  </si>
  <si>
    <t>16:01:29</t>
  </si>
  <si>
    <t>BQ114065</t>
  </si>
  <si>
    <t>吳妤庭</t>
  </si>
  <si>
    <t>20250708140547010942</t>
  </si>
  <si>
    <t>14:05:47</t>
  </si>
  <si>
    <t>CQ114123</t>
  </si>
  <si>
    <t>吳芮昕 蔡愷恩蔡奕恩</t>
  </si>
  <si>
    <t>20250708135517010428</t>
  </si>
  <si>
    <t>13:55:17</t>
  </si>
  <si>
    <t>BQ114064</t>
  </si>
  <si>
    <t>李於晴 李於昊李於嘩</t>
  </si>
  <si>
    <t>20250708120902010237</t>
  </si>
  <si>
    <t>12:09:02</t>
  </si>
  <si>
    <t>20250707182539010332</t>
  </si>
  <si>
    <t>18:25:39</t>
  </si>
  <si>
    <t>20250707182010010058</t>
  </si>
  <si>
    <t>18:20:10</t>
  </si>
  <si>
    <t>20250707181823010032</t>
  </si>
  <si>
    <t>18:18:23</t>
  </si>
  <si>
    <t>20250707172814010961</t>
  </si>
  <si>
    <t>17:28:14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</si>
  <si>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家教課程</t>
    </r>
    <r>
      <rPr>
        <sz val="10"/>
        <rFont val="Microsoft JhengHei"/>
        <family val="2"/>
        <charset val="136"/>
      </rPr>
      <t>1VS2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1x1200</t>
    </r>
  </si>
  <si>
    <t>20250707170359010517</t>
  </si>
  <si>
    <t>17:03:59</t>
  </si>
  <si>
    <t>20250707162747010188</t>
  </si>
  <si>
    <t>16:27:47</t>
  </si>
  <si>
    <t>BQ114063</t>
  </si>
  <si>
    <t>姚伊潔</t>
  </si>
  <si>
    <t>20250707130659010954</t>
  </si>
  <si>
    <t>13:06:59</t>
  </si>
  <si>
    <t>CQ114141</t>
  </si>
  <si>
    <t>李⾀翔 李⾀甯</t>
  </si>
  <si>
    <t>20250707110757010777</t>
  </si>
  <si>
    <t>11:07:57</t>
  </si>
  <si>
    <t>20250707094101010421</t>
  </si>
  <si>
    <t>09:41:01</t>
  </si>
  <si>
    <t>BQ114045</t>
  </si>
  <si>
    <r>
      <rPr>
        <sz val="10"/>
        <rFont val="Noto Sans CJK SC"/>
        <family val="2"/>
      </rPr>
      <t>林湛禹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林瑀攸</t>
    </r>
  </si>
  <si>
    <t>20250706172738010083</t>
  </si>
  <si>
    <t>17:27:38</t>
  </si>
  <si>
    <t>20250706165435010131</t>
  </si>
  <si>
    <t>16:54:35</t>
  </si>
  <si>
    <t>20250706161837010344</t>
  </si>
  <si>
    <t>16:18:37</t>
  </si>
  <si>
    <t>BQ114046</t>
  </si>
  <si>
    <t>黃振庭</t>
  </si>
  <si>
    <t>20250706155509010331</t>
  </si>
  <si>
    <t>15:55:09</t>
  </si>
  <si>
    <t>20250706154500010760</t>
  </si>
  <si>
    <t>15:45:00</t>
  </si>
  <si>
    <t>AQ114100</t>
  </si>
  <si>
    <r>
      <rPr>
        <sz val="10"/>
        <rFont val="Noto Sans CJK SC"/>
        <family val="2"/>
      </rPr>
      <t>謝⼼綺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吳姚葦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何申令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林相⽻</t>
    </r>
  </si>
  <si>
    <t>20250706141544010538</t>
  </si>
  <si>
    <t>14:15:44</t>
  </si>
  <si>
    <t>BQ114061</t>
  </si>
  <si>
    <t>羅紓婧 羅紓昀</t>
  </si>
  <si>
    <t>20250706141230010921</t>
  </si>
  <si>
    <t>14:12:30</t>
  </si>
  <si>
    <t>20250706130202010029</t>
  </si>
  <si>
    <t>13:02:02</t>
  </si>
  <si>
    <t>CQ114116</t>
  </si>
  <si>
    <t>黃甯恩 黃頌恩</t>
  </si>
  <si>
    <t>20250706124310010428</t>
  </si>
  <si>
    <t>12:43:10</t>
  </si>
  <si>
    <t>20250706121301010676</t>
  </si>
  <si>
    <t>12:13:01</t>
  </si>
  <si>
    <t>AQ114047</t>
  </si>
  <si>
    <t>⾼維憶 蔡沛恩徐裕翔 徐華憶</t>
  </si>
  <si>
    <t>20250706120808010063</t>
  </si>
  <si>
    <t>12:08:08</t>
  </si>
  <si>
    <t>20250706093503011712</t>
  </si>
  <si>
    <t>09:35:03</t>
  </si>
  <si>
    <r>
      <rPr>
        <sz val="10"/>
        <rFont val="Noto Sans CJK SC"/>
        <family val="2"/>
      </rPr>
      <t>夢想體育學院</t>
    </r>
    <r>
      <rPr>
        <sz val="10"/>
        <rFont val="Microsoft JhengHei"/>
        <family val="2"/>
        <charset val="136"/>
      </rPr>
      <t>-</t>
    </r>
    <r>
      <rPr>
        <sz val="10"/>
        <rFont val="Noto Sans CJK SC"/>
        <family val="2"/>
      </rPr>
      <t>管理</t>
    </r>
  </si>
  <si>
    <t>AQ11407061</t>
  </si>
  <si>
    <t>朱家儀</t>
  </si>
  <si>
    <t>20250706090832010356</t>
  </si>
  <si>
    <t>09:08:32</t>
  </si>
  <si>
    <t>20250705195317010655</t>
  </si>
  <si>
    <t>19:53:17</t>
  </si>
  <si>
    <t>20250705162506010736</t>
  </si>
  <si>
    <t>16:25:06</t>
  </si>
  <si>
    <t>20250705142857010315</t>
  </si>
  <si>
    <t>14:28:57</t>
  </si>
  <si>
    <t>CQ114132</t>
  </si>
  <si>
    <t>趙威丞 張秘涵</t>
  </si>
  <si>
    <t>20250705141000010400</t>
  </si>
  <si>
    <t>14:10:00</t>
  </si>
  <si>
    <t>20250705114432010399</t>
  </si>
  <si>
    <t>11:44:32</t>
  </si>
  <si>
    <t>CQ114125</t>
  </si>
  <si>
    <t>曹軒政</t>
  </si>
  <si>
    <t>20250705114036010494</t>
  </si>
  <si>
    <t>11:40:36</t>
  </si>
  <si>
    <t>CQ114131</t>
  </si>
  <si>
    <t>周禹霏、周禹希</t>
  </si>
  <si>
    <t>20250705112818011056</t>
  </si>
  <si>
    <t>11:28:18</t>
  </si>
  <si>
    <t>20250705102832011876</t>
  </si>
  <si>
    <t>10:28:32</t>
  </si>
  <si>
    <t>AQ1140705</t>
  </si>
  <si>
    <t>謝定芃</t>
  </si>
  <si>
    <t>20250705101014010153</t>
  </si>
  <si>
    <t>10:10:14</t>
  </si>
  <si>
    <t>BQ114029</t>
  </si>
  <si>
    <r>
      <rPr>
        <sz val="10"/>
        <rFont val="Noto Sans CJK SC"/>
        <family val="2"/>
      </rPr>
      <t>褚政昕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林凡恭</t>
    </r>
  </si>
  <si>
    <t>20250705093714010911</t>
  </si>
  <si>
    <t>09:37:14</t>
  </si>
  <si>
    <t>20250704205839010765</t>
  </si>
  <si>
    <t>20:58:39</t>
  </si>
  <si>
    <t>20250704160005010929</t>
  </si>
  <si>
    <t>16:00:05</t>
  </si>
  <si>
    <t>BQ114050</t>
  </si>
  <si>
    <t>⽅再⺠</t>
  </si>
  <si>
    <t>20250704145802010909</t>
  </si>
  <si>
    <t>14:58:02</t>
  </si>
  <si>
    <t>AQ11400051</t>
  </si>
  <si>
    <r>
      <rPr>
        <sz val="10"/>
        <rFont val="Noto Sans CJK SC"/>
        <family val="2"/>
      </rPr>
      <t>謝修有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謝修平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楊振典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楊光</t>
    </r>
  </si>
  <si>
    <t>20250703175419010907</t>
  </si>
  <si>
    <t>17:54:19</t>
  </si>
  <si>
    <t>BQ114035</t>
  </si>
  <si>
    <t>陳佩苓</t>
  </si>
  <si>
    <t>20250703165739010682</t>
  </si>
  <si>
    <t>16:57:39</t>
  </si>
  <si>
    <t>20250703110122010127</t>
  </si>
  <si>
    <t>11:01:22</t>
  </si>
  <si>
    <t>20250702204905010093</t>
  </si>
  <si>
    <t>20:49:05</t>
  </si>
  <si>
    <t>A11407023</t>
  </si>
  <si>
    <t>李欣芮</t>
  </si>
  <si>
    <t>20250702194229010781</t>
  </si>
  <si>
    <t>19:42:29</t>
  </si>
  <si>
    <t>20250702155040010889</t>
  </si>
  <si>
    <t>15:50:40</t>
  </si>
  <si>
    <t>BQ114051</t>
  </si>
  <si>
    <t>葉⽻芯</t>
  </si>
  <si>
    <t>20250702153748010130</t>
  </si>
  <si>
    <t>15:37:48</t>
  </si>
  <si>
    <t>20250702153657010096</t>
  </si>
  <si>
    <t>15:36:57</t>
  </si>
  <si>
    <t>20250702140605010629</t>
  </si>
  <si>
    <t>14:06:05</t>
  </si>
  <si>
    <t>AQ113275</t>
  </si>
  <si>
    <t>江⾔彩</t>
  </si>
  <si>
    <t>20250701195103010891</t>
  </si>
  <si>
    <t>19:51:03</t>
  </si>
  <si>
    <t>20250701193011010932</t>
  </si>
  <si>
    <t>19:30:11</t>
  </si>
  <si>
    <t>20250701175757010147</t>
  </si>
  <si>
    <t>17:57:57</t>
  </si>
  <si>
    <t>20250701172359010268</t>
  </si>
  <si>
    <t>17:23:59</t>
  </si>
  <si>
    <t>BQ114058</t>
  </si>
  <si>
    <r>
      <rPr>
        <sz val="10"/>
        <rFont val="Noto Sans CJK SC"/>
        <family val="2"/>
      </rPr>
      <t>連義祥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連義展</t>
    </r>
  </si>
  <si>
    <t>20250701161453010330</t>
  </si>
  <si>
    <t>16:14:53</t>
  </si>
  <si>
    <t>BQ114057</t>
  </si>
  <si>
    <r>
      <rPr>
        <sz val="10"/>
        <rFont val="Noto Sans CJK SC"/>
        <family val="2"/>
      </rPr>
      <t>朱家蓉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許維宸</t>
    </r>
  </si>
  <si>
    <t>20250701161213010890</t>
  </si>
  <si>
    <t>16:12:13</t>
  </si>
  <si>
    <t>AQ113209</t>
  </si>
  <si>
    <t>侯善媜 侯博恩</t>
  </si>
  <si>
    <t>20250630203531010191</t>
  </si>
  <si>
    <t>20:35:31</t>
  </si>
  <si>
    <t>20250630202606010065</t>
  </si>
  <si>
    <t>20250629211151010905</t>
  </si>
  <si>
    <t>21:11:51</t>
  </si>
  <si>
    <t>20250629140013011375</t>
  </si>
  <si>
    <t>14:00:13</t>
  </si>
  <si>
    <t>AQ114105</t>
  </si>
  <si>
    <t>李柏芸</t>
  </si>
  <si>
    <t>20250629130217010107</t>
  </si>
  <si>
    <t>13:02:17</t>
  </si>
  <si>
    <t>20250629124710010365</t>
  </si>
  <si>
    <t>AQ114065</t>
  </si>
  <si>
    <t>李彥妤 李彥辰</t>
  </si>
  <si>
    <t>20250629095802010952</t>
  </si>
  <si>
    <t>09:58:02</t>
  </si>
  <si>
    <t>CQ114110</t>
  </si>
  <si>
    <t>陳泓志</t>
  </si>
  <si>
    <t>20250628175458010095</t>
  </si>
  <si>
    <t>17:54:58</t>
  </si>
  <si>
    <t>20250628160338010747</t>
  </si>
  <si>
    <t>16:03:38</t>
  </si>
  <si>
    <t>AQ1140628</t>
  </si>
  <si>
    <t>謝東哲 謝依靜謝佩璇</t>
  </si>
  <si>
    <t>20250628153011010418</t>
  </si>
  <si>
    <t>15:30:11</t>
  </si>
  <si>
    <t>20250628152838010029</t>
  </si>
  <si>
    <t>15:28:38</t>
  </si>
  <si>
    <t>AQ114079</t>
  </si>
  <si>
    <t>吳昱辰 吳⼦敬</t>
  </si>
  <si>
    <t>20250628152736010485</t>
  </si>
  <si>
    <t>15:27:36</t>
  </si>
  <si>
    <t>BQ113371</t>
  </si>
  <si>
    <t>彭于晏 馮淯翔馮宥堯</t>
  </si>
  <si>
    <t>20250628143251010495</t>
  </si>
  <si>
    <t>14:32:51</t>
  </si>
  <si>
    <t>20250628134321010327</t>
  </si>
  <si>
    <t>13:43:21</t>
  </si>
  <si>
    <t>AQ114057</t>
  </si>
  <si>
    <t>李⽻涵 李⽟瑄許秝珉</t>
  </si>
  <si>
    <t>20250628130425010041</t>
  </si>
  <si>
    <t>13:04:25</t>
  </si>
  <si>
    <t>20250628110946010855</t>
  </si>
  <si>
    <t>11:09:46</t>
  </si>
  <si>
    <t>20250628105618010893</t>
  </si>
  <si>
    <t>10:56:18</t>
  </si>
  <si>
    <t>20250628100136010542</t>
  </si>
  <si>
    <t>10:01:36</t>
  </si>
  <si>
    <t>20250628092745010088</t>
  </si>
  <si>
    <t>09:27:45</t>
  </si>
  <si>
    <t>CQ114115</t>
  </si>
  <si>
    <t>郭⽻芙 郭⽻恩謝佩岑 謝秉益</t>
  </si>
  <si>
    <t>20250626192757010291</t>
  </si>
  <si>
    <t>19:27:57</t>
  </si>
  <si>
    <t>AQ113019</t>
  </si>
  <si>
    <t>林昕穎</t>
  </si>
  <si>
    <t>20250626134723010254</t>
  </si>
  <si>
    <t>13:47:23</t>
  </si>
  <si>
    <t>CQ114999</t>
  </si>
  <si>
    <r>
      <rPr>
        <sz val="10"/>
        <rFont val="Noto Sans CJK SC"/>
        <family val="2"/>
      </rPr>
      <t>張鈞翔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張庭輔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陳竑傑</t>
    </r>
  </si>
  <si>
    <t>20250624205846010570</t>
  </si>
  <si>
    <t>20:58:46</t>
  </si>
  <si>
    <t>BQ114033</t>
  </si>
  <si>
    <r>
      <rPr>
        <sz val="10"/>
        <rFont val="Noto Sans CJK SC"/>
        <family val="2"/>
      </rPr>
      <t>余瑀彤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徐菁琬</t>
    </r>
  </si>
  <si>
    <t>20250623184831010834</t>
  </si>
  <si>
    <t>18:48:31</t>
  </si>
  <si>
    <t>CQ114113</t>
  </si>
  <si>
    <t>黃晨芯 李軒毅</t>
  </si>
  <si>
    <t>20250623100331010437</t>
  </si>
  <si>
    <t>10:03:31</t>
  </si>
  <si>
    <t>20250622162849010663</t>
  </si>
  <si>
    <t>16:28:49</t>
  </si>
  <si>
    <t>20250622154852010363</t>
  </si>
  <si>
    <t>15:48:52</t>
  </si>
  <si>
    <t>20250622142738010194</t>
  </si>
  <si>
    <t>14:27:38</t>
  </si>
  <si>
    <t>20250622142305010508</t>
  </si>
  <si>
    <t>14:23:05</t>
  </si>
  <si>
    <t>20250621185221010247</t>
  </si>
  <si>
    <t>18:52:21</t>
  </si>
  <si>
    <t>BQ114055</t>
  </si>
  <si>
    <r>
      <rPr>
        <sz val="10"/>
        <rFont val="Noto Sans CJK SC"/>
        <family val="2"/>
      </rPr>
      <t>蔡立源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劉懿萱</t>
    </r>
  </si>
  <si>
    <t>20250621164025010412</t>
  </si>
  <si>
    <t>16:40:25</t>
  </si>
  <si>
    <t>20250621123001010562</t>
  </si>
  <si>
    <t>12:30:01</t>
  </si>
  <si>
    <t>CQ113563</t>
  </si>
  <si>
    <t>張宇妡 張宇晴</t>
  </si>
  <si>
    <t>20250621122356010588</t>
  </si>
  <si>
    <t>12:23:56</t>
  </si>
  <si>
    <t>20250621080200010700</t>
  </si>
  <si>
    <t>08:02:00</t>
  </si>
  <si>
    <t>20250620201333010836</t>
  </si>
  <si>
    <t>20:13:33</t>
  </si>
  <si>
    <t>BQ114056</t>
  </si>
  <si>
    <r>
      <rPr>
        <sz val="10"/>
        <rFont val="Noto Sans CJK SC"/>
        <family val="2"/>
      </rPr>
      <t>陳宥翰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陳宥菲</t>
    </r>
  </si>
  <si>
    <t>20250619180604010732</t>
  </si>
  <si>
    <t>18:06:04</t>
  </si>
  <si>
    <t>20250619081827010953</t>
  </si>
  <si>
    <t>08:18:27</t>
  </si>
  <si>
    <t>20250618194458010663</t>
  </si>
  <si>
    <t>19:44:58</t>
  </si>
  <si>
    <t>20250617223011010949</t>
  </si>
  <si>
    <t>22:30:11</t>
  </si>
  <si>
    <t>20250617111644010691</t>
  </si>
  <si>
    <t>11:16:44</t>
  </si>
  <si>
    <t>CQ114104</t>
  </si>
  <si>
    <t>林語晴</t>
  </si>
  <si>
    <t>20250616203921010149</t>
  </si>
  <si>
    <t>20:39:21</t>
  </si>
  <si>
    <t>CQ114103</t>
  </si>
  <si>
    <t>蔡承縉</t>
  </si>
  <si>
    <t>20250616184143010990</t>
  </si>
  <si>
    <t>18:41:43</t>
  </si>
  <si>
    <t>20250615145608010777</t>
  </si>
  <si>
    <t>14:56:08</t>
  </si>
  <si>
    <t>BQ113223</t>
  </si>
  <si>
    <t>20250615133302010982</t>
  </si>
  <si>
    <t>13:33:02</t>
  </si>
  <si>
    <t>20250615113422010157</t>
  </si>
  <si>
    <t>11:34:22</t>
  </si>
  <si>
    <t>20250615084912010187</t>
  </si>
  <si>
    <t>08:49:12</t>
  </si>
  <si>
    <t>CQ114101</t>
  </si>
  <si>
    <r>
      <rPr>
        <sz val="10"/>
        <rFont val="Noto Sans CJK SC"/>
        <family val="2"/>
      </rPr>
      <t>周析澤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李泓均</t>
    </r>
  </si>
  <si>
    <t>20250614190958010183</t>
  </si>
  <si>
    <t>19:09:58</t>
  </si>
  <si>
    <t>20250614144435010341</t>
  </si>
  <si>
    <t>14:44:35</t>
  </si>
  <si>
    <t>AQ113171</t>
  </si>
  <si>
    <t>詹善榛</t>
  </si>
  <si>
    <t>20250614101457010780</t>
  </si>
  <si>
    <t>10:14:57</t>
  </si>
  <si>
    <t>20250614095420010632</t>
  </si>
  <si>
    <t>09:54:20</t>
  </si>
  <si>
    <t>20250613192908010667</t>
  </si>
  <si>
    <t>19:29:08</t>
  </si>
  <si>
    <t>BQ114044</t>
  </si>
  <si>
    <t>黃理恆</t>
  </si>
  <si>
    <t>20250613171749010791</t>
  </si>
  <si>
    <t>17:17:49</t>
  </si>
  <si>
    <t>AQ114526</t>
  </si>
  <si>
    <t>董乃中</t>
  </si>
  <si>
    <t>20250612211450010225</t>
  </si>
  <si>
    <t>21:14:50</t>
  </si>
  <si>
    <t>BQ114054</t>
  </si>
  <si>
    <r>
      <rPr>
        <sz val="10"/>
        <rFont val="Noto Sans CJK SC"/>
        <family val="2"/>
      </rPr>
      <t>王芯卉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王怡⽂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鄭宇芸</t>
    </r>
  </si>
  <si>
    <t>20250612184159010684</t>
  </si>
  <si>
    <t>18:41:59</t>
  </si>
  <si>
    <t>20250612180648010530</t>
  </si>
  <si>
    <t>18:06:48</t>
  </si>
  <si>
    <t>陳潔⽟ 陳冠⽂陳沛旭</t>
  </si>
  <si>
    <t>20250612173203010033</t>
  </si>
  <si>
    <t>17:32:03</t>
  </si>
  <si>
    <t>20250612152209010433</t>
  </si>
  <si>
    <t>15:22:09</t>
  </si>
  <si>
    <t>20250612141657010159</t>
  </si>
  <si>
    <t>14:16:57</t>
  </si>
  <si>
    <t>CQ114092</t>
  </si>
  <si>
    <t>王晏翎 王郁寧</t>
  </si>
  <si>
    <t>20250612141344010636</t>
  </si>
  <si>
    <t>14:13:44</t>
  </si>
  <si>
    <t>CQ114091</t>
  </si>
  <si>
    <t>鄭丞希 鄭丞傑</t>
  </si>
  <si>
    <t>20250612141029010293</t>
  </si>
  <si>
    <t>14:10:29</t>
  </si>
  <si>
    <t>CQ114090</t>
  </si>
  <si>
    <t>林宸麒 林芷瀅</t>
  </si>
  <si>
    <t>20250612140844010386</t>
  </si>
  <si>
    <t>14:08:44</t>
  </si>
  <si>
    <t>CQ114089</t>
  </si>
  <si>
    <t>吳雨霏 周雅鈴</t>
  </si>
  <si>
    <t>20250612135714010607</t>
  </si>
  <si>
    <t>13:57:14</t>
  </si>
  <si>
    <t>CQ113315</t>
  </si>
  <si>
    <t>賴宥諠 林品薰</t>
  </si>
  <si>
    <t>20250612131612010667</t>
  </si>
  <si>
    <t>13:16:12</t>
  </si>
  <si>
    <t>20250612130036010681</t>
  </si>
  <si>
    <t>13:00:36</t>
  </si>
  <si>
    <t>CQ113575</t>
  </si>
  <si>
    <t>宋俊賢、宋怡萱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</si>
  <si>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1x1300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1x1300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1x1300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1x1300</t>
    </r>
  </si>
  <si>
    <t>20250612125712010934</t>
  </si>
  <si>
    <t>12:57:12</t>
  </si>
  <si>
    <t>CQ114088</t>
  </si>
  <si>
    <t>王詠淳 許茹嫣</t>
  </si>
  <si>
    <t>20250612104145010347</t>
  </si>
  <si>
    <t>10:41:45</t>
  </si>
  <si>
    <t>20250612104010010078</t>
  </si>
  <si>
    <t>10:40:10</t>
  </si>
  <si>
    <t>CQ113609</t>
  </si>
  <si>
    <t>莊語祈莊語晨</t>
  </si>
  <si>
    <t>20250612103812010128</t>
  </si>
  <si>
    <t>10:38:12</t>
  </si>
  <si>
    <t>20250612103539010848</t>
  </si>
  <si>
    <t>10:35:39</t>
  </si>
  <si>
    <t>CQ114059</t>
  </si>
  <si>
    <t>邱紹宸 邱兆翔</t>
  </si>
  <si>
    <t>20250612103217010847</t>
  </si>
  <si>
    <t>10:32:17</t>
  </si>
  <si>
    <t>CQ114060</t>
  </si>
  <si>
    <t>吳彥廷 陳昀佐</t>
  </si>
  <si>
    <t>20250612103106010479</t>
  </si>
  <si>
    <t>10:31:06</t>
  </si>
  <si>
    <t>20250612103009010344</t>
  </si>
  <si>
    <t>10:30:09</t>
  </si>
  <si>
    <t>20250612102703010445</t>
  </si>
  <si>
    <t>10:27:03</t>
  </si>
  <si>
    <t>20250612102548010321</t>
  </si>
  <si>
    <t>10:25:48</t>
  </si>
  <si>
    <t>20250612102355010329</t>
  </si>
  <si>
    <t>10:23:55</t>
  </si>
  <si>
    <t>CQ113460</t>
  </si>
  <si>
    <t>20250612101920010172</t>
  </si>
  <si>
    <t>10:19:20</t>
  </si>
  <si>
    <t>CQ113653</t>
  </si>
  <si>
    <t>李雅惠</t>
  </si>
  <si>
    <t>20250612101006010915</t>
  </si>
  <si>
    <t>10:10:06</t>
  </si>
  <si>
    <t>CQ113666</t>
  </si>
  <si>
    <t>吳凱森</t>
  </si>
  <si>
    <t>20250612100450010245</t>
  </si>
  <si>
    <t>10:04:50</t>
  </si>
  <si>
    <t>20250611171857010220</t>
  </si>
  <si>
    <t>17:18:57</t>
  </si>
  <si>
    <t>20250610215038010643</t>
  </si>
  <si>
    <t>21:50:38</t>
  </si>
  <si>
    <t>20250610165209010212</t>
  </si>
  <si>
    <t>16:52:09</t>
  </si>
  <si>
    <t>20250609211150010304</t>
  </si>
  <si>
    <t>21:11:50</t>
  </si>
  <si>
    <t>BQ114043</t>
  </si>
  <si>
    <r>
      <rPr>
        <sz val="10"/>
        <rFont val="Noto Sans CJK SC"/>
        <family val="2"/>
      </rPr>
      <t>楊⼀中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何夢怡</t>
    </r>
  </si>
  <si>
    <t>20250609181845010653</t>
  </si>
  <si>
    <t>18:18:45</t>
  </si>
  <si>
    <t>BQ113266</t>
  </si>
  <si>
    <t>陳映澄</t>
  </si>
  <si>
    <t>20250609180756010572</t>
  </si>
  <si>
    <t>18:07:56</t>
  </si>
  <si>
    <t>AQ11546</t>
  </si>
  <si>
    <t>邱承緒 邱雅橙</t>
  </si>
  <si>
    <t>20250609174101010677</t>
  </si>
  <si>
    <t>17:41:01</t>
  </si>
  <si>
    <t>BQ114048</t>
  </si>
  <si>
    <t>20250609161932010599</t>
  </si>
  <si>
    <t>16:19:32</t>
  </si>
  <si>
    <t>CQ114077</t>
  </si>
  <si>
    <t>邱詩淇 邱廷恩</t>
  </si>
  <si>
    <t>20250608170712010084</t>
  </si>
  <si>
    <t>17:07:12</t>
  </si>
  <si>
    <t>20250608161510010633</t>
  </si>
  <si>
    <t>20250608155959010867</t>
  </si>
  <si>
    <t>15:59:59</t>
  </si>
  <si>
    <t>20250608141249010712</t>
  </si>
  <si>
    <t>14:12:49</t>
  </si>
  <si>
    <t>AQ11401</t>
  </si>
  <si>
    <r>
      <rPr>
        <sz val="10"/>
        <rFont val="Noto Sans CJK SC"/>
        <family val="2"/>
      </rPr>
      <t>林資彤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林資浩</t>
    </r>
  </si>
  <si>
    <t>20250608114318010726</t>
  </si>
  <si>
    <t>11:43:18</t>
  </si>
  <si>
    <t>BQ114049</t>
  </si>
  <si>
    <r>
      <rPr>
        <sz val="10"/>
        <rFont val="Noto Sans CJK SC"/>
        <family val="2"/>
      </rPr>
      <t>莊抉妤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呂允樂</t>
    </r>
  </si>
  <si>
    <t>20250608113150010674</t>
  </si>
  <si>
    <t>11:31:50</t>
  </si>
  <si>
    <t>BQ113399</t>
  </si>
  <si>
    <r>
      <rPr>
        <sz val="10"/>
        <rFont val="Noto Sans CJK SC"/>
        <family val="2"/>
      </rPr>
      <t>潘宜鎂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劉⽻涵</t>
    </r>
  </si>
  <si>
    <t>20250607152303010787</t>
  </si>
  <si>
    <t>15:23:03</t>
  </si>
  <si>
    <t>BQ113243</t>
  </si>
  <si>
    <r>
      <rPr>
        <sz val="10"/>
        <rFont val="Noto Sans CJK SC"/>
        <family val="2"/>
      </rPr>
      <t>黃煦凱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廖俞安</t>
    </r>
  </si>
  <si>
    <t>20250607151915010089</t>
  </si>
  <si>
    <t>15:19:15</t>
  </si>
  <si>
    <t>20250607150831010103</t>
  </si>
  <si>
    <t>15:08:31</t>
  </si>
  <si>
    <t>20250607150233010793</t>
  </si>
  <si>
    <t>15:02:33</t>
  </si>
  <si>
    <t>20250607144954010951</t>
  </si>
  <si>
    <t>14:49:54</t>
  </si>
  <si>
    <t>BQ114041</t>
  </si>
  <si>
    <t>蔡宜芳</t>
  </si>
  <si>
    <t>20250607143247010458</t>
  </si>
  <si>
    <t>14:32:47</t>
  </si>
  <si>
    <t>BQ114039</t>
  </si>
  <si>
    <r>
      <rPr>
        <sz val="10"/>
        <rFont val="Noto Sans CJK SC"/>
        <family val="2"/>
      </rPr>
      <t>吳邦誠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王丞皓</t>
    </r>
  </si>
  <si>
    <t>20250607142918010770</t>
  </si>
  <si>
    <t>14:29:18</t>
  </si>
  <si>
    <t>20250607142456010533</t>
  </si>
  <si>
    <t>14:24:56</t>
  </si>
  <si>
    <t>20250607141952010478</t>
  </si>
  <si>
    <t>14:19:52</t>
  </si>
  <si>
    <t>20250607141533010089</t>
  </si>
  <si>
    <t>14:15:33</t>
  </si>
  <si>
    <t>20250607115534010779</t>
  </si>
  <si>
    <t>11:55:34</t>
  </si>
  <si>
    <t>BQ114030</t>
  </si>
  <si>
    <t>楊昕語</t>
  </si>
  <si>
    <t>20250607112740010750</t>
  </si>
  <si>
    <t>11:27:40</t>
  </si>
  <si>
    <t>BQ114037</t>
  </si>
  <si>
    <t>陳⼼妍</t>
  </si>
  <si>
    <t>20250607111648010838</t>
  </si>
  <si>
    <t>11:16:48</t>
  </si>
  <si>
    <t>BQ114036</t>
  </si>
  <si>
    <r>
      <rPr>
        <sz val="10"/>
        <rFont val="Noto Sans CJK SC"/>
        <family val="2"/>
      </rPr>
      <t>姜昀希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潘衍丞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陳昱睿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周成洋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王新耀</t>
    </r>
  </si>
  <si>
    <t>20250607110801010021</t>
  </si>
  <si>
    <t>11:08:01</t>
  </si>
  <si>
    <t>BQ113132</t>
  </si>
  <si>
    <t>楊凱崴</t>
  </si>
  <si>
    <t>20250607110625010571</t>
  </si>
  <si>
    <t>11:06:25</t>
  </si>
  <si>
    <t>20250607110439010047</t>
  </si>
  <si>
    <t>11:04:39</t>
  </si>
  <si>
    <t>20250607110034010345</t>
  </si>
  <si>
    <t>11:00:34</t>
  </si>
  <si>
    <t>20250607105823010299</t>
  </si>
  <si>
    <t>10:58:23</t>
  </si>
  <si>
    <t>BQ113246</t>
  </si>
  <si>
    <t>王冠惟</t>
  </si>
  <si>
    <t>20250607105526010132</t>
  </si>
  <si>
    <t>10:55:26</t>
  </si>
  <si>
    <t>BQ113054</t>
  </si>
  <si>
    <t>周祉勳 周祉諾</t>
  </si>
  <si>
    <t>20250607103800010866</t>
  </si>
  <si>
    <t>10:38:00</t>
  </si>
  <si>
    <t>BQ1140005</t>
  </si>
  <si>
    <t>黃千任、蘇辰祐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</si>
  <si>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1x9000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1x9000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1x9000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(20%) 1x9000</t>
    </r>
  </si>
  <si>
    <t>20250607091938010998</t>
  </si>
  <si>
    <t>09:19:38</t>
  </si>
  <si>
    <t>20250606144150010020</t>
  </si>
  <si>
    <t>14:41:50</t>
  </si>
  <si>
    <t>20250606140003010667</t>
  </si>
  <si>
    <t>14:00:03</t>
  </si>
  <si>
    <t>AQ11402004</t>
  </si>
  <si>
    <r>
      <rPr>
        <sz val="10"/>
        <rFont val="Noto Sans CJK SC"/>
        <family val="2"/>
      </rPr>
      <t>李育騏</t>
    </r>
    <r>
      <rPr>
        <sz val="10"/>
        <rFont val="Microsoft JhengHei"/>
        <family val="2"/>
        <charset val="136"/>
      </rPr>
      <t xml:space="preserve">. </t>
    </r>
    <r>
      <rPr>
        <sz val="10"/>
        <rFont val="Noto Sans CJK SC"/>
        <family val="2"/>
      </rPr>
      <t>竇聆端</t>
    </r>
  </si>
  <si>
    <t>20250606135825010686</t>
  </si>
  <si>
    <t>13:58:25</t>
  </si>
  <si>
    <t>AQ113304</t>
  </si>
  <si>
    <t>陳育媃 陳宥廷</t>
  </si>
  <si>
    <t>20250606135656010508</t>
  </si>
  <si>
    <t>13:56:56</t>
  </si>
  <si>
    <t>AQ11402003</t>
  </si>
  <si>
    <r>
      <rPr>
        <sz val="10"/>
        <rFont val="Noto Sans CJK SC"/>
        <family val="2"/>
      </rPr>
      <t>許德豐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許青雲</t>
    </r>
  </si>
  <si>
    <t>20250606135258010611</t>
  </si>
  <si>
    <t>13:52:58</t>
  </si>
  <si>
    <t>20250606135210010282</t>
  </si>
  <si>
    <t>13:52:10</t>
  </si>
  <si>
    <t>20250606135126010679</t>
  </si>
  <si>
    <t>13:51:26</t>
  </si>
  <si>
    <t>AQ113325</t>
  </si>
  <si>
    <t>李長朔 廖辰佑簡迶宸</t>
  </si>
  <si>
    <t>20250606134925010217</t>
  </si>
  <si>
    <t>13:49:25</t>
  </si>
  <si>
    <t>AQ1131005</t>
  </si>
  <si>
    <t>黃采錡</t>
  </si>
  <si>
    <t>20250606134825010533</t>
  </si>
  <si>
    <t>13:48:25</t>
  </si>
  <si>
    <t>20250606134742010169</t>
  </si>
  <si>
    <t>13:47:42</t>
  </si>
  <si>
    <t>AQ114053</t>
  </si>
  <si>
    <t>張峰源 張博媛</t>
  </si>
  <si>
    <t>20250606134638010716</t>
  </si>
  <si>
    <t>13:46:38</t>
  </si>
  <si>
    <t>20250606134554010971</t>
  </si>
  <si>
    <t>13:45:54</t>
  </si>
  <si>
    <t>20250606134446010379</t>
  </si>
  <si>
    <t>13:44:46</t>
  </si>
  <si>
    <t>AQ11402002</t>
  </si>
  <si>
    <r>
      <rPr>
        <sz val="10"/>
        <rFont val="Noto Sans CJK SC"/>
        <family val="2"/>
      </rPr>
      <t>侯治辰</t>
    </r>
    <r>
      <rPr>
        <sz val="10"/>
        <rFont val="Microsoft JhengHei"/>
        <family val="2"/>
        <charset val="136"/>
      </rPr>
      <t xml:space="preserve">. </t>
    </r>
    <r>
      <rPr>
        <sz val="10"/>
        <rFont val="Noto Sans CJK SC"/>
        <family val="2"/>
      </rPr>
      <t>洪靖傑</t>
    </r>
  </si>
  <si>
    <t>20250606134007010266</t>
  </si>
  <si>
    <t>13:40:07</t>
  </si>
  <si>
    <t>20250605205737010818</t>
  </si>
  <si>
    <t>20:57:37</t>
  </si>
  <si>
    <t>BQ114034</t>
  </si>
  <si>
    <t>林宸寬</t>
  </si>
  <si>
    <t>20250605165948010487</t>
  </si>
  <si>
    <t>16:59:48</t>
  </si>
  <si>
    <t>CQ113778</t>
  </si>
  <si>
    <t>陳牧可 陳宇芙</t>
  </si>
  <si>
    <t>20250605163554010003</t>
  </si>
  <si>
    <t>16:35:54</t>
  </si>
  <si>
    <t>CQ114022</t>
  </si>
  <si>
    <t>陳宥誠</t>
  </si>
  <si>
    <t>20250603200514010431</t>
  </si>
  <si>
    <t>20:05:14</t>
  </si>
  <si>
    <t>20250603173017010406</t>
  </si>
  <si>
    <t>17:30:17</t>
  </si>
  <si>
    <t>20250601153109010921</t>
  </si>
  <si>
    <t>15:31:09</t>
  </si>
  <si>
    <t>CQ113570</t>
  </si>
  <si>
    <t>李品嫻、曾浚瑜、黃芊畯、黃⼦宸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</si>
  <si>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1x12000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1x12000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1x12000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1x12000</t>
    </r>
  </si>
  <si>
    <t>20250601141624010357</t>
  </si>
  <si>
    <t>14:16:24</t>
  </si>
  <si>
    <t>20250601102931010160</t>
  </si>
  <si>
    <t>10:29:31</t>
  </si>
  <si>
    <t>AQ114074</t>
  </si>
  <si>
    <t>卓燕</t>
  </si>
  <si>
    <t>20250601102311010608</t>
  </si>
  <si>
    <t>10:23:11</t>
  </si>
  <si>
    <t>20250527190331010555</t>
  </si>
  <si>
    <t>20250526191812010875</t>
  </si>
  <si>
    <t>19:18:12</t>
  </si>
  <si>
    <t>20250525154706010852</t>
  </si>
  <si>
    <t>15:47:06</t>
  </si>
  <si>
    <t>20250525101523010079</t>
  </si>
  <si>
    <t>10:15:23</t>
  </si>
  <si>
    <t>20250525100453010348</t>
  </si>
  <si>
    <t>10:04:53</t>
  </si>
  <si>
    <t>BQ113292</t>
  </si>
  <si>
    <t>謝侑恩</t>
  </si>
  <si>
    <t>20250525090850010579</t>
  </si>
  <si>
    <t>09:08:50</t>
  </si>
  <si>
    <t>20250525083925010183</t>
  </si>
  <si>
    <t>08:39:25</t>
  </si>
  <si>
    <t>AQ113034</t>
  </si>
  <si>
    <t>顧⼦琪</t>
  </si>
  <si>
    <t>20250524120030010384</t>
  </si>
  <si>
    <t>12:00:30</t>
  </si>
  <si>
    <t>20250524105658010799</t>
  </si>
  <si>
    <t>10:56:58</t>
  </si>
  <si>
    <t>BQ113415</t>
  </si>
  <si>
    <r>
      <rPr>
        <sz val="10"/>
        <rFont val="Noto Sans CJK SC"/>
        <family val="2"/>
      </rPr>
      <t>邱瑀盺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粱芷晴</t>
    </r>
  </si>
  <si>
    <t>20250523192513010298</t>
  </si>
  <si>
    <t>20250523172527010546</t>
  </si>
  <si>
    <t>17:25:27</t>
  </si>
  <si>
    <t>20250522172219010204</t>
  </si>
  <si>
    <t>17:22:19</t>
  </si>
  <si>
    <t>AQ1140010</t>
  </si>
  <si>
    <t>鐘⼦皓</t>
  </si>
  <si>
    <t>20250521151223010042</t>
  </si>
  <si>
    <t>15:12:23</t>
  </si>
  <si>
    <t>20250521135924010095</t>
  </si>
  <si>
    <t>13:59:24</t>
  </si>
  <si>
    <t>AQ1131010</t>
  </si>
  <si>
    <t>王澄宏</t>
  </si>
  <si>
    <t>20250521112521010207</t>
  </si>
  <si>
    <t>11:25:21</t>
  </si>
  <si>
    <t>20250521102855010970</t>
  </si>
  <si>
    <t>10:28:55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</si>
  <si>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(50%) 1x9000</t>
    </r>
  </si>
  <si>
    <t>20250519095359011590</t>
  </si>
  <si>
    <t>09:53:59</t>
  </si>
  <si>
    <t>新北家教會員汪宇綸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</si>
  <si>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1x1200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1x1200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1x1200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1x1200</t>
    </r>
  </si>
  <si>
    <t>20250518170143011091</t>
  </si>
  <si>
    <t>17:01:43</t>
  </si>
  <si>
    <t>20250518100859011216</t>
  </si>
  <si>
    <t>10:08:59</t>
  </si>
  <si>
    <t>20250518095539011258</t>
  </si>
  <si>
    <t>09:55:39</t>
  </si>
  <si>
    <t>20250518094023011262</t>
  </si>
  <si>
    <t>09:40:23</t>
  </si>
  <si>
    <t>20250518091603011454</t>
  </si>
  <si>
    <t>09:16:03</t>
  </si>
  <si>
    <t>20250517152526011421</t>
  </si>
  <si>
    <t>15:25:26</t>
  </si>
  <si>
    <t>20250517131321011468</t>
  </si>
  <si>
    <t>13:13:21</t>
  </si>
  <si>
    <t>20250517131027011009</t>
  </si>
  <si>
    <t>13:10:27</t>
  </si>
  <si>
    <t>AQ114023</t>
  </si>
  <si>
    <t>紀奐宇 紀炫宇張禹甯 張禹皓葉禹儂</t>
  </si>
  <si>
    <t>20250517130953011965</t>
  </si>
  <si>
    <t>13:09:53</t>
  </si>
  <si>
    <t>20250517130026011751</t>
  </si>
  <si>
    <t>13:00:26</t>
  </si>
  <si>
    <t>20250517095935011467</t>
  </si>
  <si>
    <t>09:59:35</t>
  </si>
  <si>
    <t>20250516193658011849</t>
  </si>
  <si>
    <t>19:36:58</t>
  </si>
  <si>
    <t>CQ114020</t>
  </si>
  <si>
    <t>張⼜中</t>
  </si>
  <si>
    <t>20250516164356011267</t>
  </si>
  <si>
    <t>16:43:56</t>
  </si>
  <si>
    <t>20250514205502011030</t>
  </si>
  <si>
    <t>20:55:02</t>
  </si>
  <si>
    <t>BQ114028</t>
  </si>
  <si>
    <r>
      <rPr>
        <sz val="10"/>
        <rFont val="Noto Sans CJK SC"/>
        <family val="2"/>
      </rPr>
      <t>郭芷吟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郭庭瑄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吳貞儀</t>
    </r>
  </si>
  <si>
    <t>20250513183526011020</t>
  </si>
  <si>
    <t>18:35:26</t>
  </si>
  <si>
    <t>BQ114022</t>
  </si>
  <si>
    <t>陳佩岑</t>
  </si>
  <si>
    <t>20250513143019011416</t>
  </si>
  <si>
    <t>14:30:19</t>
  </si>
  <si>
    <t>CQ114086</t>
  </si>
  <si>
    <t>李佩縈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</si>
  <si>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1x1200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1x1200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1x1200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1x1200
6.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1x1200</t>
    </r>
  </si>
  <si>
    <t>20250513141204011787</t>
  </si>
  <si>
    <t>14:12:04</t>
  </si>
  <si>
    <t>20250511205200011948</t>
  </si>
  <si>
    <t>20:52:00</t>
  </si>
  <si>
    <t>BQ113329</t>
  </si>
  <si>
    <t>潘昭彥潘昭廷</t>
  </si>
  <si>
    <t>20250511171219011698</t>
  </si>
  <si>
    <t>17:12:19</t>
  </si>
  <si>
    <t>20250511165023011936</t>
  </si>
  <si>
    <t>16:50:23</t>
  </si>
  <si>
    <t>20250511153532011053</t>
  </si>
  <si>
    <t>15:35:32</t>
  </si>
  <si>
    <t>20250511122158011178</t>
  </si>
  <si>
    <t>12:21:58</t>
  </si>
  <si>
    <t>BQ114026</t>
  </si>
  <si>
    <r>
      <rPr>
        <sz val="10"/>
        <rFont val="Noto Sans CJK SC"/>
        <family val="2"/>
      </rPr>
      <t>潘威愷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潘禹潔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潘禹蓁</t>
    </r>
  </si>
  <si>
    <t>20250511112955011055</t>
  </si>
  <si>
    <t>11:29:55</t>
  </si>
  <si>
    <t>BQ114025</t>
  </si>
  <si>
    <t>包孟加</t>
  </si>
  <si>
    <t>20250511100958011288</t>
  </si>
  <si>
    <t>10:09:58</t>
  </si>
  <si>
    <t>20250511100119011970</t>
  </si>
  <si>
    <t>10:01:19</t>
  </si>
  <si>
    <t>AQ1140569</t>
  </si>
  <si>
    <t>陳宏亮 陳宛琳</t>
  </si>
  <si>
    <t>20250510181719011938</t>
  </si>
  <si>
    <t>18:17:19</t>
  </si>
  <si>
    <t>AQ11457</t>
  </si>
  <si>
    <t>李承達 李欣芮楊忠穎</t>
  </si>
  <si>
    <t>20250510151302011833</t>
  </si>
  <si>
    <t>15:13:02</t>
  </si>
  <si>
    <t>20250510144547011188</t>
  </si>
  <si>
    <t>14:45:47</t>
  </si>
  <si>
    <t>AQ113089</t>
  </si>
  <si>
    <r>
      <rPr>
        <sz val="10"/>
        <rFont val="Noto Sans CJK SC"/>
        <family val="2"/>
      </rPr>
      <t>謝允昊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吳甯恩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</si>
  <si>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家教課程</t>
    </r>
    <r>
      <rPr>
        <sz val="10"/>
        <rFont val="Microsoft JhengHei"/>
        <family val="2"/>
        <charset val="136"/>
      </rPr>
      <t>1VS2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1x1200
2. </t>
    </r>
    <r>
      <rPr>
        <sz val="10"/>
        <rFont val="Noto Sans CJK SC"/>
        <family val="2"/>
      </rPr>
      <t>家教課程</t>
    </r>
    <r>
      <rPr>
        <sz val="10"/>
        <rFont val="Microsoft JhengHei"/>
        <family val="2"/>
        <charset val="136"/>
      </rPr>
      <t>1VS2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1x1200
3. </t>
    </r>
    <r>
      <rPr>
        <sz val="10"/>
        <rFont val="Noto Sans CJK SC"/>
        <family val="2"/>
      </rPr>
      <t>家教課程</t>
    </r>
    <r>
      <rPr>
        <sz val="10"/>
        <rFont val="Microsoft JhengHei"/>
        <family val="2"/>
        <charset val="136"/>
      </rPr>
      <t>1VS2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1x1200</t>
    </r>
  </si>
  <si>
    <t>20250510130904011673</t>
  </si>
  <si>
    <t>13:09:04</t>
  </si>
  <si>
    <t>AQ114082</t>
  </si>
  <si>
    <t>蔡姍諭 蔡萱螢</t>
  </si>
  <si>
    <t>20250510102401011859</t>
  </si>
  <si>
    <t>10:24:01</t>
  </si>
  <si>
    <t>20250509212124011219</t>
  </si>
  <si>
    <t>21:21:24</t>
  </si>
  <si>
    <t>CQ114065</t>
  </si>
  <si>
    <t>張祐嘉 張祐晨</t>
  </si>
  <si>
    <t>20250509212012011977</t>
  </si>
  <si>
    <t>21:20:12</t>
  </si>
  <si>
    <t>20250509200401011778</t>
  </si>
  <si>
    <t>20:04:01</t>
  </si>
  <si>
    <r>
      <rPr>
        <sz val="10"/>
        <rFont val="Microsoft JhengHei"/>
        <family val="2"/>
        <charset val="136"/>
      </rPr>
      <t>AQ113125-1</t>
    </r>
    <r>
      <rPr>
        <sz val="10"/>
        <rFont val="Noto Sans CJK SC"/>
        <family val="2"/>
      </rPr>
      <t>王歆雅 王俊叡張滋芸 張瑀洋</t>
    </r>
  </si>
  <si>
    <t>20250508180019011888</t>
  </si>
  <si>
    <t>18:00:19</t>
  </si>
  <si>
    <t>20250507185022011182</t>
  </si>
  <si>
    <t>18:50:22</t>
  </si>
  <si>
    <t>BQ114021</t>
  </si>
  <si>
    <r>
      <rPr>
        <sz val="10"/>
        <rFont val="Noto Sans CJK SC"/>
        <family val="2"/>
      </rPr>
      <t>胡允斌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朱沐欣</t>
    </r>
  </si>
  <si>
    <t>20250507184655011345</t>
  </si>
  <si>
    <t>18:46:55</t>
  </si>
  <si>
    <t>BQ114020</t>
  </si>
  <si>
    <t>朱可欣</t>
  </si>
  <si>
    <t>20250507171152011161</t>
  </si>
  <si>
    <t>17:11:52</t>
  </si>
  <si>
    <t>20250507150931011366</t>
  </si>
  <si>
    <t>15:09:31</t>
  </si>
  <si>
    <t>20250506212406011322</t>
  </si>
  <si>
    <t>21:24:06</t>
  </si>
  <si>
    <t>20250506212252011670</t>
  </si>
  <si>
    <t>21:22:52</t>
  </si>
  <si>
    <t>20250506190639011268</t>
  </si>
  <si>
    <t>19:06:39</t>
  </si>
  <si>
    <t>20250506190313011935</t>
  </si>
  <si>
    <t>19:03:13</t>
  </si>
  <si>
    <t>20250506180155011211</t>
  </si>
  <si>
    <t>18:01:55</t>
  </si>
  <si>
    <t>AQ114049</t>
  </si>
  <si>
    <t>劉家銘 黃宥恩</t>
  </si>
  <si>
    <t>20250506175625011420</t>
  </si>
  <si>
    <t>17:56:25</t>
  </si>
  <si>
    <t>20250505180226011201</t>
  </si>
  <si>
    <t>18:02:26</t>
  </si>
  <si>
    <t>20250505171831011530</t>
  </si>
  <si>
    <t>17:18:31</t>
  </si>
  <si>
    <t>CQ114062</t>
  </si>
  <si>
    <t>簡妍恩 簡芙恩</t>
  </si>
  <si>
    <t>20250504172150011767</t>
  </si>
  <si>
    <t>17:21:50</t>
  </si>
  <si>
    <t>20250504164811011932</t>
  </si>
  <si>
    <t>16:48:11</t>
  </si>
  <si>
    <t>20250504160936011018</t>
  </si>
  <si>
    <t>16:09:36</t>
  </si>
  <si>
    <t>20250504114842011318</t>
  </si>
  <si>
    <t>11:48:42</t>
  </si>
  <si>
    <t>AQ113164</t>
  </si>
  <si>
    <t>劉沐霓、劉沐琁</t>
  </si>
  <si>
    <t>20250504110450011130</t>
  </si>
  <si>
    <t>11:04:50</t>
  </si>
  <si>
    <t>20250503205539011974</t>
  </si>
  <si>
    <t>BQ112132</t>
  </si>
  <si>
    <t>謝昕辰謝昀琪</t>
  </si>
  <si>
    <t>20250503183050011256</t>
  </si>
  <si>
    <t>18:30:50</t>
  </si>
  <si>
    <t>BQ114018</t>
  </si>
  <si>
    <t>陳宥愷</t>
  </si>
  <si>
    <t>20250503161027011246</t>
  </si>
  <si>
    <t>16:10:27</t>
  </si>
  <si>
    <t>BQ114017</t>
  </si>
  <si>
    <r>
      <rPr>
        <sz val="10"/>
        <rFont val="Noto Sans CJK SC"/>
        <family val="2"/>
      </rPr>
      <t>徐翊華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徐翊宸</t>
    </r>
  </si>
  <si>
    <t>20250503144434011423</t>
  </si>
  <si>
    <t>14:44:34</t>
  </si>
  <si>
    <t>20250503144309011141</t>
  </si>
  <si>
    <t>14:43:09</t>
  </si>
  <si>
    <t>20250503141745011912</t>
  </si>
  <si>
    <t>14:17:45</t>
  </si>
  <si>
    <t>20250503132335011123</t>
  </si>
  <si>
    <t>13:23:35</t>
  </si>
  <si>
    <t>20250503113328011779</t>
  </si>
  <si>
    <t>11:33:28</t>
  </si>
  <si>
    <t>20250503102255011792</t>
  </si>
  <si>
    <t>10:22:55</t>
  </si>
  <si>
    <t>BQ114016</t>
  </si>
  <si>
    <r>
      <rPr>
        <sz val="10"/>
        <rFont val="Noto Sans CJK SC"/>
        <family val="2"/>
      </rPr>
      <t>吳奕廷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張軒⿑</t>
    </r>
  </si>
  <si>
    <t>20250502192701011891</t>
  </si>
  <si>
    <t>19:27:01</t>
  </si>
  <si>
    <t>20250502181147011875</t>
  </si>
  <si>
    <t>18:11:47</t>
  </si>
  <si>
    <t>BQ113328</t>
  </si>
  <si>
    <t>吳其昀吳奐甄</t>
  </si>
  <si>
    <t>20250430185243011981</t>
  </si>
  <si>
    <t>18:52:43</t>
  </si>
  <si>
    <t>20250429214703011113</t>
  </si>
  <si>
    <t>21:47:03</t>
  </si>
  <si>
    <t>BQ113507</t>
  </si>
  <si>
    <t>黃宥詳</t>
  </si>
  <si>
    <t>20250429193407011236</t>
  </si>
  <si>
    <t>19:34:07</t>
  </si>
  <si>
    <t>20250428171724011707</t>
  </si>
  <si>
    <t>17:17:24</t>
  </si>
  <si>
    <t>AQ113169</t>
  </si>
  <si>
    <t>黃⾱翔</t>
  </si>
  <si>
    <t>20250427195853011755</t>
  </si>
  <si>
    <t>19:58:53</t>
  </si>
  <si>
    <t>20250427110332011803</t>
  </si>
  <si>
    <t>11:03:32</t>
  </si>
  <si>
    <t>BQ114012</t>
  </si>
  <si>
    <t>侯瑀甄</t>
  </si>
  <si>
    <t>20250426184726011982</t>
  </si>
  <si>
    <t>18:47:26</t>
  </si>
  <si>
    <t>20250426143130011293</t>
  </si>
  <si>
    <t>14:31:30</t>
  </si>
  <si>
    <t>AQ114046</t>
  </si>
  <si>
    <t>李昱緯 李昱融</t>
  </si>
  <si>
    <t>20250426130559011615</t>
  </si>
  <si>
    <t>13:05:59</t>
  </si>
  <si>
    <t>20250426124752011766</t>
  </si>
  <si>
    <t>12:47:52</t>
  </si>
  <si>
    <t>BQ113366</t>
  </si>
  <si>
    <t>呂凱傑 呂昕芮</t>
  </si>
  <si>
    <t>20250426103802011839</t>
  </si>
  <si>
    <t>10:38:02</t>
  </si>
  <si>
    <t>20250426095653011313</t>
  </si>
  <si>
    <t>09:56:53</t>
  </si>
  <si>
    <t>20250425201718011456</t>
  </si>
  <si>
    <t>20:17:18</t>
  </si>
  <si>
    <t>20250425161851011308</t>
  </si>
  <si>
    <t>16:18:51</t>
  </si>
  <si>
    <t>AQ113391</t>
  </si>
  <si>
    <t>張睦訢 林昱昕李承⽲</t>
  </si>
  <si>
    <t>20250423130121011073</t>
  </si>
  <si>
    <t>13:01:21</t>
  </si>
  <si>
    <t>20250423095758011469</t>
  </si>
  <si>
    <t>09:57:58</t>
  </si>
  <si>
    <t>AQ1140100</t>
  </si>
  <si>
    <t>陳星宇 陳昱霏</t>
  </si>
  <si>
    <t>20250423095458011220</t>
  </si>
  <si>
    <t>09:54:58</t>
  </si>
  <si>
    <t>20250422183516011297</t>
  </si>
  <si>
    <t>18:35:16</t>
  </si>
  <si>
    <t>BQ113201</t>
  </si>
  <si>
    <t>陳⽂慶</t>
  </si>
  <si>
    <t>20250421192758011967</t>
  </si>
  <si>
    <t>19:27:58</t>
  </si>
  <si>
    <t>20250421150117011331</t>
  </si>
  <si>
    <t>15:01:17</t>
  </si>
  <si>
    <t>20250419174132011105</t>
  </si>
  <si>
    <t>17:41:32</t>
  </si>
  <si>
    <t>CQ1140056</t>
  </si>
  <si>
    <t>陳畇佐</t>
  </si>
  <si>
    <t>20250419161620011959</t>
  </si>
  <si>
    <t>AQ113097</t>
  </si>
  <si>
    <t>林靓軒 林靖宸林冝彰 林鈺榛</t>
  </si>
  <si>
    <t>20250419150509011682</t>
  </si>
  <si>
    <t>15:05:09</t>
  </si>
  <si>
    <t>20250417185031011636</t>
  </si>
  <si>
    <t>18:50:31</t>
  </si>
  <si>
    <t>吳芮昕 羅晨墐羅湘涵</t>
  </si>
  <si>
    <t>20250417184955011016</t>
  </si>
  <si>
    <t>18:49:55</t>
  </si>
  <si>
    <t>20250413140906011616</t>
  </si>
  <si>
    <t>14:09:06</t>
  </si>
  <si>
    <t>BQ114011</t>
  </si>
  <si>
    <r>
      <rPr>
        <sz val="10"/>
        <rFont val="Noto Sans CJK SC"/>
        <family val="2"/>
      </rPr>
      <t>葉軒綸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黃奕維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黃翊睿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藍禹晴</t>
    </r>
  </si>
  <si>
    <t>20250411233053011036</t>
  </si>
  <si>
    <t>23:30:53</t>
  </si>
  <si>
    <t>20250411151021011711</t>
  </si>
  <si>
    <t>15:10:21</t>
  </si>
  <si>
    <t>BQ113327</t>
  </si>
  <si>
    <t>陳宥呈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</si>
  <si>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1x6900
6.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>1x6900</t>
    </r>
  </si>
  <si>
    <t>20250408172623011273</t>
  </si>
  <si>
    <t>17:26:23</t>
  </si>
  <si>
    <t>20250408170246011302</t>
  </si>
  <si>
    <t>17:02:46</t>
  </si>
  <si>
    <t>CQ112011</t>
  </si>
  <si>
    <t>辜誼安</t>
  </si>
  <si>
    <t>20250408165114011302</t>
  </si>
  <si>
    <t>16:51:14</t>
  </si>
  <si>
    <t>20250402182153011548</t>
  </si>
  <si>
    <t>18:21:53</t>
  </si>
  <si>
    <t>20250402134305011573</t>
  </si>
  <si>
    <t>13:43:05</t>
  </si>
  <si>
    <t>AQ1140052</t>
  </si>
  <si>
    <r>
      <rPr>
        <sz val="10"/>
        <rFont val="Noto Sans CJK SC"/>
        <family val="2"/>
      </rPr>
      <t>徐⼦翔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徐溢成</t>
    </r>
  </si>
  <si>
    <t>20250331165200011721</t>
  </si>
  <si>
    <t>16:52:00</t>
  </si>
  <si>
    <t>20250330174216011727</t>
  </si>
  <si>
    <t>17:42:16</t>
  </si>
  <si>
    <t>BQ114008</t>
  </si>
  <si>
    <t>李思嘉</t>
  </si>
  <si>
    <t>20250328164340011780</t>
  </si>
  <si>
    <t>16:43:40</t>
  </si>
  <si>
    <t>20250326142847011980</t>
  </si>
  <si>
    <t>14:28:47</t>
  </si>
  <si>
    <t>20250326134142011423</t>
  </si>
  <si>
    <t>13:41:42</t>
  </si>
  <si>
    <t>CQ114003</t>
  </si>
  <si>
    <r>
      <rPr>
        <sz val="10"/>
        <rFont val="Noto Sans CJK SC"/>
        <family val="2"/>
      </rPr>
      <t>林芸希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陳睿安</t>
    </r>
  </si>
  <si>
    <t>20250323190621011600</t>
  </si>
  <si>
    <t>19:06:21</t>
  </si>
  <si>
    <t>20250319155749011513</t>
  </si>
  <si>
    <t>15:57:49</t>
  </si>
  <si>
    <t>20250319144824011296</t>
  </si>
  <si>
    <t>14:48:24</t>
  </si>
  <si>
    <t>20250319144242011537</t>
  </si>
  <si>
    <t>14:42:42</t>
  </si>
  <si>
    <t>BQ113330</t>
  </si>
  <si>
    <t>陳宜蓁陳聖樺</t>
  </si>
  <si>
    <t>20250319143658011569</t>
  </si>
  <si>
    <t>14:36:58</t>
  </si>
  <si>
    <t>20250319143403011452</t>
  </si>
  <si>
    <t>14:34:03</t>
  </si>
  <si>
    <t>20250319142453011768</t>
  </si>
  <si>
    <t>14:24:53</t>
  </si>
  <si>
    <t>20250319141025011043</t>
  </si>
  <si>
    <t>14:10:25</t>
  </si>
  <si>
    <t>CQ113541</t>
  </si>
  <si>
    <t>潘珮雯</t>
  </si>
  <si>
    <t>20250319135325011508</t>
  </si>
  <si>
    <t>13:53:25</t>
  </si>
  <si>
    <t>AQ113379</t>
  </si>
  <si>
    <t>江欣庭</t>
  </si>
  <si>
    <t>20250319134612011391</t>
  </si>
  <si>
    <t>13:46:12</t>
  </si>
  <si>
    <t>AQ11400052</t>
  </si>
  <si>
    <r>
      <rPr>
        <sz val="10"/>
        <rFont val="Noto Sans CJK SC"/>
        <family val="2"/>
      </rPr>
      <t>陳采樂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陳令亞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林睿澤</t>
    </r>
  </si>
  <si>
    <t>20250319110329011718</t>
  </si>
  <si>
    <t>11:03:29</t>
  </si>
  <si>
    <t>20250319110039011773</t>
  </si>
  <si>
    <t>11:00:39</t>
  </si>
  <si>
    <t>20250319104249011188</t>
  </si>
  <si>
    <t>10:42:49</t>
  </si>
  <si>
    <t>20250318204042011045</t>
  </si>
  <si>
    <t>20:40:42</t>
  </si>
  <si>
    <t>CQ113589</t>
  </si>
  <si>
    <t>楊韻玲</t>
  </si>
  <si>
    <t>20250318182513011690</t>
  </si>
  <si>
    <t>18:25:13</t>
  </si>
  <si>
    <t>20250318093425011176</t>
  </si>
  <si>
    <t>09:34:25</t>
  </si>
  <si>
    <t>20250316155636011031</t>
  </si>
  <si>
    <t>15:56:36</t>
  </si>
  <si>
    <t>CQ114021</t>
  </si>
  <si>
    <r>
      <rPr>
        <sz val="10"/>
        <rFont val="Noto Sans CJK SC"/>
        <family val="2"/>
      </rPr>
      <t>李以樂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連予曦</t>
    </r>
  </si>
  <si>
    <t>20250316155152011614</t>
  </si>
  <si>
    <t>15:51:52</t>
  </si>
  <si>
    <t>20250316154644011254</t>
  </si>
  <si>
    <t>15:46:44</t>
  </si>
  <si>
    <t>20250316120343011516</t>
  </si>
  <si>
    <t>12:03:43</t>
  </si>
  <si>
    <t>AQ114016</t>
  </si>
  <si>
    <t>林語晴 林品妍</t>
  </si>
  <si>
    <t>20250315173210011016</t>
  </si>
  <si>
    <t>17:32:10</t>
  </si>
  <si>
    <t>BQ113288</t>
  </si>
  <si>
    <t>彭宇震</t>
  </si>
  <si>
    <t>20250315130723011234</t>
  </si>
  <si>
    <t>13:07:23</t>
  </si>
  <si>
    <t>20250315114509011288</t>
  </si>
  <si>
    <t>11:45:09</t>
  </si>
  <si>
    <t>BQ113357</t>
  </si>
  <si>
    <t>陳冠荃 陳品霓謝辰逸</t>
  </si>
  <si>
    <t>20250314150720011709</t>
  </si>
  <si>
    <t>15:07:20</t>
  </si>
  <si>
    <t>20250314144853011538</t>
  </si>
  <si>
    <t>14:48:53</t>
  </si>
  <si>
    <t>CQ114015</t>
  </si>
  <si>
    <r>
      <rPr>
        <sz val="10"/>
        <rFont val="Noto Sans CJK SC"/>
        <family val="2"/>
      </rPr>
      <t>陳致瑋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徐郁涵</t>
    </r>
  </si>
  <si>
    <t>20250314141814011975</t>
  </si>
  <si>
    <t>14:18:14</t>
  </si>
  <si>
    <t>20250314141518011689</t>
  </si>
  <si>
    <t>14:15:18</t>
  </si>
  <si>
    <t>20250313212454011754</t>
  </si>
  <si>
    <t>21:24:54</t>
  </si>
  <si>
    <t>20250313205825011763</t>
  </si>
  <si>
    <t>20:58:25</t>
  </si>
  <si>
    <t>20250313205500011675</t>
  </si>
  <si>
    <t>20:55:00</t>
  </si>
  <si>
    <t>20250313203648011708</t>
  </si>
  <si>
    <t>20:36:48</t>
  </si>
  <si>
    <t>BQ113379</t>
  </si>
  <si>
    <r>
      <rPr>
        <sz val="10"/>
        <rFont val="Noto Sans CJK SC"/>
        <family val="2"/>
      </rPr>
      <t>陳韻晴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陳繹翔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廖翊宸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廖翊妡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葉可彤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鄭博升</t>
    </r>
  </si>
  <si>
    <t>20250313202823011766</t>
  </si>
  <si>
    <t>20:28:23</t>
  </si>
  <si>
    <t>20250313202651011139</t>
  </si>
  <si>
    <t>20:26:51</t>
  </si>
  <si>
    <t>CQ114011</t>
  </si>
  <si>
    <r>
      <rPr>
        <sz val="10"/>
        <rFont val="Noto Sans CJK SC"/>
        <family val="2"/>
      </rPr>
      <t>陳宥蓁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陳宥翔</t>
    </r>
  </si>
  <si>
    <t>20250313202118011588</t>
  </si>
  <si>
    <t>20:21:18</t>
  </si>
  <si>
    <t>20250313201906011822</t>
  </si>
  <si>
    <t>20:19:06</t>
  </si>
  <si>
    <t>20250313200313011981</t>
  </si>
  <si>
    <t>20:03:13</t>
  </si>
  <si>
    <t>20250313190819011226</t>
  </si>
  <si>
    <t>19:08:19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</si>
  <si>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1x9000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1x9000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(20%) 1x9000</t>
    </r>
  </si>
  <si>
    <t>20250313190253011824</t>
  </si>
  <si>
    <t>19:02:53</t>
  </si>
  <si>
    <t>龔浩誠、龔浩</t>
  </si>
  <si>
    <t>20250313182416011838</t>
  </si>
  <si>
    <t>18:24:16</t>
  </si>
  <si>
    <t>20250312214554011668</t>
  </si>
  <si>
    <t>21:45:54</t>
  </si>
  <si>
    <t>20250312174305011690</t>
  </si>
  <si>
    <t>17:43:05</t>
  </si>
  <si>
    <t>20250312173620011910</t>
  </si>
  <si>
    <t>17:36:20</t>
  </si>
  <si>
    <t>20250312171709011270</t>
  </si>
  <si>
    <t>17:17:09</t>
  </si>
  <si>
    <t>BQ114004</t>
  </si>
  <si>
    <t>黃品學</t>
  </si>
  <si>
    <t>20250312162326011406</t>
  </si>
  <si>
    <t>16:23:26</t>
  </si>
  <si>
    <t>BQ114002</t>
  </si>
  <si>
    <r>
      <rPr>
        <sz val="10"/>
        <rFont val="Noto Sans CJK SC"/>
        <family val="2"/>
      </rPr>
      <t>李豈碩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李晏慈</t>
    </r>
  </si>
  <si>
    <t>20250312152621011402</t>
  </si>
  <si>
    <t>15:26:21</t>
  </si>
  <si>
    <t>AQ113362</t>
  </si>
  <si>
    <t>關弘毅 謝沛晴</t>
  </si>
  <si>
    <t>20250311204836011224</t>
  </si>
  <si>
    <t>20:48:36</t>
  </si>
  <si>
    <t>20250311203654011830</t>
  </si>
  <si>
    <t>20:36:54</t>
  </si>
  <si>
    <t>20250311203129011901</t>
  </si>
  <si>
    <t>20:31:29</t>
  </si>
  <si>
    <t>AQ113246</t>
  </si>
  <si>
    <t>盧妍亘</t>
  </si>
  <si>
    <t>20250311201702011148</t>
  </si>
  <si>
    <t>20:17:02</t>
  </si>
  <si>
    <t>20250311195533011163</t>
  </si>
  <si>
    <t>19:55:33</t>
  </si>
  <si>
    <t>20250311195025011437</t>
  </si>
  <si>
    <t>19:50:25</t>
  </si>
  <si>
    <t>CQ113665</t>
  </si>
  <si>
    <t>張雅婷</t>
  </si>
  <si>
    <t>20250311194811011191</t>
  </si>
  <si>
    <t>19:48:11</t>
  </si>
  <si>
    <t>CQ113581</t>
  </si>
  <si>
    <t>余思樺</t>
  </si>
  <si>
    <t>20250311194605011035</t>
  </si>
  <si>
    <t>19:46:05</t>
  </si>
  <si>
    <t>20250311194452011282</t>
  </si>
  <si>
    <t>19:44:52</t>
  </si>
  <si>
    <t>20250311192928011727</t>
  </si>
  <si>
    <t>19:29:28</t>
  </si>
  <si>
    <t>BQ113086</t>
  </si>
  <si>
    <r>
      <rPr>
        <sz val="10"/>
        <rFont val="Noto Sans CJK SC"/>
        <family val="2"/>
      </rPr>
      <t>王歆媛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王彥蓁</t>
    </r>
  </si>
  <si>
    <t>20250311192118011207</t>
  </si>
  <si>
    <t>19:21:18</t>
  </si>
  <si>
    <t>20250311185515011565</t>
  </si>
  <si>
    <t>18:55:15</t>
  </si>
  <si>
    <t>20250311182909011130</t>
  </si>
  <si>
    <t>18:29:09</t>
  </si>
  <si>
    <t>CQ113454</t>
  </si>
  <si>
    <t>何采璇 林紫橦葉佳恩</t>
  </si>
  <si>
    <t>20250311182757011945</t>
  </si>
  <si>
    <t>18:27:57</t>
  </si>
  <si>
    <t>CQ113452</t>
  </si>
  <si>
    <t>何岑駿 林儀沁</t>
  </si>
  <si>
    <t>20250311181136011135</t>
  </si>
  <si>
    <t>18:11:36</t>
  </si>
  <si>
    <t>20250311174523011452</t>
  </si>
  <si>
    <t>17:45:23</t>
  </si>
  <si>
    <t>AQ113356</t>
  </si>
  <si>
    <t>曾柏瑋 曾譩萱</t>
  </si>
  <si>
    <t>20250311173115011662</t>
  </si>
  <si>
    <t>17:31:15</t>
  </si>
  <si>
    <t>20250304094456011520</t>
  </si>
  <si>
    <t>09:44:56</t>
  </si>
  <si>
    <t>CQ1140020</t>
  </si>
  <si>
    <t>20250301155525011966</t>
  </si>
  <si>
    <t>15:55:25</t>
  </si>
  <si>
    <t>20250227185951011824</t>
  </si>
  <si>
    <t>18:59:51</t>
  </si>
  <si>
    <t>AQ1140016</t>
  </si>
  <si>
    <t>鐘⼦皓 潘秐琋</t>
  </si>
  <si>
    <t>20250225162600011249</t>
  </si>
  <si>
    <t>16:26:00</t>
  </si>
  <si>
    <t>BQ113123</t>
  </si>
  <si>
    <t>李潔寧</t>
  </si>
  <si>
    <t>20250224185545011817</t>
  </si>
  <si>
    <t>18:55:45</t>
  </si>
  <si>
    <t>20250224185422011362</t>
  </si>
  <si>
    <t>18:54:22</t>
  </si>
  <si>
    <t>AQ113265</t>
  </si>
  <si>
    <t>姜允澤</t>
  </si>
  <si>
    <t>20250224185209011511</t>
  </si>
  <si>
    <t>18:52:09</t>
  </si>
  <si>
    <t>AQ113241</t>
  </si>
  <si>
    <t>楊曜榮 楊燦榮</t>
  </si>
  <si>
    <t>20250224175602011469</t>
  </si>
  <si>
    <t>17:56:02</t>
  </si>
  <si>
    <t>20250224175359011811</t>
  </si>
  <si>
    <t>17:53:59</t>
  </si>
  <si>
    <t>20250224175229011959</t>
  </si>
  <si>
    <t>17:52:29</t>
  </si>
  <si>
    <t>BQ113301</t>
  </si>
  <si>
    <r>
      <rPr>
        <sz val="10"/>
        <rFont val="Noto Sans CJK SC"/>
        <family val="2"/>
      </rPr>
      <t>鄭⽻彤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鄭涵勻</t>
    </r>
  </si>
  <si>
    <t>20250224175152011212</t>
  </si>
  <si>
    <t>17:51:52</t>
  </si>
  <si>
    <t>CQ113423</t>
  </si>
  <si>
    <t>蔡⼦媛 蔡⼦安</t>
  </si>
  <si>
    <t>20250224175019011498</t>
  </si>
  <si>
    <t>17:50:19</t>
  </si>
  <si>
    <t>20250224174815011717</t>
  </si>
  <si>
    <t>17:48:15</t>
  </si>
  <si>
    <t>CQ114004</t>
  </si>
  <si>
    <t>邵⼠軒 邵⼠峰</t>
  </si>
  <si>
    <t>20250224174712011604</t>
  </si>
  <si>
    <t>17:47:12</t>
  </si>
  <si>
    <t>CQ113735</t>
  </si>
  <si>
    <t>簡愷均 簡楷桀陳泓宇 陳彥希⽅睿德</t>
  </si>
  <si>
    <t>20250224174507011119</t>
  </si>
  <si>
    <t>17:45:07</t>
  </si>
  <si>
    <t>20250224172842011339</t>
  </si>
  <si>
    <t>17:28:42</t>
  </si>
  <si>
    <t>20250222072214011866</t>
  </si>
  <si>
    <t>07:22:14</t>
  </si>
  <si>
    <t>20250222065109011892</t>
  </si>
  <si>
    <t>06:51:09</t>
  </si>
  <si>
    <t>20250220154308011445</t>
  </si>
  <si>
    <t>15:43:08</t>
  </si>
  <si>
    <t>20250220153134011170</t>
  </si>
  <si>
    <t>15:31:34</t>
  </si>
  <si>
    <t>CQ113398</t>
  </si>
  <si>
    <t>葉修辰 葉柏謙何啓睿 何宜瑾</t>
  </si>
  <si>
    <t>20250220152655011921</t>
  </si>
  <si>
    <t>20250220113146011932</t>
  </si>
  <si>
    <t>11:31:46</t>
  </si>
  <si>
    <t>20250220112555011357</t>
  </si>
  <si>
    <t>11:25:55</t>
  </si>
  <si>
    <t>CQ1140014</t>
  </si>
  <si>
    <r>
      <rPr>
        <sz val="10"/>
        <rFont val="Noto Sans CJK SC"/>
        <family val="2"/>
      </rPr>
      <t>林偉程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楊⼜璇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陳儒佑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陳漢祥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陳姿欣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</si>
  <si>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1VS5 1x15000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1VS5 1x15000</t>
    </r>
  </si>
  <si>
    <t>20250219115953011051</t>
  </si>
  <si>
    <t>11:59:53</t>
  </si>
  <si>
    <t>20250219115819011214</t>
  </si>
  <si>
    <t>11:58:19</t>
  </si>
  <si>
    <t>CQ1140012</t>
  </si>
  <si>
    <r>
      <rPr>
        <sz val="10"/>
        <rFont val="Noto Sans CJK SC"/>
        <family val="2"/>
      </rPr>
      <t>李以樂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郭語恩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連予曦</t>
    </r>
  </si>
  <si>
    <t>20250219115520011362</t>
  </si>
  <si>
    <t>11:55:20</t>
  </si>
  <si>
    <t>CQ1140011</t>
  </si>
  <si>
    <r>
      <rPr>
        <sz val="10"/>
        <rFont val="Noto Sans CJK SC"/>
        <family val="2"/>
      </rPr>
      <t xml:space="preserve">林妤恩 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黃靖惠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 xml:space="preserve">吳虹樺 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孔晨熙</t>
    </r>
  </si>
  <si>
    <t>20250219115242011919</t>
  </si>
  <si>
    <t>11:52:42</t>
  </si>
  <si>
    <t>CQ1140010</t>
  </si>
  <si>
    <t>鐘昱凱</t>
  </si>
  <si>
    <t>20250218142041011288</t>
  </si>
  <si>
    <t>14:20:41</t>
  </si>
  <si>
    <t>BQ114001</t>
  </si>
  <si>
    <r>
      <rPr>
        <sz val="10"/>
        <rFont val="Noto Sans CJK SC"/>
        <family val="2"/>
      </rPr>
      <t>潘柏⾢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巴洛克</t>
    </r>
  </si>
  <si>
    <t>20250218141703011895</t>
  </si>
  <si>
    <t>14:17:03</t>
  </si>
  <si>
    <t>CQ114009</t>
  </si>
  <si>
    <t>葉豪騏</t>
  </si>
  <si>
    <t>20250218141523011193</t>
  </si>
  <si>
    <t>14:15:23</t>
  </si>
  <si>
    <t>20250218141326011040</t>
  </si>
  <si>
    <t>14:13:26</t>
  </si>
  <si>
    <t>20250217144738011257</t>
  </si>
  <si>
    <t>14:47:38</t>
  </si>
  <si>
    <t>AQ113355</t>
  </si>
  <si>
    <t>李泯澈 許宸瑀⾼睿⾔</t>
  </si>
  <si>
    <t>20250217144654011432</t>
  </si>
  <si>
    <t>14:46:54</t>
  </si>
  <si>
    <t>AQ113191</t>
  </si>
  <si>
    <t>蔡⼦婕 蔡光宇</t>
  </si>
  <si>
    <t>20250217143929011961</t>
  </si>
  <si>
    <t>14:39:29</t>
  </si>
  <si>
    <t>20250217143655011646</t>
  </si>
  <si>
    <t>14:36:55</t>
  </si>
  <si>
    <t>AQ113292</t>
  </si>
  <si>
    <t>修樂菲、修樂翔</t>
  </si>
  <si>
    <t>20250217143449011015</t>
  </si>
  <si>
    <t>14:34:49</t>
  </si>
  <si>
    <t>BQ113394</t>
  </si>
  <si>
    <r>
      <rPr>
        <sz val="10"/>
        <rFont val="Noto Sans CJK SC"/>
        <family val="2"/>
      </rPr>
      <t>林媗緹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林宣澔</t>
    </r>
  </si>
  <si>
    <t>20250217143256011245</t>
  </si>
  <si>
    <t>14:32:56</t>
  </si>
  <si>
    <t>AQ993</t>
  </si>
  <si>
    <t>林美君 蘇峻騏丁詳恩</t>
  </si>
  <si>
    <t>20250217143121011092</t>
  </si>
  <si>
    <t>14:31:21</t>
  </si>
  <si>
    <t>BQ113358</t>
  </si>
  <si>
    <t>李沛穎 李昀柔李昀霓</t>
  </si>
  <si>
    <t>20250217142851011636</t>
  </si>
  <si>
    <t>14:28:51</t>
  </si>
  <si>
    <t>20250217142719011344</t>
  </si>
  <si>
    <t>14:27:19</t>
  </si>
  <si>
    <t>20250217142622011580</t>
  </si>
  <si>
    <t>14:26:22</t>
  </si>
  <si>
    <t>20250217142406011742</t>
  </si>
  <si>
    <t>14:24:06</t>
  </si>
  <si>
    <t>20250217142317011513</t>
  </si>
  <si>
    <t>14:23:17</t>
  </si>
  <si>
    <t>BQ113229</t>
  </si>
  <si>
    <r>
      <rPr>
        <sz val="10"/>
        <rFont val="Noto Sans CJK SC"/>
        <family val="2"/>
      </rPr>
      <t>陳之葉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陳瑾瑜</t>
    </r>
  </si>
  <si>
    <t>20250217141724011433</t>
  </si>
  <si>
    <t>14:17:24</t>
  </si>
  <si>
    <t>CQ113486</t>
  </si>
  <si>
    <t>柳宗甫 柳宗治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</si>
  <si>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6.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1x7500
7.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1x7500</t>
    </r>
  </si>
  <si>
    <t>20250217141006011832</t>
  </si>
  <si>
    <t>14:10:06</t>
  </si>
  <si>
    <t>20250217140529011397</t>
  </si>
  <si>
    <t>14:05:29</t>
  </si>
  <si>
    <t>20250214141052011912</t>
  </si>
  <si>
    <t>14:10:52</t>
  </si>
  <si>
    <t>20250214133754011545</t>
  </si>
  <si>
    <t>13:37:54</t>
  </si>
  <si>
    <t>20250214112645011530</t>
  </si>
  <si>
    <t>11:26:45</t>
  </si>
  <si>
    <t>20250214112544011853</t>
  </si>
  <si>
    <t>11:25:44</t>
  </si>
  <si>
    <t>AQ112443</t>
  </si>
  <si>
    <t>許語安 許筑媛謝彥昀</t>
  </si>
  <si>
    <t>20250214112317011696</t>
  </si>
  <si>
    <t>11:23:17</t>
  </si>
  <si>
    <t>20250214112209011045</t>
  </si>
  <si>
    <t>11:22:09</t>
  </si>
  <si>
    <t>20250214112008011967</t>
  </si>
  <si>
    <t>11:20:08</t>
  </si>
  <si>
    <t>CQ113712</t>
  </si>
  <si>
    <r>
      <rPr>
        <sz val="10"/>
        <rFont val="Noto Sans CJK SC"/>
        <family val="2"/>
      </rPr>
      <t>姚宇謙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姚品妡</t>
    </r>
  </si>
  <si>
    <t>20250214111918011104</t>
  </si>
  <si>
    <t>11:19:18</t>
  </si>
  <si>
    <t>CQ113489</t>
  </si>
  <si>
    <t>張詩嫚 許軒睿</t>
  </si>
  <si>
    <t>20250214103727011172</t>
  </si>
  <si>
    <t>10:37:27</t>
  </si>
  <si>
    <t>20250213155125011789</t>
  </si>
  <si>
    <t>15:51:25</t>
  </si>
  <si>
    <t>20250213152707011686</t>
  </si>
  <si>
    <t>15:27:07</t>
  </si>
  <si>
    <t>20250213151541011133</t>
  </si>
  <si>
    <t>15:15:41</t>
  </si>
  <si>
    <t>CQ113636</t>
  </si>
  <si>
    <t>陳愉甯 吳亞芸</t>
  </si>
  <si>
    <t>20250213150427011403</t>
  </si>
  <si>
    <t>15:04:27</t>
  </si>
  <si>
    <t>AQ113075</t>
  </si>
  <si>
    <t>謝雨襄 謝雨芯</t>
  </si>
  <si>
    <t>20250213145130011554</t>
  </si>
  <si>
    <t>14:51:30</t>
  </si>
  <si>
    <t>AQ113125</t>
  </si>
  <si>
    <t>王歆雅 王俊叡張滋芸 張瑀洋</t>
  </si>
  <si>
    <t>20250213144508011736</t>
  </si>
  <si>
    <t>14:45:08</t>
  </si>
  <si>
    <t>20250213143902011965</t>
  </si>
  <si>
    <t>14:39:02</t>
  </si>
  <si>
    <t>20250213142854011029</t>
  </si>
  <si>
    <t>14:28:54</t>
  </si>
  <si>
    <t>20250213142342011025</t>
  </si>
  <si>
    <t>14:23:42</t>
  </si>
  <si>
    <t>20250213142007011285</t>
  </si>
  <si>
    <t>14:20:07</t>
  </si>
  <si>
    <t>AQ113310</t>
  </si>
  <si>
    <t>劉芷⾀、劉承皓</t>
  </si>
  <si>
    <t>20250213141613011881</t>
  </si>
  <si>
    <t>14:16:13</t>
  </si>
  <si>
    <t>20250213141412011485</t>
  </si>
  <si>
    <t>14:14:12</t>
  </si>
  <si>
    <t>CQ114005</t>
  </si>
  <si>
    <t>陳姸芯 ⾼⼦恩</t>
  </si>
  <si>
    <t>20250213133740011934</t>
  </si>
  <si>
    <t>13:37:40</t>
  </si>
  <si>
    <t>20250213133519011105</t>
  </si>
  <si>
    <t>13:35:19</t>
  </si>
  <si>
    <t>20250213132036011532</t>
  </si>
  <si>
    <t>13:20:36</t>
  </si>
  <si>
    <t>20250213131027011468</t>
  </si>
  <si>
    <t>20250213102549011667</t>
  </si>
  <si>
    <t>10:25:49</t>
  </si>
  <si>
    <t>20250213101931011451</t>
  </si>
  <si>
    <t>10:19:31</t>
  </si>
  <si>
    <t>CQ113634</t>
  </si>
  <si>
    <t>林語萱</t>
  </si>
  <si>
    <t>20250213101803011609</t>
  </si>
  <si>
    <t>10:18:03</t>
  </si>
  <si>
    <t>20250213100210011536</t>
  </si>
  <si>
    <t>10:02:10</t>
  </si>
  <si>
    <t>20250213095316011717</t>
  </si>
  <si>
    <t>09:53:16</t>
  </si>
  <si>
    <t>20250213093042011561</t>
  </si>
  <si>
    <t>09:30:42</t>
  </si>
  <si>
    <t>AQ113283</t>
  </si>
  <si>
    <t>洪萱芛 洪以宸</t>
  </si>
  <si>
    <t>20250213092332011112</t>
  </si>
  <si>
    <t>09:23:32</t>
  </si>
  <si>
    <t>20250213091909011301</t>
  </si>
  <si>
    <t>09:19:09</t>
  </si>
  <si>
    <t>CQ113560</t>
  </si>
  <si>
    <t>胡宏銘 胡慈恩邱⼦紳</t>
  </si>
  <si>
    <t>20250213090358011703</t>
  </si>
  <si>
    <t>09:03:58</t>
  </si>
  <si>
    <t>20250211142030011142</t>
  </si>
  <si>
    <t>14:20:30</t>
  </si>
  <si>
    <t>BQ113455</t>
  </si>
  <si>
    <r>
      <rPr>
        <sz val="10"/>
        <rFont val="Noto Sans CJK SC"/>
        <family val="2"/>
      </rPr>
      <t>黃⼦芹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黃承駒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</si>
  <si>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1x1300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1x1300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1x1300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1x7500</t>
    </r>
  </si>
  <si>
    <t>20250204160201011655</t>
  </si>
  <si>
    <t>16:02:01</t>
  </si>
  <si>
    <t>20250204153500011893</t>
  </si>
  <si>
    <t>15:35:00</t>
  </si>
  <si>
    <t>20250126121508011602</t>
  </si>
  <si>
    <t>12:15:08</t>
  </si>
  <si>
    <t>20250126121306011622</t>
  </si>
  <si>
    <t>12:13:06</t>
  </si>
  <si>
    <t>BQ113449</t>
  </si>
  <si>
    <r>
      <rPr>
        <sz val="10"/>
        <rFont val="Noto Sans CJK SC"/>
        <family val="2"/>
      </rPr>
      <t>羅宇泰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張凱翔</t>
    </r>
  </si>
  <si>
    <t>20250125133431011947</t>
  </si>
  <si>
    <t>13:34:31</t>
  </si>
  <si>
    <t>20250118105007011151</t>
  </si>
  <si>
    <t>10:50:07</t>
  </si>
  <si>
    <t>20250118104744011382</t>
  </si>
  <si>
    <t>10:47:44</t>
  </si>
  <si>
    <t>CQ114001</t>
  </si>
  <si>
    <t>陳儒佑 陳漢祥陳姿欣 楊⼜璇林偉程</t>
  </si>
  <si>
    <t>20250113155642011879</t>
  </si>
  <si>
    <t>15:56:42</t>
  </si>
  <si>
    <t>AQ111102</t>
  </si>
  <si>
    <t>周允⽂ 周以暄</t>
  </si>
  <si>
    <t>20250113124849011955</t>
  </si>
  <si>
    <t>12:48:49</t>
  </si>
  <si>
    <t>20250113124818011317</t>
  </si>
  <si>
    <t>12:48:18</t>
  </si>
  <si>
    <t>20250113120919011202</t>
  </si>
  <si>
    <t>12:09:19</t>
  </si>
  <si>
    <t>CQ113739</t>
  </si>
  <si>
    <t>楊陳穎</t>
  </si>
  <si>
    <t>20250113101417011241</t>
  </si>
  <si>
    <t>10:14:17</t>
  </si>
  <si>
    <t>20250111162631011305</t>
  </si>
  <si>
    <t>20250109134541011222</t>
  </si>
  <si>
    <t>13:45:41</t>
  </si>
  <si>
    <t>CQ1131096</t>
  </si>
  <si>
    <t>陳睿安 施芸潔陳芸希</t>
  </si>
  <si>
    <t>20250109133655011364</t>
  </si>
  <si>
    <t>13:36:55</t>
  </si>
  <si>
    <t>20250105085152011258</t>
  </si>
  <si>
    <t>08:51:52</t>
  </si>
  <si>
    <t>BQ113324</t>
  </si>
  <si>
    <t>簡晴</t>
  </si>
  <si>
    <t>20250103192438011075</t>
  </si>
  <si>
    <t>19:24:38</t>
  </si>
  <si>
    <t>CQ1131097</t>
  </si>
  <si>
    <t>李奕勳 李書妍楊宥語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</si>
  <si>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1x9000</t>
    </r>
  </si>
  <si>
    <t>20250103191609011605</t>
  </si>
  <si>
    <t>19:16:09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</si>
  <si>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1x7200</t>
    </r>
  </si>
  <si>
    <t>20250102163130011113</t>
  </si>
  <si>
    <t>16:31:30</t>
  </si>
  <si>
    <t>20241231194810011788</t>
  </si>
  <si>
    <t>19:48:10</t>
  </si>
  <si>
    <t>BQ112083</t>
  </si>
  <si>
    <t>林熙芝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</si>
  <si>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(20%) 1x7200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(20%) 1x7200</t>
    </r>
  </si>
  <si>
    <t>20241231192035011885</t>
  </si>
  <si>
    <t>19:20:35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</si>
  <si>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1x8640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1x8640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1x8640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(20%) 1x8640</t>
    </r>
  </si>
  <si>
    <t>20241231190704011882</t>
  </si>
  <si>
    <t>19:07:04</t>
  </si>
  <si>
    <t>20241231190352011160</t>
  </si>
  <si>
    <t>19:03:52</t>
  </si>
  <si>
    <t>BQ113287</t>
  </si>
  <si>
    <r>
      <rPr>
        <sz val="10"/>
        <rFont val="Noto Sans CJK SC"/>
        <family val="2"/>
      </rPr>
      <t>蘇品豪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蘇浚翔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廖翊崴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</si>
  <si>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1x9000</t>
    </r>
  </si>
  <si>
    <t>20241231190121011870</t>
  </si>
  <si>
    <t>19:01:21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</si>
  <si>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1x8640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(20%) 1x8640</t>
    </r>
  </si>
  <si>
    <t>20241231174835011108</t>
  </si>
  <si>
    <t>17:48:35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</si>
  <si>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1x7200</t>
    </r>
  </si>
  <si>
    <t>20241231150544011634</t>
  </si>
  <si>
    <t>15:05:44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</si>
  <si>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1x6600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1x6600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>1x6600</t>
    </r>
  </si>
  <si>
    <t>20241231140844011581</t>
  </si>
  <si>
    <t>20241231135447011172</t>
  </si>
  <si>
    <t>13:54:47</t>
  </si>
  <si>
    <t>20241231135023011199</t>
  </si>
  <si>
    <t>13:50:23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</si>
  <si>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>1x6600</t>
    </r>
  </si>
  <si>
    <t>20241231134438011329</t>
  </si>
  <si>
    <t>13:44:38</t>
  </si>
  <si>
    <t>CQ113441</t>
  </si>
  <si>
    <t>廖紫姈 洪慈蔭</t>
  </si>
  <si>
    <t>20241231134058011638</t>
  </si>
  <si>
    <t>13:40:58</t>
  </si>
  <si>
    <t>20241231133659011913</t>
  </si>
  <si>
    <t>13:36:59</t>
  </si>
  <si>
    <t>20241231133531011979</t>
  </si>
  <si>
    <t>13:35:31</t>
  </si>
  <si>
    <t>CQ113740</t>
  </si>
  <si>
    <t>楊陳澈</t>
  </si>
  <si>
    <t>20241230211953011649</t>
  </si>
  <si>
    <t>21:19:53</t>
  </si>
  <si>
    <t>BQ113273</t>
  </si>
  <si>
    <r>
      <rPr>
        <sz val="10"/>
        <rFont val="Noto Sans CJK SC"/>
        <family val="2"/>
      </rPr>
      <t>王若茵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林霏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</si>
  <si>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(20%) 1x8640</t>
    </r>
  </si>
  <si>
    <t>20241230211656011238</t>
  </si>
  <si>
    <t>21:16:56</t>
  </si>
  <si>
    <t>20241230210024011730</t>
  </si>
  <si>
    <t>21:00:24</t>
  </si>
  <si>
    <t>BQ113113</t>
  </si>
  <si>
    <t>莊鎮睿 林熙芝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</si>
  <si>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(20%) 1x7200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(20%) 1x7200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(20%) 1x7200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(20%) 1x7200</t>
    </r>
  </si>
  <si>
    <t>20241230205123011410</t>
  </si>
  <si>
    <t>20:51:23</t>
  </si>
  <si>
    <t>BQ113452</t>
  </si>
  <si>
    <r>
      <rPr>
        <sz val="10"/>
        <rFont val="Noto Sans CJK SC"/>
        <family val="2"/>
      </rPr>
      <t>連恩嫻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鄭光芸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林採婕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賴倚婕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</si>
  <si>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1x10800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1x10800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1x10800</t>
    </r>
  </si>
  <si>
    <t>20241230203804011383</t>
  </si>
  <si>
    <t>20:38:04</t>
  </si>
  <si>
    <t>BQ113441</t>
  </si>
  <si>
    <r>
      <rPr>
        <sz val="10"/>
        <rFont val="Noto Sans CJK SC"/>
        <family val="2"/>
      </rPr>
      <t>林采婕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鄭光芸</t>
    </r>
  </si>
  <si>
    <t>20241230180044011303</t>
  </si>
  <si>
    <t>18:00:44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</si>
  <si>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1x8640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1x8640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1x8640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1x8640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(20%) 1x8640</t>
    </r>
  </si>
  <si>
    <t>20241229115719011980</t>
  </si>
  <si>
    <t>11:57:19</t>
  </si>
  <si>
    <t>20241229100617011830</t>
  </si>
  <si>
    <t>10:06:17</t>
  </si>
  <si>
    <t>AQ113211</t>
  </si>
  <si>
    <t>徐彬堯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</si>
  <si>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1x6600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>1x6600</t>
    </r>
  </si>
  <si>
    <t>20241229091207011922</t>
  </si>
  <si>
    <t>09:12:07</t>
  </si>
  <si>
    <t>AQ113505</t>
  </si>
  <si>
    <t>許純瑋 陳俊穆陳柏修 陳雨希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</si>
  <si>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1x10800</t>
    </r>
  </si>
  <si>
    <t>20241228164943011410</t>
  </si>
  <si>
    <t>16:49:43</t>
  </si>
  <si>
    <t>20241228155114011004</t>
  </si>
  <si>
    <t>15:51:14</t>
  </si>
  <si>
    <t>20241228144406011142</t>
  </si>
  <si>
    <t>14:44:06</t>
  </si>
  <si>
    <t>BQ113448</t>
  </si>
  <si>
    <t>翁可妮 翁芸芸黃玟鈺</t>
  </si>
  <si>
    <t>20241227200908011923</t>
  </si>
  <si>
    <t>20:09:08</t>
  </si>
  <si>
    <t>BQ113447</t>
  </si>
  <si>
    <r>
      <rPr>
        <sz val="10"/>
        <rFont val="Noto Sans CJK SC"/>
        <family val="2"/>
      </rPr>
      <t>柯婉苓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黃舒⽻</t>
    </r>
  </si>
  <si>
    <t>20241226195601011958</t>
  </si>
  <si>
    <t>19:56:01</t>
  </si>
  <si>
    <t>BQ113423</t>
  </si>
  <si>
    <r>
      <rPr>
        <sz val="10"/>
        <rFont val="Noto Sans CJK SC"/>
        <family val="2"/>
      </rPr>
      <t>彭冠豪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陳建亨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盧翔暉</t>
    </r>
  </si>
  <si>
    <t>20241226195427011036</t>
  </si>
  <si>
    <t>19:54:27</t>
  </si>
  <si>
    <t>20241222155404011371</t>
  </si>
  <si>
    <t>15:54:04</t>
  </si>
  <si>
    <t>BQ113443</t>
  </si>
  <si>
    <r>
      <rPr>
        <sz val="10"/>
        <rFont val="Noto Sans CJK SC"/>
        <family val="2"/>
      </rPr>
      <t>楊祉洁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楊胤淮</t>
    </r>
  </si>
  <si>
    <t>20241222115906011244</t>
  </si>
  <si>
    <t>11:59:06</t>
  </si>
  <si>
    <t>20241222115544011797</t>
  </si>
  <si>
    <t>11:55:44</t>
  </si>
  <si>
    <t>20241222115303011971</t>
  </si>
  <si>
    <t>11:53:03</t>
  </si>
  <si>
    <t>20241221090658011337</t>
  </si>
  <si>
    <t>09:06:58</t>
  </si>
  <si>
    <t>20241217102758011419</t>
  </si>
  <si>
    <t>10:27:58</t>
  </si>
  <si>
    <t>20241216170730011599</t>
  </si>
  <si>
    <t>17:07:30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</si>
  <si>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(20%) 1x7200</t>
    </r>
  </si>
  <si>
    <t>20241215122734011253</t>
  </si>
  <si>
    <t>12:27:34</t>
  </si>
  <si>
    <t>20241214094451011975</t>
  </si>
  <si>
    <t>09:44:51</t>
  </si>
  <si>
    <t>20241213212137011780</t>
  </si>
  <si>
    <t>21:21:37</t>
  </si>
  <si>
    <t>20241211110342011597</t>
  </si>
  <si>
    <t>11:03:42</t>
  </si>
  <si>
    <t>20241208121111011006</t>
  </si>
  <si>
    <t>12:11:11</t>
  </si>
  <si>
    <t>AQ113344</t>
  </si>
  <si>
    <t>廖席婕 陳芊雅陳璿旭</t>
  </si>
  <si>
    <t>20241208120904011282</t>
  </si>
  <si>
    <t>12:09:04</t>
  </si>
  <si>
    <t>AQ113301</t>
  </si>
  <si>
    <t>吳⼦敬、吳昱辰、邱騏睿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</si>
  <si>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1x9000</t>
    </r>
  </si>
  <si>
    <t>20241208120654011390</t>
  </si>
  <si>
    <t>12:06:54</t>
  </si>
  <si>
    <t>20241207155741011839</t>
  </si>
  <si>
    <t>15:57:41</t>
  </si>
  <si>
    <t>20241206154317011142</t>
  </si>
  <si>
    <t>15:43:17</t>
  </si>
  <si>
    <t>AQ1132222</t>
  </si>
  <si>
    <r>
      <rPr>
        <sz val="10"/>
        <rFont val="Noto Sans CJK SC"/>
        <family val="2"/>
      </rPr>
      <t>彭禹綸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李沂宸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李湘允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黃維霆</t>
    </r>
  </si>
  <si>
    <t>20241204140349011423</t>
  </si>
  <si>
    <t>14:03:49</t>
  </si>
  <si>
    <t>20241204140310011744</t>
  </si>
  <si>
    <t>14:03:10</t>
  </si>
  <si>
    <t>20241203152857011587</t>
  </si>
  <si>
    <t>15:28:57</t>
  </si>
  <si>
    <r>
      <rPr>
        <sz val="10"/>
        <rFont val="Microsoft JhengHei"/>
        <family val="2"/>
        <charset val="136"/>
      </rPr>
      <t>BQ</t>
    </r>
    <r>
      <rPr>
        <sz val="10"/>
        <rFont val="Noto Sans CJK SC"/>
        <family val="2"/>
      </rPr>
      <t>新北家教謝秉維</t>
    </r>
  </si>
  <si>
    <t>20241125165653011119</t>
  </si>
  <si>
    <t>16:56:53</t>
  </si>
  <si>
    <t>BQ113437</t>
  </si>
  <si>
    <t>黃繼正</t>
  </si>
  <si>
    <t>20241123202003011701</t>
  </si>
  <si>
    <t>20:20:03</t>
  </si>
  <si>
    <t>AQ112048</t>
  </si>
  <si>
    <t>賴詩璇 廖庭甄</t>
  </si>
  <si>
    <t>20241123165257011327</t>
  </si>
  <si>
    <t>16:52:57</t>
  </si>
  <si>
    <t>20241123151313011389</t>
  </si>
  <si>
    <t>15:13:13</t>
  </si>
  <si>
    <t>BQ112159</t>
  </si>
  <si>
    <t>李秉誠</t>
  </si>
  <si>
    <t>20241123135555011500</t>
  </si>
  <si>
    <t>13:55:55</t>
  </si>
  <si>
    <t>20241123111319011989</t>
  </si>
  <si>
    <t>11:13:19</t>
  </si>
  <si>
    <t>20241122214030011478</t>
  </si>
  <si>
    <t>21:40:30</t>
  </si>
  <si>
    <t>20241122194908011956</t>
  </si>
  <si>
    <t>19:49:08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</si>
  <si>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1x8640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(20%) 1x8640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(20%) 1x8640</t>
    </r>
  </si>
  <si>
    <t>20241122194422011896</t>
  </si>
  <si>
    <t>19:44:22</t>
  </si>
  <si>
    <t>AQ113331</t>
  </si>
  <si>
    <t>盧巧娣 盧震寰</t>
  </si>
  <si>
    <t>20241122193752011668</t>
  </si>
  <si>
    <t>19:37:52</t>
  </si>
  <si>
    <t>20241120185751011085</t>
  </si>
  <si>
    <t>18:57:51</t>
  </si>
  <si>
    <t>AQ1130055</t>
  </si>
  <si>
    <r>
      <rPr>
        <sz val="10"/>
        <rFont val="Noto Sans CJK SC"/>
        <family val="2"/>
      </rPr>
      <t>曾昭誠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蔡逸程</t>
    </r>
  </si>
  <si>
    <t>20241120174933011406</t>
  </si>
  <si>
    <t>17:49:33</t>
  </si>
  <si>
    <t>CQ1131102</t>
  </si>
  <si>
    <t>陳宥蓁</t>
  </si>
  <si>
    <t>20241118182116011325</t>
  </si>
  <si>
    <t>18:21:16</t>
  </si>
  <si>
    <t>20241118181951011963</t>
  </si>
  <si>
    <t>18:19:51</t>
  </si>
  <si>
    <t>20241118174655011475</t>
  </si>
  <si>
    <t>17:46:55</t>
  </si>
  <si>
    <t>CQ113701</t>
  </si>
  <si>
    <t>曾怡萱</t>
  </si>
  <si>
    <t>20241118174606011741</t>
  </si>
  <si>
    <t>17:46:06</t>
  </si>
  <si>
    <t>CQ113725</t>
  </si>
  <si>
    <t>柯宏瑋 柯綾</t>
  </si>
  <si>
    <t>20241118174422011360</t>
  </si>
  <si>
    <t>17:44:22</t>
  </si>
  <si>
    <t>CQ113738</t>
  </si>
  <si>
    <t>吳宗育</t>
  </si>
  <si>
    <t>20241117132111011627</t>
  </si>
  <si>
    <t>13:21:11</t>
  </si>
  <si>
    <t>AQ113253</t>
  </si>
  <si>
    <t>黃云祺 徐筱涵</t>
  </si>
  <si>
    <t>20241116181625011276</t>
  </si>
  <si>
    <t>18:16:25</t>
  </si>
  <si>
    <t>20241116162044011393</t>
  </si>
  <si>
    <t>16:20:44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</si>
  <si>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1VS5 1x13500</t>
    </r>
  </si>
  <si>
    <t>20241116151044011557</t>
  </si>
  <si>
    <t>15:10:44</t>
  </si>
  <si>
    <t>20241116133126011881</t>
  </si>
  <si>
    <t>13:31:26</t>
  </si>
  <si>
    <t>20241116122634011767</t>
  </si>
  <si>
    <t>12:26:34</t>
  </si>
  <si>
    <t>BQ113435</t>
  </si>
  <si>
    <r>
      <rPr>
        <sz val="10"/>
        <rFont val="Noto Sans CJK SC"/>
        <family val="2"/>
      </rPr>
      <t>吳明陽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吳重樂</t>
    </r>
  </si>
  <si>
    <t>20241116121302011671</t>
  </si>
  <si>
    <t>12:13:02</t>
  </si>
  <si>
    <t>AQ113516</t>
  </si>
  <si>
    <t>蔡菲芸 蔡孟萱朱育萱 陳柏叡王⽻賢</t>
  </si>
  <si>
    <t>20241115194725011906</t>
  </si>
  <si>
    <t>19:47:25</t>
  </si>
  <si>
    <t>CQ113992</t>
  </si>
  <si>
    <r>
      <rPr>
        <sz val="10"/>
        <rFont val="Noto Sans CJK SC"/>
        <family val="2"/>
      </rPr>
      <t>陳君宜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陳佳琪</t>
    </r>
  </si>
  <si>
    <t>20241115194528011155</t>
  </si>
  <si>
    <t>19:45:28</t>
  </si>
  <si>
    <t>CQ113714</t>
  </si>
  <si>
    <t>張銘宏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</si>
  <si>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1x1100</t>
    </r>
  </si>
  <si>
    <t>20241114204354011044</t>
  </si>
  <si>
    <t>20:43:54</t>
  </si>
  <si>
    <t>BQ113434</t>
  </si>
  <si>
    <t>連于珺</t>
  </si>
  <si>
    <t>20241114172621011275</t>
  </si>
  <si>
    <t>17:26:21</t>
  </si>
  <si>
    <t>20241113182659011474</t>
  </si>
  <si>
    <t>18:26:59</t>
  </si>
  <si>
    <t>AQ113218</t>
  </si>
  <si>
    <t>賴宥安 蕭成允蔡珺婷 蔡承綱林豊軒</t>
  </si>
  <si>
    <t>20241110175007011697</t>
  </si>
  <si>
    <t>17:50:07</t>
  </si>
  <si>
    <t>BQ1130433</t>
  </si>
  <si>
    <t>張嘉峻</t>
  </si>
  <si>
    <t>20241110165600011505</t>
  </si>
  <si>
    <t>16:56:00</t>
  </si>
  <si>
    <t>20241110162243011649</t>
  </si>
  <si>
    <t>16:22:43</t>
  </si>
  <si>
    <t>20241110113656011269</t>
  </si>
  <si>
    <t>11:36:56</t>
  </si>
  <si>
    <t>20241110113110011454</t>
  </si>
  <si>
    <t>11:31:10</t>
  </si>
  <si>
    <t>20241110105638011855</t>
  </si>
  <si>
    <t>10:56:38</t>
  </si>
  <si>
    <t>20241109164519011744</t>
  </si>
  <si>
    <t>16:45:19</t>
  </si>
  <si>
    <t>XN111099</t>
  </si>
  <si>
    <t>張安睿</t>
  </si>
  <si>
    <t>20241109161541011118</t>
  </si>
  <si>
    <t>16:15:41</t>
  </si>
  <si>
    <t>AQ113375</t>
  </si>
  <si>
    <t>施紘翔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</si>
  <si>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(20%) 1x7200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(20%) 1x7200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(20%) 1x7200</t>
    </r>
  </si>
  <si>
    <t>20241109154838011222</t>
  </si>
  <si>
    <t>15:48:38</t>
  </si>
  <si>
    <t>CQ113573</t>
  </si>
  <si>
    <t>徐⼦翔 徐溢成</t>
  </si>
  <si>
    <t>20241109113746011666</t>
  </si>
  <si>
    <t>11:37:46</t>
  </si>
  <si>
    <t>AQ1132009</t>
  </si>
  <si>
    <t>張宸喆 張笠語陳筱婷</t>
  </si>
  <si>
    <t>20241109105527011368</t>
  </si>
  <si>
    <t>10:55:27</t>
  </si>
  <si>
    <t>20241108205235011035</t>
  </si>
  <si>
    <t>20:52:35</t>
  </si>
  <si>
    <t>AQ11310</t>
  </si>
  <si>
    <t>江欣庭、辛怡</t>
  </si>
  <si>
    <t>20241108172005011299</t>
  </si>
  <si>
    <t>17:20:05</t>
  </si>
  <si>
    <t>20241108165826011580</t>
  </si>
  <si>
    <t>16:58:26</t>
  </si>
  <si>
    <t>AQ113567</t>
  </si>
  <si>
    <r>
      <rPr>
        <sz val="10"/>
        <rFont val="Noto Sans CJK SC"/>
        <family val="2"/>
      </rPr>
      <t>蕭致諺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卓柏⾔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卓柏樺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何宣諭</t>
    </r>
  </si>
  <si>
    <t>20241106192553011087</t>
  </si>
  <si>
    <t>19:25:53</t>
  </si>
  <si>
    <t>BQ113308</t>
  </si>
  <si>
    <t>黃春琦</t>
  </si>
  <si>
    <t>20241106180620011508</t>
  </si>
  <si>
    <t>18:06:20</t>
  </si>
  <si>
    <t>AQ113978</t>
  </si>
  <si>
    <t>20241105204410011055</t>
  </si>
  <si>
    <t>20:44:10</t>
  </si>
  <si>
    <t>20241105190018011095</t>
  </si>
  <si>
    <t>19:00:18</t>
  </si>
  <si>
    <t>20241104184800011343</t>
  </si>
  <si>
    <t>18:48:00</t>
  </si>
  <si>
    <t>20241103165138011216</t>
  </si>
  <si>
    <t>16:51:38</t>
  </si>
  <si>
    <t>20241103131033011306</t>
  </si>
  <si>
    <t>13:10:33</t>
  </si>
  <si>
    <t>20241103112416011749</t>
  </si>
  <si>
    <t>11:24:16</t>
  </si>
  <si>
    <t>CQ113726</t>
  </si>
  <si>
    <t>陳榆琋 陳祖樂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</si>
  <si>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1x7200</t>
    </r>
  </si>
  <si>
    <t>20241103105122011537</t>
  </si>
  <si>
    <t>20241103104916011667</t>
  </si>
  <si>
    <t>10:49:16</t>
  </si>
  <si>
    <t>CQ1131104</t>
  </si>
  <si>
    <t>劉俊廣 李翌氶蔡⿑彧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</si>
  <si>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1x9000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1x9000</t>
    </r>
  </si>
  <si>
    <t>20241103104305011167</t>
  </si>
  <si>
    <t>10:43:05</t>
  </si>
  <si>
    <t>CQ1131103</t>
  </si>
  <si>
    <t>黃喻澤 黃思僑</t>
  </si>
  <si>
    <t>20241103104119011540</t>
  </si>
  <si>
    <t>10:41:19</t>
  </si>
  <si>
    <t>20241103103747011914</t>
  </si>
  <si>
    <t>10:37:47</t>
  </si>
  <si>
    <t>CQ1131101</t>
  </si>
  <si>
    <t>李梓誠 李梓安葉昕妤</t>
  </si>
  <si>
    <t>20241103094048011639</t>
  </si>
  <si>
    <t>09:40:48</t>
  </si>
  <si>
    <t>CQ1131100</t>
  </si>
  <si>
    <t>許峻祥 許仲凱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</si>
  <si>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1x7200</t>
    </r>
  </si>
  <si>
    <t>20241102205624011356</t>
  </si>
  <si>
    <t>20:56:24</t>
  </si>
  <si>
    <t>20241102202229011833</t>
  </si>
  <si>
    <t>20:22:29</t>
  </si>
  <si>
    <t>AQ112506</t>
  </si>
  <si>
    <t>李軒 李⾀</t>
  </si>
  <si>
    <t>20241102200922011654</t>
  </si>
  <si>
    <t>20:09:22</t>
  </si>
  <si>
    <t>20241102170147011869</t>
  </si>
  <si>
    <t>17:01:47</t>
  </si>
  <si>
    <t>CQ113531</t>
  </si>
  <si>
    <t>歐紘碩 歐姵妘</t>
  </si>
  <si>
    <t>20241102125216011890</t>
  </si>
  <si>
    <t>12:52:16</t>
  </si>
  <si>
    <t>20241101183128011095</t>
  </si>
  <si>
    <t>18:31:28</t>
  </si>
  <si>
    <t>20241101074950011958</t>
  </si>
  <si>
    <t>07:49:50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</si>
  <si>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1x6600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1x1100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1x1100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1x1100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1x1100
6.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1x1100</t>
    </r>
  </si>
  <si>
    <t>20241030182359011052</t>
  </si>
  <si>
    <t>18:23:59</t>
  </si>
  <si>
    <t>AQ1132010</t>
  </si>
  <si>
    <t>蕭雨芙</t>
  </si>
  <si>
    <t>20241028201142011864</t>
  </si>
  <si>
    <t>20:11:42</t>
  </si>
  <si>
    <t>BQ113374</t>
  </si>
  <si>
    <t>謝漢霖、謝佩宜</t>
  </si>
  <si>
    <t>20241028103605011967</t>
  </si>
  <si>
    <t>10:36:05</t>
  </si>
  <si>
    <t>20241028090751011557</t>
  </si>
  <si>
    <t>09:07:51</t>
  </si>
  <si>
    <t>CQ1132000</t>
  </si>
  <si>
    <r>
      <rPr>
        <sz val="10"/>
        <rFont val="Noto Sans CJK SC"/>
        <family val="2"/>
      </rPr>
      <t>陳宥熹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羅勻希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羅予亨</t>
    </r>
  </si>
  <si>
    <t>20241027150435011634</t>
  </si>
  <si>
    <t>15:04:35</t>
  </si>
  <si>
    <t>BQ113216</t>
  </si>
  <si>
    <r>
      <rPr>
        <sz val="10"/>
        <rFont val="Noto Sans CJK SC"/>
        <family val="2"/>
      </rPr>
      <t>陳品蓁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詹博傑</t>
    </r>
  </si>
  <si>
    <t>20241027101738011539</t>
  </si>
  <si>
    <t>10:17:38</t>
  </si>
  <si>
    <t>AQ113380</t>
  </si>
  <si>
    <t>林紹彥 林筱芙</t>
  </si>
  <si>
    <t>20241027101628011252</t>
  </si>
  <si>
    <t>10:16:28</t>
  </si>
  <si>
    <t>AQ1132001</t>
  </si>
  <si>
    <t>紀奐宇 紀炫宇</t>
  </si>
  <si>
    <t>20241027101136011417</t>
  </si>
  <si>
    <t>10:11:36</t>
  </si>
  <si>
    <t>20241027093130011969</t>
  </si>
  <si>
    <t>09:31:30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</si>
  <si>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(20%)-1 1x9720</t>
    </r>
  </si>
  <si>
    <t>20241027085444011633</t>
  </si>
  <si>
    <t>08:54:44</t>
  </si>
  <si>
    <t>CQ1131095</t>
  </si>
  <si>
    <t>郭語恩 連予曦李以樂</t>
  </si>
  <si>
    <t>20241027084448011198</t>
  </si>
  <si>
    <t>08:44:48</t>
  </si>
  <si>
    <t>CQ1131098</t>
  </si>
  <si>
    <t>許采寧</t>
  </si>
  <si>
    <t>20241027083725011886</t>
  </si>
  <si>
    <t>08:37:25</t>
  </si>
  <si>
    <t>CQ1131099</t>
  </si>
  <si>
    <t>趙正浩 趙正安</t>
  </si>
  <si>
    <t>20241026132512011204</t>
  </si>
  <si>
    <t>13:25:12</t>
  </si>
  <si>
    <t>20241026111454011505</t>
  </si>
  <si>
    <t>11:14:54</t>
  </si>
  <si>
    <t>AQ113512</t>
  </si>
  <si>
    <t>林侑廷</t>
  </si>
  <si>
    <r>
      <rPr>
        <sz val="10"/>
        <rFont val="Microsoft JhengHei"/>
        <family val="2"/>
        <charset val="136"/>
      </rPr>
      <t>1. 1VS1</t>
    </r>
    <r>
      <rPr>
        <sz val="10"/>
        <rFont val="Noto Sans CJK SC"/>
        <family val="2"/>
      </rPr>
      <t>試上</t>
    </r>
    <r>
      <rPr>
        <sz val="10"/>
        <rFont val="Microsoft JhengHei"/>
        <family val="2"/>
        <charset val="136"/>
      </rPr>
      <t>(50%) 1x1500</t>
    </r>
  </si>
  <si>
    <t>20241026105735011849</t>
  </si>
  <si>
    <t>10:57:35</t>
  </si>
  <si>
    <t>CQ113137</t>
  </si>
  <si>
    <t>葉千語</t>
  </si>
  <si>
    <t>20241026102850011705</t>
  </si>
  <si>
    <t>10:28:50</t>
  </si>
  <si>
    <t>CQ113525</t>
  </si>
  <si>
    <t>劉牧天 劉牧⾶</t>
  </si>
  <si>
    <t>20241024190557011720</t>
  </si>
  <si>
    <t>19:05:57</t>
  </si>
  <si>
    <t>20241023194316011358</t>
  </si>
  <si>
    <t>19:43:16</t>
  </si>
  <si>
    <t>AQ113197</t>
  </si>
  <si>
    <t>邱韻如</t>
  </si>
  <si>
    <t>20241022213351011542</t>
  </si>
  <si>
    <t>21:33:51</t>
  </si>
  <si>
    <t>BQ113418</t>
  </si>
  <si>
    <r>
      <rPr>
        <sz val="10"/>
        <rFont val="Noto Sans CJK SC"/>
        <family val="2"/>
      </rPr>
      <t>安井綺⾥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安井悠登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郭登荃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蕭采緹</t>
    </r>
  </si>
  <si>
    <t>20241022174722011500</t>
  </si>
  <si>
    <t>17:47:22</t>
  </si>
  <si>
    <t>AQ113120</t>
  </si>
  <si>
    <t>黃筠芯 黃浩展</t>
  </si>
  <si>
    <t>20241022170808011962</t>
  </si>
  <si>
    <t>17:08:08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</si>
  <si>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(20%)-1 1x11520</t>
    </r>
  </si>
  <si>
    <t>20241021212712011570</t>
  </si>
  <si>
    <t>21:27:12</t>
  </si>
  <si>
    <t>20241021182150011622</t>
  </si>
  <si>
    <t>18:21:50</t>
  </si>
  <si>
    <t>CQ113719</t>
  </si>
  <si>
    <t>楊陳穎 楊陳澈</t>
  </si>
  <si>
    <t>20241021131153011114</t>
  </si>
  <si>
    <t>13:11:53</t>
  </si>
  <si>
    <t>CQ1131012</t>
  </si>
  <si>
    <r>
      <rPr>
        <sz val="10"/>
        <rFont val="Noto Sans CJK SC"/>
        <family val="2"/>
      </rPr>
      <t>劉炳鋒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劉芷妤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劉承恩</t>
    </r>
  </si>
  <si>
    <t>20241021115753011407</t>
  </si>
  <si>
    <t>11:57:53</t>
  </si>
  <si>
    <t>A130926985</t>
  </si>
  <si>
    <t>鄭斌鴻 侯⽂娟</t>
  </si>
  <si>
    <t>20241021113449011823</t>
  </si>
  <si>
    <t>11:34:49</t>
  </si>
  <si>
    <t>20241021113340011772</t>
  </si>
  <si>
    <t>11:33:40</t>
  </si>
  <si>
    <t>20241021112724011128</t>
  </si>
  <si>
    <t>11:27:24</t>
  </si>
  <si>
    <t>CQ113881</t>
  </si>
  <si>
    <t>劉楷聖張博淵</t>
  </si>
  <si>
    <t>20241021112139011206</t>
  </si>
  <si>
    <t>11:21:39</t>
  </si>
  <si>
    <t>CQ1131021</t>
  </si>
  <si>
    <t>林紫涵、林紫晴、王侑晨、陳詩穎</t>
  </si>
  <si>
    <t>20241021111941011852</t>
  </si>
  <si>
    <t>11:19:41</t>
  </si>
  <si>
    <t>CQ113798</t>
  </si>
  <si>
    <r>
      <rPr>
        <sz val="10"/>
        <rFont val="Noto Sans CJK SC"/>
        <family val="2"/>
      </rPr>
      <t>沈威宏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李千綸</t>
    </r>
  </si>
  <si>
    <t>20241021111047011621</t>
  </si>
  <si>
    <t>11:10:47</t>
  </si>
  <si>
    <t>20241021103410011439</t>
  </si>
  <si>
    <t>10:34:10</t>
  </si>
  <si>
    <t>20241021083409011174</t>
  </si>
  <si>
    <t>08:34:09</t>
  </si>
  <si>
    <t>20241021060516011613</t>
  </si>
  <si>
    <t>06:05:16</t>
  </si>
  <si>
    <t>20241020170130011855</t>
  </si>
  <si>
    <t>20241020161619011652</t>
  </si>
  <si>
    <t>16:16:19</t>
  </si>
  <si>
    <t>CQ113097</t>
  </si>
  <si>
    <r>
      <rPr>
        <sz val="10"/>
        <rFont val="Noto Sans CJK SC"/>
        <family val="2"/>
      </rPr>
      <t>何芸菲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黃云希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蔡濬陽</t>
    </r>
  </si>
  <si>
    <t>20241020130401011897</t>
  </si>
  <si>
    <t>13:04:01</t>
  </si>
  <si>
    <t>CQ113718</t>
  </si>
  <si>
    <t>董益伸</t>
  </si>
  <si>
    <t>20241020111707011928</t>
  </si>
  <si>
    <t>11:17:07</t>
  </si>
  <si>
    <t>BQ113417</t>
  </si>
  <si>
    <r>
      <rPr>
        <sz val="10"/>
        <rFont val="Noto Sans CJK SC"/>
        <family val="2"/>
      </rPr>
      <t>劉瑄宇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劉瑄佾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李澄沄</t>
    </r>
  </si>
  <si>
    <t>20241020110435011387</t>
  </si>
  <si>
    <t>11:04:35</t>
  </si>
  <si>
    <t>20241019131535011045</t>
  </si>
  <si>
    <t>13:15:35</t>
  </si>
  <si>
    <t>20241019120400011847</t>
  </si>
  <si>
    <t>12:04:00</t>
  </si>
  <si>
    <t>CQ113717</t>
  </si>
  <si>
    <t>陳昀杉 陳昀佑邱育為 吳彥廷</t>
  </si>
  <si>
    <t>20241019120328011456</t>
  </si>
  <si>
    <t>12:03:28</t>
  </si>
  <si>
    <t>20241019112411011920</t>
  </si>
  <si>
    <t>11:24:11</t>
  </si>
  <si>
    <t>AQ1131008</t>
  </si>
  <si>
    <t>張禹甯 張禹皓</t>
  </si>
  <si>
    <t>20241019092845011618</t>
  </si>
  <si>
    <t>09:28:45</t>
  </si>
  <si>
    <t>AQ113981</t>
  </si>
  <si>
    <t>蔡沛倫 余依宸</t>
  </si>
  <si>
    <t>20241019092613011259</t>
  </si>
  <si>
    <t>09:26:13</t>
  </si>
  <si>
    <t>BQ111312</t>
  </si>
  <si>
    <t>余承哲 余依宸</t>
  </si>
  <si>
    <t>20241019090722011396</t>
  </si>
  <si>
    <t>09:07:22</t>
  </si>
  <si>
    <t>20241019090538011345</t>
  </si>
  <si>
    <t>09:05:38</t>
  </si>
  <si>
    <t>20241019071704011334</t>
  </si>
  <si>
    <t>07:17:04</t>
  </si>
  <si>
    <t>AQ1131007</t>
  </si>
  <si>
    <t>楊明枝</t>
  </si>
  <si>
    <t>20241018204600011050</t>
  </si>
  <si>
    <t>20:46:00</t>
  </si>
  <si>
    <t>20241017125755011339</t>
  </si>
  <si>
    <t>12:57:55</t>
  </si>
  <si>
    <t>AQ113407</t>
  </si>
  <si>
    <r>
      <rPr>
        <sz val="10"/>
        <rFont val="Noto Sans CJK SC"/>
        <family val="2"/>
      </rPr>
      <t>陳俊孝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黃采綺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童研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童禹</t>
    </r>
  </si>
  <si>
    <t>20241017123821011532</t>
  </si>
  <si>
    <t>12:38:21</t>
  </si>
  <si>
    <r>
      <rPr>
        <sz val="10"/>
        <rFont val="Noto Sans CJK SC"/>
        <family val="2"/>
      </rPr>
      <t>陳俊孝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童研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童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</si>
  <si>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1x600</t>
    </r>
  </si>
  <si>
    <t>20241016201815011377</t>
  </si>
  <si>
    <t>20:18:15</t>
  </si>
  <si>
    <t>20241013163312011134</t>
  </si>
  <si>
    <t>16:33:12</t>
  </si>
  <si>
    <t>20241013130138011549</t>
  </si>
  <si>
    <t>13:01:38</t>
  </si>
  <si>
    <t>20241013110711011956</t>
  </si>
  <si>
    <t>11:07:11</t>
  </si>
  <si>
    <t>CQ113885</t>
  </si>
  <si>
    <t>陳宥蓁、彭禹中、李柔樺</t>
  </si>
  <si>
    <t>20241012135437011146</t>
  </si>
  <si>
    <t>13:54:37</t>
  </si>
  <si>
    <t>CQ112467</t>
  </si>
  <si>
    <t>林倩⽻ 胡⼜⽂洪承妍 洪肘會</t>
  </si>
  <si>
    <t>20241012130750011968</t>
  </si>
  <si>
    <t>13:07:50</t>
  </si>
  <si>
    <t>CQ1131008</t>
  </si>
  <si>
    <t>蔡政穎</t>
  </si>
  <si>
    <t>20241012122703011758</t>
  </si>
  <si>
    <t>12:27:03</t>
  </si>
  <si>
    <t>20241012122643011671</t>
  </si>
  <si>
    <t>12:26:43</t>
  </si>
  <si>
    <t>20241012122430011477</t>
  </si>
  <si>
    <t>12:24:30</t>
  </si>
  <si>
    <t>20241012121428011076</t>
  </si>
  <si>
    <t>12:14:28</t>
  </si>
  <si>
    <t>AQ113136</t>
  </si>
  <si>
    <t>梁宸瑞 許榕庭</t>
  </si>
  <si>
    <t>20241012121314011663</t>
  </si>
  <si>
    <t>12:13:14</t>
  </si>
  <si>
    <t>20241012121030011572</t>
  </si>
  <si>
    <t>12:10:30</t>
  </si>
  <si>
    <t>20241012120745011003</t>
  </si>
  <si>
    <t>12:07:45</t>
  </si>
  <si>
    <t>20241012120311011651</t>
  </si>
  <si>
    <t>12:03:11</t>
  </si>
  <si>
    <t>AQ1132000</t>
  </si>
  <si>
    <t>梁育愷</t>
  </si>
  <si>
    <t>20241012115634011541</t>
  </si>
  <si>
    <t>11:56:34</t>
  </si>
  <si>
    <t>20241012115550011567</t>
  </si>
  <si>
    <t>11:55:50</t>
  </si>
  <si>
    <t>20241012115301011946</t>
  </si>
  <si>
    <t>11:53:01</t>
  </si>
  <si>
    <t>CQ113540</t>
  </si>
  <si>
    <t>李恒亦 鐘亦涵</t>
  </si>
  <si>
    <t>20241012115119011127</t>
  </si>
  <si>
    <t>11:51:19</t>
  </si>
  <si>
    <t>CQ113490</t>
  </si>
  <si>
    <t>林語憲</t>
  </si>
  <si>
    <t>20241012114837011293</t>
  </si>
  <si>
    <t>11:48:37</t>
  </si>
  <si>
    <t>20241012114533011285</t>
  </si>
  <si>
    <t>11:45:33</t>
  </si>
  <si>
    <t>CQ112451</t>
  </si>
  <si>
    <t>黃冠淳</t>
  </si>
  <si>
    <t>20241012095512011783</t>
  </si>
  <si>
    <t>09:55:12</t>
  </si>
  <si>
    <t>20241012095254011716</t>
  </si>
  <si>
    <t>09:52:54</t>
  </si>
  <si>
    <t>CQ1131005</t>
  </si>
  <si>
    <t>李瑀娜</t>
  </si>
  <si>
    <t>20241012094828011776</t>
  </si>
  <si>
    <t>09:48:28</t>
  </si>
  <si>
    <t>20241012094308011164</t>
  </si>
  <si>
    <t>09:43:08</t>
  </si>
  <si>
    <t>CQ113884</t>
  </si>
  <si>
    <r>
      <rPr>
        <sz val="10"/>
        <rFont val="Noto Sans CJK SC"/>
        <family val="2"/>
      </rPr>
      <t>黃馨巧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黃馨可</t>
    </r>
  </si>
  <si>
    <t>20241012093525011404</t>
  </si>
  <si>
    <t>09:35:25</t>
  </si>
  <si>
    <t>20241011233155011435</t>
  </si>
  <si>
    <t>23:31:55</t>
  </si>
  <si>
    <t>20241011210830011916</t>
  </si>
  <si>
    <t>21:08:30</t>
  </si>
  <si>
    <t>20241011205134011908</t>
  </si>
  <si>
    <t>20:51:34</t>
  </si>
  <si>
    <t>CQ1130529</t>
  </si>
  <si>
    <t>楊⼜璇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</si>
  <si>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>試上</t>
    </r>
    <r>
      <rPr>
        <sz val="10"/>
        <rFont val="Microsoft JhengHei"/>
        <family val="2"/>
        <charset val="136"/>
      </rPr>
      <t>(20%) 1x1200</t>
    </r>
  </si>
  <si>
    <t>20241011204533011024</t>
  </si>
  <si>
    <t>20:45:33</t>
  </si>
  <si>
    <t>20241011203804011729</t>
  </si>
  <si>
    <t>BQ113209</t>
  </si>
  <si>
    <r>
      <rPr>
        <sz val="10"/>
        <rFont val="Noto Sans CJK SC"/>
        <family val="2"/>
      </rPr>
      <t>林羿澄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吳澄浩</t>
    </r>
  </si>
  <si>
    <t>20241011193604011505</t>
  </si>
  <si>
    <t>19:36:04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</si>
  <si>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1x10800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1x10800</t>
    </r>
  </si>
  <si>
    <t>20241011192804011311</t>
  </si>
  <si>
    <t>19:28:04</t>
  </si>
  <si>
    <t>20241011192449011678</t>
  </si>
  <si>
    <t>19:24:49</t>
  </si>
  <si>
    <t>CQ1130505</t>
  </si>
  <si>
    <t>謝念佑 謝承佑</t>
  </si>
  <si>
    <t>20241011191150011297</t>
  </si>
  <si>
    <t>19:11:50</t>
  </si>
  <si>
    <t>BQ113088</t>
  </si>
  <si>
    <r>
      <rPr>
        <sz val="10"/>
        <rFont val="Noto Sans CJK SC"/>
        <family val="2"/>
      </rPr>
      <t>楊賜梅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謝旻諺</t>
    </r>
  </si>
  <si>
    <t>20241011185343011876</t>
  </si>
  <si>
    <t>18:53:43</t>
  </si>
  <si>
    <t>CQ1130524</t>
  </si>
  <si>
    <t>吳雨霏 李⾀晴李⾀翔</t>
  </si>
  <si>
    <t>20241011184413011507</t>
  </si>
  <si>
    <t>18:44:13</t>
  </si>
  <si>
    <t>20241011184133011415</t>
  </si>
  <si>
    <t>18:41:33</t>
  </si>
  <si>
    <t>AQ113257</t>
  </si>
  <si>
    <t>張苒苒</t>
  </si>
  <si>
    <t>20241011182350011758</t>
  </si>
  <si>
    <t>CQ113664</t>
  </si>
  <si>
    <t>呂祐承</t>
  </si>
  <si>
    <t>20241011181110011787</t>
  </si>
  <si>
    <t>18:11:10</t>
  </si>
  <si>
    <t>BQ113312</t>
  </si>
  <si>
    <r>
      <rPr>
        <sz val="10"/>
        <rFont val="Noto Sans CJK SC"/>
        <family val="2"/>
      </rPr>
      <t>彭⼦洧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彭⾱榤</t>
    </r>
  </si>
  <si>
    <t>20241011172950011099</t>
  </si>
  <si>
    <t>17:29:50</t>
  </si>
  <si>
    <t>CQ113049</t>
  </si>
  <si>
    <t>詹可華 詹駟宥陳芯萮</t>
  </si>
  <si>
    <t>20241011172125011346</t>
  </si>
  <si>
    <t>17:21:25</t>
  </si>
  <si>
    <t>20241011171749011747</t>
  </si>
  <si>
    <t>20241011160703011617</t>
  </si>
  <si>
    <t>16:07:03</t>
  </si>
  <si>
    <t>BQ113077</t>
  </si>
  <si>
    <r>
      <rPr>
        <sz val="10"/>
        <rFont val="Noto Sans CJK SC"/>
        <family val="2"/>
      </rPr>
      <t>吳禹漩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吳禹樂</t>
    </r>
  </si>
  <si>
    <t>20241011155728011561</t>
  </si>
  <si>
    <t>15:57:28</t>
  </si>
  <si>
    <t>CQ1131009</t>
  </si>
  <si>
    <t>鄭丞晏 鄭語嫺</t>
  </si>
  <si>
    <t>20241011155323011179</t>
  </si>
  <si>
    <t>15:53:23</t>
  </si>
  <si>
    <t>20241011154800011055</t>
  </si>
  <si>
    <t>15:48:00</t>
  </si>
  <si>
    <t>20241011153712011385</t>
  </si>
  <si>
    <t>15:37:12</t>
  </si>
  <si>
    <t>CQ1131004</t>
  </si>
  <si>
    <r>
      <rPr>
        <sz val="10"/>
        <rFont val="Noto Sans CJK SC"/>
        <family val="2"/>
      </rPr>
      <t>杜毅⾶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李帛暘</t>
    </r>
  </si>
  <si>
    <t>20241011152210011879</t>
  </si>
  <si>
    <t>15:22:10</t>
  </si>
  <si>
    <t>CQ1131011</t>
  </si>
  <si>
    <r>
      <rPr>
        <sz val="10"/>
        <rFont val="Noto Sans CJK SC"/>
        <family val="2"/>
      </rPr>
      <t>謝昇晉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黃芊瑋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廖俞晴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廖⼦晴</t>
    </r>
  </si>
  <si>
    <t>20241011151928011879</t>
  </si>
  <si>
    <t>15:19:28</t>
  </si>
  <si>
    <t>20241011150856011313</t>
  </si>
  <si>
    <t>15:08:56</t>
  </si>
  <si>
    <t>CQ1131000</t>
  </si>
  <si>
    <t>陳煜凱，李宜頡，李芮綺，李梓蕾</t>
  </si>
  <si>
    <t>20241011150417011865</t>
  </si>
  <si>
    <t>15:04:17</t>
  </si>
  <si>
    <t>CQ113790</t>
  </si>
  <si>
    <r>
      <rPr>
        <sz val="10"/>
        <rFont val="Noto Sans CJK SC"/>
        <family val="2"/>
      </rPr>
      <t>朱雅鈴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李令⽵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李麗娟</t>
    </r>
  </si>
  <si>
    <t>20241011111356011327</t>
  </si>
  <si>
    <t>11:13:56</t>
  </si>
  <si>
    <t>CQ113794</t>
  </si>
  <si>
    <t>20241011104930011700</t>
  </si>
  <si>
    <t>10:49:30</t>
  </si>
  <si>
    <t>CQ113796</t>
  </si>
  <si>
    <r>
      <rPr>
        <sz val="10"/>
        <rFont val="Noto Sans CJK SC"/>
        <family val="2"/>
      </rPr>
      <t>陳俞霏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吳旻祐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徐苡甄</t>
    </r>
  </si>
  <si>
    <t>20241011104718011758</t>
  </si>
  <si>
    <t>10:47:18</t>
  </si>
  <si>
    <t>CQ113797</t>
  </si>
  <si>
    <r>
      <rPr>
        <sz val="10"/>
        <rFont val="Noto Sans CJK SC"/>
        <family val="2"/>
      </rPr>
      <t>廖秉庠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李瑀萌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李佳恩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李宣呈</t>
    </r>
  </si>
  <si>
    <t>20241011104447011894</t>
  </si>
  <si>
    <t>10:44:47</t>
  </si>
  <si>
    <t>20241011103501011581</t>
  </si>
  <si>
    <t>10:35:01</t>
  </si>
  <si>
    <t>CQ113779</t>
  </si>
  <si>
    <t>劉承恩</t>
  </si>
  <si>
    <t>20241011103124011468</t>
  </si>
  <si>
    <t>10:31:24</t>
  </si>
  <si>
    <t>CQ113880</t>
  </si>
  <si>
    <t>陳榆琋陳祖樂⾼禹婕</t>
  </si>
  <si>
    <t>20241011101506011329</t>
  </si>
  <si>
    <t>10:15:06</t>
  </si>
  <si>
    <t>CQ1139882</t>
  </si>
  <si>
    <t>楊承彥楊妤涵</t>
  </si>
  <si>
    <t>20241010194947011302</t>
  </si>
  <si>
    <t>19:49:47</t>
  </si>
  <si>
    <t>20241010194007011633</t>
  </si>
  <si>
    <t>19:40:07</t>
  </si>
  <si>
    <t>BQ113391</t>
  </si>
  <si>
    <r>
      <rPr>
        <sz val="10"/>
        <rFont val="Noto Sans CJK SC"/>
        <family val="2"/>
      </rPr>
      <t>連恩嫻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鄭光芸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賴倚樂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賴倚婕</t>
    </r>
  </si>
  <si>
    <t>20241010170709011925</t>
  </si>
  <si>
    <t>17:07:09</t>
  </si>
  <si>
    <t>CQ113557</t>
  </si>
  <si>
    <t>黃柏丰 黃柏禎韓舜宇 蘇巧芯</t>
  </si>
  <si>
    <t>20241010163753011480</t>
  </si>
  <si>
    <t>16:37:53</t>
  </si>
  <si>
    <t>20241010140605011616</t>
  </si>
  <si>
    <t>BQ113413</t>
  </si>
  <si>
    <t>陳泓翔</t>
  </si>
  <si>
    <t>20241010132142011423</t>
  </si>
  <si>
    <t>13:21:42</t>
  </si>
  <si>
    <t>CQ113883</t>
  </si>
  <si>
    <r>
      <rPr>
        <sz val="10"/>
        <rFont val="Noto Sans CJK SC"/>
        <family val="2"/>
      </rPr>
      <t>郭秀琪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郭信菲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郭⼦娟</t>
    </r>
  </si>
  <si>
    <t>20241010124220011194</t>
  </si>
  <si>
    <t>12:42:20</t>
  </si>
  <si>
    <t>20241010093636011509</t>
  </si>
  <si>
    <t>09:36:36</t>
  </si>
  <si>
    <t>CQ113888</t>
  </si>
  <si>
    <r>
      <rPr>
        <sz val="10"/>
        <rFont val="Noto Sans CJK SC"/>
        <family val="2"/>
      </rPr>
      <t>彭禹綸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李沂宸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李湘允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廖思嘉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黃維霆</t>
    </r>
  </si>
  <si>
    <t>20241010083444011581</t>
  </si>
  <si>
    <t>08:34:44</t>
  </si>
  <si>
    <t>A1131001</t>
  </si>
  <si>
    <r>
      <rPr>
        <sz val="10"/>
        <rFont val="Noto Sans CJK SC"/>
        <family val="2"/>
      </rPr>
      <t>李秉祐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李家丞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⾺靖峰</t>
    </r>
  </si>
  <si>
    <t>20241010082031011861</t>
  </si>
  <si>
    <t>08:20:31</t>
  </si>
  <si>
    <t>AQ1131000</t>
  </si>
  <si>
    <t>曾柔蓁、曾⼦瑄、何紫瑈</t>
  </si>
  <si>
    <t>20241009163436011210</t>
  </si>
  <si>
    <t>16:34:36</t>
  </si>
  <si>
    <t>AQ1131006</t>
  </si>
  <si>
    <t>吳宥潔</t>
  </si>
  <si>
    <t>20241009081907011700</t>
  </si>
  <si>
    <t>08:19:07</t>
  </si>
  <si>
    <t>20241008195316011548</t>
  </si>
  <si>
    <t>19:53:16</t>
  </si>
  <si>
    <t>CQ113987</t>
  </si>
  <si>
    <t>何⽻涵 劉宜霏張卉穎</t>
  </si>
  <si>
    <t>20241008195232011880</t>
  </si>
  <si>
    <t>19:52:32</t>
  </si>
  <si>
    <t>BQ113410</t>
  </si>
  <si>
    <t>康嘉欣 朱駿豪</t>
  </si>
  <si>
    <t>20241008151945011144</t>
  </si>
  <si>
    <t>15:19:45</t>
  </si>
  <si>
    <t>20241008150752011810</t>
  </si>
  <si>
    <t>15:07:52</t>
  </si>
  <si>
    <t>CQ113988</t>
  </si>
  <si>
    <t>20241007211122011497</t>
  </si>
  <si>
    <t>21:11:22</t>
  </si>
  <si>
    <t>CQ113607</t>
  </si>
  <si>
    <t>邱歆喬</t>
  </si>
  <si>
    <t>20241007204959011608</t>
  </si>
  <si>
    <t>20:49:59</t>
  </si>
  <si>
    <t>CQ113989</t>
  </si>
  <si>
    <r>
      <rPr>
        <sz val="10"/>
        <rFont val="Noto Sans CJK SC"/>
        <family val="2"/>
      </rPr>
      <t>吳雨彤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吳紫睎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董晉維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董珆卉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朱禹丞</t>
    </r>
  </si>
  <si>
    <t>20241007195103011012</t>
  </si>
  <si>
    <t>20241007194756011705</t>
  </si>
  <si>
    <t>19:47:56</t>
  </si>
  <si>
    <t>AQ1130057</t>
  </si>
  <si>
    <t>20241007194110011842</t>
  </si>
  <si>
    <t>19:41:10</t>
  </si>
  <si>
    <t>CQ113998</t>
  </si>
  <si>
    <r>
      <rPr>
        <sz val="10"/>
        <rFont val="Noto Sans CJK SC"/>
        <family val="2"/>
      </rPr>
      <t>林采⾢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鄭丞妤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林禹彤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鄭丞亮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林定瑋</t>
    </r>
  </si>
  <si>
    <t>20241007193228011361</t>
  </si>
  <si>
    <t>19:32:28</t>
  </si>
  <si>
    <t>20241007193213011522</t>
  </si>
  <si>
    <t>19:32:13</t>
  </si>
  <si>
    <t>20241007120605011538</t>
  </si>
  <si>
    <t>12:06:05</t>
  </si>
  <si>
    <t>20241006160106011018</t>
  </si>
  <si>
    <t>16:01:06</t>
  </si>
  <si>
    <t>20241006114952011225</t>
  </si>
  <si>
    <t>11:49:52</t>
  </si>
  <si>
    <t>20241005172639011850</t>
  </si>
  <si>
    <t>17:26:39</t>
  </si>
  <si>
    <t>20241005171929011298</t>
  </si>
  <si>
    <t>17:19:29</t>
  </si>
  <si>
    <t>20241005144539011199</t>
  </si>
  <si>
    <t>14:45:39</t>
  </si>
  <si>
    <t>BQ113279</t>
  </si>
  <si>
    <t>林詰宸</t>
  </si>
  <si>
    <t>20241005132528011392</t>
  </si>
  <si>
    <t>13:25:28</t>
  </si>
  <si>
    <t>20241005130547011966</t>
  </si>
  <si>
    <t>13:05:47</t>
  </si>
  <si>
    <t>AQ112279</t>
  </si>
  <si>
    <t>阮如謙 阮如諄</t>
  </si>
  <si>
    <t>20241005111520011916</t>
  </si>
  <si>
    <t>11:15:20</t>
  </si>
  <si>
    <t>20241005111020011887</t>
  </si>
  <si>
    <t>11:10:20</t>
  </si>
  <si>
    <t>AQ113248</t>
  </si>
  <si>
    <t>鄭睿瑄 鄭允泰</t>
  </si>
  <si>
    <t>20241005110644011559</t>
  </si>
  <si>
    <t>11:06:44</t>
  </si>
  <si>
    <t>AQ113989</t>
  </si>
  <si>
    <t>李嘉宸 李怡靓</t>
  </si>
  <si>
    <t>20241005105836011963</t>
  </si>
  <si>
    <t>10:58:36</t>
  </si>
  <si>
    <t>20241005105648011667</t>
  </si>
  <si>
    <t>10:56:48</t>
  </si>
  <si>
    <t>20241005101642011728</t>
  </si>
  <si>
    <t>10:16:42</t>
  </si>
  <si>
    <t>20241005101354011497</t>
  </si>
  <si>
    <t>10:13:54</t>
  </si>
  <si>
    <t>CQ1131003</t>
  </si>
  <si>
    <r>
      <rPr>
        <sz val="10"/>
        <rFont val="Noto Sans CJK SC"/>
        <family val="2"/>
      </rPr>
      <t>卓孟鋮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卓鈺珵</t>
    </r>
  </si>
  <si>
    <t>20241005101005011494</t>
  </si>
  <si>
    <t>10:10:05</t>
  </si>
  <si>
    <t>20241005100643011463</t>
  </si>
  <si>
    <t>10:06:43</t>
  </si>
  <si>
    <t>CQ1131001</t>
  </si>
  <si>
    <t>廖冠瑀</t>
  </si>
  <si>
    <t>20241004195419011827</t>
  </si>
  <si>
    <t>19:54:19</t>
  </si>
  <si>
    <t>AQ1130079</t>
  </si>
  <si>
    <t>20241004195034011269</t>
  </si>
  <si>
    <t>20241004194028011854</t>
  </si>
  <si>
    <t>19:40:28</t>
  </si>
  <si>
    <t>AQ113071</t>
  </si>
  <si>
    <t>傅亦宸</t>
  </si>
  <si>
    <t>20241004193111011355</t>
  </si>
  <si>
    <t>19:31:11</t>
  </si>
  <si>
    <t>AQ113087</t>
  </si>
  <si>
    <t>謝秉育</t>
  </si>
  <si>
    <t>20241001203807011960</t>
  </si>
  <si>
    <t>20:38:07</t>
  </si>
  <si>
    <t>AQ113234</t>
  </si>
  <si>
    <t>林儀芊</t>
  </si>
  <si>
    <t>20241001074206011895</t>
  </si>
  <si>
    <t>07:42:06</t>
  </si>
  <si>
    <t>20241001072839011379</t>
  </si>
  <si>
    <t>07:28:39</t>
  </si>
  <si>
    <t>AQ111321</t>
  </si>
  <si>
    <t>陳靖倫</t>
  </si>
  <si>
    <t>20241001072101011779</t>
  </si>
  <si>
    <t>07:21:01</t>
  </si>
  <si>
    <t>20241001071223011098</t>
  </si>
  <si>
    <t>07:12:23</t>
  </si>
  <si>
    <t>AQ112401</t>
  </si>
  <si>
    <t>邱郁晴 邱芊靜</t>
  </si>
  <si>
    <t>20240930200309011667</t>
  </si>
  <si>
    <t>20:03:09</t>
  </si>
  <si>
    <t>CQ113703</t>
  </si>
  <si>
    <r>
      <rPr>
        <sz val="10"/>
        <rFont val="Noto Sans CJK SC"/>
        <family val="2"/>
      </rPr>
      <t>張⼜勻 陳怡</t>
    </r>
    <r>
      <rPr>
        <sz val="10"/>
        <rFont val="Microsoft JhengHei"/>
        <family val="2"/>
        <charset val="136"/>
      </rPr>
      <t>?</t>
    </r>
    <r>
      <rPr>
        <sz val="10"/>
        <rFont val="Noto Sans CJK SC"/>
        <family val="2"/>
      </rPr>
      <t>黃麗</t>
    </r>
    <r>
      <rPr>
        <sz val="10"/>
        <rFont val="Microsoft JhengHei"/>
        <family val="2"/>
        <charset val="136"/>
      </rPr>
      <t>?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</si>
  <si>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1x600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1x600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1x600</t>
    </r>
  </si>
  <si>
    <t>20240930095303011440</t>
  </si>
  <si>
    <t>09:53:03</t>
  </si>
  <si>
    <t>20240929190830011362</t>
  </si>
  <si>
    <t>19:08:30</t>
  </si>
  <si>
    <t>BQ113411</t>
  </si>
  <si>
    <r>
      <rPr>
        <sz val="10"/>
        <rFont val="Noto Sans CJK SC"/>
        <family val="2"/>
      </rPr>
      <t>溫厚義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黃禎亮</t>
    </r>
  </si>
  <si>
    <t>20240929115411011702</t>
  </si>
  <si>
    <t>11:54:11</t>
  </si>
  <si>
    <t>20240929110038011313</t>
  </si>
  <si>
    <t>11:00:38</t>
  </si>
  <si>
    <t>20240929094306011942</t>
  </si>
  <si>
    <t>09:43:06</t>
  </si>
  <si>
    <t>CQ113536</t>
  </si>
  <si>
    <t>鄭維玲 鄭維萱</t>
  </si>
  <si>
    <t>20240928133042011090</t>
  </si>
  <si>
    <t>13:30:42</t>
  </si>
  <si>
    <t>20240928122114011731</t>
  </si>
  <si>
    <t>12:21:14</t>
  </si>
  <si>
    <t>20240928110024011613</t>
  </si>
  <si>
    <t>11:00:24</t>
  </si>
  <si>
    <t>CQ113990</t>
  </si>
  <si>
    <r>
      <rPr>
        <sz val="10"/>
        <rFont val="Noto Sans CJK SC"/>
        <family val="2"/>
      </rPr>
      <t>蔡宇晅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蔡宇硯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郭杰穎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郭星岑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李苡彤</t>
    </r>
  </si>
  <si>
    <t>20240928104606011864</t>
  </si>
  <si>
    <t>10:46:06</t>
  </si>
  <si>
    <t>CQ113991</t>
  </si>
  <si>
    <t>20240928103256011448</t>
  </si>
  <si>
    <t>10:32:56</t>
  </si>
  <si>
    <t>CQ113993</t>
  </si>
  <si>
    <t>吳秀美 林瑋勵</t>
  </si>
  <si>
    <t>20240928102228011618</t>
  </si>
  <si>
    <t>10:22:28</t>
  </si>
  <si>
    <t>CQ113994</t>
  </si>
  <si>
    <r>
      <rPr>
        <sz val="10"/>
        <rFont val="Noto Sans CJK SC"/>
        <family val="2"/>
      </rPr>
      <t>陳品橦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魏晨伊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魏郁芯</t>
    </r>
  </si>
  <si>
    <t>20240928100903011684</t>
  </si>
  <si>
    <t>10:09:03</t>
  </si>
  <si>
    <t>CQ113995</t>
  </si>
  <si>
    <r>
      <rPr>
        <sz val="10"/>
        <rFont val="Noto Sans CJK SC"/>
        <family val="2"/>
      </rPr>
      <t>陳品橦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魏晨伊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魏郁芯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莊沛穎</t>
    </r>
  </si>
  <si>
    <t>20240928094142011994</t>
  </si>
  <si>
    <t>09:41:42</t>
  </si>
  <si>
    <t>CQ113996</t>
  </si>
  <si>
    <t>20240928092331011248</t>
  </si>
  <si>
    <t>09:23:31</t>
  </si>
  <si>
    <t>CQ113534</t>
  </si>
  <si>
    <t>20240928092138011307</t>
  </si>
  <si>
    <t>09:21:38</t>
  </si>
  <si>
    <t>CQ113997</t>
  </si>
  <si>
    <r>
      <rPr>
        <sz val="10"/>
        <rFont val="Noto Sans CJK SC"/>
        <family val="2"/>
      </rPr>
      <t>陳沅豐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陳沅昇</t>
    </r>
  </si>
  <si>
    <t>20240928091853011499</t>
  </si>
  <si>
    <t>09:18:53</t>
  </si>
  <si>
    <t>20240927201345011607</t>
  </si>
  <si>
    <t>20:13:45</t>
  </si>
  <si>
    <t>AQ1130061</t>
  </si>
  <si>
    <r>
      <rPr>
        <sz val="10"/>
        <rFont val="Noto Sans CJK SC"/>
        <family val="2"/>
      </rPr>
      <t>丁翊庭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丁梓洋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李欣桐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</si>
  <si>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1x9000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1x9000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1x9000
6.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1x9000</t>
    </r>
  </si>
  <si>
    <t>20240927200956011386</t>
  </si>
  <si>
    <t>20:09:56</t>
  </si>
  <si>
    <t>AQ1130060</t>
  </si>
  <si>
    <r>
      <rPr>
        <sz val="10"/>
        <rFont val="Noto Sans CJK SC"/>
        <family val="2"/>
      </rPr>
      <t>王允菲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王允晞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林妍喬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林思荺</t>
    </r>
  </si>
  <si>
    <t>20240927200520011968</t>
  </si>
  <si>
    <t>20:05:20</t>
  </si>
  <si>
    <t>20240927200123011348</t>
  </si>
  <si>
    <t>20:01:23</t>
  </si>
  <si>
    <t>20240927185033011166</t>
  </si>
  <si>
    <t>18:50:33</t>
  </si>
  <si>
    <t>20240926061733011927</t>
  </si>
  <si>
    <t>06:17:33</t>
  </si>
  <si>
    <t>20240925182036011626</t>
  </si>
  <si>
    <t>18:20:36</t>
  </si>
  <si>
    <t>20240925175454011836</t>
  </si>
  <si>
    <t>17:54:54</t>
  </si>
  <si>
    <t>AQ113998</t>
  </si>
  <si>
    <t>陳威倫</t>
  </si>
  <si>
    <t>20240922165627011958</t>
  </si>
  <si>
    <t>16:56:27</t>
  </si>
  <si>
    <t>20240922091334011598</t>
  </si>
  <si>
    <t>09:13:34</t>
  </si>
  <si>
    <t>20240921154357011743</t>
  </si>
  <si>
    <t>15:43:57</t>
  </si>
  <si>
    <t>20240921153206011460</t>
  </si>
  <si>
    <t>15:32:06</t>
  </si>
  <si>
    <t>20240921123237011225</t>
  </si>
  <si>
    <t>12:32:37</t>
  </si>
  <si>
    <t>20240919204007011957</t>
  </si>
  <si>
    <t>20:40:07</t>
  </si>
  <si>
    <t>BQ113406</t>
  </si>
  <si>
    <t>陳品均</t>
  </si>
  <si>
    <t>20240916200708011413</t>
  </si>
  <si>
    <t>20:07:08</t>
  </si>
  <si>
    <t>20240915141528011381</t>
  </si>
  <si>
    <t>14:15:28</t>
  </si>
  <si>
    <t>20240915132912011486</t>
  </si>
  <si>
    <t>13:29:12</t>
  </si>
  <si>
    <t>20240915082355011458</t>
  </si>
  <si>
    <t>08:23:55</t>
  </si>
  <si>
    <t>20240914195817011674</t>
  </si>
  <si>
    <t>19:58:17</t>
  </si>
  <si>
    <t>AQ113983</t>
  </si>
  <si>
    <t>林婕縈 陳奕⿑</t>
  </si>
  <si>
    <t>20240913113814011584</t>
  </si>
  <si>
    <t>11:38:14</t>
  </si>
  <si>
    <t>CQ113699</t>
  </si>
  <si>
    <t>邱巧喬 邱⼦修</t>
  </si>
  <si>
    <t>20240912205541011801</t>
  </si>
  <si>
    <t>20:55:41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</si>
  <si>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(50%) 1x9000</t>
    </r>
  </si>
  <si>
    <t>20240912204553011433</t>
  </si>
  <si>
    <t>20:45:53</t>
  </si>
  <si>
    <t>AQ112541</t>
  </si>
  <si>
    <t>陳怡安 張⼼榕</t>
  </si>
  <si>
    <t>20240912184252011962</t>
  </si>
  <si>
    <t>18:42:52</t>
  </si>
  <si>
    <t>20240912181208011497</t>
  </si>
  <si>
    <t>18:12:08</t>
  </si>
  <si>
    <t>AQ1130912</t>
  </si>
  <si>
    <t>蔡⽟珊 張語宸蔡惠蘭</t>
  </si>
  <si>
    <t>20240912055328011639</t>
  </si>
  <si>
    <t>05:53:28</t>
  </si>
  <si>
    <t>20240911200228011623</t>
  </si>
  <si>
    <t>20:02:28</t>
  </si>
  <si>
    <t>20240911200134011560</t>
  </si>
  <si>
    <t>20:01:34</t>
  </si>
  <si>
    <t>20240911174417011726</t>
  </si>
  <si>
    <t>17:44:17</t>
  </si>
  <si>
    <t>20240911160314011339</t>
  </si>
  <si>
    <t>16:03:14</t>
  </si>
  <si>
    <t>CQ113620</t>
  </si>
  <si>
    <t>張正諺</t>
  </si>
  <si>
    <t>20240910200828011549</t>
  </si>
  <si>
    <t>20:08:28</t>
  </si>
  <si>
    <t>20240910170732011130</t>
  </si>
  <si>
    <t>17:07:32</t>
  </si>
  <si>
    <t>20240910112907011735</t>
  </si>
  <si>
    <t>11:29:07</t>
  </si>
  <si>
    <t>20240909101842011076</t>
  </si>
  <si>
    <t>10:18:42</t>
  </si>
  <si>
    <t>20240909101120011087</t>
  </si>
  <si>
    <t>10:11:20</t>
  </si>
  <si>
    <t>AQ113448</t>
  </si>
  <si>
    <t>王瑄翎 王皓正陳彥維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</si>
  <si>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1x9000</t>
    </r>
  </si>
  <si>
    <t>20240909083226011977</t>
  </si>
  <si>
    <t>08:32:26</t>
  </si>
  <si>
    <t>BQ113402</t>
  </si>
  <si>
    <t>陳銘祈</t>
  </si>
  <si>
    <t>20240908171402011266</t>
  </si>
  <si>
    <t>17:14:02</t>
  </si>
  <si>
    <t>BQ113401</t>
  </si>
  <si>
    <r>
      <rPr>
        <sz val="10"/>
        <rFont val="Noto Sans CJK SC"/>
        <family val="2"/>
      </rPr>
      <t>周⼦濬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周秉燊</t>
    </r>
  </si>
  <si>
    <t>20240908151502011994</t>
  </si>
  <si>
    <t>15:15:02</t>
  </si>
  <si>
    <t>BQ113190</t>
  </si>
  <si>
    <t>吳菩恆 吳碩恆</t>
  </si>
  <si>
    <t>20240908112938011471</t>
  </si>
  <si>
    <t>11:29:38</t>
  </si>
  <si>
    <t>BQ113275</t>
  </si>
  <si>
    <t>辜御⿑</t>
  </si>
  <si>
    <t>20240908112449011591</t>
  </si>
  <si>
    <t>11:24:49</t>
  </si>
  <si>
    <t>20240908093934011970</t>
  </si>
  <si>
    <t>09:39:34</t>
  </si>
  <si>
    <t>20240908075330011554</t>
  </si>
  <si>
    <t>07:53:30</t>
  </si>
  <si>
    <t>BQ113101</t>
  </si>
  <si>
    <r>
      <rPr>
        <sz val="10"/>
        <rFont val="Noto Sans CJK SC"/>
        <family val="2"/>
      </rPr>
      <t>蕭詠駿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鄭⼜慈</t>
    </r>
  </si>
  <si>
    <t>20240907165000011693</t>
  </si>
  <si>
    <t>AQ113950</t>
  </si>
  <si>
    <r>
      <rPr>
        <sz val="10"/>
        <rFont val="Noto Sans CJK SC"/>
        <family val="2"/>
      </rPr>
      <t>陳柏辰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陳虹伶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蘇彥丞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吳孟軒</t>
    </r>
  </si>
  <si>
    <t>20240907131051011191</t>
  </si>
  <si>
    <t>13:10:51</t>
  </si>
  <si>
    <t>20240907130322011864</t>
  </si>
  <si>
    <t>13:03:22</t>
  </si>
  <si>
    <t>20240907075706011359</t>
  </si>
  <si>
    <t>07:57:06</t>
  </si>
  <si>
    <t>20240907075526011555</t>
  </si>
  <si>
    <t>07:55:26</t>
  </si>
  <si>
    <t>20240907071206011639</t>
  </si>
  <si>
    <t>07:12:06</t>
  </si>
  <si>
    <t>20240907070505011585</t>
  </si>
  <si>
    <t>07:05:05</t>
  </si>
  <si>
    <t>20240907070034011533</t>
  </si>
  <si>
    <t>07:00:34</t>
  </si>
  <si>
    <t>20240907065901011228</t>
  </si>
  <si>
    <t>06:59:01</t>
  </si>
  <si>
    <t>AQ113979</t>
  </si>
  <si>
    <t>劉承浩 劉芷⾀周秀蓁</t>
  </si>
  <si>
    <t>20240907064736011244</t>
  </si>
  <si>
    <t>06:47:36</t>
  </si>
  <si>
    <t>AQ113980</t>
  </si>
  <si>
    <t>張岦語 陳筱婷</t>
  </si>
  <si>
    <t>20240907064425011675</t>
  </si>
  <si>
    <t>06:44:25</t>
  </si>
  <si>
    <t>AQ113982</t>
  </si>
  <si>
    <t>林新翰 林佑辰</t>
  </si>
  <si>
    <t>20240907064218011955</t>
  </si>
  <si>
    <t>06:42:18</t>
  </si>
  <si>
    <t>20240907064102011082</t>
  </si>
  <si>
    <t>06:41:02</t>
  </si>
  <si>
    <t>20240907063925011012</t>
  </si>
  <si>
    <t>06:39:25</t>
  </si>
  <si>
    <t>20240907063450011335</t>
  </si>
  <si>
    <t>06:34:50</t>
  </si>
  <si>
    <t>AQ113336</t>
  </si>
  <si>
    <t>黃宣穆</t>
  </si>
  <si>
    <t>20240907063139011866</t>
  </si>
  <si>
    <t>06:31:39</t>
  </si>
  <si>
    <t>20240907062807011772</t>
  </si>
  <si>
    <t>06:28:07</t>
  </si>
  <si>
    <t>AQ113990</t>
  </si>
  <si>
    <t>陳柏勳 陳秉睿周庭安 周宥廷</t>
  </si>
  <si>
    <t>20240907062520011465</t>
  </si>
  <si>
    <t>06:25:20</t>
  </si>
  <si>
    <t>20240907061230011897</t>
  </si>
  <si>
    <t>06:12:30</t>
  </si>
  <si>
    <t>20240906193013011863</t>
  </si>
  <si>
    <t>19:30:13</t>
  </si>
  <si>
    <t>AQ113404</t>
  </si>
  <si>
    <t>蕭成允 蔡珺婷蔡承綱 林豊軒</t>
  </si>
  <si>
    <t>20240906140031011975</t>
  </si>
  <si>
    <t>14:00:31</t>
  </si>
  <si>
    <t>20240906130745011763</t>
  </si>
  <si>
    <t>13:07:45</t>
  </si>
  <si>
    <t>AQ110010</t>
  </si>
  <si>
    <t>陳霖</t>
  </si>
  <si>
    <t>20240906081643011894</t>
  </si>
  <si>
    <t>08:16:43</t>
  </si>
  <si>
    <t>20240905221912011960</t>
  </si>
  <si>
    <t>22:19:12</t>
  </si>
  <si>
    <t>20240905213728011698</t>
  </si>
  <si>
    <t>21:37:28</t>
  </si>
  <si>
    <t>AQ113408</t>
  </si>
  <si>
    <t>洪靖勝 羅奕昕羅翊勛 林榆展</t>
  </si>
  <si>
    <t>20240904220218011917</t>
  </si>
  <si>
    <t>22:02:18</t>
  </si>
  <si>
    <t>BQ113387</t>
  </si>
  <si>
    <t>黃彥慈</t>
  </si>
  <si>
    <t>20240904204559011199</t>
  </si>
  <si>
    <t>AQ113207</t>
  </si>
  <si>
    <t>慧真 碧涵</t>
  </si>
  <si>
    <t>20240904203340011273</t>
  </si>
  <si>
    <t>20:33:40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</si>
  <si>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(50%) 1x12150</t>
    </r>
  </si>
  <si>
    <t>20240904140209011232</t>
  </si>
  <si>
    <t>14:02:09</t>
  </si>
  <si>
    <t>20240904095955011502</t>
  </si>
  <si>
    <t>09:59:55</t>
  </si>
  <si>
    <t>20240904095517011167</t>
  </si>
  <si>
    <t>09:55:17</t>
  </si>
  <si>
    <t>20240903210707011419</t>
  </si>
  <si>
    <t>21:07:07</t>
  </si>
  <si>
    <r>
      <rPr>
        <sz val="10"/>
        <rFont val="Noto Sans CJK SC"/>
        <family val="2"/>
      </rPr>
      <t>孔令勛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李若瑜</t>
    </r>
    <r>
      <rPr>
        <sz val="10"/>
        <rFont val="Microsoft JhengHei"/>
        <family val="2"/>
        <charset val="136"/>
      </rPr>
      <t>.</t>
    </r>
  </si>
  <si>
    <t>20240903164000011920</t>
  </si>
  <si>
    <t>16:40:00</t>
  </si>
  <si>
    <t>CQ113672</t>
  </si>
  <si>
    <r>
      <rPr>
        <sz val="10"/>
        <rFont val="Noto Sans CJK SC"/>
        <family val="2"/>
      </rPr>
      <t>楊炘睿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呂伯陞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廖允菲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黃捷雯</t>
    </r>
  </si>
  <si>
    <t>20240903163723011137</t>
  </si>
  <si>
    <t>16:37:23</t>
  </si>
  <si>
    <t>CQ113671</t>
  </si>
  <si>
    <r>
      <rPr>
        <sz val="10"/>
        <rFont val="Noto Sans CJK SC"/>
        <family val="2"/>
      </rPr>
      <t>楊炘睿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呂伯陞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廖允菲</t>
    </r>
  </si>
  <si>
    <t>20240903163530011203</t>
  </si>
  <si>
    <t>16:35:30</t>
  </si>
  <si>
    <t>CQ113670</t>
  </si>
  <si>
    <t>李沂倢、趙妘茹</t>
  </si>
  <si>
    <t>20240903162522011379</t>
  </si>
  <si>
    <t>16:25:22</t>
  </si>
  <si>
    <t>CQ113662</t>
  </si>
  <si>
    <t>王筱筠 王昱傑</t>
  </si>
  <si>
    <t>20240903162038011478</t>
  </si>
  <si>
    <t>16:20:38</t>
  </si>
  <si>
    <t>20240903161952011232</t>
  </si>
  <si>
    <t>16:19:52</t>
  </si>
  <si>
    <t>20240903161605011585</t>
  </si>
  <si>
    <t>16:16:05</t>
  </si>
  <si>
    <t>20240903161410011791</t>
  </si>
  <si>
    <t>16:14:10</t>
  </si>
  <si>
    <t>20240903160408011466</t>
  </si>
  <si>
    <t>16:04:08</t>
  </si>
  <si>
    <t>CQ113668</t>
  </si>
  <si>
    <t>王⼦羚 李柯東</t>
  </si>
  <si>
    <t>20240903160101011460</t>
  </si>
  <si>
    <t>16:01:01</t>
  </si>
  <si>
    <t>CQ113564</t>
  </si>
  <si>
    <t>黃美禎黃卉芸</t>
  </si>
  <si>
    <t>20240903153719011161</t>
  </si>
  <si>
    <t>15:37:19</t>
  </si>
  <si>
    <t>BQ113397</t>
  </si>
  <si>
    <r>
      <rPr>
        <sz val="10"/>
        <rFont val="Noto Sans CJK SC"/>
        <family val="2"/>
      </rPr>
      <t>陳秀聞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陳星妤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陳星妍</t>
    </r>
  </si>
  <si>
    <t>20240903152206011345</t>
  </si>
  <si>
    <t>15:22:06</t>
  </si>
  <si>
    <t>BQ113396</t>
  </si>
  <si>
    <t>李昕宸</t>
  </si>
  <si>
    <t>20240903151002011944</t>
  </si>
  <si>
    <t>15:10:02</t>
  </si>
  <si>
    <t>BQ113395</t>
  </si>
  <si>
    <r>
      <rPr>
        <sz val="10"/>
        <rFont val="Noto Sans CJK SC"/>
        <family val="2"/>
      </rPr>
      <t>葉宸昊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葉宸熙</t>
    </r>
  </si>
  <si>
    <t>20240903150413011091</t>
  </si>
  <si>
    <t>15:04:13</t>
  </si>
  <si>
    <t>20240903142328011227</t>
  </si>
  <si>
    <t>20240903141821011585</t>
  </si>
  <si>
    <t>14:18:21</t>
  </si>
  <si>
    <t>BQ111064</t>
  </si>
  <si>
    <t>蕭宇辰 蕭宇君</t>
  </si>
  <si>
    <t>20240902170751011236</t>
  </si>
  <si>
    <t>17:07:51</t>
  </si>
  <si>
    <t>AQ113411</t>
  </si>
  <si>
    <r>
      <rPr>
        <sz val="10"/>
        <rFont val="Noto Sans CJK SC"/>
        <family val="2"/>
      </rPr>
      <t>黃鎧逸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黃鎧蒂</t>
    </r>
  </si>
  <si>
    <t>20240902164049011553</t>
  </si>
  <si>
    <t>16:40:49</t>
  </si>
  <si>
    <t>20240902142642011407</t>
  </si>
  <si>
    <t>14:26:42</t>
  </si>
  <si>
    <t>20240902142131011739</t>
  </si>
  <si>
    <t>14:21:31</t>
  </si>
  <si>
    <t>20240902140218011202</t>
  </si>
  <si>
    <t>14:02:18</t>
  </si>
  <si>
    <t>陳妍儒楊諭晴</t>
  </si>
  <si>
    <t>20240902134920011008</t>
  </si>
  <si>
    <t>13:49:20</t>
  </si>
  <si>
    <t>AQ113370</t>
  </si>
  <si>
    <t>陳毓昕、陳軒佑</t>
  </si>
  <si>
    <t>20240902055413011800</t>
  </si>
  <si>
    <t>05:54:13</t>
  </si>
  <si>
    <t>20240901163039011331</t>
  </si>
  <si>
    <t>16:30:39</t>
  </si>
  <si>
    <t>AQ112345</t>
  </si>
  <si>
    <t>林威</t>
  </si>
  <si>
    <t>20240901133551011760</t>
  </si>
  <si>
    <t>13:35:51</t>
  </si>
  <si>
    <t>AQ113888</t>
  </si>
  <si>
    <r>
      <rPr>
        <sz val="10"/>
        <rFont val="Noto Sans CJK SC"/>
        <family val="2"/>
      </rPr>
      <t>吳懿祐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吳禹承</t>
    </r>
  </si>
  <si>
    <t>20240901124352011026</t>
  </si>
  <si>
    <t>12:43:52</t>
  </si>
  <si>
    <t>AQ112558</t>
  </si>
  <si>
    <t>施⽻禺 施宏澤</t>
  </si>
  <si>
    <t>20240901105825011085</t>
  </si>
  <si>
    <t>10:58:25</t>
  </si>
  <si>
    <t>20240901093329011550</t>
  </si>
  <si>
    <t>09:33:29</t>
  </si>
  <si>
    <t>AQ112202</t>
  </si>
  <si>
    <t>林劭城 林凡恩</t>
  </si>
  <si>
    <t>20240831130549011981</t>
  </si>
  <si>
    <t>13:05:49</t>
  </si>
  <si>
    <t>20240831100911011703</t>
  </si>
  <si>
    <t>10:09:11</t>
  </si>
  <si>
    <t>20240831084738011848</t>
  </si>
  <si>
    <t>08:47:38</t>
  </si>
  <si>
    <t>AQ113276</t>
  </si>
  <si>
    <t>黃致澔</t>
  </si>
  <si>
    <t>20240831084000011350</t>
  </si>
  <si>
    <t>08:40:00</t>
  </si>
  <si>
    <t>20240831083756011327</t>
  </si>
  <si>
    <t>08:37:56</t>
  </si>
  <si>
    <t>AQ113213</t>
  </si>
  <si>
    <t>王麗媜 王翊丞</t>
  </si>
  <si>
    <t>20240831081219011792</t>
  </si>
  <si>
    <t>08:12:19</t>
  </si>
  <si>
    <t>20240831081038011404</t>
  </si>
  <si>
    <t>08:10:38</t>
  </si>
  <si>
    <t>20240831080659011529</t>
  </si>
  <si>
    <t>08:06:59</t>
  </si>
  <si>
    <t>AQ113999</t>
  </si>
  <si>
    <t>葉禹儂 潘禹喬紀煥宇 張禹甯</t>
  </si>
  <si>
    <t>20240830213633011354</t>
  </si>
  <si>
    <t>21:36:33</t>
  </si>
  <si>
    <t>AQ112033</t>
  </si>
  <si>
    <t>顧⼦琪 林邵城林凡恩 顧⼦賢潘威佑 潘宣妤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</si>
  <si>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1VS6 (50%) 1x21600</t>
    </r>
  </si>
  <si>
    <t>20240830213053011902</t>
  </si>
  <si>
    <t>AQ0007</t>
  </si>
  <si>
    <t>顧⼦琪 顧⼦賢潘威佑 潘宣妤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</si>
  <si>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(50%) 1x14400</t>
    </r>
  </si>
  <si>
    <t>20240830212051011445</t>
  </si>
  <si>
    <t>21:20:51</t>
  </si>
  <si>
    <t>20240830205205011443</t>
  </si>
  <si>
    <t>20:52:05</t>
  </si>
  <si>
    <t>20240830184522011919</t>
  </si>
  <si>
    <t>18:45:22</t>
  </si>
  <si>
    <t>AQ113405</t>
  </si>
  <si>
    <r>
      <rPr>
        <sz val="10"/>
        <rFont val="Noto Sans CJK SC"/>
        <family val="2"/>
      </rPr>
      <t>葉彩彤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葉宥騏</t>
    </r>
  </si>
  <si>
    <t>20240829211207011677</t>
  </si>
  <si>
    <t>20240828212321011391</t>
  </si>
  <si>
    <t>21:23:21</t>
  </si>
  <si>
    <t>BQ113388</t>
  </si>
  <si>
    <t>蕭采緹</t>
  </si>
  <si>
    <t>20240828145304011740</t>
  </si>
  <si>
    <t>14:53:04</t>
  </si>
  <si>
    <t>BQ113386</t>
  </si>
  <si>
    <t>⾼⽻汝</t>
  </si>
  <si>
    <t>20240826214156011579</t>
  </si>
  <si>
    <t>21:41:56</t>
  </si>
  <si>
    <t>BQ113385</t>
  </si>
  <si>
    <t>許曦⽂</t>
  </si>
  <si>
    <t>20240826213255011915</t>
  </si>
  <si>
    <t>21:32:55</t>
  </si>
  <si>
    <t>20240826211818011828</t>
  </si>
  <si>
    <t>21:18:18</t>
  </si>
  <si>
    <t>BQ113383</t>
  </si>
  <si>
    <r>
      <rPr>
        <sz val="10"/>
        <rFont val="Noto Sans CJK SC"/>
        <family val="2"/>
      </rPr>
      <t>翁芸芸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黃⽂鈺</t>
    </r>
  </si>
  <si>
    <t>20240826211230011404</t>
  </si>
  <si>
    <t>21:12:30</t>
  </si>
  <si>
    <t>20240826202351011954</t>
  </si>
  <si>
    <t>20:23:51</t>
  </si>
  <si>
    <t>CQ113659</t>
  </si>
  <si>
    <t>莊威則、莊⼦頎、吳品樺</t>
  </si>
  <si>
    <t>20240826202316011209</t>
  </si>
  <si>
    <t>20:23:16</t>
  </si>
  <si>
    <t>20240826200351011065</t>
  </si>
  <si>
    <t>20:03:51</t>
  </si>
  <si>
    <t>CQ113556</t>
  </si>
  <si>
    <t>粘瑞津 蔡欣穎蔡依倫</t>
  </si>
  <si>
    <t>20240826200202011916</t>
  </si>
  <si>
    <t>20:02:02</t>
  </si>
  <si>
    <t>CQ113657</t>
  </si>
  <si>
    <t>邱雅雯</t>
  </si>
  <si>
    <t>20240826192241011142</t>
  </si>
  <si>
    <t>19:22:41</t>
  </si>
  <si>
    <t>20240826183430011856</t>
  </si>
  <si>
    <t>18:34:30</t>
  </si>
  <si>
    <t>CQ113561</t>
  </si>
  <si>
    <t>陳玥綾 陳泇愷</t>
  </si>
  <si>
    <t>20240826183221011072</t>
  </si>
  <si>
    <t>18:32:21</t>
  </si>
  <si>
    <t>CQ113547</t>
  </si>
  <si>
    <t>張綺軒 王儷霏王奕⼼ 林芷伊林奕廷</t>
  </si>
  <si>
    <t>20240826174455011718</t>
  </si>
  <si>
    <t>17:44:55</t>
  </si>
  <si>
    <t>20240826162554011324</t>
  </si>
  <si>
    <t>16:25:54</t>
  </si>
  <si>
    <t>20240826152328011942</t>
  </si>
  <si>
    <t>15:23:28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</si>
  <si>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1x6600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1x6600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1x6600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>1x6600</t>
    </r>
  </si>
  <si>
    <t>20240826143823011662</t>
  </si>
  <si>
    <t>14:38:23</t>
  </si>
  <si>
    <t>CQ113633</t>
  </si>
  <si>
    <t>傅晴淩 蘇惠鈴</t>
  </si>
  <si>
    <t>20240826142835011486</t>
  </si>
  <si>
    <t>14:28:35</t>
  </si>
  <si>
    <t>20240826122558011601</t>
  </si>
  <si>
    <t>12:25:58</t>
  </si>
  <si>
    <t>BQ113382</t>
  </si>
  <si>
    <t>黃莯恩</t>
  </si>
  <si>
    <t>20240826121146011744</t>
  </si>
  <si>
    <t>12:11:46</t>
  </si>
  <si>
    <t>BQ113381</t>
  </si>
  <si>
    <t>郭萱妤</t>
  </si>
  <si>
    <t>20240826115413011106</t>
  </si>
  <si>
    <t>11:54:13</t>
  </si>
  <si>
    <t>BQ113272</t>
  </si>
  <si>
    <r>
      <rPr>
        <sz val="10"/>
        <rFont val="Noto Sans CJK SC"/>
        <family val="2"/>
      </rPr>
      <t>蕭仲廷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蕭仲祐</t>
    </r>
  </si>
  <si>
    <t>20240825181300011838</t>
  </si>
  <si>
    <t>18:13:00</t>
  </si>
  <si>
    <t>20240825175434011671</t>
  </si>
  <si>
    <t>17:54:34</t>
  </si>
  <si>
    <t>20240825174827011877</t>
  </si>
  <si>
    <t>17:48:27</t>
  </si>
  <si>
    <t>BQ113378</t>
  </si>
  <si>
    <r>
      <rPr>
        <sz val="10"/>
        <rFont val="Noto Sans CJK SC"/>
        <family val="2"/>
      </rPr>
      <t>鄭⽻彤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鄭宇竣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趙滬</t>
    </r>
  </si>
  <si>
    <t>20240825174107011741</t>
  </si>
  <si>
    <t>17:41:07</t>
  </si>
  <si>
    <t>20240825173738011292</t>
  </si>
  <si>
    <t>17:37:38</t>
  </si>
  <si>
    <t>BQ113284</t>
  </si>
  <si>
    <t>林宸佑</t>
  </si>
  <si>
    <t>20240825165118011316</t>
  </si>
  <si>
    <t>16:51:18</t>
  </si>
  <si>
    <t>CQ113649</t>
  </si>
  <si>
    <t>許少綸 許紘睿黃愷宸</t>
  </si>
  <si>
    <t>20240825165034011025</t>
  </si>
  <si>
    <t>16:50:34</t>
  </si>
  <si>
    <t>CQ113650</t>
  </si>
  <si>
    <t>許少綸 許紘睿黃愷宸 張昱藤張芸岑</t>
  </si>
  <si>
    <t>20240825164522011386</t>
  </si>
  <si>
    <t>16:45:22</t>
  </si>
  <si>
    <t>CQ113509</t>
  </si>
  <si>
    <t>盧昕妤 盧昕宏葉耀⽂ 葉⼠愷葉柏佑</t>
  </si>
  <si>
    <t>20240825164404011578</t>
  </si>
  <si>
    <t>16:44:04</t>
  </si>
  <si>
    <t>CQ113211</t>
  </si>
  <si>
    <t>余思樺 余思頴</t>
  </si>
  <si>
    <t>20240825164045011316</t>
  </si>
  <si>
    <t>16:40:45</t>
  </si>
  <si>
    <t>BQ113377</t>
  </si>
  <si>
    <t>謝依倩</t>
  </si>
  <si>
    <t>20240825162902011567</t>
  </si>
  <si>
    <t>16:29:02</t>
  </si>
  <si>
    <t>20240825160717011094</t>
  </si>
  <si>
    <t>16:07:17</t>
  </si>
  <si>
    <t>20240825160637011179</t>
  </si>
  <si>
    <t>16:06:37</t>
  </si>
  <si>
    <t>20240825154848011079</t>
  </si>
  <si>
    <t>15:48:48</t>
  </si>
  <si>
    <t>20240825154721011217</t>
  </si>
  <si>
    <t>15:47:21</t>
  </si>
  <si>
    <t>BQ113373</t>
  </si>
  <si>
    <t>⾼上雅</t>
  </si>
  <si>
    <t>20240825154323011380</t>
  </si>
  <si>
    <t>15:43:23</t>
  </si>
  <si>
    <t>CQ113648</t>
  </si>
  <si>
    <t>張程崴 張暄瑅</t>
  </si>
  <si>
    <t>20240825154210011916</t>
  </si>
  <si>
    <t>15:42:10</t>
  </si>
  <si>
    <t>BQ113480</t>
  </si>
  <si>
    <r>
      <rPr>
        <sz val="10"/>
        <rFont val="Noto Sans CJK SC"/>
        <family val="2"/>
      </rPr>
      <t>林庭宇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林軒宇</t>
    </r>
  </si>
  <si>
    <t>20240825153903011359</t>
  </si>
  <si>
    <t>15:39:03</t>
  </si>
  <si>
    <t>BQ113372</t>
  </si>
  <si>
    <r>
      <rPr>
        <sz val="10"/>
        <rFont val="Noto Sans CJK SC"/>
        <family val="2"/>
      </rPr>
      <t>汪宸宇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汪季霏</t>
    </r>
  </si>
  <si>
    <t>20240825152346011967</t>
  </si>
  <si>
    <t>15:23:46</t>
  </si>
  <si>
    <t>20240825144949011207</t>
  </si>
  <si>
    <t>14:49:49</t>
  </si>
  <si>
    <t>20240825144555011855</t>
  </si>
  <si>
    <t>14:45:55</t>
  </si>
  <si>
    <t>20240825142329011369</t>
  </si>
  <si>
    <t>14:23:29</t>
  </si>
  <si>
    <t>20240825141811011514</t>
  </si>
  <si>
    <t>14:18:11</t>
  </si>
  <si>
    <t>CQ113646</t>
  </si>
  <si>
    <t>陳宥翔 吳海安</t>
  </si>
  <si>
    <t>20240825141140011887</t>
  </si>
  <si>
    <t>14:11:40</t>
  </si>
  <si>
    <t>20240825134731011432</t>
  </si>
  <si>
    <t>13:47:31</t>
  </si>
  <si>
    <t>20240825134317011034</t>
  </si>
  <si>
    <t>13:43:17</t>
  </si>
  <si>
    <t>CQ113623</t>
  </si>
  <si>
    <t>羅鎮吾 羅鎮恩阮⼠恩</t>
  </si>
  <si>
    <t>20240825134207011790</t>
  </si>
  <si>
    <t>13:42:07</t>
  </si>
  <si>
    <t>CQ113627</t>
  </si>
  <si>
    <t>李淑華 李愷威</t>
  </si>
  <si>
    <t>20240825134112011596</t>
  </si>
  <si>
    <t>13:41:12</t>
  </si>
  <si>
    <t>20240825133629011909</t>
  </si>
  <si>
    <t>13:36:29</t>
  </si>
  <si>
    <t>20240825133441011059</t>
  </si>
  <si>
    <t>13:34:41</t>
  </si>
  <si>
    <t>20240825133418011971</t>
  </si>
  <si>
    <t>13:34:18</t>
  </si>
  <si>
    <t>20240825133402011238</t>
  </si>
  <si>
    <t>13:34:02</t>
  </si>
  <si>
    <t>20240825132422011192</t>
  </si>
  <si>
    <t>13:24:22</t>
  </si>
  <si>
    <t>BQ113127</t>
  </si>
  <si>
    <t>劉玟儒、王琪硯</t>
  </si>
  <si>
    <t>20240825132032011770</t>
  </si>
  <si>
    <t>13:20:32</t>
  </si>
  <si>
    <t>20240825131956011718</t>
  </si>
  <si>
    <t>13:19:56</t>
  </si>
  <si>
    <t>BQ113227</t>
  </si>
  <si>
    <t>王琪硯</t>
  </si>
  <si>
    <t>20240825131339011844</t>
  </si>
  <si>
    <t>13:13:39</t>
  </si>
  <si>
    <t>AQ113394</t>
  </si>
  <si>
    <t>吳佳佑 吳青玥廖予彤 施喬欣</t>
  </si>
  <si>
    <t>20240825130652011274</t>
  </si>
  <si>
    <t>13:06:52</t>
  </si>
  <si>
    <t>BQ112443</t>
  </si>
  <si>
    <t>蔡宜秀 蔡叡昀</t>
  </si>
  <si>
    <t>20240825130255011062</t>
  </si>
  <si>
    <t>13:02:55</t>
  </si>
  <si>
    <t>20240825125954011039</t>
  </si>
  <si>
    <t>12:59:54</t>
  </si>
  <si>
    <t>BQ112306</t>
  </si>
  <si>
    <t>林詰宸、林詰穎</t>
  </si>
  <si>
    <t>20240825125704011164</t>
  </si>
  <si>
    <t>12:57:04</t>
  </si>
  <si>
    <t>AQ113130</t>
  </si>
  <si>
    <t>簡睿賢 詹秉澄詹凱茵</t>
  </si>
  <si>
    <t>20240825125316011155</t>
  </si>
  <si>
    <t>12:53:16</t>
  </si>
  <si>
    <t>20240825115806011868</t>
  </si>
  <si>
    <t>11:58:06</t>
  </si>
  <si>
    <t>BQ113300</t>
  </si>
  <si>
    <t>黃祉硯</t>
  </si>
  <si>
    <t>20240825114646011311</t>
  </si>
  <si>
    <t>11:46:46</t>
  </si>
  <si>
    <t>20240825114304011911</t>
  </si>
  <si>
    <t>11:43:04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</si>
  <si>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6.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7.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8.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9.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1x7200</t>
    </r>
  </si>
  <si>
    <t>20240825114204011350</t>
  </si>
  <si>
    <t>11:42:04</t>
  </si>
  <si>
    <t>AQ113393</t>
  </si>
  <si>
    <t>許珉叡 許宸叡黃晨軒</t>
  </si>
  <si>
    <t>20240825113654011184</t>
  </si>
  <si>
    <t>20240825113549011254</t>
  </si>
  <si>
    <t>11:35:49</t>
  </si>
  <si>
    <t>20240825113230011804</t>
  </si>
  <si>
    <t>11:32:30</t>
  </si>
  <si>
    <t>20240825110008011404</t>
  </si>
  <si>
    <t>11:00:08</t>
  </si>
  <si>
    <t>20240825102448011245</t>
  </si>
  <si>
    <t>10:24:48</t>
  </si>
  <si>
    <t>AQ111235</t>
  </si>
  <si>
    <t>曾鈺婷 張豔秋</t>
  </si>
  <si>
    <t>20240825102141011312</t>
  </si>
  <si>
    <t>10:21:41</t>
  </si>
  <si>
    <t>AQ113392</t>
  </si>
  <si>
    <t>謝楹茹 謝雨瞳謝誠翔</t>
  </si>
  <si>
    <t>20240825101133011162</t>
  </si>
  <si>
    <t>10:11:33</t>
  </si>
  <si>
    <t>20240825100904011272</t>
  </si>
  <si>
    <t>10:09:04</t>
  </si>
  <si>
    <t>AQ112555</t>
  </si>
  <si>
    <t>林千晰</t>
  </si>
  <si>
    <t>20240825095726011939</t>
  </si>
  <si>
    <t>09:57:26</t>
  </si>
  <si>
    <t>AQ110086</t>
  </si>
  <si>
    <t>洪啟叡</t>
  </si>
  <si>
    <t>20240825095449011670</t>
  </si>
  <si>
    <t>09:54:49</t>
  </si>
  <si>
    <t>AQ113192</t>
  </si>
  <si>
    <t>鄭隆頡 張珮琦張珮綾</t>
  </si>
  <si>
    <t>20240825093858011841</t>
  </si>
  <si>
    <t>09:38:58</t>
  </si>
  <si>
    <t>AQ1112503</t>
  </si>
  <si>
    <t>呂乘澄、呂乘佳</t>
  </si>
  <si>
    <t>20240825091834011147</t>
  </si>
  <si>
    <t>09:18:34</t>
  </si>
  <si>
    <t>BQ111037</t>
  </si>
  <si>
    <t>楊千慧</t>
  </si>
  <si>
    <t>20240825091340011701</t>
  </si>
  <si>
    <t>09:13:40</t>
  </si>
  <si>
    <t>AQ111320</t>
  </si>
  <si>
    <t>黃湘紜、陳易亨、賴嘉佑、賴柔昀</t>
  </si>
  <si>
    <t>20240825091305011163</t>
  </si>
  <si>
    <t>09:13:05</t>
  </si>
  <si>
    <t>BQ111069</t>
  </si>
  <si>
    <t>陳⼦晹 林⼦浚</t>
  </si>
  <si>
    <t>20240824165533011532</t>
  </si>
  <si>
    <t>16:55:33</t>
  </si>
  <si>
    <t>BQ113363</t>
  </si>
  <si>
    <t>陳宥希 黃祐睿</t>
  </si>
  <si>
    <t>20240824164949011936</t>
  </si>
  <si>
    <t>16:49:49</t>
  </si>
  <si>
    <t>20240824164157011373</t>
  </si>
  <si>
    <t>16:41:57</t>
  </si>
  <si>
    <t>CQ113420</t>
  </si>
  <si>
    <t>崔宸⽻ 邱⼦叡邱⽻安</t>
  </si>
  <si>
    <t>20240824163756011495</t>
  </si>
  <si>
    <t>16:37:56</t>
  </si>
  <si>
    <t>AQ113252</t>
  </si>
  <si>
    <t>陳甯熙 陳⾱君</t>
  </si>
  <si>
    <t>20240824162904011152</t>
  </si>
  <si>
    <t>16:29:04</t>
  </si>
  <si>
    <t>BQ113362</t>
  </si>
  <si>
    <t>陳楷沂 陳⾱霓</t>
  </si>
  <si>
    <t>20240824160658011173</t>
  </si>
  <si>
    <t>16:06:58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</si>
  <si>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1x7200</t>
    </r>
  </si>
  <si>
    <t>20240824155220011817</t>
  </si>
  <si>
    <t>15:52:20</t>
  </si>
  <si>
    <t>20240824154741011036</t>
  </si>
  <si>
    <t>20240824154113011559</t>
  </si>
  <si>
    <t>15:41:13</t>
  </si>
  <si>
    <t>20240824152903011256</t>
  </si>
  <si>
    <t>15:29:03</t>
  </si>
  <si>
    <t>CQ112313</t>
  </si>
  <si>
    <t>林岑靜 林品薰賴宥諠</t>
  </si>
  <si>
    <t>20240824152808011452</t>
  </si>
  <si>
    <t>15:28:08</t>
  </si>
  <si>
    <t>20240824145517011468</t>
  </si>
  <si>
    <t>14:55:17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</si>
  <si>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1x600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1x600</t>
    </r>
  </si>
  <si>
    <t>20240824144731011283</t>
  </si>
  <si>
    <t>14:47:31</t>
  </si>
  <si>
    <t>20240824141604011408</t>
  </si>
  <si>
    <t>14:16:04</t>
  </si>
  <si>
    <t>20240824141459011871</t>
  </si>
  <si>
    <t>14:14:59</t>
  </si>
  <si>
    <t>20240824135540011498</t>
  </si>
  <si>
    <t>13:55:40</t>
  </si>
  <si>
    <t>20240824134507011642</t>
  </si>
  <si>
    <t>13:45:07</t>
  </si>
  <si>
    <t>BQ110106</t>
  </si>
  <si>
    <t>楊竣尹 周鈺尹周鈺岑</t>
  </si>
  <si>
    <t>20240824131357011872</t>
  </si>
  <si>
    <t>13:13:57</t>
  </si>
  <si>
    <t>AQ113289</t>
  </si>
  <si>
    <t>徐詣宸</t>
  </si>
  <si>
    <t>20240824131145011158</t>
  </si>
  <si>
    <t>13:11:45</t>
  </si>
  <si>
    <t>AQ113058</t>
  </si>
  <si>
    <t>鍾⽻婕</t>
  </si>
  <si>
    <t>20240824130511011168</t>
  </si>
  <si>
    <t>13:05:11</t>
  </si>
  <si>
    <t>20240824130000011940</t>
  </si>
  <si>
    <t>13:00:00</t>
  </si>
  <si>
    <t>20240824124939011102</t>
  </si>
  <si>
    <t>12:49:39</t>
  </si>
  <si>
    <t>20240824124608011349</t>
  </si>
  <si>
    <t>12:46:08</t>
  </si>
  <si>
    <t>20240824123546011828</t>
  </si>
  <si>
    <t>12:35:46</t>
  </si>
  <si>
    <t>CQ113362</t>
  </si>
  <si>
    <t>鍾昀珊 蔡昀玲</t>
  </si>
  <si>
    <t>20240824112048011618</t>
  </si>
  <si>
    <t>11:20:48</t>
  </si>
  <si>
    <t>20240824105338011458</t>
  </si>
  <si>
    <t>10:53:38</t>
  </si>
  <si>
    <t>AQ112523</t>
  </si>
  <si>
    <t>張芸綺、張軒瑞</t>
  </si>
  <si>
    <t>20240824103436011378</t>
  </si>
  <si>
    <t>10:34:36</t>
  </si>
  <si>
    <t>20240824103326011445</t>
  </si>
  <si>
    <t>10:33:26</t>
  </si>
  <si>
    <t>20240824102136011031</t>
  </si>
  <si>
    <t>10:21:36</t>
  </si>
  <si>
    <t>BQ113165</t>
  </si>
  <si>
    <t>陳⽲宸</t>
  </si>
  <si>
    <t>20240824101833011069</t>
  </si>
  <si>
    <t>10:18:33</t>
  </si>
  <si>
    <t>20240824101253011627</t>
  </si>
  <si>
    <t>10:12:53</t>
  </si>
  <si>
    <t>20240824101058011119</t>
  </si>
  <si>
    <t>10:10:58</t>
  </si>
  <si>
    <t>BQ112146</t>
  </si>
  <si>
    <t>20240824100106011164</t>
  </si>
  <si>
    <t>10:01:06</t>
  </si>
  <si>
    <t>CQ113562</t>
  </si>
  <si>
    <t>陳⾔芯 陳胤銜</t>
  </si>
  <si>
    <t>20240824090601011615</t>
  </si>
  <si>
    <t>09:06:01</t>
  </si>
  <si>
    <t>AQ110191</t>
  </si>
  <si>
    <t>洪梓豪</t>
  </si>
  <si>
    <t>20240824090315011587</t>
  </si>
  <si>
    <t>09:03:15</t>
  </si>
  <si>
    <t>20240824084241011560</t>
  </si>
  <si>
    <t>08:42:41</t>
  </si>
  <si>
    <t>AQ113316</t>
  </si>
  <si>
    <t>李雨霏、張舒婷</t>
  </si>
  <si>
    <t>20240824073631011208</t>
  </si>
  <si>
    <t>07:36:31</t>
  </si>
  <si>
    <t>AQ113045</t>
  </si>
  <si>
    <t>賴榆晞 賴榆翔</t>
  </si>
  <si>
    <t>20240824071535011236</t>
  </si>
  <si>
    <t>07:15:35</t>
  </si>
  <si>
    <t>20240824071149011992</t>
  </si>
  <si>
    <t>07:11:49</t>
  </si>
  <si>
    <t>20240823211211011774</t>
  </si>
  <si>
    <t>21:12:11</t>
  </si>
  <si>
    <t>20240823203421011477</t>
  </si>
  <si>
    <t>20:34:21</t>
  </si>
  <si>
    <t>CQ113621</t>
  </si>
  <si>
    <t>林⾔霏 尤辰愷林哲暟 陳詠晴</t>
  </si>
  <si>
    <t>20240823200701011434</t>
  </si>
  <si>
    <t>20:07:01</t>
  </si>
  <si>
    <t>BQ113318</t>
  </si>
  <si>
    <r>
      <rPr>
        <sz val="10"/>
        <rFont val="Noto Sans CJK SC"/>
        <family val="2"/>
      </rPr>
      <t>黃煦凱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廖俞安</t>
    </r>
  </si>
  <si>
    <t>20240823194418011176</t>
  </si>
  <si>
    <t>19:44:18</t>
  </si>
  <si>
    <t>BQ113299</t>
  </si>
  <si>
    <t>鄭清然</t>
  </si>
  <si>
    <t>20240823192559011206</t>
  </si>
  <si>
    <t>19:25:59</t>
  </si>
  <si>
    <t>AQ113504</t>
  </si>
  <si>
    <t>許珉睿、許宸睿</t>
  </si>
  <si>
    <t>20240823191003011313</t>
  </si>
  <si>
    <t>19:10:03</t>
  </si>
  <si>
    <t>AQ113382</t>
  </si>
  <si>
    <t>辛怡</t>
  </si>
  <si>
    <t>20240823190643011782</t>
  </si>
  <si>
    <t>19:06:43</t>
  </si>
  <si>
    <t>20240823180749011559</t>
  </si>
  <si>
    <t>18:07:49</t>
  </si>
  <si>
    <t>20240823171510011098</t>
  </si>
  <si>
    <t>17:15:10</t>
  </si>
  <si>
    <t>CQ113548</t>
  </si>
  <si>
    <t>張恩妮</t>
  </si>
  <si>
    <t>20240823165110011650</t>
  </si>
  <si>
    <t>16:51:10</t>
  </si>
  <si>
    <t>20240823163518011946</t>
  </si>
  <si>
    <t>16:35:18</t>
  </si>
  <si>
    <t>CQ113569</t>
  </si>
  <si>
    <t>黃薇⾀</t>
  </si>
  <si>
    <t>20240823162207011815</t>
  </si>
  <si>
    <t>16:22:07</t>
  </si>
  <si>
    <t>BQ113344</t>
  </si>
  <si>
    <r>
      <rPr>
        <sz val="10"/>
        <rFont val="Noto Sans CJK SC"/>
        <family val="2"/>
      </rPr>
      <t>蘇慧君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薛聖翰</t>
    </r>
  </si>
  <si>
    <t>20240823161425011816</t>
  </si>
  <si>
    <t>16:14:25</t>
  </si>
  <si>
    <t>BQ113349</t>
  </si>
  <si>
    <r>
      <rPr>
        <sz val="10"/>
        <rFont val="Noto Sans CJK SC"/>
        <family val="2"/>
      </rPr>
      <t>黃舒⽻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黃孜⽻</t>
    </r>
  </si>
  <si>
    <t>20240823154726011548</t>
  </si>
  <si>
    <t>15:47:26</t>
  </si>
  <si>
    <t>BQ113343</t>
  </si>
  <si>
    <r>
      <rPr>
        <sz val="10"/>
        <rFont val="Noto Sans CJK SC"/>
        <family val="2"/>
      </rPr>
      <t>潘柏呈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巴洛赫</t>
    </r>
  </si>
  <si>
    <t>20240823151316011917</t>
  </si>
  <si>
    <t>15:13:16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</si>
  <si>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6.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7.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(50%) 1x9000</t>
    </r>
  </si>
  <si>
    <t>20240823144622011036</t>
  </si>
  <si>
    <t>14:46:22</t>
  </si>
  <si>
    <t>20240823144009011048</t>
  </si>
  <si>
    <t>14:40:09</t>
  </si>
  <si>
    <t>BQ112431</t>
  </si>
  <si>
    <t>吳⽀⽉</t>
  </si>
  <si>
    <t>20240823144008011634</t>
  </si>
  <si>
    <t>14:40:08</t>
  </si>
  <si>
    <t>20240823131014011918</t>
  </si>
  <si>
    <t>13:10:14</t>
  </si>
  <si>
    <t>20240823121134011975</t>
  </si>
  <si>
    <t>12:11:34</t>
  </si>
  <si>
    <t>AQ109288</t>
  </si>
  <si>
    <t>李紫晞 吳忻語⽯家宜</t>
  </si>
  <si>
    <t>20240823120541011247</t>
  </si>
  <si>
    <t>12:05:41</t>
  </si>
  <si>
    <t>AQ109071</t>
  </si>
  <si>
    <t>陳名明 ⽯家怡</t>
  </si>
  <si>
    <t>20240823120142011107</t>
  </si>
  <si>
    <t>12:01:42</t>
  </si>
  <si>
    <t>AQ109382</t>
  </si>
  <si>
    <t>陳宥均 陳宥任陳宥⿑</t>
  </si>
  <si>
    <t>20240823113244011771</t>
  </si>
  <si>
    <t>11:32:44</t>
  </si>
  <si>
    <t>CQ112077</t>
  </si>
  <si>
    <t>林煒宸 林禹劭</t>
  </si>
  <si>
    <t>20240823111000011793</t>
  </si>
  <si>
    <t>11:10:00</t>
  </si>
  <si>
    <r>
      <rPr>
        <sz val="10"/>
        <rFont val="Microsoft JhengHei"/>
        <family val="2"/>
        <charset val="136"/>
      </rPr>
      <t>CQ113525-1</t>
    </r>
    <r>
      <rPr>
        <sz val="10"/>
        <rFont val="Noto Sans CJK SC"/>
        <family val="2"/>
      </rPr>
      <t>陳允昊 陳韵彤</t>
    </r>
  </si>
  <si>
    <t>20240823101357011726</t>
  </si>
  <si>
    <t>10:13:57</t>
  </si>
  <si>
    <t>20240823083040011898</t>
  </si>
  <si>
    <t>08:30:40</t>
  </si>
  <si>
    <t>20240822203748011825</t>
  </si>
  <si>
    <t>BQ113342</t>
  </si>
  <si>
    <r>
      <rPr>
        <sz val="10"/>
        <rFont val="Noto Sans CJK SC"/>
        <family val="2"/>
      </rPr>
      <t>呂昕芮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呂宥廷</t>
    </r>
  </si>
  <si>
    <t>20240822203655011432</t>
  </si>
  <si>
    <t>20:36:55</t>
  </si>
  <si>
    <t>20240822203212011206</t>
  </si>
  <si>
    <t>20:32:12</t>
  </si>
  <si>
    <t>20240822190355011972</t>
  </si>
  <si>
    <t>BQ109198</t>
  </si>
  <si>
    <t>張鼎綸 張妍妍</t>
  </si>
  <si>
    <t>20240822185959011243</t>
  </si>
  <si>
    <t>18:59:59</t>
  </si>
  <si>
    <t>BQ113168</t>
  </si>
  <si>
    <t>許雅妤 陳昇凡陳雨昕</t>
  </si>
  <si>
    <t>20240822185248011980</t>
  </si>
  <si>
    <t>18:52:48</t>
  </si>
  <si>
    <t>BQ113257</t>
  </si>
  <si>
    <t>粘洛⿑ 張安緹沈志叡</t>
  </si>
  <si>
    <t>20240822184831011461</t>
  </si>
  <si>
    <t>BQ113253</t>
  </si>
  <si>
    <t>陳品⾢ 陳瑜采</t>
  </si>
  <si>
    <t>20240822175757011190</t>
  </si>
  <si>
    <t>BQ113285</t>
  </si>
  <si>
    <t>蘇琪媛</t>
  </si>
  <si>
    <t>20240822173305011797</t>
  </si>
  <si>
    <t>17:33:05</t>
  </si>
  <si>
    <t>AQ112013</t>
  </si>
  <si>
    <t>許睿群 李卓軒</t>
  </si>
  <si>
    <t>20240822170029011234</t>
  </si>
  <si>
    <t>17:00:29</t>
  </si>
  <si>
    <t>AQ111104</t>
  </si>
  <si>
    <t>許⼦彤 許葳</t>
  </si>
  <si>
    <t>20240822165208011278</t>
  </si>
  <si>
    <t>16:52:08</t>
  </si>
  <si>
    <t>AQ113142</t>
  </si>
  <si>
    <t>江翊成</t>
  </si>
  <si>
    <t>20240822165026011427</t>
  </si>
  <si>
    <t>16:50:26</t>
  </si>
  <si>
    <t>BQ112036</t>
  </si>
  <si>
    <t>吳省怡</t>
  </si>
  <si>
    <t>20240822164023011651</t>
  </si>
  <si>
    <t>16:40:23</t>
  </si>
  <si>
    <t>AQ111275</t>
  </si>
  <si>
    <t>陳宥珊 連唯⾥連唯亦</t>
  </si>
  <si>
    <t>20240822162719011794</t>
  </si>
  <si>
    <t>16:27:19</t>
  </si>
  <si>
    <t>AQ111140</t>
  </si>
  <si>
    <t>李昀桐 李翊菲</t>
  </si>
  <si>
    <t>20240822155421011146</t>
  </si>
  <si>
    <t>15:54:21</t>
  </si>
  <si>
    <t>20240822151849011315</t>
  </si>
  <si>
    <t>15:18:49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</si>
  <si>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(50%) 1x12150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(50%) 1x12150</t>
    </r>
  </si>
  <si>
    <t>20240822151526011112</t>
  </si>
  <si>
    <t>15:15:26</t>
  </si>
  <si>
    <t>BQ112031</t>
  </si>
  <si>
    <t>邱盈慈 楊祉詰</t>
  </si>
  <si>
    <t>20240822151340011413</t>
  </si>
  <si>
    <t>15:13:40</t>
  </si>
  <si>
    <t>AQ111049</t>
  </si>
  <si>
    <t>李怡嫺 賴倩瑩</t>
  </si>
  <si>
    <t>20240822151027011867</t>
  </si>
  <si>
    <t>15:10:27</t>
  </si>
  <si>
    <t>20240822150351011704</t>
  </si>
  <si>
    <t>15:03:51</t>
  </si>
  <si>
    <t>BQ113204</t>
  </si>
  <si>
    <t>陳開筠</t>
  </si>
  <si>
    <t>20240822145942011759</t>
  </si>
  <si>
    <t>14:59:42</t>
  </si>
  <si>
    <t>BQ112048</t>
  </si>
  <si>
    <t>唐翊宸 唐翊洋</t>
  </si>
  <si>
    <t>20240822145553011576</t>
  </si>
  <si>
    <t>14:55:53</t>
  </si>
  <si>
    <t>BQ112235</t>
  </si>
  <si>
    <t>陳品⾢</t>
  </si>
  <si>
    <t>20240822145143011308</t>
  </si>
  <si>
    <t>14:51:43</t>
  </si>
  <si>
    <t>BQ112236</t>
  </si>
  <si>
    <t>陳瑜采</t>
  </si>
  <si>
    <t>20240822144757011127</t>
  </si>
  <si>
    <t>14:47:57</t>
  </si>
  <si>
    <t>BQ112420</t>
  </si>
  <si>
    <t>黃冠融 連祐則連騰戰 連義祥</t>
  </si>
  <si>
    <t>20240822144602011076</t>
  </si>
  <si>
    <t>14:46:02</t>
  </si>
  <si>
    <t>20240822144510011643</t>
  </si>
  <si>
    <t>14:45:10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</si>
  <si>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1x1100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1x1100</t>
    </r>
  </si>
  <si>
    <t>20240822144029011158</t>
  </si>
  <si>
    <t>14:40:29</t>
  </si>
  <si>
    <t>20240822143613011771</t>
  </si>
  <si>
    <t>14:36:13</t>
  </si>
  <si>
    <t>BQ113178</t>
  </si>
  <si>
    <t>李豈碩 李晏慈莊華安 莊喬安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</si>
  <si>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(20%)-1 1x11520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(20%)-1 1x11520</t>
    </r>
  </si>
  <si>
    <t>20240822143027011484</t>
  </si>
  <si>
    <t>14:30:27</t>
  </si>
  <si>
    <t>20240822142106011577</t>
  </si>
  <si>
    <t>14:21:06</t>
  </si>
  <si>
    <t>20240822141752011611</t>
  </si>
  <si>
    <t>14:17:52</t>
  </si>
  <si>
    <t>20240822140345011066</t>
  </si>
  <si>
    <t>14:03:45</t>
  </si>
  <si>
    <t>AQ112550</t>
  </si>
  <si>
    <t>沈奕欣</t>
  </si>
  <si>
    <t>20240822135404011567</t>
  </si>
  <si>
    <t>13:54:04</t>
  </si>
  <si>
    <t>AQ112551</t>
  </si>
  <si>
    <t>林靖軒</t>
  </si>
  <si>
    <t>20240822134329011351</t>
  </si>
  <si>
    <t>13:43:29</t>
  </si>
  <si>
    <t>20240822133323011854</t>
  </si>
  <si>
    <t>13:33:23</t>
  </si>
  <si>
    <t>AQ112498</t>
  </si>
  <si>
    <t>吳紹⿑ 吳勗廷</t>
  </si>
  <si>
    <t>20240822132838011216</t>
  </si>
  <si>
    <t>13:28:38</t>
  </si>
  <si>
    <t>AQ112087</t>
  </si>
  <si>
    <t>許雅纓</t>
  </si>
  <si>
    <t>20240822132440011986</t>
  </si>
  <si>
    <t>13:24:40</t>
  </si>
  <si>
    <t>AQ111263</t>
  </si>
  <si>
    <t>⽅⼼祈 ⽅宥程</t>
  </si>
  <si>
    <t>20240822124500011953</t>
  </si>
  <si>
    <t>12:45:00</t>
  </si>
  <si>
    <t>AQ111223</t>
  </si>
  <si>
    <t>鄧博誠</t>
  </si>
  <si>
    <t>20240822122650011373</t>
  </si>
  <si>
    <t>12:26:50</t>
  </si>
  <si>
    <t>20240822112619011145</t>
  </si>
  <si>
    <t>11:26:19</t>
  </si>
  <si>
    <t>20240822111336011144</t>
  </si>
  <si>
    <t>11:13:36</t>
  </si>
  <si>
    <t>AQ112029</t>
  </si>
  <si>
    <t>陳宥辰 陳宥勳</t>
  </si>
  <si>
    <t>20240822110541011670</t>
  </si>
  <si>
    <t>11:05:41</t>
  </si>
  <si>
    <t>20240822103820011464</t>
  </si>
  <si>
    <t>10:38:20</t>
  </si>
  <si>
    <t>AQ110069</t>
  </si>
  <si>
    <t>陳威霖 陳威丞</t>
  </si>
  <si>
    <t>20240822094053011617</t>
  </si>
  <si>
    <t>09:40:53</t>
  </si>
  <si>
    <t>20240822083944011229</t>
  </si>
  <si>
    <t>08:39:44</t>
  </si>
  <si>
    <t>20240821215310011099</t>
  </si>
  <si>
    <t>21:53:10</t>
  </si>
  <si>
    <t>AQ111393</t>
  </si>
  <si>
    <t>夏銘杙</t>
  </si>
  <si>
    <t>20240821212252011042</t>
  </si>
  <si>
    <t>AQ113368</t>
  </si>
  <si>
    <t>陳柏安 譚宗昀陳瑀樂 陳瑀柔</t>
  </si>
  <si>
    <t>20240821212037011618</t>
  </si>
  <si>
    <t>21:20:37</t>
  </si>
  <si>
    <t>CQ112061</t>
  </si>
  <si>
    <t>宿蘊涵</t>
  </si>
  <si>
    <t>20240821211153011907</t>
  </si>
  <si>
    <t>21:11:53</t>
  </si>
  <si>
    <t>CQ112009</t>
  </si>
  <si>
    <t>張宥璘 張宏燦張仲軒</t>
  </si>
  <si>
    <t>20240821211128011581</t>
  </si>
  <si>
    <t>21:11:28</t>
  </si>
  <si>
    <t>AQ113367</t>
  </si>
  <si>
    <t>王瑄翎 王皓正</t>
  </si>
  <si>
    <t>20240821210914011814</t>
  </si>
  <si>
    <t>21:09:14</t>
  </si>
  <si>
    <t>AQ113366</t>
  </si>
  <si>
    <t>王瑄翎、王皓正、陳彥維</t>
  </si>
  <si>
    <t>20240821210702011873</t>
  </si>
  <si>
    <t>21:07:02</t>
  </si>
  <si>
    <t>20240821210345011911</t>
  </si>
  <si>
    <t>21:03:45</t>
  </si>
  <si>
    <t>AQ113374</t>
  </si>
  <si>
    <t>陳建富 詹婷⽻</t>
  </si>
  <si>
    <t>20240821203712011799</t>
  </si>
  <si>
    <t>20:37:12</t>
  </si>
  <si>
    <t>20240821203201011001</t>
  </si>
  <si>
    <t>20:32:01</t>
  </si>
  <si>
    <t>20240821201843011096</t>
  </si>
  <si>
    <t>20:18:43</t>
  </si>
  <si>
    <t>AQ113369</t>
  </si>
  <si>
    <t>周雋恆</t>
  </si>
  <si>
    <t>20240821200529011712</t>
  </si>
  <si>
    <t>20:05:29</t>
  </si>
  <si>
    <t>20240821200108011406</t>
  </si>
  <si>
    <t>20:01:08</t>
  </si>
  <si>
    <t>BQ112128</t>
  </si>
  <si>
    <t>林東德</t>
  </si>
  <si>
    <t>20240821193629011962</t>
  </si>
  <si>
    <t>19:36:29</t>
  </si>
  <si>
    <t>20240821191713011948</t>
  </si>
  <si>
    <t>19:17:13</t>
  </si>
  <si>
    <t>BQ113136</t>
  </si>
  <si>
    <t>林偉程、楊⼜</t>
  </si>
  <si>
    <t>20240821182457011122</t>
  </si>
  <si>
    <t>18:24:57</t>
  </si>
  <si>
    <t>CQ112024</t>
  </si>
  <si>
    <t>葉育源</t>
  </si>
  <si>
    <t>20240821181914011942</t>
  </si>
  <si>
    <t>18:19:14</t>
  </si>
  <si>
    <t>AQ113308</t>
  </si>
  <si>
    <t>張辰碩</t>
  </si>
  <si>
    <t>20240821181912011033</t>
  </si>
  <si>
    <t>18:19:12</t>
  </si>
  <si>
    <t>20240821181423011657</t>
  </si>
  <si>
    <t>18:14:23</t>
  </si>
  <si>
    <t>AQ112296</t>
  </si>
  <si>
    <t>蔡沛倫 張艷秋</t>
  </si>
  <si>
    <t>20240821180227011803</t>
  </si>
  <si>
    <t>18:02:27</t>
  </si>
  <si>
    <t>BQ112401</t>
  </si>
  <si>
    <t>劉邏</t>
  </si>
  <si>
    <t>20240821173840011016</t>
  </si>
  <si>
    <t>17:38:40</t>
  </si>
  <si>
    <t>CQ112038</t>
  </si>
  <si>
    <t>徐承祿</t>
  </si>
  <si>
    <t>20240821173331011210</t>
  </si>
  <si>
    <t>17:33:31</t>
  </si>
  <si>
    <t>20240821172811011864</t>
  </si>
  <si>
    <t>17:28:11</t>
  </si>
  <si>
    <t>AQ111142</t>
  </si>
  <si>
    <t>賴禹⼼賴楷承</t>
  </si>
  <si>
    <t>20240821172357011358</t>
  </si>
  <si>
    <t>17:23:57</t>
  </si>
  <si>
    <t>20240821172037011462</t>
  </si>
  <si>
    <t>17:20:37</t>
  </si>
  <si>
    <t>CQ111131</t>
  </si>
  <si>
    <t>朱晨甄 朱泓璋</t>
  </si>
  <si>
    <t>20240821161034011826</t>
  </si>
  <si>
    <t>16:10:34</t>
  </si>
  <si>
    <t>CQ112048</t>
  </si>
  <si>
    <t>李喬釉 李棠釉張⼦芸 何沁如</t>
  </si>
  <si>
    <t>20240821155742011010</t>
  </si>
  <si>
    <t>15:57:42</t>
  </si>
  <si>
    <t>CQ112017</t>
  </si>
  <si>
    <t>洪昀希</t>
  </si>
  <si>
    <t>20240821154532011896</t>
  </si>
  <si>
    <t>15:45:32</t>
  </si>
  <si>
    <t>CQ112028</t>
  </si>
  <si>
    <t>陳芊瑾 陳品澈</t>
  </si>
  <si>
    <t>20240821153952011442</t>
  </si>
  <si>
    <t>15:39:52</t>
  </si>
  <si>
    <t>CQ112092</t>
  </si>
  <si>
    <t>王榆驊</t>
  </si>
  <si>
    <t>20240821152236011580</t>
  </si>
  <si>
    <t>15:22:36</t>
  </si>
  <si>
    <t>AQ111294</t>
  </si>
  <si>
    <t>陳柏睿 陳柏宏陳冠宏</t>
  </si>
  <si>
    <t>20240821151845011661</t>
  </si>
  <si>
    <t>15:18:45</t>
  </si>
  <si>
    <t>20240821151401011018</t>
  </si>
  <si>
    <t>15:14:01</t>
  </si>
  <si>
    <t>AQ113235</t>
  </si>
  <si>
    <t>黃振峯 黃振軒</t>
  </si>
  <si>
    <t>20240821145318011069</t>
  </si>
  <si>
    <t>14:53:18</t>
  </si>
  <si>
    <t>20240821144914011548</t>
  </si>
  <si>
    <t>14:49:14</t>
  </si>
  <si>
    <t>BQ111071</t>
  </si>
  <si>
    <t>涂家瑜</t>
  </si>
  <si>
    <t>20240821141807011889</t>
  </si>
  <si>
    <t>14:18:07</t>
  </si>
  <si>
    <t>20240821141303011640</t>
  </si>
  <si>
    <t>14:13:03</t>
  </si>
  <si>
    <t>CQ112062</t>
  </si>
  <si>
    <t>林翔宥 宿蘊涵</t>
  </si>
  <si>
    <t>20240821135221011477</t>
  </si>
  <si>
    <t>13:52:21</t>
  </si>
  <si>
    <t>CQ113475</t>
  </si>
  <si>
    <t>鄭安晴 鄭 陳⼒維 林可晴 林亮昀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</si>
  <si>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1VS5 (50%) 1x18000</t>
    </r>
  </si>
  <si>
    <t>20240821131916011324</t>
  </si>
  <si>
    <t>13:19:16</t>
  </si>
  <si>
    <t>AQ113365</t>
  </si>
  <si>
    <t>洪宥曦 洪宥恩</t>
  </si>
  <si>
    <t>20240821113854011187</t>
  </si>
  <si>
    <t>11:38:54</t>
  </si>
  <si>
    <t>CQ112278</t>
  </si>
  <si>
    <t>李昕潼 李宥廷</t>
  </si>
  <si>
    <t>20240821113524011031</t>
  </si>
  <si>
    <t>11:35:24</t>
  </si>
  <si>
    <t>CQ113497</t>
  </si>
  <si>
    <t>莊昕靜</t>
  </si>
  <si>
    <t>20240821112440011921</t>
  </si>
  <si>
    <t>11:24:40</t>
  </si>
  <si>
    <t>CQ112329</t>
  </si>
  <si>
    <t>李宥廷</t>
  </si>
  <si>
    <t>20240821111958011611</t>
  </si>
  <si>
    <t>11:19:58</t>
  </si>
  <si>
    <t>CQ112068</t>
  </si>
  <si>
    <t>廖謙睿 廖謙愷</t>
  </si>
  <si>
    <t>20240821073520011674</t>
  </si>
  <si>
    <t>07:35:20</t>
  </si>
  <si>
    <t>20240820204217011438</t>
  </si>
  <si>
    <t>20:42:17</t>
  </si>
  <si>
    <t>AQ113195</t>
  </si>
  <si>
    <t>陳欣淋 黃歆捷黃楷鈞</t>
  </si>
  <si>
    <t>20240820203557011865</t>
  </si>
  <si>
    <t>20:35:57</t>
  </si>
  <si>
    <t>20240820194520011063</t>
  </si>
  <si>
    <t>19:45:20</t>
  </si>
  <si>
    <t>20240820181338011233</t>
  </si>
  <si>
    <t>18:13:38</t>
  </si>
  <si>
    <t>20240820181202011165</t>
  </si>
  <si>
    <t>18:12:02</t>
  </si>
  <si>
    <t>AQ112488</t>
  </si>
  <si>
    <t>吳若郡 洪⼼妍陳柏嘩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</si>
  <si>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(50%) 1x12150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(50%) 1x12150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(50%) 1x12150</t>
    </r>
  </si>
  <si>
    <t>20240820165656011413</t>
  </si>
  <si>
    <t>16:56:56</t>
  </si>
  <si>
    <t>CQ113604</t>
  </si>
  <si>
    <r>
      <rPr>
        <sz val="10"/>
        <rFont val="Noto Sans CJK SC"/>
        <family val="2"/>
      </rPr>
      <t>周茹婷 林</t>
    </r>
    <r>
      <rPr>
        <sz val="10"/>
        <rFont val="Microsoft JhengHei"/>
        <family val="2"/>
        <charset val="136"/>
      </rPr>
      <t>?</t>
    </r>
    <r>
      <rPr>
        <sz val="10"/>
        <rFont val="Noto Sans CJK SC"/>
        <family val="2"/>
      </rPr>
      <t>怡</t>
    </r>
  </si>
  <si>
    <t>20240820165428011298</t>
  </si>
  <si>
    <t>16:54:28</t>
  </si>
  <si>
    <t>20240820165141011188</t>
  </si>
  <si>
    <t>16:51:41</t>
  </si>
  <si>
    <t>AQ113364</t>
  </si>
  <si>
    <t>林陽璿 林湛萱</t>
  </si>
  <si>
    <t>20240820164922011307</t>
  </si>
  <si>
    <t>16:49:22</t>
  </si>
  <si>
    <t>CQ113605</t>
  </si>
  <si>
    <t>林霓芳 徐千婷徐⼦翔 徐溢成</t>
  </si>
  <si>
    <t>20240820141658011301</t>
  </si>
  <si>
    <t>14:16:58</t>
  </si>
  <si>
    <t>20240820134521011131</t>
  </si>
  <si>
    <t>13:45:21</t>
  </si>
  <si>
    <t>20240820131457011177</t>
  </si>
  <si>
    <t>13:14:57</t>
  </si>
  <si>
    <t>AQ112469</t>
  </si>
  <si>
    <t>呂秉倢 呂秉澄</t>
  </si>
  <si>
    <t>20240820130619011112</t>
  </si>
  <si>
    <t>13:06:19</t>
  </si>
  <si>
    <t>20240820112634011360</t>
  </si>
  <si>
    <t>11:26:34</t>
  </si>
  <si>
    <t>AQ113291</t>
  </si>
  <si>
    <t>何宥勳</t>
  </si>
  <si>
    <t>20240820111713011037</t>
  </si>
  <si>
    <t>11:17:13</t>
  </si>
  <si>
    <t>20240819205353011392</t>
  </si>
  <si>
    <t>20:53:53</t>
  </si>
  <si>
    <t>20240819203640011491</t>
  </si>
  <si>
    <t>20:36:40</t>
  </si>
  <si>
    <t>20240819195108011421</t>
  </si>
  <si>
    <t>19:51:08</t>
  </si>
  <si>
    <t>AQ111282</t>
  </si>
  <si>
    <t>張智明</t>
  </si>
  <si>
    <t>20240819194647011173</t>
  </si>
  <si>
    <t>19:46:47</t>
  </si>
  <si>
    <t>AQ112344</t>
  </si>
  <si>
    <t>俞品妍 俞品成</t>
  </si>
  <si>
    <t>20240819194208011911</t>
  </si>
  <si>
    <t>19:42:08</t>
  </si>
  <si>
    <t>AQ1120504</t>
  </si>
  <si>
    <t>許珉睿 許晨睿</t>
  </si>
  <si>
    <t>20240819193246011862</t>
  </si>
  <si>
    <t>19:32:46</t>
  </si>
  <si>
    <t>20240819191124011890</t>
  </si>
  <si>
    <t>19:11:24</t>
  </si>
  <si>
    <t>20240819174434011262</t>
  </si>
  <si>
    <t>17:44:34</t>
  </si>
  <si>
    <t>20240819173031011123</t>
  </si>
  <si>
    <t>17:30:31</t>
  </si>
  <si>
    <t>20240819172947011776</t>
  </si>
  <si>
    <t>17:29:47</t>
  </si>
  <si>
    <t>20240819172631011811</t>
  </si>
  <si>
    <t>17:26:31</t>
  </si>
  <si>
    <t>CQ112232</t>
  </si>
  <si>
    <t>黃敬堯</t>
  </si>
  <si>
    <t>20240819171231011336</t>
  </si>
  <si>
    <t>17:12:31</t>
  </si>
  <si>
    <t>CQ113571</t>
  </si>
  <si>
    <t>紀成勳</t>
  </si>
  <si>
    <t>20240819165713011743</t>
  </si>
  <si>
    <t>16:57:13</t>
  </si>
  <si>
    <t>20240819164504011412</t>
  </si>
  <si>
    <t>16:45:04</t>
  </si>
  <si>
    <t>BQ111091</t>
  </si>
  <si>
    <t>張茗宸 張煜弘</t>
  </si>
  <si>
    <t>20240819164220011342</t>
  </si>
  <si>
    <t>16:42:20</t>
  </si>
  <si>
    <t>AQ112168</t>
  </si>
  <si>
    <t>魏雅彤 魏業彬</t>
  </si>
  <si>
    <t>20240819161744011829</t>
  </si>
  <si>
    <t>16:17:44</t>
  </si>
  <si>
    <t>BQ112438</t>
  </si>
  <si>
    <t>陳渃昀 陳禹橙陳楷沂</t>
  </si>
  <si>
    <t>20240819161641011619</t>
  </si>
  <si>
    <t>16:16:41</t>
  </si>
  <si>
    <t>AQ113303</t>
  </si>
  <si>
    <t>賴嘉佑 賴柔昀賴柔娜 林</t>
  </si>
  <si>
    <t>20240819152124011919</t>
  </si>
  <si>
    <t>15:21:24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</si>
  <si>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6.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1x7200</t>
    </r>
  </si>
  <si>
    <t>20240819151727011956</t>
  </si>
  <si>
    <t>15:17:27</t>
  </si>
  <si>
    <t>20240819145148011999</t>
  </si>
  <si>
    <t>14:51:47</t>
  </si>
  <si>
    <t>BQ112359</t>
  </si>
  <si>
    <t>柏廷</t>
  </si>
  <si>
    <t>20240819140450011102</t>
  </si>
  <si>
    <t>14:04:50</t>
  </si>
  <si>
    <t>CQ111095</t>
  </si>
  <si>
    <r>
      <rPr>
        <sz val="10"/>
        <rFont val="Noto Sans CJK SC"/>
        <family val="2"/>
      </rPr>
      <t>周</t>
    </r>
    <r>
      <rPr>
        <sz val="10"/>
        <rFont val="Microsoft JhengHei"/>
        <family val="2"/>
        <charset val="136"/>
      </rPr>
      <t>?</t>
    </r>
    <r>
      <rPr>
        <sz val="10"/>
        <rFont val="Noto Sans CJK SC"/>
        <family val="2"/>
      </rPr>
      <t>⽂ 周以暄</t>
    </r>
  </si>
  <si>
    <t>20240819134754011293</t>
  </si>
  <si>
    <t>13:47:54</t>
  </si>
  <si>
    <t>CQ113483</t>
  </si>
  <si>
    <t>蔡欣穎 粘瑞津</t>
  </si>
  <si>
    <t>20240819133942011692</t>
  </si>
  <si>
    <t>13:39:42</t>
  </si>
  <si>
    <t>20240819133741011459</t>
  </si>
  <si>
    <t>13:37:41</t>
  </si>
  <si>
    <t>CQ113421</t>
  </si>
  <si>
    <t>吳翊菲 吳晨熙吳祐安</t>
  </si>
  <si>
    <t>20240819133349011860</t>
  </si>
  <si>
    <t>13:33:49</t>
  </si>
  <si>
    <t>20240819121224011487</t>
  </si>
  <si>
    <t>12:12:24</t>
  </si>
  <si>
    <t>CQ113418</t>
  </si>
  <si>
    <t>吳翊菲 吳晨熙吳祐安 張傑茗張詠旋</t>
  </si>
  <si>
    <t>20240819120048011026</t>
  </si>
  <si>
    <t>12:00:48</t>
  </si>
  <si>
    <t>AQ113337</t>
  </si>
  <si>
    <t>葉晨曦 葉尋曦</t>
  </si>
  <si>
    <t>20240819115035011943</t>
  </si>
  <si>
    <t>11:50:35</t>
  </si>
  <si>
    <t>CQ112148</t>
  </si>
  <si>
    <t>吳香彤</t>
  </si>
  <si>
    <t>20240819114511011520</t>
  </si>
  <si>
    <t>11:45:11</t>
  </si>
  <si>
    <t>AQ113002</t>
  </si>
  <si>
    <t>賴冠丞</t>
  </si>
  <si>
    <t>20240819113228011923</t>
  </si>
  <si>
    <t>11:32:28</t>
  </si>
  <si>
    <t>20240819111021011806</t>
  </si>
  <si>
    <t>11:10:21</t>
  </si>
  <si>
    <t>BQ113061</t>
  </si>
  <si>
    <t>王晨睿 王顓凱</t>
  </si>
  <si>
    <t>20240819110044011347</t>
  </si>
  <si>
    <t>11:00:44</t>
  </si>
  <si>
    <t>AQ111331</t>
  </si>
  <si>
    <t>⾼向辰</t>
  </si>
  <si>
    <t>20240819104624011193</t>
  </si>
  <si>
    <t>10:46:24</t>
  </si>
  <si>
    <t>CQ112332</t>
  </si>
  <si>
    <t>蔡知穎</t>
  </si>
  <si>
    <t>20240819102435011470</t>
  </si>
  <si>
    <t>10:24:35</t>
  </si>
  <si>
    <t>CQ112333</t>
  </si>
  <si>
    <t>蔡知穎 炕靛炘</t>
  </si>
  <si>
    <t>20240819101602011890</t>
  </si>
  <si>
    <t>10:16:02</t>
  </si>
  <si>
    <t>AQ112262</t>
  </si>
  <si>
    <t>盧巧娣</t>
  </si>
  <si>
    <t>20240819100211011718</t>
  </si>
  <si>
    <t>10:02:11</t>
  </si>
  <si>
    <t>20240819084045011768</t>
  </si>
  <si>
    <t>08:40:45</t>
  </si>
  <si>
    <t>20240819061744011510</t>
  </si>
  <si>
    <t>06:17:44</t>
  </si>
  <si>
    <t>20240818211534011445</t>
  </si>
  <si>
    <t>21:15:34</t>
  </si>
  <si>
    <t>BQ108455</t>
  </si>
  <si>
    <t>曾⼦豪 曾⼦瑜</t>
  </si>
  <si>
    <t>20240818210311011967</t>
  </si>
  <si>
    <t>21:03:11</t>
  </si>
  <si>
    <t>AQ110252</t>
  </si>
  <si>
    <t>張善富 張侲威</t>
  </si>
  <si>
    <t>20240818205517011174</t>
  </si>
  <si>
    <t>20:55:17</t>
  </si>
  <si>
    <t>AQ110093</t>
  </si>
  <si>
    <t>劉語晨</t>
  </si>
  <si>
    <t>20240818204853011137</t>
  </si>
  <si>
    <t>20:48:53</t>
  </si>
  <si>
    <t>20240818204403011258</t>
  </si>
  <si>
    <t>20:44:03</t>
  </si>
  <si>
    <t>AQ113143</t>
  </si>
  <si>
    <t>林邵城 林凡恩梁宥忻 梁懷瑄</t>
  </si>
  <si>
    <t>20240818201225011824</t>
  </si>
  <si>
    <t>20:12:25</t>
  </si>
  <si>
    <t>AQ113001</t>
  </si>
  <si>
    <t>房磊 房樺</t>
  </si>
  <si>
    <t>20240818194123011265</t>
  </si>
  <si>
    <t>19:41:23</t>
  </si>
  <si>
    <t>AQ112566</t>
  </si>
  <si>
    <t>林詠斌</t>
  </si>
  <si>
    <t>20240818193304011972</t>
  </si>
  <si>
    <t>19:33:04</t>
  </si>
  <si>
    <t>20240818193147011747</t>
  </si>
  <si>
    <t>19:31:47</t>
  </si>
  <si>
    <t>20240818180448011998</t>
  </si>
  <si>
    <t>18:04:48</t>
  </si>
  <si>
    <t>BQ109533</t>
  </si>
  <si>
    <r>
      <rPr>
        <sz val="10"/>
        <rFont val="Noto Sans CJK SC"/>
        <family val="2"/>
      </rPr>
      <t>黃諾恩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李睿玹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張有紳</t>
    </r>
  </si>
  <si>
    <t>20240818180220011771</t>
  </si>
  <si>
    <t>18:02:20</t>
  </si>
  <si>
    <t>20240818180059011812</t>
  </si>
  <si>
    <t>18:00:59</t>
  </si>
  <si>
    <t>AQ112049</t>
  </si>
  <si>
    <t>蘇少駒</t>
  </si>
  <si>
    <t>20240818175812011834</t>
  </si>
  <si>
    <t>17:58:12</t>
  </si>
  <si>
    <t>XN112055</t>
  </si>
  <si>
    <r>
      <rPr>
        <sz val="10"/>
        <rFont val="Noto Sans CJK SC"/>
        <family val="2"/>
      </rPr>
      <t>陳享恩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陳頌恩</t>
    </r>
  </si>
  <si>
    <t>20240818175144011971</t>
  </si>
  <si>
    <t>17:51:44</t>
  </si>
  <si>
    <t>XN112491</t>
  </si>
  <si>
    <r>
      <rPr>
        <sz val="10"/>
        <rFont val="Noto Sans CJK SC"/>
        <family val="2"/>
      </rPr>
      <t>謝潤澤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謝名燿</t>
    </r>
  </si>
  <si>
    <t>20240818174856011158</t>
  </si>
  <si>
    <t>17:48:56</t>
  </si>
  <si>
    <t>XN112306</t>
  </si>
  <si>
    <t>廖哲宇</t>
  </si>
  <si>
    <t>20240818173011011863</t>
  </si>
  <si>
    <t>17:30:11</t>
  </si>
  <si>
    <t>20240818172744011723</t>
  </si>
  <si>
    <t>17:27:44</t>
  </si>
  <si>
    <t>20240818172539011592</t>
  </si>
  <si>
    <t>17:25:39</t>
  </si>
  <si>
    <t>20240818172026011714</t>
  </si>
  <si>
    <t>17:20:26</t>
  </si>
  <si>
    <t>BQ113238</t>
  </si>
  <si>
    <r>
      <rPr>
        <sz val="10"/>
        <rFont val="Noto Sans CJK SC"/>
        <family val="2"/>
      </rPr>
      <t>李昀晏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李昀宸</t>
    </r>
  </si>
  <si>
    <t>20240818171859011452</t>
  </si>
  <si>
    <t>17:18:59</t>
  </si>
  <si>
    <t>BQ113226</t>
  </si>
  <si>
    <t>林于皓</t>
  </si>
  <si>
    <t>20240818171608011070</t>
  </si>
  <si>
    <t>17:16:08</t>
  </si>
  <si>
    <t>BQ112338</t>
  </si>
  <si>
    <r>
      <rPr>
        <sz val="10"/>
        <rFont val="Noto Sans CJK SC"/>
        <family val="2"/>
      </rPr>
      <t>詹紹柔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詹樂昀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詹顥宸</t>
    </r>
  </si>
  <si>
    <t>20240818171207011863</t>
  </si>
  <si>
    <t>17:12:07</t>
  </si>
  <si>
    <t>20240818164211011290</t>
  </si>
  <si>
    <t>16:42:11</t>
  </si>
  <si>
    <t>20240818164204011812</t>
  </si>
  <si>
    <t>16:42:04</t>
  </si>
  <si>
    <t>BQ113506</t>
  </si>
  <si>
    <r>
      <rPr>
        <sz val="10"/>
        <rFont val="Noto Sans CJK SC"/>
        <family val="2"/>
      </rPr>
      <t>許妙憶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許云之</t>
    </r>
  </si>
  <si>
    <t>20240818162804011014</t>
  </si>
  <si>
    <t>16:28:04</t>
  </si>
  <si>
    <t>20240818162510011207</t>
  </si>
  <si>
    <t>16:25:10</t>
  </si>
  <si>
    <t>20240818160512011590</t>
  </si>
  <si>
    <t>20240818142654011940</t>
  </si>
  <si>
    <t>14:26:54</t>
  </si>
  <si>
    <t>蕭敬凱、蕭敬</t>
  </si>
  <si>
    <t>20240818140850011755</t>
  </si>
  <si>
    <t>14:08:50</t>
  </si>
  <si>
    <t>20240818134923011110</t>
  </si>
  <si>
    <t>13:49:23</t>
  </si>
  <si>
    <r>
      <rPr>
        <sz val="10"/>
        <rFont val="Noto Sans CJK SC"/>
        <family val="2"/>
      </rPr>
      <t>福林</t>
    </r>
    <r>
      <rPr>
        <sz val="10"/>
        <rFont val="Microsoft JhengHei"/>
        <family val="2"/>
        <charset val="136"/>
      </rPr>
      <t>111059</t>
    </r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</si>
  <si>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 (50%) 1x9000
2. 1VS1</t>
    </r>
    <r>
      <rPr>
        <sz val="10"/>
        <rFont val="Noto Sans CJK SC"/>
        <family val="2"/>
      </rPr>
      <t>試上</t>
    </r>
    <r>
      <rPr>
        <sz val="10"/>
        <rFont val="Microsoft JhengHei"/>
        <family val="2"/>
        <charset val="136"/>
      </rPr>
      <t>(50%) 1x1500
3. 1VS1</t>
    </r>
    <r>
      <rPr>
        <sz val="10"/>
        <rFont val="Noto Sans CJK SC"/>
        <family val="2"/>
      </rPr>
      <t>試上</t>
    </r>
    <r>
      <rPr>
        <sz val="10"/>
        <rFont val="Microsoft JhengHei"/>
        <family val="2"/>
        <charset val="136"/>
      </rPr>
      <t>(50%) 1x1500
4. 1VS1</t>
    </r>
    <r>
      <rPr>
        <sz val="10"/>
        <rFont val="Noto Sans CJK SC"/>
        <family val="2"/>
      </rPr>
      <t>試上</t>
    </r>
    <r>
      <rPr>
        <sz val="10"/>
        <rFont val="Microsoft JhengHei"/>
        <family val="2"/>
        <charset val="136"/>
      </rPr>
      <t>(50%) 1x1500
5. 1VS1</t>
    </r>
    <r>
      <rPr>
        <sz val="10"/>
        <rFont val="Noto Sans CJK SC"/>
        <family val="2"/>
      </rPr>
      <t>試上</t>
    </r>
    <r>
      <rPr>
        <sz val="10"/>
        <rFont val="Microsoft JhengHei"/>
        <family val="2"/>
        <charset val="136"/>
      </rPr>
      <t>(50%) 1x1500</t>
    </r>
  </si>
  <si>
    <t>20240818125941011506</t>
  </si>
  <si>
    <t>12:59:41</t>
  </si>
  <si>
    <t>BQ113215</t>
  </si>
  <si>
    <t>鄭⽻庭 游⼦柔</t>
  </si>
  <si>
    <t>20240818121028011414</t>
  </si>
  <si>
    <t>12:10:28</t>
  </si>
  <si>
    <t>20240818115909011444</t>
  </si>
  <si>
    <t>11:59:09</t>
  </si>
  <si>
    <t>BQ113225</t>
  </si>
  <si>
    <t>胡瑜珍</t>
  </si>
  <si>
    <t>20240818112115011516</t>
  </si>
  <si>
    <t>11:21:15</t>
  </si>
  <si>
    <t>20240818110542011703</t>
  </si>
  <si>
    <t>11:05:42</t>
  </si>
  <si>
    <t>20240818110445011154</t>
  </si>
  <si>
    <t>11:04:45</t>
  </si>
  <si>
    <t>20240818100859011011</t>
  </si>
  <si>
    <t>20240818093234011612</t>
  </si>
  <si>
    <t>09:32:34</t>
  </si>
  <si>
    <t>AQ112568</t>
  </si>
  <si>
    <t>20240818093145011069</t>
  </si>
  <si>
    <t>09:31:45</t>
  </si>
  <si>
    <t>AQ112508</t>
  </si>
  <si>
    <r>
      <rPr>
        <sz val="10"/>
        <rFont val="Noto Sans CJK SC"/>
        <family val="2"/>
      </rPr>
      <t>李松穎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李松樺</t>
    </r>
  </si>
  <si>
    <t>20240818090257011900</t>
  </si>
  <si>
    <t>09:02:57</t>
  </si>
  <si>
    <t>20240818085712011419</t>
  </si>
  <si>
    <t>08:57:12</t>
  </si>
  <si>
    <t>BQ110080</t>
  </si>
  <si>
    <t>劉竫宥 李渟嶼亦霖 思⽻</t>
  </si>
  <si>
    <t>20240818084533011243</t>
  </si>
  <si>
    <t>08:45:33</t>
  </si>
  <si>
    <t>BQ113416</t>
  </si>
  <si>
    <t>劉芝⾀</t>
  </si>
  <si>
    <t>20240817211824011948</t>
  </si>
  <si>
    <t>21:18:24</t>
  </si>
  <si>
    <t>20240817183604011590</t>
  </si>
  <si>
    <t>18:36:04</t>
  </si>
  <si>
    <t>20240817181756011579</t>
  </si>
  <si>
    <t>18:17:56</t>
  </si>
  <si>
    <t>20240817174203011986</t>
  </si>
  <si>
    <t>17:42:03</t>
  </si>
  <si>
    <t>AQ113490</t>
  </si>
  <si>
    <t>吳若郡 黃詩函</t>
  </si>
  <si>
    <t>20240817173843011116</t>
  </si>
  <si>
    <t>17:38:43</t>
  </si>
  <si>
    <t>AQ112430</t>
  </si>
  <si>
    <t>許椼愷 許宸瑋</t>
  </si>
  <si>
    <t>20240817172201011230</t>
  </si>
  <si>
    <t>17:22:01</t>
  </si>
  <si>
    <t>BQ109354</t>
  </si>
  <si>
    <t>李宜軒 李沅軒</t>
  </si>
  <si>
    <t>20240817171737011834</t>
  </si>
  <si>
    <t>17:17:37</t>
  </si>
  <si>
    <t>BQ109089</t>
  </si>
  <si>
    <t>陳慧屏 蔡侑庭蔡承翰</t>
  </si>
  <si>
    <t>20240817165938011131</t>
  </si>
  <si>
    <t>16:59:38</t>
  </si>
  <si>
    <t>AQ110103</t>
  </si>
  <si>
    <t>謝承勳</t>
  </si>
  <si>
    <t>20240817165233011233</t>
  </si>
  <si>
    <t>16:52:33</t>
  </si>
  <si>
    <t>20240817164605011705</t>
  </si>
  <si>
    <t>16:46:05</t>
  </si>
  <si>
    <t>BQ109062</t>
  </si>
  <si>
    <t>陳睫晞 胡賀鈞陳睫禹 胡庭瑄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</si>
  <si>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(50%) 1x14400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1VS4 (50%) 1x14400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(50%) 1x14400</t>
    </r>
  </si>
  <si>
    <t>20240817160337011101</t>
  </si>
  <si>
    <t>16:03:37</t>
  </si>
  <si>
    <t>20240817160245011796</t>
  </si>
  <si>
    <t>16:02:45</t>
  </si>
  <si>
    <t>20240817160137011207</t>
  </si>
  <si>
    <t>16:01:37</t>
  </si>
  <si>
    <t>20240817154339011732</t>
  </si>
  <si>
    <t>15:43:39</t>
  </si>
  <si>
    <t>AQ110106</t>
  </si>
  <si>
    <t>周劭峰</t>
  </si>
  <si>
    <t>20240817152256011044</t>
  </si>
  <si>
    <t>15:22:56</t>
  </si>
  <si>
    <t>AQ112493</t>
  </si>
  <si>
    <t>梁宥炘 梁懷媗</t>
  </si>
  <si>
    <t>20240817150314011035</t>
  </si>
  <si>
    <t>15:03:14</t>
  </si>
  <si>
    <t>20240817134755011842</t>
  </si>
  <si>
    <t>13:47:55</t>
  </si>
  <si>
    <t>AQ109271</t>
  </si>
  <si>
    <t>許展睿</t>
  </si>
  <si>
    <t>20240817132456011383</t>
  </si>
  <si>
    <t>13:24:56</t>
  </si>
  <si>
    <t>20240817130418011324</t>
  </si>
  <si>
    <t>13:04:18</t>
  </si>
  <si>
    <t>20240817120032011651</t>
  </si>
  <si>
    <t>12:00:32</t>
  </si>
  <si>
    <t>CQ113526</t>
  </si>
  <si>
    <t>陳怡芳</t>
  </si>
  <si>
    <t>20240817115846011045</t>
  </si>
  <si>
    <t>11:58:46</t>
  </si>
  <si>
    <t>CQ113524</t>
  </si>
  <si>
    <t>林長毅 吳沂潔吳典祐</t>
  </si>
  <si>
    <t>20240817115737011477</t>
  </si>
  <si>
    <t>11:57:37</t>
  </si>
  <si>
    <t>20240817115624011983</t>
  </si>
  <si>
    <t>11:56:24</t>
  </si>
  <si>
    <t>20240817114448011945</t>
  </si>
  <si>
    <t>11:44:48</t>
  </si>
  <si>
    <t>20240817112527011369</t>
  </si>
  <si>
    <t>11:25:27</t>
  </si>
  <si>
    <t>AQ111111</t>
  </si>
  <si>
    <t>王宏遠 王宏睿蔡瑞升 菜静⽂林愷杰</t>
  </si>
  <si>
    <t>20240817112411011148</t>
  </si>
  <si>
    <t>20240817111226011760</t>
  </si>
  <si>
    <t>11:12:26</t>
  </si>
  <si>
    <t>20240817111145011941</t>
  </si>
  <si>
    <t>11:11:45</t>
  </si>
  <si>
    <t>20240817110442011110</t>
  </si>
  <si>
    <t>AQ111137</t>
  </si>
  <si>
    <t>游凡萱 李萬崴周家呈</t>
  </si>
  <si>
    <t>20240817110200011931</t>
  </si>
  <si>
    <t>20240817103927011370</t>
  </si>
  <si>
    <t>10:39:27</t>
  </si>
  <si>
    <t>20240817101612011947</t>
  </si>
  <si>
    <t>10:16:12</t>
  </si>
  <si>
    <t>20240817100921011733</t>
  </si>
  <si>
    <t>10:09:21</t>
  </si>
  <si>
    <t>20240817092126011108</t>
  </si>
  <si>
    <t>09:21:26</t>
  </si>
  <si>
    <t>BQ110048</t>
  </si>
  <si>
    <t>曾策希 曾策昕</t>
  </si>
  <si>
    <t>20240816205506011644</t>
  </si>
  <si>
    <t>20:55:06</t>
  </si>
  <si>
    <t>20240816172459011497</t>
  </si>
  <si>
    <t>17:24:59</t>
  </si>
  <si>
    <t>AQ113346</t>
  </si>
  <si>
    <t>陳冠瑜 陳威綸章綵育</t>
  </si>
  <si>
    <t>20240816160456011493</t>
  </si>
  <si>
    <t>16:04:56</t>
  </si>
  <si>
    <t>20240816152216011779</t>
  </si>
  <si>
    <t>15:22:16</t>
  </si>
  <si>
    <t>20240816151344011116</t>
  </si>
  <si>
    <t>15:13:44</t>
  </si>
  <si>
    <t>CQ112035</t>
  </si>
  <si>
    <t>許涵雯 黃浚豪</t>
  </si>
  <si>
    <t>20240816150753011356</t>
  </si>
  <si>
    <t>15:07:53</t>
  </si>
  <si>
    <t>CQ111149</t>
  </si>
  <si>
    <t>謝昕穎 謝昕嬡</t>
  </si>
  <si>
    <t>20240816150513011174</t>
  </si>
  <si>
    <t>15:05:13</t>
  </si>
  <si>
    <t>CQ112303</t>
  </si>
  <si>
    <t>林彥翔</t>
  </si>
  <si>
    <t>20240816150323011176</t>
  </si>
  <si>
    <t>15:03:23</t>
  </si>
  <si>
    <t>CQ109268</t>
  </si>
  <si>
    <t>連奕恩 張⼼瑞張祐⿑</t>
  </si>
  <si>
    <t>20240816143337011080</t>
  </si>
  <si>
    <t>14:33:37</t>
  </si>
  <si>
    <t>20240816142812011678</t>
  </si>
  <si>
    <t>14:28:12</t>
  </si>
  <si>
    <t>CQ113036</t>
  </si>
  <si>
    <t>張⼦⽟ 廖堇妍陳⽲恩</t>
  </si>
  <si>
    <t>20240816134707011529</t>
  </si>
  <si>
    <t>13:47:07</t>
  </si>
  <si>
    <t>CQ110002</t>
  </si>
  <si>
    <t>吳真幸</t>
  </si>
  <si>
    <t>20240816134027011689</t>
  </si>
  <si>
    <t>13:40:27</t>
  </si>
  <si>
    <t>CQ112031</t>
  </si>
  <si>
    <t>陳⽲軒</t>
  </si>
  <si>
    <t>20240816133826011486</t>
  </si>
  <si>
    <t>13:38:26</t>
  </si>
  <si>
    <t>CQ110284</t>
  </si>
  <si>
    <t>連奕恩</t>
  </si>
  <si>
    <t>20240816133621011538</t>
  </si>
  <si>
    <t>13:36:21</t>
  </si>
  <si>
    <t>20240816133518011246</t>
  </si>
  <si>
    <t>13:35:18</t>
  </si>
  <si>
    <t>20240816133057011516</t>
  </si>
  <si>
    <t>13:30:57</t>
  </si>
  <si>
    <t>CQ109375</t>
  </si>
  <si>
    <t>王亮凱 江蘭馨</t>
  </si>
  <si>
    <t>20240816132913011301</t>
  </si>
  <si>
    <t>13:29:13</t>
  </si>
  <si>
    <t>20240816132115011261</t>
  </si>
  <si>
    <t>13:21:15</t>
  </si>
  <si>
    <t>20240816131438011507</t>
  </si>
  <si>
    <t>13:14:38</t>
  </si>
  <si>
    <t>20240816131214011048</t>
  </si>
  <si>
    <t>13:12:14</t>
  </si>
  <si>
    <t>CQ112285</t>
  </si>
  <si>
    <t>王亮凱</t>
  </si>
  <si>
    <t>20240816130440011749</t>
  </si>
  <si>
    <t>13:04:40</t>
  </si>
  <si>
    <t>20240816130258011740</t>
  </si>
  <si>
    <t>13:02:58</t>
  </si>
  <si>
    <t>CQ112006</t>
  </si>
  <si>
    <t>李緯宸 李奕彤李昱楷</t>
  </si>
  <si>
    <t>20240816125911011027</t>
  </si>
  <si>
    <t>12:59:11</t>
  </si>
  <si>
    <t>20240816125014011940</t>
  </si>
  <si>
    <t>12:50:14</t>
  </si>
  <si>
    <t>CQ112118</t>
  </si>
  <si>
    <t>李緯宸</t>
  </si>
  <si>
    <t>20240816124852011244</t>
  </si>
  <si>
    <t>12:48:52</t>
  </si>
  <si>
    <t>AQ112516</t>
  </si>
  <si>
    <t>蔡瑞升 蔡瀞⽂</t>
  </si>
  <si>
    <t>20240816124818011291</t>
  </si>
  <si>
    <t>20240816124216011994</t>
  </si>
  <si>
    <t>12:42:16</t>
  </si>
  <si>
    <t>CQ112025</t>
  </si>
  <si>
    <t>20240816124142011209</t>
  </si>
  <si>
    <t>12:41:42</t>
  </si>
  <si>
    <t>AQ111118</t>
  </si>
  <si>
    <t>王宏遠 王宏睿蔡瑞升 蔡瀞⽂</t>
  </si>
  <si>
    <t>20240816112257011165</t>
  </si>
  <si>
    <t>11:22:57</t>
  </si>
  <si>
    <t>AQ111112</t>
  </si>
  <si>
    <t>王宏遠 王宏睿蔡瑞升 蔡瀞⽂林愷杰 李赫雅</t>
  </si>
  <si>
    <t>20240816112102011835</t>
  </si>
  <si>
    <t>11:21:02</t>
  </si>
  <si>
    <t>AQ112257</t>
  </si>
  <si>
    <t>張博富</t>
  </si>
  <si>
    <t>20240816101934011819</t>
  </si>
  <si>
    <t>10:19:34</t>
  </si>
  <si>
    <t>20240816101136011458</t>
  </si>
  <si>
    <t>20240816100651011234</t>
  </si>
  <si>
    <t>10:06:51</t>
  </si>
  <si>
    <t>BQ112042</t>
  </si>
  <si>
    <t>李凌翰</t>
  </si>
  <si>
    <t>20240816100303011466</t>
  </si>
  <si>
    <t>10:03:03</t>
  </si>
  <si>
    <t>AQ112505</t>
  </si>
  <si>
    <t>駱庭⾀</t>
  </si>
  <si>
    <t>20240816091540011006</t>
  </si>
  <si>
    <t>09:15:40</t>
  </si>
  <si>
    <t>AQ113027</t>
  </si>
  <si>
    <t>李宇澤 李宥莛</t>
  </si>
  <si>
    <t>20240816090741011140</t>
  </si>
  <si>
    <t>09:07:41</t>
  </si>
  <si>
    <t>AQ113026</t>
  </si>
  <si>
    <t>李宇澤 莫翊芸苑珺⽻</t>
  </si>
  <si>
    <t>20240816085756011492</t>
  </si>
  <si>
    <t>08:57:56</t>
  </si>
  <si>
    <t>20240816084640011514</t>
  </si>
  <si>
    <t>08:46:40</t>
  </si>
  <si>
    <t>AQ111260</t>
  </si>
  <si>
    <t>林愷杰 李赫雅</t>
  </si>
  <si>
    <t>20240816083537011058</t>
  </si>
  <si>
    <t>08:35:37</t>
  </si>
  <si>
    <t>20240816082839011481</t>
  </si>
  <si>
    <t>08:28:39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</si>
  <si>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(50%) 1x9000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1x1100</t>
    </r>
  </si>
  <si>
    <t>20240816082136011370</t>
  </si>
  <si>
    <t>08:21:36</t>
  </si>
  <si>
    <t>AQ113317</t>
  </si>
  <si>
    <t>顧⼦賢</t>
  </si>
  <si>
    <t>20240816080105011661</t>
  </si>
  <si>
    <t>08:01:05</t>
  </si>
  <si>
    <t>CQ113504</t>
  </si>
  <si>
    <t>李律旻 葉品彤葉品姍</t>
  </si>
  <si>
    <t>20240816075750011205</t>
  </si>
  <si>
    <t>07:57:50</t>
  </si>
  <si>
    <t>20240816065015011005</t>
  </si>
  <si>
    <t>06:50:15</t>
  </si>
  <si>
    <t>20240815204626011944</t>
  </si>
  <si>
    <t>20:46:26</t>
  </si>
  <si>
    <t>20240815174640011632</t>
  </si>
  <si>
    <t>17:46:40</t>
  </si>
  <si>
    <t>20240815174305011634</t>
  </si>
  <si>
    <t>AQ112173</t>
  </si>
  <si>
    <t>詹鈞翔 林昊緯林昕霓撢撢</t>
  </si>
  <si>
    <t>20240815173621011056</t>
  </si>
  <si>
    <t>17:36:21</t>
  </si>
  <si>
    <t>AQ112223</t>
  </si>
  <si>
    <t>陳春涼 洪⼦涵</t>
  </si>
  <si>
    <t>20240815173417011422</t>
  </si>
  <si>
    <t>17:34:17</t>
  </si>
  <si>
    <t>AQ112259</t>
  </si>
  <si>
    <t>鍾柏棟 鍾語恩葉婉錤</t>
  </si>
  <si>
    <t>20240815163529011509</t>
  </si>
  <si>
    <t>16:35:29</t>
  </si>
  <si>
    <t>AQ113162</t>
  </si>
  <si>
    <t>張若妍 張苒苒</t>
  </si>
  <si>
    <t>20240815162619011314</t>
  </si>
  <si>
    <t>16:26:19</t>
  </si>
  <si>
    <t>AQ113145</t>
  </si>
  <si>
    <t>江淑芬</t>
  </si>
  <si>
    <t>20240815162257011621</t>
  </si>
  <si>
    <t>16:22:57</t>
  </si>
  <si>
    <t>AQ113201</t>
  </si>
  <si>
    <t>陳秉宏 陳軒宇</t>
  </si>
  <si>
    <t>20240815161426011290</t>
  </si>
  <si>
    <t>16:14:26</t>
  </si>
  <si>
    <t>AQ113270</t>
  </si>
  <si>
    <t>蔡昊恩</t>
  </si>
  <si>
    <t>20240815160859011129</t>
  </si>
  <si>
    <t>16:08:59</t>
  </si>
  <si>
    <t>20240815160810011975</t>
  </si>
  <si>
    <t>16:08:10</t>
  </si>
  <si>
    <t>20240815160713011957</t>
  </si>
  <si>
    <t>16:07:13</t>
  </si>
  <si>
    <t>20240815154919011213</t>
  </si>
  <si>
    <t>15:49:19</t>
  </si>
  <si>
    <t>AQ111032</t>
  </si>
  <si>
    <t>張雅筑</t>
  </si>
  <si>
    <t>20240815154831011132</t>
  </si>
  <si>
    <t>15:48:31</t>
  </si>
  <si>
    <t>AQ111446</t>
  </si>
  <si>
    <t>李昀燦</t>
  </si>
  <si>
    <t>20240815154500011558</t>
  </si>
  <si>
    <t>AQ112391</t>
  </si>
  <si>
    <t>洪湘詒</t>
  </si>
  <si>
    <t>20240815154147011260</t>
  </si>
  <si>
    <t>15:41:47</t>
  </si>
  <si>
    <t>AQ111031</t>
  </si>
  <si>
    <t>何樺亦 曾趙于萱</t>
  </si>
  <si>
    <t>20240815153721011114</t>
  </si>
  <si>
    <t>15:37:21</t>
  </si>
  <si>
    <t>AQ112452</t>
  </si>
  <si>
    <t>林柏宇 林禹菲葉恆 林承偉</t>
  </si>
  <si>
    <t>20240815153720011783</t>
  </si>
  <si>
    <t>15:37:20</t>
  </si>
  <si>
    <t>20240815153035011490</t>
  </si>
  <si>
    <t>15:30:35</t>
  </si>
  <si>
    <t>20240815150907011601</t>
  </si>
  <si>
    <t>15:09:07</t>
  </si>
  <si>
    <t>20240815150023011818</t>
  </si>
  <si>
    <t>15:00:23</t>
  </si>
  <si>
    <t>AQ112499</t>
  </si>
  <si>
    <t>廖庭甄 賴詩鍦</t>
  </si>
  <si>
    <t>20240815145215011328</t>
  </si>
  <si>
    <t>14:52:15</t>
  </si>
  <si>
    <t>AQ110011</t>
  </si>
  <si>
    <t>黃⼦嫣</t>
  </si>
  <si>
    <t>20240815144544011074</t>
  </si>
  <si>
    <t>14:45:44</t>
  </si>
  <si>
    <t>AQ113250</t>
  </si>
  <si>
    <t>蔡炘霓、蔡炘彤</t>
  </si>
  <si>
    <t>20240815143955011650</t>
  </si>
  <si>
    <t>14:39:55</t>
  </si>
  <si>
    <t>AQ108251</t>
  </si>
  <si>
    <t>陳吟榛 陳俐帆陳姿穎</t>
  </si>
  <si>
    <t>20240815142811011344</t>
  </si>
  <si>
    <t>14:28:11</t>
  </si>
  <si>
    <t>AQ113296</t>
  </si>
  <si>
    <t>吳庭毅</t>
  </si>
  <si>
    <t>20240815142629011796</t>
  </si>
  <si>
    <t>14:26:29</t>
  </si>
  <si>
    <t>AQ1080828</t>
  </si>
  <si>
    <t>20240815142459011539</t>
  </si>
  <si>
    <t>14:24:59</t>
  </si>
  <si>
    <t>AQ113179</t>
  </si>
  <si>
    <t>王李威、王李宏、王權恩、林家樂</t>
  </si>
  <si>
    <t>20240815141541011713</t>
  </si>
  <si>
    <t>14:15:41</t>
  </si>
  <si>
    <t>20240815141306011621</t>
  </si>
  <si>
    <t>14:13:06</t>
  </si>
  <si>
    <t>20240815140801011193</t>
  </si>
  <si>
    <t>14:08:01</t>
  </si>
  <si>
    <t>CQ113510</t>
  </si>
  <si>
    <t>彭淵皓</t>
  </si>
  <si>
    <t>20240815140123011885</t>
  </si>
  <si>
    <t>14:01:23</t>
  </si>
  <si>
    <t>CQ113559</t>
  </si>
  <si>
    <t>黃德倫</t>
  </si>
  <si>
    <t>20240815134257011850</t>
  </si>
  <si>
    <t>13:42:57</t>
  </si>
  <si>
    <t>AQ112035</t>
  </si>
  <si>
    <t>洪宥曦 洪宥恩王杰申</t>
  </si>
  <si>
    <t>20240815134047011146</t>
  </si>
  <si>
    <t>13:40:47</t>
  </si>
  <si>
    <t>20240815133831011057</t>
  </si>
  <si>
    <t>13:38:31</t>
  </si>
  <si>
    <t>20240815133559011682</t>
  </si>
  <si>
    <t>13:35:59</t>
  </si>
  <si>
    <t>20240815123009011725</t>
  </si>
  <si>
    <t>12:30:09</t>
  </si>
  <si>
    <t>BQ113265</t>
  </si>
  <si>
    <t>蕭翊帆</t>
  </si>
  <si>
    <t>20240815122428011671</t>
  </si>
  <si>
    <t>12:24:28</t>
  </si>
  <si>
    <t>20240815120721011856</t>
  </si>
  <si>
    <t>12:07:21</t>
  </si>
  <si>
    <t>BQ113277</t>
  </si>
  <si>
    <r>
      <rPr>
        <sz val="10"/>
        <rFont val="Noto Sans CJK SC"/>
        <family val="2"/>
      </rPr>
      <t>林紘逸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林宸寬</t>
    </r>
  </si>
  <si>
    <t>20240815114042011542</t>
  </si>
  <si>
    <t>11:40:42</t>
  </si>
  <si>
    <t>AQ113256</t>
  </si>
  <si>
    <t>蔡昕彤、蔡竑宇</t>
  </si>
  <si>
    <t>20240815113843011778</t>
  </si>
  <si>
    <t>11:38:43</t>
  </si>
  <si>
    <t>20240815101901011951</t>
  </si>
  <si>
    <t>10:19:01</t>
  </si>
  <si>
    <t>AQ111247</t>
  </si>
  <si>
    <t>徐菁軒 徐鼎呈陳香妘 潘柚岑</t>
  </si>
  <si>
    <t>20240815101151011242</t>
  </si>
  <si>
    <t>10:11:51</t>
  </si>
  <si>
    <t>20240815091655011766</t>
  </si>
  <si>
    <t>09:16:55</t>
  </si>
  <si>
    <t>20240815085138011864</t>
  </si>
  <si>
    <t>08:51:38</t>
  </si>
  <si>
    <t>AQ112058</t>
  </si>
  <si>
    <t>徐菁軒 徐鼎呈陳曉妍</t>
  </si>
  <si>
    <t>20240814212958011070</t>
  </si>
  <si>
    <t>21:29:58</t>
  </si>
  <si>
    <t>20240814212547011614</t>
  </si>
  <si>
    <t>21:25:47</t>
  </si>
  <si>
    <t>CQ113090</t>
  </si>
  <si>
    <t>20240814211607011627</t>
  </si>
  <si>
    <t>21:16:07</t>
  </si>
  <si>
    <t>CQ112277</t>
  </si>
  <si>
    <t>劉丞芯</t>
  </si>
  <si>
    <t>20240814211031011923</t>
  </si>
  <si>
    <t>21:10:31</t>
  </si>
  <si>
    <t>CQ112299</t>
  </si>
  <si>
    <r>
      <rPr>
        <sz val="10"/>
        <rFont val="Noto Sans CJK SC"/>
        <family val="2"/>
      </rPr>
      <t>陳聖浩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陳紹揚</t>
    </r>
  </si>
  <si>
    <t>20240814203253011608</t>
  </si>
  <si>
    <t>20:32:53</t>
  </si>
  <si>
    <t>AQ113340</t>
  </si>
  <si>
    <t>林序衡 張詠晴</t>
  </si>
  <si>
    <t>20240814201156011375</t>
  </si>
  <si>
    <t>20:11:56</t>
  </si>
  <si>
    <t>AQ112276</t>
  </si>
  <si>
    <t>黃禹倫</t>
  </si>
  <si>
    <t>20240814193951011294</t>
  </si>
  <si>
    <t>19:39:51</t>
  </si>
  <si>
    <t>20240814192113011562</t>
  </si>
  <si>
    <t>19:21:13</t>
  </si>
  <si>
    <t>AQ111299</t>
  </si>
  <si>
    <t>張馨予 張展睿</t>
  </si>
  <si>
    <t>20240814184746011084</t>
  </si>
  <si>
    <t>18:47:46</t>
  </si>
  <si>
    <t>BQ113319</t>
  </si>
  <si>
    <r>
      <rPr>
        <sz val="10"/>
        <rFont val="Noto Sans CJK SC"/>
        <family val="2"/>
      </rPr>
      <t>陳泓育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陳哲育</t>
    </r>
  </si>
  <si>
    <t>20240814181617011544</t>
  </si>
  <si>
    <t>18:16:17</t>
  </si>
  <si>
    <t>20240814180510011022</t>
  </si>
  <si>
    <t>18:05:10</t>
  </si>
  <si>
    <t>20240814175509011557</t>
  </si>
  <si>
    <t>17:55:09</t>
  </si>
  <si>
    <t>20240814174912011661</t>
  </si>
  <si>
    <t>17:49:12</t>
  </si>
  <si>
    <t>BQ112369</t>
  </si>
  <si>
    <t>張佳⽲ 張承宗</t>
  </si>
  <si>
    <t>20240814174530011045</t>
  </si>
  <si>
    <t>17:45:30</t>
  </si>
  <si>
    <t>BQ112298</t>
  </si>
  <si>
    <t>柯婉岺 吳宜靜吳⽂華</t>
  </si>
  <si>
    <t>20240814174503011938</t>
  </si>
  <si>
    <t>17:45:03</t>
  </si>
  <si>
    <t>20240814173738011709</t>
  </si>
  <si>
    <t>20240814173307011855</t>
  </si>
  <si>
    <t>17:33:07</t>
  </si>
  <si>
    <t>AQ113044</t>
  </si>
  <si>
    <t>陳信愷 楊雨樂楊雨芯 張哲睿</t>
  </si>
  <si>
    <t>20240814172836011903</t>
  </si>
  <si>
    <t>17:28:36</t>
  </si>
  <si>
    <t>BQ113250</t>
  </si>
  <si>
    <t>陳慧榆</t>
  </si>
  <si>
    <t>20240814172128011545</t>
  </si>
  <si>
    <t>17:21:28</t>
  </si>
  <si>
    <t>BQ111174</t>
  </si>
  <si>
    <t>余珖瑋 余得睿</t>
  </si>
  <si>
    <t>20240814171410011627</t>
  </si>
  <si>
    <t>17:14:10</t>
  </si>
  <si>
    <t>BQ112349</t>
  </si>
  <si>
    <t>涂宬睿</t>
  </si>
  <si>
    <t>20240814170206011531</t>
  </si>
  <si>
    <t>17:02:06</t>
  </si>
  <si>
    <t>20240814165530011540</t>
  </si>
  <si>
    <t>16:55:30</t>
  </si>
  <si>
    <t>BQ111189</t>
  </si>
  <si>
    <t>謝祥瀚 謝祥立</t>
  </si>
  <si>
    <t>20240814165131011073</t>
  </si>
  <si>
    <t>16:51:31</t>
  </si>
  <si>
    <t>BQ113078</t>
  </si>
  <si>
    <t>薛侑甯</t>
  </si>
  <si>
    <t>20240814164603011242</t>
  </si>
  <si>
    <t>16:46:03</t>
  </si>
  <si>
    <t>BQ113172</t>
  </si>
  <si>
    <t>丁歆彤 丁昕妍</t>
  </si>
  <si>
    <t>20240814163535011844</t>
  </si>
  <si>
    <t>16:35:35</t>
  </si>
  <si>
    <t>20240814163116011575</t>
  </si>
  <si>
    <t>16:31:16</t>
  </si>
  <si>
    <t>BQ113073</t>
  </si>
  <si>
    <t>吳律蓁 吳⼜融</t>
  </si>
  <si>
    <t>20240814155904011223</t>
  </si>
  <si>
    <t>15:59:04</t>
  </si>
  <si>
    <t>BQ113230</t>
  </si>
  <si>
    <t>詹沛忻 詹⼦樂</t>
  </si>
  <si>
    <t>20240814153835011522</t>
  </si>
  <si>
    <t>15:38:35</t>
  </si>
  <si>
    <t>BQ113247</t>
  </si>
  <si>
    <t>蘇⼦淯 陳耑佑</t>
  </si>
  <si>
    <t>20240814153213011116</t>
  </si>
  <si>
    <t>15:32:13</t>
  </si>
  <si>
    <t>AQ113183</t>
  </si>
  <si>
    <t>謝元午</t>
  </si>
  <si>
    <t>20240814145552011016</t>
  </si>
  <si>
    <t>14:55:52</t>
  </si>
  <si>
    <t>BQ113096</t>
  </si>
  <si>
    <t>李愛葳</t>
  </si>
  <si>
    <t>20240814145210011520</t>
  </si>
  <si>
    <t>14:52:10</t>
  </si>
  <si>
    <t>BQ113158</t>
  </si>
  <si>
    <t>趙芃 林霖</t>
  </si>
  <si>
    <t>20240814144408011230</t>
  </si>
  <si>
    <t>14:44:08</t>
  </si>
  <si>
    <t>20240814143528011790</t>
  </si>
  <si>
    <t>14:35:28</t>
  </si>
  <si>
    <t>20240814142413011055</t>
  </si>
  <si>
    <t>14:24:13</t>
  </si>
  <si>
    <t>AQ113187</t>
  </si>
  <si>
    <t>劉俊其 商玲玲</t>
  </si>
  <si>
    <t>20240814141903011932</t>
  </si>
  <si>
    <t>14:19:03</t>
  </si>
  <si>
    <t>AQ112023</t>
  </si>
  <si>
    <t>王珩燁</t>
  </si>
  <si>
    <t>20240814134609011912</t>
  </si>
  <si>
    <t>13:46:09</t>
  </si>
  <si>
    <t>20240814132123011170</t>
  </si>
  <si>
    <t>13:21:23</t>
  </si>
  <si>
    <t>20240814121855011791</t>
  </si>
  <si>
    <t>12:18:55</t>
  </si>
  <si>
    <t>BQ112337</t>
  </si>
  <si>
    <t>蔡薰賢 洪楨雅</t>
  </si>
  <si>
    <t>20240814115827011559</t>
  </si>
  <si>
    <t>11:58:27</t>
  </si>
  <si>
    <t>20240814110620011104</t>
  </si>
  <si>
    <t>11:06:20</t>
  </si>
  <si>
    <t>BQ113214</t>
  </si>
  <si>
    <t>董祐喬 陳宥希陳志鳴</t>
  </si>
  <si>
    <t>20240814104957011289</t>
  </si>
  <si>
    <t>10:49:57</t>
  </si>
  <si>
    <t>20240814103153011193</t>
  </si>
  <si>
    <t>10:31:53</t>
  </si>
  <si>
    <t>AQ113122</t>
  </si>
  <si>
    <t>曾⼤瑀</t>
  </si>
  <si>
    <t>20240814092652011783</t>
  </si>
  <si>
    <t>09:26:52</t>
  </si>
  <si>
    <t>20240814090755011528</t>
  </si>
  <si>
    <t>09:07:55</t>
  </si>
  <si>
    <t>AQ113100</t>
  </si>
  <si>
    <t>邱聖軒 邱郁喬邱郁晴</t>
  </si>
  <si>
    <t>20240814090742011331</t>
  </si>
  <si>
    <t>09:07:42</t>
  </si>
  <si>
    <t>20240814075913011917</t>
  </si>
  <si>
    <t>07:59:13</t>
  </si>
  <si>
    <t>AQ113295</t>
  </si>
  <si>
    <t>王宥勳</t>
  </si>
  <si>
    <t>20240814074552011550</t>
  </si>
  <si>
    <t>07:45:52</t>
  </si>
  <si>
    <t>20240814072445011352</t>
  </si>
  <si>
    <t>07:24:45</t>
  </si>
  <si>
    <t>AQ113277</t>
  </si>
  <si>
    <t>何奕璇</t>
  </si>
  <si>
    <t>20240814064208011528</t>
  </si>
  <si>
    <t>06:42:08</t>
  </si>
  <si>
    <t>AQ113067</t>
  </si>
  <si>
    <t>應佳樺</t>
  </si>
  <si>
    <t>20240814063800011300</t>
  </si>
  <si>
    <t>06:38:00</t>
  </si>
  <si>
    <t>20240813194119011228</t>
  </si>
  <si>
    <t>19:41:19</t>
  </si>
  <si>
    <t>CQ113528</t>
  </si>
  <si>
    <t>林雲 陳秉翔 陳芷羚 陳昱晴 陳逸姍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</si>
  <si>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1VS5 (20%)-1 1x14400</t>
    </r>
  </si>
  <si>
    <t>20240813192854011662</t>
  </si>
  <si>
    <t>19:28:54</t>
  </si>
  <si>
    <t>AQ113335</t>
  </si>
  <si>
    <t>張禹甯、紀換宇、葉禹儂</t>
  </si>
  <si>
    <t>20240813192445011216</t>
  </si>
  <si>
    <t>19:24:45</t>
  </si>
  <si>
    <t>20240813190742011643</t>
  </si>
  <si>
    <t>19:07:42</t>
  </si>
  <si>
    <t>AQ113333</t>
  </si>
  <si>
    <t>潘禹僑、張禹皓、紀鉉宇</t>
  </si>
  <si>
    <t>20240813185052011698</t>
  </si>
  <si>
    <t>18:50:52</t>
  </si>
  <si>
    <t>BQ113233</t>
  </si>
  <si>
    <r>
      <rPr>
        <sz val="10"/>
        <rFont val="Noto Sans CJK SC"/>
        <family val="2"/>
      </rPr>
      <t>李沛穎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李昀柔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吳邦誠</t>
    </r>
  </si>
  <si>
    <t>20240813185025011869</t>
  </si>
  <si>
    <t>18:50:25</t>
  </si>
  <si>
    <t>BQ113234</t>
  </si>
  <si>
    <t>洪翊博</t>
  </si>
  <si>
    <t>20240813184527011948</t>
  </si>
  <si>
    <t>18:45:27</t>
  </si>
  <si>
    <t>BQ113316</t>
  </si>
  <si>
    <r>
      <rPr>
        <sz val="10"/>
        <rFont val="Noto Sans CJK SC"/>
        <family val="2"/>
      </rPr>
      <t>呂沛庭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呂家逵</t>
    </r>
  </si>
  <si>
    <t>20240813184304011765</t>
  </si>
  <si>
    <t>18:43:04</t>
  </si>
  <si>
    <t>20240813184109011288</t>
  </si>
  <si>
    <t>18:41:09</t>
  </si>
  <si>
    <t>20240813184035011915</t>
  </si>
  <si>
    <t>18:40:35</t>
  </si>
  <si>
    <t>BQ111047</t>
  </si>
  <si>
    <r>
      <rPr>
        <sz val="10"/>
        <rFont val="Noto Sans CJK SC"/>
        <family val="2"/>
      </rPr>
      <t>李卓軒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許睿群</t>
    </r>
  </si>
  <si>
    <t>20240813183512011817</t>
  </si>
  <si>
    <t>20240813182853011171</t>
  </si>
  <si>
    <t>18:28:53</t>
  </si>
  <si>
    <t>BQ113224</t>
  </si>
  <si>
    <t>李咨瑩</t>
  </si>
  <si>
    <t>20240813182848011609</t>
  </si>
  <si>
    <t>18:28:48</t>
  </si>
  <si>
    <t>BQ111089</t>
  </si>
  <si>
    <r>
      <rPr>
        <sz val="10"/>
        <rFont val="Noto Sans CJK SC"/>
        <family val="2"/>
      </rPr>
      <t>紀冠睿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紀語恩</t>
    </r>
  </si>
  <si>
    <t>20240813181733011234</t>
  </si>
  <si>
    <t>18:17:33</t>
  </si>
  <si>
    <t>BQ111043</t>
  </si>
  <si>
    <r>
      <rPr>
        <sz val="10"/>
        <rFont val="Noto Sans CJK SC"/>
        <family val="2"/>
      </rPr>
      <t>吳博瀚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吳秉澄</t>
    </r>
  </si>
  <si>
    <t>20240813180908011768</t>
  </si>
  <si>
    <t>18:09:08</t>
  </si>
  <si>
    <t>20240813180055011068</t>
  </si>
  <si>
    <t>18:00:55</t>
  </si>
  <si>
    <t>AQ113046</t>
  </si>
  <si>
    <t>20240813175620011270</t>
  </si>
  <si>
    <t>17:56:20</t>
  </si>
  <si>
    <t>BQ111034</t>
  </si>
  <si>
    <r>
      <rPr>
        <sz val="10"/>
        <rFont val="Noto Sans CJK SC"/>
        <family val="2"/>
      </rPr>
      <t>張棟凱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張嘉恩</t>
    </r>
  </si>
  <si>
    <t>20240813173557011252</t>
  </si>
  <si>
    <t>17:35:57</t>
  </si>
  <si>
    <t>BQ110027</t>
  </si>
  <si>
    <r>
      <rPr>
        <sz val="10"/>
        <rFont val="Noto Sans CJK SC"/>
        <family val="2"/>
      </rPr>
      <t>謝旭翔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謝承叡</t>
    </r>
  </si>
  <si>
    <t>20240813170822011606</t>
  </si>
  <si>
    <t>17:08:22</t>
  </si>
  <si>
    <t>BQ112012</t>
  </si>
  <si>
    <r>
      <rPr>
        <sz val="10"/>
        <rFont val="Noto Sans CJK SC"/>
        <family val="2"/>
      </rPr>
      <t>林劭澄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林劭謙</t>
    </r>
  </si>
  <si>
    <t>20240813165736011262</t>
  </si>
  <si>
    <t>16:57:36</t>
  </si>
  <si>
    <t>BQ112355</t>
  </si>
  <si>
    <r>
      <rPr>
        <sz val="10"/>
        <rFont val="Noto Sans CJK SC"/>
        <family val="2"/>
      </rPr>
      <t>張博睿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張凱睿</t>
    </r>
  </si>
  <si>
    <t>20240813165556011133</t>
  </si>
  <si>
    <t>16:55:56</t>
  </si>
  <si>
    <t>BQ113315</t>
  </si>
  <si>
    <r>
      <rPr>
        <sz val="10"/>
        <rFont val="Noto Sans CJK SC"/>
        <family val="2"/>
      </rPr>
      <t>陳依晴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陳若語</t>
    </r>
  </si>
  <si>
    <t>20240813165109011541</t>
  </si>
  <si>
    <t>16:51:09</t>
  </si>
  <si>
    <t>BQ112409</t>
  </si>
  <si>
    <r>
      <rPr>
        <sz val="10"/>
        <rFont val="Noto Sans CJK SC"/>
        <family val="2"/>
      </rPr>
      <t>孫⼦淳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黃宗祥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陳品宜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陳立帆</t>
    </r>
  </si>
  <si>
    <t>20240813164219011705</t>
  </si>
  <si>
    <t>16:42:19</t>
  </si>
  <si>
    <t>BQ112356</t>
  </si>
  <si>
    <r>
      <rPr>
        <sz val="10"/>
        <rFont val="Noto Sans CJK SC"/>
        <family val="2"/>
      </rPr>
      <t>曾秀茹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江佳霖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施儀欣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黃雋恩</t>
    </r>
  </si>
  <si>
    <t>20240813163532011262</t>
  </si>
  <si>
    <t>CQ113583</t>
  </si>
  <si>
    <t>吳芸安 吳睿宇</t>
  </si>
  <si>
    <t>20240813163256011592</t>
  </si>
  <si>
    <t>16:32:56</t>
  </si>
  <si>
    <t>20240813163012011077</t>
  </si>
  <si>
    <t>16:30:12</t>
  </si>
  <si>
    <t>BQ113487</t>
  </si>
  <si>
    <t>20240813162337011365</t>
  </si>
  <si>
    <t>16:23:37</t>
  </si>
  <si>
    <t>BQ113298</t>
  </si>
  <si>
    <t>陳佑瑄</t>
  </si>
  <si>
    <t>20240813161915011186</t>
  </si>
  <si>
    <t>16:19:15</t>
  </si>
  <si>
    <t>20240813161417011265</t>
  </si>
  <si>
    <t>16:14:17</t>
  </si>
  <si>
    <t>BQ112196</t>
  </si>
  <si>
    <t>黃郁珺</t>
  </si>
  <si>
    <t>20240813161217011433</t>
  </si>
  <si>
    <t>16:12:17</t>
  </si>
  <si>
    <t>BQ112155</t>
  </si>
  <si>
    <r>
      <rPr>
        <sz val="10"/>
        <rFont val="Noto Sans CJK SC"/>
        <family val="2"/>
      </rPr>
      <t>鄭宇廷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林煦昊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林于蕎</t>
    </r>
  </si>
  <si>
    <t>20240813155938011082</t>
  </si>
  <si>
    <t>15:59:38</t>
  </si>
  <si>
    <t>20240813155718011578</t>
  </si>
  <si>
    <t>15:57:18</t>
  </si>
  <si>
    <t>BQ112439</t>
  </si>
  <si>
    <t>莊明霖 ⾼瑜玟</t>
  </si>
  <si>
    <t>20240813155451011117</t>
  </si>
  <si>
    <t>15:54:51</t>
  </si>
  <si>
    <t>BQ112310</t>
  </si>
  <si>
    <r>
      <rPr>
        <sz val="10"/>
        <rFont val="Noto Sans CJK SC"/>
        <family val="2"/>
      </rPr>
      <t>楊捷翔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楊曜安</t>
    </r>
  </si>
  <si>
    <t>20240813155006011393</t>
  </si>
  <si>
    <t>15:50:06</t>
  </si>
  <si>
    <t>20240813154613011884</t>
  </si>
  <si>
    <t>15:46:13</t>
  </si>
  <si>
    <t>20240813153915011890</t>
  </si>
  <si>
    <t>15:39:15</t>
  </si>
  <si>
    <t>20240813153758011025</t>
  </si>
  <si>
    <t>15:37:58</t>
  </si>
  <si>
    <t>20240813153346011317</t>
  </si>
  <si>
    <t>15:33:46</t>
  </si>
  <si>
    <t>20240813153033011593</t>
  </si>
  <si>
    <t>15:30:33</t>
  </si>
  <si>
    <t>AQ113116</t>
  </si>
  <si>
    <t>何詠晴 王⼼⽞王⽻柔 王雨洛</t>
  </si>
  <si>
    <t>20240813152443011777</t>
  </si>
  <si>
    <t>15:24:43</t>
  </si>
  <si>
    <t>BQ113260</t>
  </si>
  <si>
    <r>
      <rPr>
        <sz val="10"/>
        <rFont val="Noto Sans CJK SC"/>
        <family val="2"/>
      </rPr>
      <t>鄭凱聰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鄭宇廷</t>
    </r>
  </si>
  <si>
    <t>20240813152347011180</t>
  </si>
  <si>
    <t>15:23:47</t>
  </si>
  <si>
    <t>BQ112370</t>
  </si>
  <si>
    <t>黃崢豪 黃梓豪陳則語 陳則希</t>
  </si>
  <si>
    <t>20240813151732011068</t>
  </si>
  <si>
    <t>15:17:32</t>
  </si>
  <si>
    <t>BQ113302</t>
  </si>
  <si>
    <r>
      <rPr>
        <sz val="10"/>
        <rFont val="Noto Sans CJK SC"/>
        <family val="2"/>
      </rPr>
      <t>吳咏璇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吳允⿑</t>
    </r>
  </si>
  <si>
    <t>20240813151714011970</t>
  </si>
  <si>
    <t>15:17:14</t>
  </si>
  <si>
    <t>AQ113181</t>
  </si>
  <si>
    <t>⾼⼦晉、⾼敬凱、⾼茞風、⾼茞祖</t>
  </si>
  <si>
    <t>20240813151456011388</t>
  </si>
  <si>
    <t>15:14:56</t>
  </si>
  <si>
    <t>CQ113135</t>
  </si>
  <si>
    <t>徐聖富</t>
  </si>
  <si>
    <t>20240813151408011477</t>
  </si>
  <si>
    <t>15:14:08</t>
  </si>
  <si>
    <t>20240813151112011598</t>
  </si>
  <si>
    <t>15:11:12</t>
  </si>
  <si>
    <t>20240813151014011057</t>
  </si>
  <si>
    <t>15:10:14</t>
  </si>
  <si>
    <t>CQ113110</t>
  </si>
  <si>
    <t>王琳雅 王筱筠王昱傑</t>
  </si>
  <si>
    <t>20240813150807011478</t>
  </si>
  <si>
    <t>15:08:07</t>
  </si>
  <si>
    <t>20240813150524011350</t>
  </si>
  <si>
    <t>15:05:24</t>
  </si>
  <si>
    <t>BQ113269</t>
  </si>
  <si>
    <r>
      <rPr>
        <sz val="10"/>
        <rFont val="Noto Sans CJK SC"/>
        <family val="2"/>
      </rPr>
      <t>陳思雋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陳思宇</t>
    </r>
  </si>
  <si>
    <t>20240813150416011547</t>
  </si>
  <si>
    <t>15:04:16</t>
  </si>
  <si>
    <t>20240813145905011881</t>
  </si>
  <si>
    <t>14:59:05</t>
  </si>
  <si>
    <t>BQ113259</t>
  </si>
  <si>
    <t>20240813145746011354</t>
  </si>
  <si>
    <t>14:57:46</t>
  </si>
  <si>
    <t>20240813145709011134</t>
  </si>
  <si>
    <t>14:57:09</t>
  </si>
  <si>
    <t>CQ113108</t>
  </si>
  <si>
    <t>王琳雅 王筱筑</t>
  </si>
  <si>
    <t>20240813145325011102</t>
  </si>
  <si>
    <t>14:53:25</t>
  </si>
  <si>
    <t>CQ113064</t>
  </si>
  <si>
    <t>潘宣妤 顏⼦琪駱⼜寧 李允⼼</t>
  </si>
  <si>
    <t>20240813145043011184</t>
  </si>
  <si>
    <t>14:50:43</t>
  </si>
  <si>
    <t>20240813144926011121</t>
  </si>
  <si>
    <t>14:49:26</t>
  </si>
  <si>
    <t>20240813144819011442</t>
  </si>
  <si>
    <t>14:48:19</t>
  </si>
  <si>
    <t>BQ113462</t>
  </si>
  <si>
    <t>林璿</t>
  </si>
  <si>
    <t>20240813144009011123</t>
  </si>
  <si>
    <t>AQ113140</t>
  </si>
  <si>
    <t>劉沐潔</t>
  </si>
  <si>
    <t>20240813143655011894</t>
  </si>
  <si>
    <t>CQ113318</t>
  </si>
  <si>
    <t>黃苡溱</t>
  </si>
  <si>
    <t>20240813141506011021</t>
  </si>
  <si>
    <t>14:15:06</t>
  </si>
  <si>
    <t>BQ113501</t>
  </si>
  <si>
    <t>劉明威</t>
  </si>
  <si>
    <t>20240813135601011972</t>
  </si>
  <si>
    <t>13:56:01</t>
  </si>
  <si>
    <t>BQ113476</t>
  </si>
  <si>
    <r>
      <rPr>
        <sz val="10"/>
        <rFont val="Noto Sans CJK SC"/>
        <family val="2"/>
      </rPr>
      <t>陳欣湉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陳庭弘</t>
    </r>
  </si>
  <si>
    <t>20240813135100011946</t>
  </si>
  <si>
    <t>13:51:00</t>
  </si>
  <si>
    <t>20240813134919011990</t>
  </si>
  <si>
    <t>20240813134152011008</t>
  </si>
  <si>
    <t>13:41:52</t>
  </si>
  <si>
    <t>20240813133610011735</t>
  </si>
  <si>
    <t>13:36:10</t>
  </si>
  <si>
    <t>20240813133532011824</t>
  </si>
  <si>
    <t>13:35:32</t>
  </si>
  <si>
    <t>AQ112700</t>
  </si>
  <si>
    <t>盧素冰</t>
  </si>
  <si>
    <t>20240813133403011867</t>
  </si>
  <si>
    <t>13:34:03</t>
  </si>
  <si>
    <t>20240813132812011699</t>
  </si>
  <si>
    <t>13:28:12</t>
  </si>
  <si>
    <t>BQ112317</t>
  </si>
  <si>
    <r>
      <rPr>
        <sz val="10"/>
        <rFont val="Noto Sans CJK SC"/>
        <family val="2"/>
      </rPr>
      <t>劉宥彤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劉⼜甄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沈柏宇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沈奕丞</t>
    </r>
  </si>
  <si>
    <t>20240813131754011606</t>
  </si>
  <si>
    <t>13:17:54</t>
  </si>
  <si>
    <t>BQ112220</t>
  </si>
  <si>
    <t>賴立軒</t>
  </si>
  <si>
    <t>20240813131547011958</t>
  </si>
  <si>
    <t>13:15:47</t>
  </si>
  <si>
    <t>20240813130933011643</t>
  </si>
  <si>
    <t>13:09:33</t>
  </si>
  <si>
    <t>BQ112265</t>
  </si>
  <si>
    <t>吳京袊</t>
  </si>
  <si>
    <t>20240813130353011699</t>
  </si>
  <si>
    <t>13:03:53</t>
  </si>
  <si>
    <t>BQ113131</t>
  </si>
  <si>
    <r>
      <rPr>
        <sz val="10"/>
        <rFont val="Noto Sans CJK SC"/>
        <family val="2"/>
      </rPr>
      <t>楊芷軒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許以曦</t>
    </r>
  </si>
  <si>
    <t>20240813130015011597</t>
  </si>
  <si>
    <t>13:00:15</t>
  </si>
  <si>
    <t>BQ112385</t>
  </si>
  <si>
    <t>林秀英</t>
  </si>
  <si>
    <t>20240813125223011590</t>
  </si>
  <si>
    <t>12:52:23</t>
  </si>
  <si>
    <t>BQ113232</t>
  </si>
  <si>
    <t>蕭宇綸 蕭宇彤</t>
  </si>
  <si>
    <t>20240813122547011820</t>
  </si>
  <si>
    <t>12:25:47</t>
  </si>
  <si>
    <t>BQ113274</t>
  </si>
  <si>
    <t>宋昱陞</t>
  </si>
  <si>
    <t>20240813122345011005</t>
  </si>
  <si>
    <t>12:23:45</t>
  </si>
  <si>
    <t>20240813121028011201</t>
  </si>
  <si>
    <t>BQ113198</t>
  </si>
  <si>
    <t>張麗雲</t>
  </si>
  <si>
    <t>20240813115503011602</t>
  </si>
  <si>
    <t>11:55:03</t>
  </si>
  <si>
    <t>BQ113169</t>
  </si>
  <si>
    <t>陳彥羲</t>
  </si>
  <si>
    <t>20240813114535011488</t>
  </si>
  <si>
    <t>11:45:35</t>
  </si>
  <si>
    <t>AQ113068</t>
  </si>
  <si>
    <t>20240813113251011977</t>
  </si>
  <si>
    <t>11:32:51</t>
  </si>
  <si>
    <t>20240813110702011952</t>
  </si>
  <si>
    <t>11:07:02</t>
  </si>
  <si>
    <t>AQ113165</t>
  </si>
  <si>
    <t>蔡孟秋</t>
  </si>
  <si>
    <t>20240813104117011832</t>
  </si>
  <si>
    <t>10:41:17</t>
  </si>
  <si>
    <t>20240813100800011509</t>
  </si>
  <si>
    <t>20240813085408011169</t>
  </si>
  <si>
    <t>08:54:08</t>
  </si>
  <si>
    <t>AQ112457</t>
  </si>
  <si>
    <t>吳欣柔 卓思圻侯志辰 葉恆</t>
  </si>
  <si>
    <t>20240813084827011412</t>
  </si>
  <si>
    <t>08:48:27</t>
  </si>
  <si>
    <t>20240812211431011417</t>
  </si>
  <si>
    <t>21:14:31</t>
  </si>
  <si>
    <t>BQ113239</t>
  </si>
  <si>
    <r>
      <rPr>
        <sz val="10"/>
        <rFont val="Noto Sans CJK SC"/>
        <family val="2"/>
      </rPr>
      <t>李昀霏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李昀晴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李昀霓</t>
    </r>
  </si>
  <si>
    <t>20240812193316011053</t>
  </si>
  <si>
    <t>19:33:16</t>
  </si>
  <si>
    <t>BQ113082</t>
  </si>
  <si>
    <t>薛聖翰</t>
  </si>
  <si>
    <t>20240812192540011651</t>
  </si>
  <si>
    <t>19:25:40</t>
  </si>
  <si>
    <t>20240812185519011896</t>
  </si>
  <si>
    <t>18:55:19</t>
  </si>
  <si>
    <t>BQ113240</t>
  </si>
  <si>
    <t>林承澔</t>
  </si>
  <si>
    <t>20240812175757011941</t>
  </si>
  <si>
    <t>BQ113314</t>
  </si>
  <si>
    <t>⽅香琴</t>
  </si>
  <si>
    <t>20240812164255011926</t>
  </si>
  <si>
    <t>16:42:55</t>
  </si>
  <si>
    <t>AQ113298</t>
  </si>
  <si>
    <t>詹晨希、詹晨佑</t>
  </si>
  <si>
    <t>20240812163921011612</t>
  </si>
  <si>
    <t>16:39:21</t>
  </si>
  <si>
    <t>20240812154334011636</t>
  </si>
  <si>
    <t>15:43:34</t>
  </si>
  <si>
    <t>20240812153320011579</t>
  </si>
  <si>
    <t>15:33:20</t>
  </si>
  <si>
    <t>20240812151246011945</t>
  </si>
  <si>
    <t>15:12:46</t>
  </si>
  <si>
    <t>20240812150726011029</t>
  </si>
  <si>
    <t>15:07:26</t>
  </si>
  <si>
    <t>20240812145402011476</t>
  </si>
  <si>
    <t>14:54:02</t>
  </si>
  <si>
    <t>20240812140303011875</t>
  </si>
  <si>
    <t>14:03:03</t>
  </si>
  <si>
    <t>20240812130252011258</t>
  </si>
  <si>
    <t>13:02:52</t>
  </si>
  <si>
    <t>20240812122547011992</t>
  </si>
  <si>
    <t>AQ111065</t>
  </si>
  <si>
    <t>許恆偉 許恆益</t>
  </si>
  <si>
    <t>20240812121420011382</t>
  </si>
  <si>
    <t>12:14:20</t>
  </si>
  <si>
    <t>AQ112467</t>
  </si>
  <si>
    <t>20240812115249011191</t>
  </si>
  <si>
    <t>11:52:49</t>
  </si>
  <si>
    <t>20240812104936011462</t>
  </si>
  <si>
    <t>10:49:36</t>
  </si>
  <si>
    <t>CQ113582</t>
  </si>
  <si>
    <t>洪晞媛</t>
  </si>
  <si>
    <t>20240812090248011732</t>
  </si>
  <si>
    <t>09:02:48</t>
  </si>
  <si>
    <t>CQ113379</t>
  </si>
  <si>
    <t>許元瀚</t>
  </si>
  <si>
    <t>20240812085338011558</t>
  </si>
  <si>
    <t>08:53:38</t>
  </si>
  <si>
    <t>CQ113310</t>
  </si>
  <si>
    <t>張語恩</t>
  </si>
  <si>
    <t>20240812084525011806</t>
  </si>
  <si>
    <t>08:45:25</t>
  </si>
  <si>
    <t>CQ113552</t>
  </si>
  <si>
    <t>張鎰捷</t>
  </si>
  <si>
    <t>20240812084202011680</t>
  </si>
  <si>
    <t>08:42:02</t>
  </si>
  <si>
    <t>CQ113544</t>
  </si>
  <si>
    <t>江信宏 江紘亦曹軒政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</si>
  <si>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(20%) 1x10800</t>
    </r>
  </si>
  <si>
    <t>20240812083419011316</t>
  </si>
  <si>
    <t>08:34:19</t>
  </si>
  <si>
    <t>CQ113500</t>
  </si>
  <si>
    <t>林欣妤 林禹彤</t>
  </si>
  <si>
    <t>20240812083055011519</t>
  </si>
  <si>
    <t>08:30:55</t>
  </si>
  <si>
    <t>CQ113530</t>
  </si>
  <si>
    <t>莊瀚霆 莊馥瑄莊翔鈞</t>
  </si>
  <si>
    <t>20240812082419011435</t>
  </si>
  <si>
    <t>08:24:19</t>
  </si>
  <si>
    <t>CQ113535</t>
  </si>
  <si>
    <t>陳瀅⼼</t>
  </si>
  <si>
    <t>20240812081214011368</t>
  </si>
  <si>
    <t>08:12:14</t>
  </si>
  <si>
    <t>20240812080905011884</t>
  </si>
  <si>
    <t>08:09:05</t>
  </si>
  <si>
    <t>AQ110279</t>
  </si>
  <si>
    <t>蔡姍霓 劉芸樺</t>
  </si>
  <si>
    <t>20240812080336011486</t>
  </si>
  <si>
    <t>08:03:36</t>
  </si>
  <si>
    <t>AQ113515</t>
  </si>
  <si>
    <t>鍾昀芯 蘇妍芸鄭妍安 陳柏愷陳怡婷</t>
  </si>
  <si>
    <t>20240811164922011127</t>
  </si>
  <si>
    <t>20240811160132011599</t>
  </si>
  <si>
    <t>16:01:32</t>
  </si>
  <si>
    <t>AQ112444</t>
  </si>
  <si>
    <t>李睦恆 李睦晨張智媛</t>
  </si>
  <si>
    <t>20240811155649011617</t>
  </si>
  <si>
    <t>15:56:49</t>
  </si>
  <si>
    <t>20240811154732011464</t>
  </si>
  <si>
    <t>15:47:32</t>
  </si>
  <si>
    <t>AQ113449</t>
  </si>
  <si>
    <t>20240811154244011234</t>
  </si>
  <si>
    <t>15:42:44</t>
  </si>
  <si>
    <t>20240811153728011864</t>
  </si>
  <si>
    <t>15:37:28</t>
  </si>
  <si>
    <t>20240811150326011107</t>
  </si>
  <si>
    <t>15:03:26</t>
  </si>
  <si>
    <t>AQ112560</t>
  </si>
  <si>
    <t>郭柏岑 郭芸瑄葉庭妤</t>
  </si>
  <si>
    <t>20240811145109011533</t>
  </si>
  <si>
    <t>14:51:09</t>
  </si>
  <si>
    <t>20240811143551011319</t>
  </si>
  <si>
    <t>14:35:51</t>
  </si>
  <si>
    <t>AQ112305</t>
  </si>
  <si>
    <t>⽯恩⿑ ⽯恩嘉</t>
  </si>
  <si>
    <t>20240811143445011304</t>
  </si>
  <si>
    <t>14:34:45</t>
  </si>
  <si>
    <t>20240811143007011231</t>
  </si>
  <si>
    <t>14:30:07</t>
  </si>
  <si>
    <t>AQ112439</t>
  </si>
  <si>
    <t>連⼠勛 曾品侑曾歆晏</t>
  </si>
  <si>
    <t>20240811112826011857</t>
  </si>
  <si>
    <t>11:28:26</t>
  </si>
  <si>
    <t>20240811105351011900</t>
  </si>
  <si>
    <t>10:53:51</t>
  </si>
  <si>
    <t>20240811105300011517</t>
  </si>
  <si>
    <t>10:53:00</t>
  </si>
  <si>
    <t>20240811105058011848</t>
  </si>
  <si>
    <t>10:50:58</t>
  </si>
  <si>
    <t>20240811084450011776</t>
  </si>
  <si>
    <t>08:44:50</t>
  </si>
  <si>
    <t>20240810175309011755</t>
  </si>
  <si>
    <t>17:53:09</t>
  </si>
  <si>
    <t>CQ113580</t>
  </si>
  <si>
    <t>李家政</t>
  </si>
  <si>
    <t>20240810174746011804</t>
  </si>
  <si>
    <t>17:47:46</t>
  </si>
  <si>
    <t>20240810173355011886</t>
  </si>
  <si>
    <t>17:33:55</t>
  </si>
  <si>
    <t>AQ113056</t>
  </si>
  <si>
    <t>君芮羚 吳沛宣陳思甯</t>
  </si>
  <si>
    <t>20240810173219011339</t>
  </si>
  <si>
    <t>17:32:19</t>
  </si>
  <si>
    <t>AQ113054</t>
  </si>
  <si>
    <t>廖雅萍</t>
  </si>
  <si>
    <t>20240810173108011140</t>
  </si>
  <si>
    <t>17:31:08</t>
  </si>
  <si>
    <t>20240810172750011266</t>
  </si>
  <si>
    <t>17:27:50</t>
  </si>
  <si>
    <t>20240810164555011818</t>
  </si>
  <si>
    <t>16:45:55</t>
  </si>
  <si>
    <t>CQ113579</t>
  </si>
  <si>
    <t>20240810164443011138</t>
  </si>
  <si>
    <t>16:44:43</t>
  </si>
  <si>
    <t>CQ113578</t>
  </si>
  <si>
    <t>王偉丞蔡捷宇鄭允誠宏翊軒</t>
  </si>
  <si>
    <t>20240810151657011959</t>
  </si>
  <si>
    <t>15:16:57</t>
  </si>
  <si>
    <t>20240810151108011975</t>
  </si>
  <si>
    <t>15:11:08</t>
  </si>
  <si>
    <t>20240810124026011088</t>
  </si>
  <si>
    <t>12:40:26</t>
  </si>
  <si>
    <t>BQ113311</t>
  </si>
  <si>
    <r>
      <rPr>
        <sz val="10"/>
        <rFont val="Noto Sans CJK SC"/>
        <family val="2"/>
      </rPr>
      <t>陳泓翔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陳新翰</t>
    </r>
  </si>
  <si>
    <t>20240810122757011482</t>
  </si>
  <si>
    <t>12:27:57</t>
  </si>
  <si>
    <t>20240810120327011658</t>
  </si>
  <si>
    <t>12:03:27</t>
  </si>
  <si>
    <t>20240810113855011438</t>
  </si>
  <si>
    <t>11:38:55</t>
  </si>
  <si>
    <t>20240810102219011969</t>
  </si>
  <si>
    <t>10:22:19</t>
  </si>
  <si>
    <t>20240810092203011845</t>
  </si>
  <si>
    <t>09:22:03</t>
  </si>
  <si>
    <t>20240810084058011378</t>
  </si>
  <si>
    <t>08:40:58</t>
  </si>
  <si>
    <t>20240809213110011930</t>
  </si>
  <si>
    <t>21:31:10</t>
  </si>
  <si>
    <t>20240809211756011481</t>
  </si>
  <si>
    <t>21:17:56</t>
  </si>
  <si>
    <t>20240809204309011358</t>
  </si>
  <si>
    <t>20:43:09</t>
  </si>
  <si>
    <t>20240809204201011852</t>
  </si>
  <si>
    <t>20:42:01</t>
  </si>
  <si>
    <t>20240809203320011656</t>
  </si>
  <si>
    <t>20:33:20</t>
  </si>
  <si>
    <t>20240809203152011706</t>
  </si>
  <si>
    <t>20:31:52</t>
  </si>
  <si>
    <t>20240809203059011222</t>
  </si>
  <si>
    <t>20:30:59</t>
  </si>
  <si>
    <t>AQ113114</t>
  </si>
  <si>
    <t>楊卓源</t>
  </si>
  <si>
    <t>20240809193316011920</t>
  </si>
  <si>
    <t>AQ113069</t>
  </si>
  <si>
    <t>李嘉宸 李柏筱</t>
  </si>
  <si>
    <t>20240809192752011995</t>
  </si>
  <si>
    <t>19:27:52</t>
  </si>
  <si>
    <t>AQ113073</t>
  </si>
  <si>
    <t>許書銘 林意珊</t>
  </si>
  <si>
    <t>20240809192608011033</t>
  </si>
  <si>
    <t>19:26:08</t>
  </si>
  <si>
    <t>AQ113074</t>
  </si>
  <si>
    <t>許芮晞 陳思紜李亦甯</t>
  </si>
  <si>
    <t>20240809191232011466</t>
  </si>
  <si>
    <t>19:12:32</t>
  </si>
  <si>
    <t>20240809190527011822</t>
  </si>
  <si>
    <t>19:05:27</t>
  </si>
  <si>
    <t>AQ113158</t>
  </si>
  <si>
    <t>張禺皓、紀炫宇</t>
  </si>
  <si>
    <t>20240809190124011722</t>
  </si>
  <si>
    <t>19:01:24</t>
  </si>
  <si>
    <t>AQ113157</t>
  </si>
  <si>
    <t>佑彬</t>
  </si>
  <si>
    <t>20240809185436011410</t>
  </si>
  <si>
    <t>18:54:36</t>
  </si>
  <si>
    <t>20240809183958011406</t>
  </si>
  <si>
    <t>18:39:58</t>
  </si>
  <si>
    <t>AQ113094</t>
  </si>
  <si>
    <t>黃晨芯、李軒毅、簡晨安</t>
  </si>
  <si>
    <t>20240809183715011163</t>
  </si>
  <si>
    <t>18:37:15</t>
  </si>
  <si>
    <t>AQ113225</t>
  </si>
  <si>
    <t>20240809183359011104</t>
  </si>
  <si>
    <t>18:33:59</t>
  </si>
  <si>
    <t>AQ113090</t>
  </si>
  <si>
    <t>陳尉瑜、陳威綸</t>
  </si>
  <si>
    <t>20240809182736011495</t>
  </si>
  <si>
    <t>18:27:36</t>
  </si>
  <si>
    <t>20240809175754011799</t>
  </si>
  <si>
    <t>17:57:54</t>
  </si>
  <si>
    <t>AQ113321</t>
  </si>
  <si>
    <t>陳若頤 陳格脩</t>
  </si>
  <si>
    <t>20240809170557011075</t>
  </si>
  <si>
    <t>17:05:57</t>
  </si>
  <si>
    <t>20240809164939011081</t>
  </si>
  <si>
    <t>16:49:39</t>
  </si>
  <si>
    <t>20240809164400011550</t>
  </si>
  <si>
    <t>16:44:00</t>
  </si>
  <si>
    <t>20240809164129011220</t>
  </si>
  <si>
    <t>16:41:29</t>
  </si>
  <si>
    <t>李嘉宸 李柏筱陳詠芯 陳詠安</t>
  </si>
  <si>
    <t>20240809163315011202</t>
  </si>
  <si>
    <t>16:33:15</t>
  </si>
  <si>
    <t>CQ113537</t>
  </si>
  <si>
    <t>吳芷宣</t>
  </si>
  <si>
    <t>20240809163210011350</t>
  </si>
  <si>
    <t>16:32:10</t>
  </si>
  <si>
    <t>20240809162228011875</t>
  </si>
  <si>
    <t>16:22:28</t>
  </si>
  <si>
    <t>20240809162103011828</t>
  </si>
  <si>
    <t>16:21:03</t>
  </si>
  <si>
    <t>20240809161324011511</t>
  </si>
  <si>
    <t>16:13:24</t>
  </si>
  <si>
    <t>20240809155719011607</t>
  </si>
  <si>
    <t>15:57:19</t>
  </si>
  <si>
    <t>AQ113141</t>
  </si>
  <si>
    <t>劉媛琬 郭詠涵丁⽂洪 呂蕎希</t>
  </si>
  <si>
    <t>20240809155041011523</t>
  </si>
  <si>
    <t>簡睿賢 詹秉澄</t>
  </si>
  <si>
    <t>20240809154847011875</t>
  </si>
  <si>
    <t>15:48:47</t>
  </si>
  <si>
    <t>BQ113258</t>
  </si>
  <si>
    <r>
      <rPr>
        <sz val="10"/>
        <rFont val="Noto Sans CJK SC"/>
        <family val="2"/>
      </rPr>
      <t>鄭椲澈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鄭椲穎</t>
    </r>
  </si>
  <si>
    <t>20240809152905011291</t>
  </si>
  <si>
    <t>15:29:05</t>
  </si>
  <si>
    <t>20240809133506011507</t>
  </si>
  <si>
    <t>13:35:06</t>
  </si>
  <si>
    <t>20240809132813011234</t>
  </si>
  <si>
    <t>13:28:13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</si>
  <si>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1x1100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1x1100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1x1100</t>
    </r>
  </si>
  <si>
    <t>20240809125055011182</t>
  </si>
  <si>
    <t>12:50:55</t>
  </si>
  <si>
    <t>20240809105659011486</t>
  </si>
  <si>
    <t>10:56:59</t>
  </si>
  <si>
    <t>20240809104241011941</t>
  </si>
  <si>
    <t>10:42:41</t>
  </si>
  <si>
    <t>20240809103502011874</t>
  </si>
  <si>
    <t>10:35:02</t>
  </si>
  <si>
    <t>20240809090834011258</t>
  </si>
  <si>
    <t>09:08:34</t>
  </si>
  <si>
    <t>AQ113128</t>
  </si>
  <si>
    <t>李芊緹 林書妤</t>
  </si>
  <si>
    <t>20240809084003011244</t>
  </si>
  <si>
    <t>08:40:03</t>
  </si>
  <si>
    <t>20240808213945011923</t>
  </si>
  <si>
    <t>21:39:45</t>
  </si>
  <si>
    <t>CQ113377</t>
  </si>
  <si>
    <t>張瑜庭</t>
  </si>
  <si>
    <t>20240808212529011808</t>
  </si>
  <si>
    <t>21:25:29</t>
  </si>
  <si>
    <t>CQ113522</t>
  </si>
  <si>
    <t>林佳萱、林意璇、陳沛安、黃郁善、黃義貴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</si>
  <si>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1VS5 (20%) 1x16200</t>
    </r>
  </si>
  <si>
    <t>20240808211553011811</t>
  </si>
  <si>
    <t>21:15:53</t>
  </si>
  <si>
    <t>20240808192942011213</t>
  </si>
  <si>
    <t>19:29:42</t>
  </si>
  <si>
    <t>CQ113546</t>
  </si>
  <si>
    <t>20240808191446011245</t>
  </si>
  <si>
    <t>19:14:46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</si>
  <si>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1VS4 (20%) 1x12960</t>
    </r>
  </si>
  <si>
    <t>20240808190525011337</t>
  </si>
  <si>
    <t>19:05:25</t>
  </si>
  <si>
    <t>20240808185225011053</t>
  </si>
  <si>
    <t>18:52:25</t>
  </si>
  <si>
    <t>AQ113042</t>
  </si>
  <si>
    <t>20240808182057011429</t>
  </si>
  <si>
    <t>18:20:57</t>
  </si>
  <si>
    <t>20240808181823011634</t>
  </si>
  <si>
    <t>20240808181531011499</t>
  </si>
  <si>
    <t>18:15:31</t>
  </si>
  <si>
    <t>20240808181411011045</t>
  </si>
  <si>
    <t>18:14:11</t>
  </si>
  <si>
    <t>AQ113033</t>
  </si>
  <si>
    <t>林凡恩 林邵城顧⼦琪</t>
  </si>
  <si>
    <t>20240808171614011955</t>
  </si>
  <si>
    <t>17:16:14</t>
  </si>
  <si>
    <t>20240808165418011848</t>
  </si>
  <si>
    <t>16:54:18</t>
  </si>
  <si>
    <t>CQ113576</t>
  </si>
  <si>
    <t>吳芸安 吳睿宇施昱妡</t>
  </si>
  <si>
    <t>20240808152303011498</t>
  </si>
  <si>
    <t>20240808151352011108</t>
  </si>
  <si>
    <t>15:13:52</t>
  </si>
  <si>
    <t>CQ113425</t>
  </si>
  <si>
    <t>陳祈睿 陳聖惟</t>
  </si>
  <si>
    <t>20240808151129011146</t>
  </si>
  <si>
    <t>15:11:29</t>
  </si>
  <si>
    <t>20240808135434011562</t>
  </si>
  <si>
    <t>13:54:34</t>
  </si>
  <si>
    <t>AQ113319</t>
  </si>
  <si>
    <t>葉慕⾔</t>
  </si>
  <si>
    <t>20240808134642011095</t>
  </si>
  <si>
    <t>13:46:42</t>
  </si>
  <si>
    <t>20240808134319011927</t>
  </si>
  <si>
    <t>13:43:19</t>
  </si>
  <si>
    <t>20240808133815011068</t>
  </si>
  <si>
    <t>13:38:15</t>
  </si>
  <si>
    <t>20240808132943011671</t>
  </si>
  <si>
    <t>13:29:43</t>
  </si>
  <si>
    <t>20240808132515011411</t>
  </si>
  <si>
    <t>13:25:15</t>
  </si>
  <si>
    <t>CQ113382</t>
  </si>
  <si>
    <t>陳彥睿</t>
  </si>
  <si>
    <t>20240808132430011289</t>
  </si>
  <si>
    <t>13:24:30</t>
  </si>
  <si>
    <t>20240808131722011993</t>
  </si>
  <si>
    <t>13:17:22</t>
  </si>
  <si>
    <t>CQ113385</t>
  </si>
  <si>
    <t>20240808131642011315</t>
  </si>
  <si>
    <t>13:16:42</t>
  </si>
  <si>
    <t>20240808131047011976</t>
  </si>
  <si>
    <t>13:10:47</t>
  </si>
  <si>
    <t>CQ113391</t>
  </si>
  <si>
    <t>黃昱璇 黃馨儀</t>
  </si>
  <si>
    <t>20240808130917011736</t>
  </si>
  <si>
    <t>13:09:17</t>
  </si>
  <si>
    <t>20240808130513011446</t>
  </si>
  <si>
    <t>13:05:13</t>
  </si>
  <si>
    <t>20240808130359011368</t>
  </si>
  <si>
    <t>13:03:59</t>
  </si>
  <si>
    <t>20240808130021011099</t>
  </si>
  <si>
    <t>13:00:21</t>
  </si>
  <si>
    <t>20240808124129011514</t>
  </si>
  <si>
    <t>12:41:29</t>
  </si>
  <si>
    <t>AQ109427</t>
  </si>
  <si>
    <t>莊盛安 修樂菲</t>
  </si>
  <si>
    <t>20240808121232011715</t>
  </si>
  <si>
    <t>12:12:32</t>
  </si>
  <si>
    <t>AQ113243</t>
  </si>
  <si>
    <t>唐德霏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</si>
  <si>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1x1100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1x1100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 xml:space="preserve">1x1100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1VS1 </t>
    </r>
    <r>
      <rPr>
        <sz val="10"/>
        <rFont val="Noto Sans CJK SC"/>
        <family val="2"/>
      </rPr>
      <t xml:space="preserve">試上 </t>
    </r>
    <r>
      <rPr>
        <sz val="10"/>
        <rFont val="Microsoft JhengHei"/>
        <family val="2"/>
        <charset val="136"/>
      </rPr>
      <t>1x1100</t>
    </r>
  </si>
  <si>
    <t>20240808115049011890</t>
  </si>
  <si>
    <t>11:50:49</t>
  </si>
  <si>
    <t>20240808114402011353</t>
  </si>
  <si>
    <t>11:44:02</t>
  </si>
  <si>
    <t>20240808111425011320</t>
  </si>
  <si>
    <t>11:14:25</t>
  </si>
  <si>
    <t>CQ113521</t>
  </si>
  <si>
    <t>李苡暄 李苡彤</t>
  </si>
  <si>
    <t>20240808111114011594</t>
  </si>
  <si>
    <t>11:11:14</t>
  </si>
  <si>
    <t>20240808110836011657</t>
  </si>
  <si>
    <t>11:08:36</t>
  </si>
  <si>
    <t>20240808105208011930</t>
  </si>
  <si>
    <t>10:52:08</t>
  </si>
  <si>
    <t>20240808104542011176</t>
  </si>
  <si>
    <t>10:45:42</t>
  </si>
  <si>
    <t>20240808104113011969</t>
  </si>
  <si>
    <t>10:41:13</t>
  </si>
  <si>
    <t>CQ113376</t>
  </si>
  <si>
    <t>李采諭</t>
  </si>
  <si>
    <t>20240808103709011902</t>
  </si>
  <si>
    <t>10:37:09</t>
  </si>
  <si>
    <t>AQ113314</t>
  </si>
  <si>
    <t>吳⽂凱</t>
  </si>
  <si>
    <t>20240808102147011026</t>
  </si>
  <si>
    <t>10:21:47</t>
  </si>
  <si>
    <t>20240808101529011529</t>
  </si>
  <si>
    <t>10:15:29</t>
  </si>
  <si>
    <t>20240808100928011065</t>
  </si>
  <si>
    <t>10:09:28</t>
  </si>
  <si>
    <t>CQ113375</t>
  </si>
  <si>
    <t>李采諭 李沇諭</t>
  </si>
  <si>
    <t>20240808100411011879</t>
  </si>
  <si>
    <t>10:04:11</t>
  </si>
  <si>
    <t>CQ113462</t>
  </si>
  <si>
    <t>黃冠毓</t>
  </si>
  <si>
    <t>20240808095910011776</t>
  </si>
  <si>
    <t>09:59:10</t>
  </si>
  <si>
    <t>20240808094538011122</t>
  </si>
  <si>
    <t>09:45:38</t>
  </si>
  <si>
    <t>20240808091632011896</t>
  </si>
  <si>
    <t>09:16:32</t>
  </si>
  <si>
    <t>20240808091121011582</t>
  </si>
  <si>
    <t>09:11:21</t>
  </si>
  <si>
    <t>20240808090717011790</t>
  </si>
  <si>
    <t>20240808090247011263</t>
  </si>
  <si>
    <t>09:02:47</t>
  </si>
  <si>
    <t>CQ113479</t>
  </si>
  <si>
    <t>許少綸 許紘睿</t>
  </si>
  <si>
    <t>20240808083244011591</t>
  </si>
  <si>
    <t>08:32:44</t>
  </si>
  <si>
    <t>20240808083009011844</t>
  </si>
  <si>
    <t>08:30:09</t>
  </si>
  <si>
    <t>20240808082340011879</t>
  </si>
  <si>
    <t>08:23:40</t>
  </si>
  <si>
    <t>20240808081637011737</t>
  </si>
  <si>
    <t>08:16:37</t>
  </si>
  <si>
    <t>20240808081309011711</t>
  </si>
  <si>
    <t>08:13:09</t>
  </si>
  <si>
    <t>20240808080733011014</t>
  </si>
  <si>
    <t>08:07:33</t>
  </si>
  <si>
    <t>20240807193017011406</t>
  </si>
  <si>
    <t>19:30:17</t>
  </si>
  <si>
    <t>20240807173659011086</t>
  </si>
  <si>
    <t>17:36:59</t>
  </si>
  <si>
    <t>20240807163345011691</t>
  </si>
  <si>
    <t>16:33:45</t>
  </si>
  <si>
    <t>20240807162419011749</t>
  </si>
  <si>
    <t>16:24:19</t>
  </si>
  <si>
    <t>20240807162306011647</t>
  </si>
  <si>
    <t>16:23:06</t>
  </si>
  <si>
    <t>20240807161510011525</t>
  </si>
  <si>
    <t>20240807161504011549</t>
  </si>
  <si>
    <t>16:15:04</t>
  </si>
  <si>
    <t>AQ113186</t>
  </si>
  <si>
    <t>林昀樂</t>
  </si>
  <si>
    <t>20240807161342011304</t>
  </si>
  <si>
    <t>16:13:42</t>
  </si>
  <si>
    <t>AQ113267</t>
  </si>
  <si>
    <t>商班班、劉俊⾙</t>
  </si>
  <si>
    <t>20240807161007011860</t>
  </si>
  <si>
    <t>16:10:07</t>
  </si>
  <si>
    <t>20240807160641011770</t>
  </si>
  <si>
    <t>16:06:41</t>
  </si>
  <si>
    <t>CQ113519</t>
  </si>
  <si>
    <t>陳莉函 黃捷雯廖允菲</t>
  </si>
  <si>
    <t>20240807160346011896</t>
  </si>
  <si>
    <t>16:03:46</t>
  </si>
  <si>
    <t>20240807155256011356</t>
  </si>
  <si>
    <t>15:52:56</t>
  </si>
  <si>
    <t>20240807154623011233</t>
  </si>
  <si>
    <t>15:46:23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</si>
  <si>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1x6600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1x6600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1x6600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 xml:space="preserve">1x6600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1VS1</t>
    </r>
    <r>
      <rPr>
        <sz val="10"/>
        <rFont val="Noto Sans CJK SC"/>
        <family val="2"/>
      </rPr>
      <t xml:space="preserve">正 </t>
    </r>
    <r>
      <rPr>
        <sz val="10"/>
        <rFont val="Microsoft JhengHei"/>
        <family val="2"/>
        <charset val="136"/>
      </rPr>
      <t>1x6600</t>
    </r>
  </si>
  <si>
    <t>20240807154305011354</t>
  </si>
  <si>
    <t>15:43:05</t>
  </si>
  <si>
    <t>20240807154009011153</t>
  </si>
  <si>
    <t>15:40:09</t>
  </si>
  <si>
    <t>20240807153852011439</t>
  </si>
  <si>
    <t>15:38:52</t>
  </si>
  <si>
    <t>AQ113240</t>
  </si>
  <si>
    <t>范亦菲 范亦喬</t>
  </si>
  <si>
    <t>20240807153700011586</t>
  </si>
  <si>
    <t>15:37:00</t>
  </si>
  <si>
    <t>20240807153110011006</t>
  </si>
  <si>
    <t>15:31:10</t>
  </si>
  <si>
    <t>20240807152812011390</t>
  </si>
  <si>
    <t>15:28:12</t>
  </si>
  <si>
    <t>20240807152351011253</t>
  </si>
  <si>
    <t>15:23:51</t>
  </si>
  <si>
    <t>CQ113518</t>
  </si>
  <si>
    <t>楊炘睿 呂光硯呂柏陞</t>
  </si>
  <si>
    <t>20240807152126011767</t>
  </si>
  <si>
    <t>15:21:26</t>
  </si>
  <si>
    <t>20240807151718011414</t>
  </si>
  <si>
    <t>15:17:18</t>
  </si>
  <si>
    <t>20240807151453011932</t>
  </si>
  <si>
    <t>15:14:53</t>
  </si>
  <si>
    <t>20240807151239011081</t>
  </si>
  <si>
    <t>15:12:39</t>
  </si>
  <si>
    <t>CQ113533</t>
  </si>
  <si>
    <t>呂昭儀</t>
  </si>
  <si>
    <t>20240807151233011101</t>
  </si>
  <si>
    <t>BQ113179</t>
  </si>
  <si>
    <t>李豈碩 李晏慈謝佳軒 李晨菲</t>
  </si>
  <si>
    <t>20240807150843011948</t>
  </si>
  <si>
    <t>15:08:43</t>
  </si>
  <si>
    <t>20240807150741011896</t>
  </si>
  <si>
    <t>15:07:41</t>
  </si>
  <si>
    <t>20240807150249011864</t>
  </si>
  <si>
    <t>15:02:49</t>
  </si>
  <si>
    <t>AQ113220</t>
  </si>
  <si>
    <t>柳品辰</t>
  </si>
  <si>
    <t>20240807145754011467</t>
  </si>
  <si>
    <t>AQ113221</t>
  </si>
  <si>
    <t>楊博鈞 楊宸睿</t>
  </si>
  <si>
    <t>20240807145344011323</t>
  </si>
  <si>
    <t>14:53:44</t>
  </si>
  <si>
    <t>20240807145007011101</t>
  </si>
  <si>
    <t>14:50:07</t>
  </si>
  <si>
    <t>20240807144652011050</t>
  </si>
  <si>
    <t>14:46:52</t>
  </si>
  <si>
    <t>20240807144603011564</t>
  </si>
  <si>
    <t>14:46:03</t>
  </si>
  <si>
    <t>AQ113223</t>
  </si>
  <si>
    <t>陳柏瑜 陳柏銓</t>
  </si>
  <si>
    <t>20240807144242011280</t>
  </si>
  <si>
    <t>CQ113512</t>
  </si>
  <si>
    <t>邱詠暄 邱創偉</t>
  </si>
  <si>
    <t>20240807144123011460</t>
  </si>
  <si>
    <t>14:41:23</t>
  </si>
  <si>
    <t>20240807143456011283</t>
  </si>
  <si>
    <t>14:34:56</t>
  </si>
  <si>
    <t>AQ113219</t>
  </si>
  <si>
    <t>陳致蓉</t>
  </si>
  <si>
    <t>20240807143229011613</t>
  </si>
  <si>
    <t>14:32:29</t>
  </si>
  <si>
    <t>20240807142928011214</t>
  </si>
  <si>
    <t>14:29:28</t>
  </si>
  <si>
    <t>20240807142739011190</t>
  </si>
  <si>
    <t>14:27:39</t>
  </si>
  <si>
    <t>20240807142136011238</t>
  </si>
  <si>
    <t>14:21:36</t>
  </si>
  <si>
    <t>CQ113551</t>
  </si>
  <si>
    <t>張恩妮 張暄瑅</t>
  </si>
  <si>
    <t>20240807141628011100</t>
  </si>
  <si>
    <t>14:16:28</t>
  </si>
  <si>
    <t>20240807141251011344</t>
  </si>
  <si>
    <t>14:12:51</t>
  </si>
  <si>
    <t>CQ113403</t>
  </si>
  <si>
    <t>鄭芮橙 鄭卓豐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</si>
  <si>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3.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4.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5.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6.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7.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8.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9.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1VS2 1x7200
10.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1VS2 1x7200</t>
    </r>
  </si>
  <si>
    <t>20240807140501011815</t>
  </si>
  <si>
    <t>14:05:01</t>
  </si>
  <si>
    <t>CQ113437</t>
  </si>
  <si>
    <t>廖紫姈</t>
  </si>
  <si>
    <t>20240807135725011951</t>
  </si>
  <si>
    <t>13:57:25</t>
  </si>
  <si>
    <t>20240807134837011937</t>
  </si>
  <si>
    <t>13:48:37</t>
  </si>
  <si>
    <t>20240807134559011587</t>
  </si>
  <si>
    <t>13:45:59</t>
  </si>
  <si>
    <t>20240807133652011957</t>
  </si>
  <si>
    <t>13:36:52</t>
  </si>
  <si>
    <t>20240807133133011857</t>
  </si>
  <si>
    <t>13:31:33</t>
  </si>
  <si>
    <t>20240807133009011533</t>
  </si>
  <si>
    <t>13:30:09</t>
  </si>
  <si>
    <t>20240807132937011446</t>
  </si>
  <si>
    <t>13:29:37</t>
  </si>
  <si>
    <t>20240807132342011889</t>
  </si>
  <si>
    <t>13:23:42</t>
  </si>
  <si>
    <t>AQ113205</t>
  </si>
  <si>
    <t>黃宥捷 黃宥翔</t>
  </si>
  <si>
    <t>20240807131948011644</t>
  </si>
  <si>
    <t>13:19:48</t>
  </si>
  <si>
    <t>AQ113198</t>
  </si>
  <si>
    <t>林上曦</t>
  </si>
  <si>
    <t>20240807131722011332</t>
  </si>
  <si>
    <t>AQ113127</t>
  </si>
  <si>
    <t>吳欣絢</t>
  </si>
  <si>
    <t>20240807131706011966</t>
  </si>
  <si>
    <t>13:17:06</t>
  </si>
  <si>
    <t>AQ113199</t>
  </si>
  <si>
    <t>陳芊蓉</t>
  </si>
  <si>
    <t>20240807131529011365</t>
  </si>
  <si>
    <t>13:15:29</t>
  </si>
  <si>
    <t>20240807130911011011</t>
  </si>
  <si>
    <t>13:09:11</t>
  </si>
  <si>
    <t>AQ113200</t>
  </si>
  <si>
    <t>陳宇揚</t>
  </si>
  <si>
    <t>20240807130756011527</t>
  </si>
  <si>
    <t>13:07:56</t>
  </si>
  <si>
    <t>20240807120427011126</t>
  </si>
  <si>
    <t>12:04:27</t>
  </si>
  <si>
    <t>AQ113203</t>
  </si>
  <si>
    <t>鄭秉宸 張詠甯</t>
  </si>
  <si>
    <t>20240807120108011016</t>
  </si>
  <si>
    <t>12:01:08</t>
  </si>
  <si>
    <t>20240807120018011187</t>
  </si>
  <si>
    <t>12:00:18</t>
  </si>
  <si>
    <t>AQ113288</t>
  </si>
  <si>
    <t>陳昕昊</t>
  </si>
  <si>
    <t>20240807113404011094</t>
  </si>
  <si>
    <t>11:34:04</t>
  </si>
  <si>
    <t>20240807112941011451</t>
  </si>
  <si>
    <t>11:29:41</t>
  </si>
  <si>
    <t>20240807112559011161</t>
  </si>
  <si>
    <t>11:25:59</t>
  </si>
  <si>
    <t>20240807112016011566</t>
  </si>
  <si>
    <t>11:20:16</t>
  </si>
  <si>
    <t>20240807111853011285</t>
  </si>
  <si>
    <t>11:18:53</t>
  </si>
  <si>
    <t>20240807110946011413</t>
  </si>
  <si>
    <t>20240807110943011004</t>
  </si>
  <si>
    <t>11:09:43</t>
  </si>
  <si>
    <t>20240807105323011184</t>
  </si>
  <si>
    <t>10:53:23</t>
  </si>
  <si>
    <t>AQ113212</t>
  </si>
  <si>
    <t>李承⽲ 張睦矸張睦訢 林昱昕</t>
  </si>
  <si>
    <t>20240807103615011304</t>
  </si>
  <si>
    <t>10:36:15</t>
  </si>
  <si>
    <t>20240807103455011589</t>
  </si>
  <si>
    <t>10:34:55</t>
  </si>
  <si>
    <t>AQ113144</t>
  </si>
  <si>
    <t>梁宥炘 林邵城林凡恩</t>
  </si>
  <si>
    <t>20240807103118011446</t>
  </si>
  <si>
    <t>10:31:18</t>
  </si>
  <si>
    <t>20240807102701011783</t>
  </si>
  <si>
    <t>10:27:01</t>
  </si>
  <si>
    <t>20240807102503011047</t>
  </si>
  <si>
    <t>10:25:03</t>
  </si>
  <si>
    <t>20240807100008011994</t>
  </si>
  <si>
    <t>10:00:08</t>
  </si>
  <si>
    <t>20240807093918011651</t>
  </si>
  <si>
    <t>09:39:18</t>
  </si>
  <si>
    <t>AQ113148</t>
  </si>
  <si>
    <t>⽅尹杏</t>
  </si>
  <si>
    <t>20240807092849011540</t>
  </si>
  <si>
    <t>09:28:49</t>
  </si>
  <si>
    <t>20240807092617011629</t>
  </si>
  <si>
    <t>09:26:17</t>
  </si>
  <si>
    <t>20240807091719011893</t>
  </si>
  <si>
    <t>09:17:19</t>
  </si>
  <si>
    <t>AQ113150</t>
  </si>
  <si>
    <t>蔡承諺</t>
  </si>
  <si>
    <t>20240807091013011264</t>
  </si>
  <si>
    <t>09:10:13</t>
  </si>
  <si>
    <t>AQ113152</t>
  </si>
  <si>
    <t>20240807085234011480</t>
  </si>
  <si>
    <t>08:52:34</t>
  </si>
  <si>
    <t>AQ113153</t>
  </si>
  <si>
    <t>許立昇</t>
  </si>
  <si>
    <t>20240807084237011869</t>
  </si>
  <si>
    <t>08:42:37</t>
  </si>
  <si>
    <t>AQ113228</t>
  </si>
  <si>
    <t>陸彥婷 陸冠⽻</t>
  </si>
  <si>
    <t>20240807083714011227</t>
  </si>
  <si>
    <t>08:37:14</t>
  </si>
  <si>
    <t>AQ113229</t>
  </si>
  <si>
    <t>李思寬 李依倢</t>
  </si>
  <si>
    <t>20240807083518011441</t>
  </si>
  <si>
    <t>08:35:18</t>
  </si>
  <si>
    <t>AQ113126</t>
  </si>
  <si>
    <t>許語㛓 許語桐</t>
  </si>
  <si>
    <t>20240806213029011996</t>
  </si>
  <si>
    <t>21:30:29</t>
  </si>
  <si>
    <t>20240806212859011372</t>
  </si>
  <si>
    <t>21:28:59</t>
  </si>
  <si>
    <t>AQ113249</t>
  </si>
  <si>
    <t>黃瑀晴、黃彥勛</t>
  </si>
  <si>
    <t>20240806210851011008</t>
  </si>
  <si>
    <t>21:08:51</t>
  </si>
  <si>
    <t>20240806210709011387</t>
  </si>
  <si>
    <t>21:07:09</t>
  </si>
  <si>
    <t>20240806210459011822</t>
  </si>
  <si>
    <t>20240806210056011797</t>
  </si>
  <si>
    <t>AQ113258</t>
  </si>
  <si>
    <t>李艾靚、黃雅琦</t>
  </si>
  <si>
    <t>20240806201919011102</t>
  </si>
  <si>
    <t>20:19:19</t>
  </si>
  <si>
    <t>20240806195043011680</t>
  </si>
  <si>
    <t>19:50:43</t>
  </si>
  <si>
    <t>20240806194616011409</t>
  </si>
  <si>
    <t>19:46:16</t>
  </si>
  <si>
    <t>20240806194353011650</t>
  </si>
  <si>
    <t>19:43:53</t>
  </si>
  <si>
    <t>20240806193720011569</t>
  </si>
  <si>
    <t>19:37:20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</si>
  <si>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 xml:space="preserve">1VS3 (20%) 1x10800
2.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1VS3 (20%) 1x10800</t>
    </r>
  </si>
  <si>
    <t>20240806192408011653</t>
  </si>
  <si>
    <t>19:24:08</t>
  </si>
  <si>
    <t>20240806191145011913</t>
  </si>
  <si>
    <t>19:11:45</t>
  </si>
  <si>
    <t>20240806191030011513</t>
  </si>
  <si>
    <t>19:10:30</t>
  </si>
  <si>
    <t>20240806185854011256</t>
  </si>
  <si>
    <t>18:58:54</t>
  </si>
  <si>
    <t>BQ113281</t>
  </si>
  <si>
    <r>
      <rPr>
        <sz val="10"/>
        <rFont val="Noto Sans CJK SC"/>
        <family val="2"/>
      </rPr>
      <t>葉丞芸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葉丞軒</t>
    </r>
  </si>
  <si>
    <t>20240806185803011867</t>
  </si>
  <si>
    <t>18:58:03</t>
  </si>
  <si>
    <t>AQ113242</t>
  </si>
  <si>
    <t>顏均翰</t>
  </si>
  <si>
    <t>20240806185451011464</t>
  </si>
  <si>
    <t>18:54:51</t>
  </si>
  <si>
    <t>20240806184549011165</t>
  </si>
  <si>
    <t>18:45:49</t>
  </si>
  <si>
    <t>20240806184159011746</t>
  </si>
  <si>
    <t>20240806183431011603</t>
  </si>
  <si>
    <t>18:34:31</t>
  </si>
  <si>
    <t>AQ113266</t>
  </si>
  <si>
    <t>陳宥睿</t>
  </si>
  <si>
    <t>20240806183340011354</t>
  </si>
  <si>
    <t>18:33:40</t>
  </si>
  <si>
    <t>20240806183050011736</t>
  </si>
  <si>
    <t>AQ113269</t>
  </si>
  <si>
    <t>20240806182858011234</t>
  </si>
  <si>
    <t>18:28:58</t>
  </si>
  <si>
    <t>20240806182641011456</t>
  </si>
  <si>
    <t>18:26:41</t>
  </si>
  <si>
    <t>20240806181338011430</t>
  </si>
  <si>
    <t>20240806174833011662</t>
  </si>
  <si>
    <t>17:48:33</t>
  </si>
  <si>
    <t>AQ113305</t>
  </si>
  <si>
    <t>陳柔安</t>
  </si>
  <si>
    <t>20240806174456011525</t>
  </si>
  <si>
    <t>17:44:56</t>
  </si>
  <si>
    <t>AQ113273</t>
  </si>
  <si>
    <t>王僡菁、王尹溱、謝昀軒、謝昀孜</t>
  </si>
  <si>
    <t>20240806174118011146</t>
  </si>
  <si>
    <t>17:41:18</t>
  </si>
  <si>
    <t>20240806173420011158</t>
  </si>
  <si>
    <t>17:34:20</t>
  </si>
  <si>
    <t>20240806172934011696</t>
  </si>
  <si>
    <t>17:29:34</t>
  </si>
  <si>
    <t>AQ113236</t>
  </si>
  <si>
    <t>紀炫宇 張禹皓</t>
  </si>
  <si>
    <t>20240806172920011398</t>
  </si>
  <si>
    <t>17:29:20</t>
  </si>
  <si>
    <t>20240806172514011355</t>
  </si>
  <si>
    <t>17:25:14</t>
  </si>
  <si>
    <t>20240806172003011825</t>
  </si>
  <si>
    <t>17:20:03</t>
  </si>
  <si>
    <t>20240806171728011709</t>
  </si>
  <si>
    <t>17:17:28</t>
  </si>
  <si>
    <t>BQ113283</t>
  </si>
  <si>
    <r>
      <rPr>
        <sz val="10"/>
        <rFont val="Noto Sans CJK SC"/>
        <family val="2"/>
      </rPr>
      <t>黃鈺峰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黃鈺捷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羅亦辰</t>
    </r>
  </si>
  <si>
    <t>20240806171650011075</t>
  </si>
  <si>
    <t>17:16:50</t>
  </si>
  <si>
    <t>AQ113279</t>
  </si>
  <si>
    <t>黃宜峰</t>
  </si>
  <si>
    <t>20240806171358011619</t>
  </si>
  <si>
    <t>17:13:58</t>
  </si>
  <si>
    <t>AQ113239</t>
  </si>
  <si>
    <t>陳佳睿 陳益綸</t>
  </si>
  <si>
    <t>20240806171123011178</t>
  </si>
  <si>
    <t>17:11:23</t>
  </si>
  <si>
    <t>20240806162533011716</t>
  </si>
  <si>
    <t>16:25:33</t>
  </si>
  <si>
    <t>20240806161157011065</t>
  </si>
  <si>
    <t>16:11:57</t>
  </si>
  <si>
    <t>劉芷⾀、劉承</t>
  </si>
  <si>
    <t>20240806160921011207</t>
  </si>
  <si>
    <t>16:09:21</t>
  </si>
  <si>
    <t>20240806160253011263</t>
  </si>
  <si>
    <t>16:02:53</t>
  </si>
  <si>
    <t>20240806155636011467</t>
  </si>
  <si>
    <t>AQ113309</t>
  </si>
  <si>
    <t>呂安喆</t>
  </si>
  <si>
    <t>20240806155417011083</t>
  </si>
  <si>
    <t>15:54:17</t>
  </si>
  <si>
    <t>20240806155155011195</t>
  </si>
  <si>
    <t>15:51:55</t>
  </si>
  <si>
    <t>20240806155034011671</t>
  </si>
  <si>
    <t>15:50:34</t>
  </si>
  <si>
    <t>AQ113286</t>
  </si>
  <si>
    <t>吳懿祐 吳禹承</t>
  </si>
  <si>
    <t>20240806154705011838</t>
  </si>
  <si>
    <t>15:47:05</t>
  </si>
  <si>
    <t>AQ113245</t>
  </si>
  <si>
    <t>李予媗 王彥侖</t>
  </si>
  <si>
    <t>20240806154333011358</t>
  </si>
  <si>
    <t>15:43:33</t>
  </si>
  <si>
    <t>20240806153928011241</t>
  </si>
  <si>
    <t>15:39:28</t>
  </si>
  <si>
    <t>BQ113278</t>
  </si>
  <si>
    <r>
      <rPr>
        <sz val="10"/>
        <rFont val="Noto Sans CJK SC"/>
        <family val="2"/>
      </rPr>
      <t>李承哲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李亮誼</t>
    </r>
  </si>
  <si>
    <t>20240806152616011734</t>
  </si>
  <si>
    <t>15:26:16</t>
  </si>
  <si>
    <t>20240806151906011872</t>
  </si>
  <si>
    <t>15:19:06</t>
  </si>
  <si>
    <t>AQ113311</t>
  </si>
  <si>
    <t>唐德霖</t>
  </si>
  <si>
    <t>20240806151714011347</t>
  </si>
  <si>
    <t>20240806151602011608</t>
  </si>
  <si>
    <t>15:16:02</t>
  </si>
  <si>
    <t>20240806151454011104</t>
  </si>
  <si>
    <t>15:14:54</t>
  </si>
  <si>
    <t>AQ113315</t>
  </si>
  <si>
    <t>黃淑暖</t>
  </si>
  <si>
    <t>20240806150542011393</t>
  </si>
  <si>
    <t>15:05:42</t>
  </si>
  <si>
    <t>20240806150536011295</t>
  </si>
  <si>
    <t>15:05:36</t>
  </si>
  <si>
    <t>20240806150427011109</t>
  </si>
  <si>
    <t>20240806150043011389</t>
  </si>
  <si>
    <t>15:00:43</t>
  </si>
  <si>
    <t>20240806141533011728</t>
  </si>
  <si>
    <t>CQ113372</t>
  </si>
  <si>
    <t>黃育語 黃芋妮</t>
  </si>
  <si>
    <t>20240806140922011303</t>
  </si>
  <si>
    <t>14:09:22</t>
  </si>
  <si>
    <t>20240806135732011565</t>
  </si>
  <si>
    <t>13:57:32</t>
  </si>
  <si>
    <t>CQ113481</t>
  </si>
  <si>
    <r>
      <rPr>
        <sz val="10"/>
        <rFont val="Noto Sans CJK SC"/>
        <family val="2"/>
      </rPr>
      <t>陳佩</t>
    </r>
    <r>
      <rPr>
        <sz val="10"/>
        <rFont val="Microsoft JhengHei"/>
        <family val="2"/>
        <charset val="136"/>
      </rPr>
      <t xml:space="preserve">? </t>
    </r>
    <r>
      <rPr>
        <sz val="10"/>
        <rFont val="Noto Sans CJK SC"/>
        <family val="2"/>
      </rPr>
      <t>胡秀君</t>
    </r>
  </si>
  <si>
    <t>20240806134704011284</t>
  </si>
  <si>
    <t>13:47:04</t>
  </si>
  <si>
    <t>20240806134615011571</t>
  </si>
  <si>
    <t>13:46:15</t>
  </si>
  <si>
    <t>20240806134318011343</t>
  </si>
  <si>
    <t>13:43:18</t>
  </si>
  <si>
    <t>20240806134105011162</t>
  </si>
  <si>
    <t>13:41:05</t>
  </si>
  <si>
    <t>AQ113294</t>
  </si>
  <si>
    <t>杜瑀璇 杜瑀瑄</t>
  </si>
  <si>
    <t>20240806133944011200</t>
  </si>
  <si>
    <t>13:39:44</t>
  </si>
  <si>
    <t>20240806125936011038</t>
  </si>
  <si>
    <t>12:59:36</t>
  </si>
  <si>
    <t>20240806124315011375</t>
  </si>
  <si>
    <t>12:43:15</t>
  </si>
  <si>
    <t>20240806122533011018</t>
  </si>
  <si>
    <t>12:25:33</t>
  </si>
  <si>
    <t>20240806122222011093</t>
  </si>
  <si>
    <t>12:22:22</t>
  </si>
  <si>
    <t>20240806120241011101</t>
  </si>
  <si>
    <t>12:02:41</t>
  </si>
  <si>
    <t>20240806115806011986</t>
  </si>
  <si>
    <t>CQ113555</t>
  </si>
  <si>
    <t>黃冠淵 黃楷茹</t>
  </si>
  <si>
    <t>20240806115031011968</t>
  </si>
  <si>
    <t>11:50:31</t>
  </si>
  <si>
    <t>20240806114839011520</t>
  </si>
  <si>
    <t>11:48:39</t>
  </si>
  <si>
    <t>20240806114552011480</t>
  </si>
  <si>
    <t>11:45:52</t>
  </si>
  <si>
    <t>20240806113924011461</t>
  </si>
  <si>
    <t>11:39:24</t>
  </si>
  <si>
    <t>CQ113527</t>
  </si>
  <si>
    <t>⾼雅涵 ⾼寬勝李語芯 李語恬林葦杉 江芊曄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</si>
  <si>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家教</t>
    </r>
    <r>
      <rPr>
        <sz val="10"/>
        <rFont val="Microsoft JhengHei"/>
        <family val="2"/>
        <charset val="136"/>
      </rPr>
      <t>1VS6 1x16200</t>
    </r>
  </si>
  <si>
    <t>20240806113305011065</t>
  </si>
  <si>
    <t>11:33:05</t>
  </si>
  <si>
    <t>CQ113999</t>
  </si>
  <si>
    <t>陳⼦妍 陳⼦喬陳柏佑 黃詩晴</t>
  </si>
  <si>
    <t>20240806112011011263</t>
  </si>
  <si>
    <t>11:20:11</t>
  </si>
  <si>
    <t>20240806105130011396</t>
  </si>
  <si>
    <t>10:51:30</t>
  </si>
  <si>
    <t>20240806104414011278</t>
  </si>
  <si>
    <t>10:44:14</t>
  </si>
  <si>
    <t>CQ113455</t>
  </si>
  <si>
    <t>20240806103708011370</t>
  </si>
  <si>
    <t>10:37:08</t>
  </si>
  <si>
    <t>20240806103234011683</t>
  </si>
  <si>
    <t>10:32:34</t>
  </si>
  <si>
    <t>CQ113542</t>
  </si>
  <si>
    <t>盧兆昉 李品萱</t>
  </si>
  <si>
    <t>20240806094635011101</t>
  </si>
  <si>
    <t>09:46:35</t>
  </si>
  <si>
    <t>20240805173841011636</t>
  </si>
  <si>
    <t>17:38:41</t>
  </si>
  <si>
    <t>20240805165418011942</t>
  </si>
  <si>
    <t>20240805161201011977</t>
  </si>
  <si>
    <t>16:12:01</t>
  </si>
  <si>
    <t>AQ113281</t>
  </si>
  <si>
    <t>20240805160012011771</t>
  </si>
  <si>
    <t>16:00:12</t>
  </si>
  <si>
    <t>20240805155423011434</t>
  </si>
  <si>
    <t>15:54:23</t>
  </si>
  <si>
    <t>20240805154335011237</t>
  </si>
  <si>
    <t>15:43:35</t>
  </si>
  <si>
    <t>20240805150249011552</t>
  </si>
  <si>
    <t>20240805125521011590</t>
  </si>
  <si>
    <t>12:55:21</t>
  </si>
  <si>
    <t>20240805110121011740</t>
  </si>
  <si>
    <t>11:01:21</t>
  </si>
  <si>
    <t>20240805081154011286</t>
  </si>
  <si>
    <t>08:11:54</t>
  </si>
  <si>
    <t>CQ113567</t>
  </si>
  <si>
    <t>林青宜 林義欽</t>
  </si>
  <si>
    <t>20240804180835011842</t>
  </si>
  <si>
    <t>18:08:35</t>
  </si>
  <si>
    <t>20240804150146011492</t>
  </si>
  <si>
    <t>15:01:46</t>
  </si>
  <si>
    <t>20240804145450011860</t>
  </si>
  <si>
    <t>14:54:50</t>
  </si>
  <si>
    <t>20240804145214011750</t>
  </si>
  <si>
    <t>14:52:14</t>
  </si>
  <si>
    <t>20240804144643011602</t>
  </si>
  <si>
    <t>14:46:43</t>
  </si>
  <si>
    <t>AQ113254</t>
  </si>
  <si>
    <t>黃佩雯 黃佩瑜鄧詠云</t>
  </si>
  <si>
    <t>20240804143929011594</t>
  </si>
  <si>
    <t>AQ113274</t>
  </si>
  <si>
    <t>黃晨芯 簡晟安李軒毅</t>
  </si>
  <si>
    <t>20240804142652011977</t>
  </si>
  <si>
    <t>14:26:52</t>
  </si>
  <si>
    <t>20240804140523011179</t>
  </si>
  <si>
    <t>14:05:23</t>
  </si>
  <si>
    <t>20240804131226011598</t>
  </si>
  <si>
    <t>13:12:26</t>
  </si>
  <si>
    <t>AQ113053</t>
  </si>
  <si>
    <t>江振瑋 朱厲瑋</t>
  </si>
  <si>
    <t>20240804130047011181</t>
  </si>
  <si>
    <t>13:00:47</t>
  </si>
  <si>
    <t>20240804120041011721</t>
  </si>
  <si>
    <t>12:00:41</t>
  </si>
  <si>
    <t>20240804113937011511</t>
  </si>
  <si>
    <t>11:39:37</t>
  </si>
  <si>
    <t>20240804113510011804</t>
  </si>
  <si>
    <t>11:35:10</t>
  </si>
  <si>
    <t>20240804113052011055</t>
  </si>
  <si>
    <t>11:30:52</t>
  </si>
  <si>
    <t>20240804111929011336</t>
  </si>
  <si>
    <t>11:19:29</t>
  </si>
  <si>
    <t>20240804101051011700</t>
  </si>
  <si>
    <t>10:10:51</t>
  </si>
  <si>
    <t>20240803181911011958</t>
  </si>
  <si>
    <t>18:19:11</t>
  </si>
  <si>
    <t>20240803165234011501</t>
  </si>
  <si>
    <t>16:52:34</t>
  </si>
  <si>
    <t>20240803164010011261</t>
  </si>
  <si>
    <t>16:40:10</t>
  </si>
  <si>
    <t>20240803160622011539</t>
  </si>
  <si>
    <t>16:06:22</t>
  </si>
  <si>
    <t>20240803155600011521</t>
  </si>
  <si>
    <t>15:56:00</t>
  </si>
  <si>
    <t>20240803150457011272</t>
  </si>
  <si>
    <t>15:04:57</t>
  </si>
  <si>
    <t>20240803132319011743</t>
  </si>
  <si>
    <t>13:23:19</t>
  </si>
  <si>
    <t>20240803132010011733</t>
  </si>
  <si>
    <t>13:20:10</t>
  </si>
  <si>
    <t>CQ113565</t>
  </si>
  <si>
    <t>許菲恩</t>
  </si>
  <si>
    <t>20240803123459011352</t>
  </si>
  <si>
    <t>12:34:59</t>
  </si>
  <si>
    <t>20240803120911011472</t>
  </si>
  <si>
    <t>12:09:11</t>
  </si>
  <si>
    <t>20240803101809011150</t>
  </si>
  <si>
    <t>10:18:09</t>
  </si>
  <si>
    <t>20240803093048011909</t>
  </si>
  <si>
    <t>09:30:48</t>
  </si>
  <si>
    <t>20240803090626011100</t>
  </si>
  <si>
    <t>09:06:26</t>
  </si>
  <si>
    <t>20240802190854011127</t>
  </si>
  <si>
    <t>19:08:54</t>
  </si>
  <si>
    <t>20240802170738011927</t>
  </si>
  <si>
    <t>17:07:38</t>
  </si>
  <si>
    <t>20240802164902011669</t>
  </si>
  <si>
    <t>16:49:02</t>
  </si>
  <si>
    <t>BQ113297</t>
  </si>
  <si>
    <r>
      <rPr>
        <sz val="10"/>
        <rFont val="Noto Sans CJK SC"/>
        <family val="2"/>
      </rPr>
      <t>溫厚義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⾺逸舒</t>
    </r>
  </si>
  <si>
    <t>20240802160718011758</t>
  </si>
  <si>
    <t>16:07:18</t>
  </si>
  <si>
    <t>20240802141527011779</t>
  </si>
  <si>
    <t>14:15:27</t>
  </si>
  <si>
    <t>A113308</t>
  </si>
  <si>
    <t>李東泰、李雅安、李珮安</t>
  </si>
  <si>
    <t>20240802135915011769</t>
  </si>
  <si>
    <t>13:59:15</t>
  </si>
  <si>
    <t>20240802132230011850</t>
  </si>
  <si>
    <t>13:22:30</t>
  </si>
  <si>
    <t>20240802131836011761</t>
  </si>
  <si>
    <t>13:18:36</t>
  </si>
  <si>
    <t>20240802131406011835</t>
  </si>
  <si>
    <t>13:14:06</t>
  </si>
  <si>
    <t>20240802130403011508</t>
  </si>
  <si>
    <t>13:04:03</t>
  </si>
  <si>
    <t>20240802125620011358</t>
  </si>
  <si>
    <t>12:56:20</t>
  </si>
  <si>
    <t>20240802111147011533</t>
  </si>
  <si>
    <t>11:11:47</t>
  </si>
  <si>
    <t>20240802110559011730</t>
  </si>
  <si>
    <t>11:05:59</t>
  </si>
  <si>
    <t>CQ113558</t>
  </si>
  <si>
    <t>李瓊⾳ 陳禹彤陳禹霏</t>
  </si>
  <si>
    <t>20240801184513011993</t>
  </si>
  <si>
    <t>18:45:13</t>
  </si>
  <si>
    <t>20240801160628011450</t>
  </si>
  <si>
    <t>16:06:28</t>
  </si>
  <si>
    <t>BQ113295</t>
  </si>
  <si>
    <r>
      <rPr>
        <sz val="10"/>
        <rFont val="Noto Sans CJK SC"/>
        <family val="2"/>
      </rPr>
      <t>陳彥羲</t>
    </r>
    <r>
      <rPr>
        <sz val="10"/>
        <rFont val="Microsoft JhengHei"/>
        <family val="2"/>
        <charset val="136"/>
      </rPr>
      <t>.</t>
    </r>
    <r>
      <rPr>
        <sz val="10"/>
        <rFont val="Noto Sans CJK SC"/>
        <family val="2"/>
      </rPr>
      <t>林駿盛</t>
    </r>
  </si>
  <si>
    <t>20240801152323011320</t>
  </si>
  <si>
    <t>15:23:23</t>
  </si>
  <si>
    <t>BQ113293</t>
  </si>
  <si>
    <t>吳佩穎</t>
  </si>
  <si>
    <t>20240801145610011139</t>
  </si>
  <si>
    <t>14:56:10</t>
  </si>
  <si>
    <t>20240801101057011887</t>
  </si>
  <si>
    <t>10:10:57</t>
  </si>
  <si>
    <t>序號</t>
  </si>
  <si>
    <t>會員編號（舊）</t>
  </si>
  <si>
    <t>姓名</t>
  </si>
  <si>
    <t>館別群組（原）</t>
  </si>
  <si>
    <t>會員等級（原）</t>
  </si>
  <si>
    <t>生日（民國）</t>
  </si>
  <si>
    <t>行動電話</t>
  </si>
  <si>
    <t>電話</t>
  </si>
  <si>
    <t>卡片類別</t>
  </si>
  <si>
    <t>總消費</t>
  </si>
  <si>
    <t>來源檔案</t>
  </si>
  <si>
    <t>分類依據</t>
  </si>
  <si>
    <t>三民館</t>
  </si>
  <si>
    <t>三民家教會員</t>
  </si>
  <si>
    <t>0926187618-1</t>
  </si>
  <si>
    <t>儲值卡</t>
  </si>
  <si>
    <t>21120</t>
  </si>
  <si>
    <t>會員資料01.xls</t>
  </si>
  <si>
    <t>家教等級</t>
  </si>
  <si>
    <t>王語涵、王語希</t>
  </si>
  <si>
    <t>三民課程</t>
  </si>
  <si>
    <t>0953112110</t>
  </si>
  <si>
    <t>21900</t>
  </si>
  <si>
    <t>會員資料02.xls</t>
  </si>
  <si>
    <t>課程群組、家教等級、多人姓名</t>
  </si>
  <si>
    <t>蕭致諺、卓柏言、卓柏樺、何宣諭</t>
  </si>
  <si>
    <t>0976521185</t>
  </si>
  <si>
    <t>9504</t>
  </si>
  <si>
    <t>徐子翔、徐溢成</t>
  </si>
  <si>
    <t>0920016260-1</t>
  </si>
  <si>
    <t>13500</t>
  </si>
  <si>
    <t>家教等級、多人姓名</t>
  </si>
  <si>
    <t>林語晴、林品妍</t>
  </si>
  <si>
    <t>0955948981</t>
  </si>
  <si>
    <t>7950</t>
  </si>
  <si>
    <t>粘建凱、粘子紳</t>
  </si>
  <si>
    <t>0988835148</t>
  </si>
  <si>
    <t>15000</t>
  </si>
  <si>
    <t>江玟誼、江姿誼</t>
  </si>
  <si>
    <t>0926332176</t>
  </si>
  <si>
    <t>18000</t>
  </si>
  <si>
    <t>C113132</t>
  </si>
  <si>
    <t>王志君</t>
  </si>
  <si>
    <t>一般會員</t>
  </si>
  <si>
    <t>0918236900</t>
  </si>
  <si>
    <t>0</t>
  </si>
  <si>
    <t>會員資料03.xls</t>
  </si>
  <si>
    <t>課程群組</t>
  </si>
  <si>
    <t>C11457</t>
  </si>
  <si>
    <t>邱紹宸、邱兆翔、陳畇杉、陳畇佐</t>
  </si>
  <si>
    <t>0000000007</t>
  </si>
  <si>
    <t>連奕恩、張心瑞、張祐齊</t>
  </si>
  <si>
    <t>9000</t>
  </si>
  <si>
    <t>會員資料04.xls</t>
  </si>
  <si>
    <t>王亮凱、江蘭馨</t>
  </si>
  <si>
    <t>CQ112375</t>
  </si>
  <si>
    <t>7200</t>
  </si>
  <si>
    <t>13200</t>
  </si>
  <si>
    <t>課程群組、家教等級</t>
  </si>
  <si>
    <t>19800</t>
  </si>
  <si>
    <t>周?文、周以暄</t>
  </si>
  <si>
    <t>111095111095</t>
  </si>
  <si>
    <t>5760</t>
  </si>
  <si>
    <t>朱晨甄、朱泓璋</t>
  </si>
  <si>
    <t>111131111131</t>
  </si>
  <si>
    <t>6120</t>
  </si>
  <si>
    <t>謝昕穎、謝昕嬡</t>
  </si>
  <si>
    <t>0989899080</t>
  </si>
  <si>
    <t>30360</t>
  </si>
  <si>
    <t>李緯宸、李奕彤、李昱楷</t>
  </si>
  <si>
    <t>27000</t>
  </si>
  <si>
    <t>112017112017</t>
  </si>
  <si>
    <t>5100</t>
  </si>
  <si>
    <t>112024112024</t>
  </si>
  <si>
    <t>6600</t>
  </si>
  <si>
    <t>陳芊瑾、陳品澈</t>
  </si>
  <si>
    <t>112028112028</t>
  </si>
  <si>
    <t>陳禾軒</t>
  </si>
  <si>
    <t>0938926005</t>
  </si>
  <si>
    <t>許涵雯、黃浚豪</t>
  </si>
  <si>
    <t>112038112038</t>
  </si>
  <si>
    <t>11220</t>
  </si>
  <si>
    <t>李喬釉、李棠釉、張子芸、何沁如</t>
  </si>
  <si>
    <t>112048112048</t>
  </si>
  <si>
    <t>8160</t>
  </si>
  <si>
    <t>0958679422</t>
  </si>
  <si>
    <t>12000</t>
  </si>
  <si>
    <t>林翔宥、宿蘊涵</t>
  </si>
  <si>
    <t>0954756891</t>
  </si>
  <si>
    <t>廖謙睿、廖謙愷</t>
  </si>
  <si>
    <t>0963048896</t>
  </si>
  <si>
    <t>34560</t>
  </si>
  <si>
    <t>林煒宸、林禹劭</t>
  </si>
  <si>
    <t>0988652952</t>
  </si>
  <si>
    <t>112092112092</t>
  </si>
  <si>
    <t>6000</t>
  </si>
  <si>
    <t>0937984657</t>
  </si>
  <si>
    <t>11400</t>
  </si>
  <si>
    <t>CQ112221</t>
  </si>
  <si>
    <t>郭馨璟</t>
  </si>
  <si>
    <t>0937974414</t>
  </si>
  <si>
    <t>0922616591</t>
  </si>
  <si>
    <t>0926956951</t>
  </si>
  <si>
    <t>11880</t>
  </si>
  <si>
    <t>李昕潼、李宥廷</t>
  </si>
  <si>
    <t>0974959700</t>
  </si>
  <si>
    <t>7776</t>
  </si>
  <si>
    <t>陳聖浩、陳紹揚</t>
  </si>
  <si>
    <t>0917555574</t>
  </si>
  <si>
    <t>6480</t>
  </si>
  <si>
    <t>林岑靜、林品薰、賴宥諠</t>
  </si>
  <si>
    <t>0910315336</t>
  </si>
  <si>
    <t>22500</t>
  </si>
  <si>
    <t>0973528657</t>
  </si>
  <si>
    <t>0937966665-1</t>
  </si>
  <si>
    <t>5940</t>
  </si>
  <si>
    <t>蔡知穎、炕靛炘</t>
  </si>
  <si>
    <t>0937966665</t>
  </si>
  <si>
    <t>0917787889</t>
  </si>
  <si>
    <t>林倩羽、胡又文、洪承妍、洪肘會</t>
  </si>
  <si>
    <t>0953686290</t>
  </si>
  <si>
    <t>李芸宣、李羽翔、李羽岑</t>
  </si>
  <si>
    <t>0933137895</t>
  </si>
  <si>
    <t>100980</t>
  </si>
  <si>
    <t>張子玉、廖堇妍、陳禾恩</t>
  </si>
  <si>
    <t>0916696039</t>
  </si>
  <si>
    <t>李芯語、李芯媛</t>
  </si>
  <si>
    <t>0939113914</t>
  </si>
  <si>
    <t>32922</t>
  </si>
  <si>
    <t>0926685502</t>
  </si>
  <si>
    <t>31680</t>
  </si>
  <si>
    <t>余沐樺、余博洋</t>
  </si>
  <si>
    <t>0916175109</t>
  </si>
  <si>
    <t>14700</t>
  </si>
  <si>
    <t>謝念佑、謝承佑</t>
  </si>
  <si>
    <t>0983499307</t>
  </si>
  <si>
    <t>12672</t>
  </si>
  <si>
    <t>吳雨霏、李聿晴、李聿翔</t>
  </si>
  <si>
    <t>0975202780</t>
  </si>
  <si>
    <t>楊又璇</t>
  </si>
  <si>
    <t>09123456774</t>
  </si>
  <si>
    <t>1200</t>
  </si>
  <si>
    <t>潘宣妤、顏子琪、駱又寧、李允心</t>
  </si>
  <si>
    <t>0926061999-1</t>
  </si>
  <si>
    <t>10800</t>
  </si>
  <si>
    <t>何芸菲、黃云希、蔡濬陽</t>
  </si>
  <si>
    <t>0972526397</t>
  </si>
  <si>
    <t>7920</t>
  </si>
  <si>
    <t>陳煜凱、李宜頡、李芮綺、李梓蕾</t>
  </si>
  <si>
    <t>0933888191</t>
  </si>
  <si>
    <t>19008</t>
  </si>
  <si>
    <t>0933526945</t>
  </si>
  <si>
    <t>鄭羽辰</t>
  </si>
  <si>
    <t>0939623233</t>
  </si>
  <si>
    <t>38145</t>
  </si>
  <si>
    <t>卓孟鋮、卓鈺珵</t>
  </si>
  <si>
    <t>0911956440</t>
  </si>
  <si>
    <t>12960</t>
  </si>
  <si>
    <t>杜毅飛、李帛暘</t>
  </si>
  <si>
    <t>0921641535</t>
  </si>
  <si>
    <t>0933765644</t>
  </si>
  <si>
    <t>黃柏睿、陳映充</t>
  </si>
  <si>
    <t>0913597806</t>
  </si>
  <si>
    <t>41685</t>
  </si>
  <si>
    <t>0921501116</t>
  </si>
  <si>
    <t>鄭丞晏、鄭語��</t>
  </si>
  <si>
    <t>0917657387</t>
  </si>
  <si>
    <t>廖禹晴、廖禹潼</t>
  </si>
  <si>
    <t>0952128229</t>
  </si>
  <si>
    <t>7500</t>
  </si>
  <si>
    <t>周羽莘、周語澄、黃郁琁</t>
  </si>
  <si>
    <t>三重家教會員</t>
  </si>
  <si>
    <t>0935827666</t>
  </si>
  <si>
    <t>49500</t>
  </si>
  <si>
    <t>謝昇晉、黃芊瑋、廖俞晴、廖子晴</t>
  </si>
  <si>
    <t>0961258777</t>
  </si>
  <si>
    <t>劉炳鋒、劉芷妤、劉承恩</t>
  </si>
  <si>
    <t>0980340349</t>
  </si>
  <si>
    <t>15840</t>
  </si>
  <si>
    <t>0955109120</t>
  </si>
  <si>
    <t>18435</t>
  </si>
  <si>
    <t>王琳雅、王筱筑</t>
  </si>
  <si>
    <t>0939235050</t>
  </si>
  <si>
    <t>林梓垚、黃宇程</t>
  </si>
  <si>
    <t>0932235653</t>
  </si>
  <si>
    <t>多人姓名</t>
  </si>
  <si>
    <t>郭語恩、連予曦、李以樂</t>
  </si>
  <si>
    <t>0939684088</t>
  </si>
  <si>
    <t>14400</t>
  </si>
  <si>
    <t>陳睿安、施芸潔、陳芸希</t>
  </si>
  <si>
    <t>0916710620-1</t>
  </si>
  <si>
    <t>23760</t>
  </si>
  <si>
    <t>李奕勳、李書妍、楊宥語</t>
  </si>
  <si>
    <t>0916198265</t>
  </si>
  <si>
    <t>王琳雅、王筱筠、王昱傑</t>
  </si>
  <si>
    <t>0939235050-1</t>
  </si>
  <si>
    <t>8100</t>
  </si>
  <si>
    <t>李梓誠、李梓安、葉昕妤</t>
  </si>
  <si>
    <t>0912890002</t>
  </si>
  <si>
    <t>黃喻澤、黃思僑</t>
  </si>
  <si>
    <t>0933560101</t>
  </si>
  <si>
    <t>0925158521</t>
  </si>
  <si>
    <t>0955391942</t>
  </si>
  <si>
    <t>楊程鴻、賴羿諠</t>
  </si>
  <si>
    <t>0922826836</t>
  </si>
  <si>
    <t>20085</t>
  </si>
  <si>
    <t>0905580274-1</t>
  </si>
  <si>
    <t>13680</t>
  </si>
  <si>
    <t>0922012332</t>
  </si>
  <si>
    <t>19440</t>
  </si>
  <si>
    <t>賴宥諠、林品薰</t>
  </si>
  <si>
    <t>0910315336-1</t>
  </si>
  <si>
    <t>26565</t>
  </si>
  <si>
    <t>陳榆奇、陳汨檍</t>
  </si>
  <si>
    <t>0937455654</t>
  </si>
  <si>
    <t>7125</t>
  </si>
  <si>
    <t>江靜亭、江鳴蕙</t>
  </si>
  <si>
    <t>0921856822</t>
  </si>
  <si>
    <t>70650</t>
  </si>
  <si>
    <t>0935716123</t>
  </si>
  <si>
    <t>49905</t>
  </si>
  <si>
    <t>0930220021</t>
  </si>
  <si>
    <t>67116</t>
  </si>
  <si>
    <t>鍾昀珊、蔡昀玲</t>
  </si>
  <si>
    <t>0920552751</t>
  </si>
  <si>
    <t>32400</t>
  </si>
  <si>
    <t>0953305887</t>
  </si>
  <si>
    <t>100935</t>
  </si>
  <si>
    <t>黃育語、黃芋妮</t>
  </si>
  <si>
    <t>0917974820</t>
  </si>
  <si>
    <t>李采諭、李沇諭</t>
  </si>
  <si>
    <t>0922452978</t>
  </si>
  <si>
    <t>0928552475</t>
  </si>
  <si>
    <t>0935583191</t>
  </si>
  <si>
    <t>0938592509</t>
  </si>
  <si>
    <t>0935242518-2</t>
  </si>
  <si>
    <t>11616</t>
  </si>
  <si>
    <t>黃昱璇、黃馨儀</t>
  </si>
  <si>
    <t>0930139880</t>
  </si>
  <si>
    <t>19152</t>
  </si>
  <si>
    <t>0988423486</t>
  </si>
  <si>
    <t>70416</t>
  </si>
  <si>
    <t>陳宥勳、陳韋彤</t>
  </si>
  <si>
    <t>0955554989</t>
  </si>
  <si>
    <t>86196</t>
  </si>
  <si>
    <t>鄭芮橙、鄭卓豐</t>
  </si>
  <si>
    <t>0931303530</t>
  </si>
  <si>
    <t>63360</t>
  </si>
  <si>
    <t>吳翊菲 吳晨熙 吳祐安 張傑茗張詠旋</t>
  </si>
  <si>
    <t>0911070950</t>
  </si>
  <si>
    <t>崔宸羽、邱子叡、邱羽安</t>
  </si>
  <si>
    <t>0987771876</t>
  </si>
  <si>
    <t>吳翊菲、吳晨熙、吳祐安</t>
  </si>
  <si>
    <t>0915008355</t>
  </si>
  <si>
    <t>蔡子媛、蔡子安</t>
  </si>
  <si>
    <t>0972285171</t>
  </si>
  <si>
    <t>58698</t>
  </si>
  <si>
    <t>陳祈睿、陳聖惟</t>
  </si>
  <si>
    <t>0989617355</t>
  </si>
  <si>
    <t>44496</t>
  </si>
  <si>
    <t>0937399561</t>
  </si>
  <si>
    <t>廖紫姈、洪慈蔭</t>
  </si>
  <si>
    <t>0937399561-1</t>
  </si>
  <si>
    <t>46080</t>
  </si>
  <si>
    <t>何岑駿、林儀沁</t>
  </si>
  <si>
    <t>0937458420</t>
  </si>
  <si>
    <t>26172</t>
  </si>
  <si>
    <t>何采璇、林紫橦、葉佳恩</t>
  </si>
  <si>
    <t>0937458420-1</t>
  </si>
  <si>
    <t>33660</t>
  </si>
  <si>
    <t>0937458420-2</t>
  </si>
  <si>
    <t>李韋辰、孫鵬恩、梁庭碩</t>
  </si>
  <si>
    <t>0939355870</t>
  </si>
  <si>
    <t>78975</t>
  </si>
  <si>
    <t>0981356925</t>
  </si>
  <si>
    <t>張智傑、張喬臻</t>
  </si>
  <si>
    <t>0987870773</t>
  </si>
  <si>
    <t>35055</t>
  </si>
  <si>
    <t>張安淇、張安妮</t>
  </si>
  <si>
    <t>0930220021-1</t>
  </si>
  <si>
    <t>118020</t>
  </si>
  <si>
    <t>鄭安晴 鄭 陳力維 林可晴 林亮昀</t>
  </si>
  <si>
    <t>0933075090</t>
  </si>
  <si>
    <t>何映榆、何映彤</t>
  </si>
  <si>
    <t>0911283587</t>
  </si>
  <si>
    <t>48315</t>
  </si>
  <si>
    <t>許少綸、許紘睿</t>
  </si>
  <si>
    <t>0919438560</t>
  </si>
  <si>
    <t>陳佩?、胡秀君</t>
  </si>
  <si>
    <t>0922713627</t>
  </si>
  <si>
    <t>6336</t>
  </si>
  <si>
    <t>鐘昊軒、鍾亦涵</t>
  </si>
  <si>
    <t>0956558987</t>
  </si>
  <si>
    <t>36450</t>
  </si>
  <si>
    <t>蔡欣穎、粘瑞津</t>
  </si>
  <si>
    <t>0963001667-1</t>
  </si>
  <si>
    <t>柳宗甫、柳宗治</t>
  </si>
  <si>
    <t>0920016796</t>
  </si>
  <si>
    <t>72738</t>
  </si>
  <si>
    <t>張詩嫚、許軒睿</t>
  </si>
  <si>
    <t>0918530532</t>
  </si>
  <si>
    <t>20700</t>
  </si>
  <si>
    <t>09123456781</t>
  </si>
  <si>
    <t>陳蔓筑、陳佳楷</t>
  </si>
  <si>
    <t>0937504107</t>
  </si>
  <si>
    <t>28050</t>
  </si>
  <si>
    <t>李冠毅、李芃葳、游芙羽、游昕芸</t>
  </si>
  <si>
    <t>0927959290</t>
  </si>
  <si>
    <t>85200</t>
  </si>
  <si>
    <t>0955679458</t>
  </si>
  <si>
    <t>林欣妤、林禹彤</t>
  </si>
  <si>
    <t>0912587214</t>
  </si>
  <si>
    <t>8640</t>
  </si>
  <si>
    <t>盧昕妤、盧昕宏、葉耀文、葉士愷、葉柏佑</t>
  </si>
  <si>
    <t>0972239268</t>
  </si>
  <si>
    <t>23004</t>
  </si>
  <si>
    <t>0933523597</t>
  </si>
  <si>
    <t>邱詠暄、邱創偉</t>
  </si>
  <si>
    <t>0965024943</t>
  </si>
  <si>
    <t>劉可絨、劉可絡</t>
  </si>
  <si>
    <t>0928626113</t>
  </si>
  <si>
    <t>張芷瑜、張芷瑄</t>
  </si>
  <si>
    <t>0919683333</t>
  </si>
  <si>
    <t>13140</t>
  </si>
  <si>
    <t>姜晴、周芸彤、周楷致</t>
  </si>
  <si>
    <t>0955285845</t>
  </si>
  <si>
    <t>16740</t>
  </si>
  <si>
    <t>楊炘睿、呂光硯、呂柏陞</t>
  </si>
  <si>
    <t>0919987217</t>
  </si>
  <si>
    <t>陳莉函、黃捷雯、廖允菲</t>
  </si>
  <si>
    <t>0988539910</t>
  </si>
  <si>
    <t>李苡暄、李苡彤</t>
  </si>
  <si>
    <t>0937886780</t>
  </si>
  <si>
    <t>0980906632</t>
  </si>
  <si>
    <t>林瑀岑、林祐旭</t>
  </si>
  <si>
    <t>0988523082</t>
  </si>
  <si>
    <t>34140</t>
  </si>
  <si>
    <t>林長毅、吳沂潔、吳典祐</t>
  </si>
  <si>
    <t>0939110232</t>
  </si>
  <si>
    <t>16920</t>
  </si>
  <si>
    <t>劉牧天、劉牧飛</t>
  </si>
  <si>
    <t>0983661545</t>
  </si>
  <si>
    <t>20880</t>
  </si>
  <si>
    <t>CQ113525-1</t>
  </si>
  <si>
    <t>0936770825</t>
  </si>
  <si>
    <t>26640</t>
  </si>
  <si>
    <t>0958360413</t>
  </si>
  <si>
    <t>12408</t>
  </si>
  <si>
    <t>高雅涵、高寬勝、李語芯、李語恬、林葦杉、江芊曄</t>
  </si>
  <si>
    <t>0918029946</t>
  </si>
  <si>
    <t>16200</t>
  </si>
  <si>
    <t>CQ113527-1</t>
  </si>
  <si>
    <t>姚奕鍇</t>
  </si>
  <si>
    <t>0926181435</t>
  </si>
  <si>
    <t>53127</t>
  </si>
  <si>
    <t>林雲、陳秉翔、陳芷羚、陳昱晴、陳逸姍</t>
  </si>
  <si>
    <t>0986272899</t>
  </si>
  <si>
    <t>課程群組、多人姓名</t>
  </si>
  <si>
    <t>林承勳、林宗緯</t>
  </si>
  <si>
    <t>0930901313</t>
  </si>
  <si>
    <t>55530</t>
  </si>
  <si>
    <t>莊瀚霆、莊馥瑄、莊翔鈞</t>
  </si>
  <si>
    <t>0926667166</t>
  </si>
  <si>
    <t>歐紘碩、歐姵妘</t>
  </si>
  <si>
    <t>0988538010</t>
  </si>
  <si>
    <t>27480</t>
  </si>
  <si>
    <t>0928607050</t>
  </si>
  <si>
    <t>陳瀅心</t>
  </si>
  <si>
    <t>0960110067</t>
  </si>
  <si>
    <t>鄭維玲、鄭維萱</t>
  </si>
  <si>
    <t>0921143106</t>
  </si>
  <si>
    <t>0937089640</t>
  </si>
  <si>
    <t>25080</t>
  </si>
  <si>
    <t>0972878118</t>
  </si>
  <si>
    <t>67395</t>
  </si>
  <si>
    <t>李�琤�、鐘亦涵</t>
  </si>
  <si>
    <t>09123456782</t>
  </si>
  <si>
    <t>0922503532</t>
  </si>
  <si>
    <t>13155</t>
  </si>
  <si>
    <t>盧兆昉、李品萱</t>
  </si>
  <si>
    <t>0933137747</t>
  </si>
  <si>
    <t>江信宏、江紘亦、曹軒政</t>
  </si>
  <si>
    <t>0935807406</t>
  </si>
  <si>
    <t>0930941302</t>
  </si>
  <si>
    <t>57780</t>
  </si>
  <si>
    <t>李律旻、葉品彤、葉品姍</t>
  </si>
  <si>
    <t>0928250747</t>
  </si>
  <si>
    <t>11664</t>
  </si>
  <si>
    <t>張綺軒、王儷霏、王奕心、林芷伊、林奕廷</t>
  </si>
  <si>
    <t>0955055565</t>
  </si>
  <si>
    <t>23112</t>
  </si>
  <si>
    <t>0928493538</t>
  </si>
  <si>
    <t>31020</t>
  </si>
  <si>
    <t>洪祥恩、洪晨祐</t>
  </si>
  <si>
    <t>0912567346</t>
  </si>
  <si>
    <t>58650</t>
  </si>
  <si>
    <t>0978157660</t>
  </si>
  <si>
    <t>0920663024</t>
  </si>
  <si>
    <t>4320</t>
  </si>
  <si>
    <t>黃冠淵、黃楷茹</t>
  </si>
  <si>
    <t>0912097627</t>
  </si>
  <si>
    <t>粘瑞津、蔡欣穎、蔡依倫</t>
  </si>
  <si>
    <t>0963001667</t>
  </si>
  <si>
    <t>黃柏丰、黃柏禎、韓舜宇、蘇巧芯</t>
  </si>
  <si>
    <t>0928216416</t>
  </si>
  <si>
    <t>李瓊音、陳禹彤、陳禹霏</t>
  </si>
  <si>
    <t>0912291940</t>
  </si>
  <si>
    <t>0939392246</t>
  </si>
  <si>
    <t>12540</t>
  </si>
  <si>
    <t>胡宏銘、胡慈恩、邱子紳</t>
  </si>
  <si>
    <t>0939237152</t>
  </si>
  <si>
    <t>59760</t>
  </si>
  <si>
    <t>陳玥綾、陳泇愷</t>
  </si>
  <si>
    <t>0970212588</t>
  </si>
  <si>
    <t>27360</t>
  </si>
  <si>
    <t>陳言芯、陳胤銜</t>
  </si>
  <si>
    <t>0965661205</t>
  </si>
  <si>
    <t>張宇妡、張宇晴</t>
  </si>
  <si>
    <t>0952317917</t>
  </si>
  <si>
    <t>35850</t>
  </si>
  <si>
    <t>0952708916</t>
  </si>
  <si>
    <t>20160</t>
  </si>
  <si>
    <t>0920614732</t>
  </si>
  <si>
    <t>李亭妤、李亭萱</t>
  </si>
  <si>
    <t>0922798901</t>
  </si>
  <si>
    <t>20205</t>
  </si>
  <si>
    <t>林青宜、林義欽</t>
  </si>
  <si>
    <t>0981935228</t>
  </si>
  <si>
    <t>陳星霓、陳彥睿</t>
  </si>
  <si>
    <t>0935242518</t>
  </si>
  <si>
    <t>127980</t>
  </si>
  <si>
    <t>黃薇聿</t>
  </si>
  <si>
    <t>0961595391</t>
  </si>
  <si>
    <t>李品嫻、曾浚瑜、黃芊畯、黃子宸</t>
  </si>
  <si>
    <t>0955181838</t>
  </si>
  <si>
    <t>79440</t>
  </si>
  <si>
    <t>0936992197</t>
  </si>
  <si>
    <t>徐千婷、徐子翔、徐溢成</t>
  </si>
  <si>
    <t>0920016260</t>
  </si>
  <si>
    <t>36720</t>
  </si>
  <si>
    <t>0986610666</t>
  </si>
  <si>
    <t>21600</t>
  </si>
  <si>
    <t>0965807900</t>
  </si>
  <si>
    <t>13840</t>
  </si>
  <si>
    <t>吳芸安、吳睿宇、施昱妡</t>
  </si>
  <si>
    <t>0955777747</t>
  </si>
  <si>
    <t>1800</t>
  </si>
  <si>
    <t>張芷寧、張芸榕</t>
  </si>
  <si>
    <t>0903915039</t>
  </si>
  <si>
    <t>29700</t>
  </si>
  <si>
    <t>0970621800</t>
  </si>
  <si>
    <t>0915172967</t>
  </si>
  <si>
    <t>0933796857</t>
  </si>
  <si>
    <t>0905580274</t>
  </si>
  <si>
    <t>19755</t>
  </si>
  <si>
    <t>0922833082</t>
  </si>
  <si>
    <t>吳芸安、吳睿宇</t>
  </si>
  <si>
    <t>0955777747-1</t>
  </si>
  <si>
    <t>CQ113584</t>
  </si>
  <si>
    <t>0913636785</t>
  </si>
  <si>
    <t>0918510809</t>
  </si>
  <si>
    <t>6900</t>
  </si>
  <si>
    <t>周茹婷、林?怡</t>
  </si>
  <si>
    <t>0928044604</t>
  </si>
  <si>
    <t>林霓芳、徐千婷、徐子翔、徐溢成</t>
  </si>
  <si>
    <t>0911260204</t>
  </si>
  <si>
    <t>賴禹心、賴楷承</t>
  </si>
  <si>
    <t>0970081031</t>
  </si>
  <si>
    <t>76680</t>
  </si>
  <si>
    <t>0963236534</t>
  </si>
  <si>
    <t>0937745921</t>
  </si>
  <si>
    <t>27210</t>
  </si>
  <si>
    <t>0920866498</t>
  </si>
  <si>
    <t>林言霏、尤辰愷、林哲暟、陳詠晴</t>
  </si>
  <si>
    <t>0955014529</t>
  </si>
  <si>
    <t>羅鎮吾、羅鎮恩、阮士恩</t>
  </si>
  <si>
    <t>0975928981</t>
  </si>
  <si>
    <t>李淑華、李愷威</t>
  </si>
  <si>
    <t>0965162262</t>
  </si>
  <si>
    <t>7680</t>
  </si>
  <si>
    <t>李冠毅、李芃葳</t>
  </si>
  <si>
    <t>0915172967-1</t>
  </si>
  <si>
    <t>52680</t>
  </si>
  <si>
    <t>傅晴淩、蘇惠鈴</t>
  </si>
  <si>
    <t>0977061353</t>
  </si>
  <si>
    <t>9720</t>
  </si>
  <si>
    <t>陳愉甯、吳亞芸</t>
  </si>
  <si>
    <t>0963151177</t>
  </si>
  <si>
    <t>邱詠暄、許菲恩、邱創偉</t>
  </si>
  <si>
    <t>0952978038</t>
  </si>
  <si>
    <t>71865</t>
  </si>
  <si>
    <t>羅鎮吾、羅鎮恩</t>
  </si>
  <si>
    <t>0975928981-1</t>
  </si>
  <si>
    <t>64980</t>
  </si>
  <si>
    <t>陳宥翔、吳海安、吳海靜</t>
  </si>
  <si>
    <t>0952986590</t>
  </si>
  <si>
    <t>0978157660-1</t>
  </si>
  <si>
    <t>0922355333</t>
  </si>
  <si>
    <t>52050</t>
  </si>
  <si>
    <t>0975867688</t>
  </si>
  <si>
    <t>0978726876-1</t>
  </si>
  <si>
    <t>82125</t>
  </si>
  <si>
    <t>王筱筠、王昱傑</t>
  </si>
  <si>
    <t>0939235050-2</t>
  </si>
  <si>
    <t>0912345666</t>
  </si>
  <si>
    <t>3240</t>
  </si>
  <si>
    <t>0926712731</t>
  </si>
  <si>
    <t>0920828138</t>
  </si>
  <si>
    <t>12495</t>
  </si>
  <si>
    <t>王子羚、李柯東</t>
  </si>
  <si>
    <t>0911290324</t>
  </si>
  <si>
    <t>0939310215</t>
  </si>
  <si>
    <t>楊炘睿、呂伯陞、廖允菲</t>
  </si>
  <si>
    <t>0919987217-1</t>
  </si>
  <si>
    <t>楊炘睿、呂伯陞、廖允菲、黃捷雯</t>
  </si>
  <si>
    <t>0919987217-2</t>
  </si>
  <si>
    <t>28512</t>
  </si>
  <si>
    <t>邱巧喬、邱子修</t>
  </si>
  <si>
    <t>0955845976</t>
  </si>
  <si>
    <t>0972508298</t>
  </si>
  <si>
    <t>邱錫安、邱翌安</t>
  </si>
  <si>
    <t>0983706127</t>
  </si>
  <si>
    <t>25200</t>
  </si>
  <si>
    <t>張又勻、陳怡?、黃麗?</t>
  </si>
  <si>
    <t>0958717168</t>
  </si>
  <si>
    <t>羅晨墐、羅湘涵</t>
  </si>
  <si>
    <t>0916331753</t>
  </si>
  <si>
    <t>23400</t>
  </si>
  <si>
    <t>陳牧可、陳宇芙</t>
  </si>
  <si>
    <t>0963394102</t>
  </si>
  <si>
    <t>60750</t>
  </si>
  <si>
    <t>張又勻、黃馨蓉、陳怡均</t>
  </si>
  <si>
    <t>0939918883</t>
  </si>
  <si>
    <t>46215</t>
  </si>
  <si>
    <t>林芷妍、林勁學</t>
  </si>
  <si>
    <t>0933178605</t>
  </si>
  <si>
    <t>49950</t>
  </si>
  <si>
    <t>姚宇謙、姚品妡</t>
  </si>
  <si>
    <t>0915092265</t>
  </si>
  <si>
    <t>0931042665</t>
  </si>
  <si>
    <t>1100</t>
  </si>
  <si>
    <t>吳芮昕、羅晨墐、羅湘涵</t>
  </si>
  <si>
    <t>0989637222</t>
  </si>
  <si>
    <t>28800</t>
  </si>
  <si>
    <t>陳昀杉、陳昀佑、邱育為、吳彥廷</t>
  </si>
  <si>
    <t>0935855780</t>
  </si>
  <si>
    <t>0939052368</t>
  </si>
  <si>
    <t>楊陳穎、楊陳澈</t>
  </si>
  <si>
    <t>0933510045-1</t>
  </si>
  <si>
    <t>柯宏瑋、柯綾</t>
  </si>
  <si>
    <t>0931372661</t>
  </si>
  <si>
    <t>8400</t>
  </si>
  <si>
    <t>陳榆琋、陳祖樂</t>
  </si>
  <si>
    <t>0939919383-1</t>
  </si>
  <si>
    <t>0986996403</t>
  </si>
  <si>
    <t>0933510045</t>
  </si>
  <si>
    <t>0934272195</t>
  </si>
  <si>
    <t>0988265013</t>
  </si>
  <si>
    <t>朱雅鈴、李令竹、李麗娟</t>
  </si>
  <si>
    <t>0933524390</t>
  </si>
  <si>
    <t>莊舜晴、呂芊岑</t>
  </si>
  <si>
    <t>0926648058</t>
  </si>
  <si>
    <t>0982022486</t>
  </si>
  <si>
    <t>陳俞霏、吳旻祐、徐苡甄</t>
  </si>
  <si>
    <t>0927222393</t>
  </si>
  <si>
    <t>廖秉庠、李瑀萌、李佳恩、李宣呈</t>
  </si>
  <si>
    <t>0927808020</t>
  </si>
  <si>
    <t>沈威宏、李千綸</t>
  </si>
  <si>
    <t>0989063066</t>
  </si>
  <si>
    <t>陳榆琋陳祖樂高禹婕</t>
  </si>
  <si>
    <t>0939919383</t>
  </si>
  <si>
    <t>0963110124</t>
  </si>
  <si>
    <t>黃馨巧、黃馨可</t>
  </si>
  <si>
    <t>0910989580</t>
  </si>
  <si>
    <t>何羽涵、劉宜霏、張卉穎</t>
  </si>
  <si>
    <t>0920637180</t>
  </si>
  <si>
    <t>吳雨彤、吳紫睎、董晉維、董珆卉、朱禹丞</t>
  </si>
  <si>
    <t>0931327208</t>
  </si>
  <si>
    <t>蔡宇晅、蔡宇硯、郭杰穎、郭星岑、李苡彤</t>
  </si>
  <si>
    <t>0934087068</t>
  </si>
  <si>
    <t>陳沅豐、陳沅昇</t>
  </si>
  <si>
    <t>0936805599</t>
  </si>
  <si>
    <t>林采邑、鄭丞妤、林禹彤、鄭丞亮、林定瑋</t>
  </si>
  <si>
    <t>0953512477</t>
  </si>
  <si>
    <t>陳子妍、陳子喬、陳柏佑、黃詩晴</t>
  </si>
  <si>
    <t>0917675466</t>
  </si>
  <si>
    <t>陳儒佑、陳漢祥、陳姿欣、楊又璇、林偉程</t>
  </si>
  <si>
    <t>0914000808</t>
  </si>
  <si>
    <t>0933855454</t>
  </si>
  <si>
    <t>13110</t>
  </si>
  <si>
    <t>林妤恩、黃靖惠、吳虹樺、孔晨熙</t>
  </si>
  <si>
    <t>0930557661</t>
  </si>
  <si>
    <t>30600</t>
  </si>
  <si>
    <t>李以樂、郭語恩、連予曦</t>
  </si>
  <si>
    <t>0955883271</t>
  </si>
  <si>
    <t>26730</t>
  </si>
  <si>
    <t>鄭光志、鄭羽芮</t>
  </si>
  <si>
    <t>0916704002</t>
  </si>
  <si>
    <t>21000</t>
  </si>
  <si>
    <t>林偉程、楊又璇、陳儒佑、陳漢祥、陳姿欣</t>
  </si>
  <si>
    <t>0916710620-2</t>
  </si>
  <si>
    <t>25500</t>
  </si>
  <si>
    <t>林偉程、陳儒佑、陳漢祥、陳姿欣</t>
  </si>
  <si>
    <t>0916710620-3</t>
  </si>
  <si>
    <t>49200</t>
  </si>
  <si>
    <t>0917535173</t>
  </si>
  <si>
    <t>19665</t>
  </si>
  <si>
    <t>林芸希、陳睿安</t>
  </si>
  <si>
    <t>0954087043</t>
  </si>
  <si>
    <t>40500</t>
  </si>
  <si>
    <t>邵士軒、邵士峰</t>
  </si>
  <si>
    <t>0989266364</t>
  </si>
  <si>
    <t>20250</t>
  </si>
  <si>
    <t>0906917211</t>
  </si>
  <si>
    <t>47250</t>
  </si>
  <si>
    <t>0983279778</t>
  </si>
  <si>
    <t>李采玹、陳亭諭</t>
  </si>
  <si>
    <t>0956454870-1</t>
  </si>
  <si>
    <t>0956454870</t>
  </si>
  <si>
    <t>59250</t>
  </si>
  <si>
    <t>0920866680</t>
  </si>
  <si>
    <t>陳宥蓁、陳宥翔</t>
  </si>
  <si>
    <t>0939006257</t>
  </si>
  <si>
    <t>6750</t>
  </si>
  <si>
    <t>0910199007</t>
  </si>
  <si>
    <t>陳致瑋、徐郁涵</t>
  </si>
  <si>
    <t>0919342268</t>
  </si>
  <si>
    <t>0905552067</t>
  </si>
  <si>
    <t>邱紹宸、邱兆翔</t>
  </si>
  <si>
    <t>0988507590</t>
  </si>
  <si>
    <t>14625</t>
  </si>
  <si>
    <t>吳彥廷、陳昀佐</t>
  </si>
  <si>
    <t>22814891</t>
  </si>
  <si>
    <t>簡妍恩、簡芙恩</t>
  </si>
  <si>
    <t>0963326690</t>
  </si>
  <si>
    <t>1300</t>
  </si>
  <si>
    <t>0963008351</t>
  </si>
  <si>
    <t>84870</t>
  </si>
  <si>
    <t>張祐嘉、張祐晨</t>
  </si>
  <si>
    <t>0909000975</t>
  </si>
  <si>
    <t>王丞佑、王昕卉</t>
  </si>
  <si>
    <t>0926332775</t>
  </si>
  <si>
    <t>53250</t>
  </si>
  <si>
    <t>黃靖橙、丁鈺欣、丁鈺軒、葉萱妍</t>
  </si>
  <si>
    <t>0916858752</t>
  </si>
  <si>
    <t>22800</t>
  </si>
  <si>
    <t>邱詩淇、邱廷恩</t>
  </si>
  <si>
    <t>0902112102</t>
  </si>
  <si>
    <t>劉彧志、劉宇翔</t>
  </si>
  <si>
    <t>0937017975</t>
  </si>
  <si>
    <t>0909000975-1</t>
  </si>
  <si>
    <t>12900</t>
  </si>
  <si>
    <t>粘洛齊徐芷韻</t>
  </si>
  <si>
    <t>0933298190</t>
  </si>
  <si>
    <t>17125</t>
  </si>
  <si>
    <t>王詠淳、許茹嫣</t>
  </si>
  <si>
    <t>0952002168</t>
  </si>
  <si>
    <t>吳雨霏、周雅鈴</t>
  </si>
  <si>
    <t>0983964211</t>
  </si>
  <si>
    <t>陳侑均、廖冠岳、楊凱晴</t>
  </si>
  <si>
    <t>0909583927</t>
  </si>
  <si>
    <t>28710</t>
  </si>
  <si>
    <t>周析澤、李泓均</t>
  </si>
  <si>
    <t>0989593828</t>
  </si>
  <si>
    <t>84/09/09</t>
  </si>
  <si>
    <t>0939645655</t>
  </si>
  <si>
    <t>0955948981-1</t>
  </si>
  <si>
    <t>6555</t>
  </si>
  <si>
    <t>邱恬葳、黃晨愷</t>
  </si>
  <si>
    <t>0935096728</t>
  </si>
  <si>
    <t>23535</t>
  </si>
  <si>
    <t>林軒宇、李辰萱</t>
  </si>
  <si>
    <t>0926750010</t>
  </si>
  <si>
    <t>許立紘、曾懷萱、楊千瑩</t>
  </si>
  <si>
    <t>0978773970</t>
  </si>
  <si>
    <t>48510</t>
  </si>
  <si>
    <t>0932139885</t>
  </si>
  <si>
    <t>F128967693</t>
  </si>
  <si>
    <t>蔡愷恩、蔡奕恩</t>
  </si>
  <si>
    <t>0952262710</t>
  </si>
  <si>
    <t>28200</t>
  </si>
  <si>
    <t>黃晨芯、李軒毅</t>
  </si>
  <si>
    <t>0975075722</t>
  </si>
  <si>
    <t>郭羽芙、郭羽恩、謝佩岑、謝秉益</t>
  </si>
  <si>
    <t>0926088169</t>
  </si>
  <si>
    <t>黃甯恩、黃頌恩</t>
  </si>
  <si>
    <t>0955123331</t>
  </si>
  <si>
    <t>8700</t>
  </si>
  <si>
    <t>陳靜雯、蔡品愉、蔡依妡</t>
  </si>
  <si>
    <t>0975561272</t>
  </si>
  <si>
    <t>20910</t>
  </si>
  <si>
    <t>陳采緹、陳維苹</t>
  </si>
  <si>
    <t>0921864934</t>
  </si>
  <si>
    <t>15925</t>
  </si>
  <si>
    <t>吳芮昕、蔡愷恩、蔡奕恩</t>
  </si>
  <si>
    <t>0933133769</t>
  </si>
  <si>
    <t>0918081773</t>
  </si>
  <si>
    <t>王皓、王晏翎、王郁甯</t>
  </si>
  <si>
    <t>0971169988</t>
  </si>
  <si>
    <t>0930750699</t>
  </si>
  <si>
    <t>6800</t>
  </si>
  <si>
    <t>趙威丞、張秘涵</t>
  </si>
  <si>
    <t>0987607201</t>
  </si>
  <si>
    <t>0919000630</t>
  </si>
  <si>
    <t>0919000630-1</t>
  </si>
  <si>
    <t>CQ114138</t>
  </si>
  <si>
    <t>0919000630-2</t>
  </si>
  <si>
    <t>陳曦景、陳曦亮</t>
  </si>
  <si>
    <t>0934183933</t>
  </si>
  <si>
    <t>CQ114140</t>
  </si>
  <si>
    <t>李聿晴、李聿翔</t>
  </si>
  <si>
    <t>0975202780-2</t>
  </si>
  <si>
    <t>李聿翔、李聿甯</t>
  </si>
  <si>
    <t>0975202780-3</t>
  </si>
  <si>
    <t>呂韶恩、呂韶晴</t>
  </si>
  <si>
    <t>0972380184</t>
  </si>
  <si>
    <t>19650</t>
  </si>
  <si>
    <t>張少恆、謝昀旂、劉岱柔、劉泌柔</t>
  </si>
  <si>
    <t>0933523617</t>
  </si>
  <si>
    <t>0939818944</t>
  </si>
  <si>
    <t>陳儒佑、陳姿欣、陳漢祥</t>
  </si>
  <si>
    <t>0914000808-1</t>
  </si>
  <si>
    <t>18612</t>
  </si>
  <si>
    <t>李鴻均、李宥廷</t>
  </si>
  <si>
    <t>0955909343</t>
  </si>
  <si>
    <t>陳胤銜、陳言芯、林祈言</t>
  </si>
  <si>
    <t>0965661205-1</t>
  </si>
  <si>
    <t>9900</t>
  </si>
  <si>
    <t>0972779318</t>
  </si>
  <si>
    <t>葉雨晴、李倢妘</t>
  </si>
  <si>
    <t>0902688405</t>
  </si>
  <si>
    <t>CQ114160</t>
  </si>
  <si>
    <t>0902688405-1</t>
  </si>
  <si>
    <t>0983345070</t>
  </si>
  <si>
    <t>吳采妍、陳宥希</t>
  </si>
  <si>
    <t>0987308314</t>
  </si>
  <si>
    <t>張又中、張恩瑀</t>
  </si>
  <si>
    <t>0911845540</t>
  </si>
  <si>
    <t>陳芳菲、邱金蚋</t>
  </si>
  <si>
    <t>0982925304</t>
  </si>
  <si>
    <t>0911394552</t>
  </si>
  <si>
    <t>黃晨瑋、楊智皓</t>
  </si>
  <si>
    <t>0952183351</t>
  </si>
  <si>
    <t>0986347066</t>
  </si>
  <si>
    <t>房思妘、房暉軒、何安格</t>
  </si>
  <si>
    <t>0919360553</t>
  </si>
  <si>
    <t>張雨晴、張可晴</t>
  </si>
  <si>
    <t>0921867371</t>
  </si>
  <si>
    <t>江浤哲、江易昇</t>
  </si>
  <si>
    <t>0939973562</t>
  </si>
  <si>
    <t>21375</t>
  </si>
  <si>
    <t>張語安、張可妍</t>
  </si>
  <si>
    <t>0987823723</t>
  </si>
  <si>
    <t>40125</t>
  </si>
  <si>
    <t>楊智媛、姚思安、姚品宏、姚棨仁、鄭雨旋</t>
  </si>
  <si>
    <t>0970021852</t>
  </si>
  <si>
    <t>張少恆、謝昀旂、劉岱柔、劉泌柔、陳妍妏</t>
  </si>
  <si>
    <t>0987567936</t>
  </si>
  <si>
    <t>陳品言</t>
  </si>
  <si>
    <t>0936122822</t>
  </si>
  <si>
    <t>江姿誼、江玟誼、錢奕安、陳昱勳</t>
  </si>
  <si>
    <t>0926332176-1</t>
  </si>
  <si>
    <t>10200</t>
  </si>
  <si>
    <t>李祈萱、李采頤</t>
  </si>
  <si>
    <t>09728781118</t>
  </si>
  <si>
    <t>李擢秀、蔡嵂翔、蔡嵂甯、蔡承志、賴佩霜</t>
  </si>
  <si>
    <t>0910203216</t>
  </si>
  <si>
    <t>楊芯菱、楊宜霏</t>
  </si>
  <si>
    <t>0978360915</t>
  </si>
  <si>
    <t>28000</t>
  </si>
  <si>
    <t>陳昱勳、陳祺東</t>
  </si>
  <si>
    <t>0921866024</t>
  </si>
  <si>
    <t>64500</t>
  </si>
  <si>
    <t>陳語謙、陳昱希、陳品妍、陳品安</t>
  </si>
  <si>
    <t>0926909998</t>
  </si>
  <si>
    <t>52800</t>
  </si>
  <si>
    <t>錢奕安、陳俊赫、江玟誼、江姿誼</t>
  </si>
  <si>
    <t>0920002928</t>
  </si>
  <si>
    <t>陳品言、林渝菲</t>
  </si>
  <si>
    <t>0932022220</t>
  </si>
  <si>
    <t>30275</t>
  </si>
  <si>
    <t>黃奕榛、廖紹淯</t>
  </si>
  <si>
    <t>0982307834</t>
  </si>
  <si>
    <t>李妍霓、張智晞、吳忻芸</t>
  </si>
  <si>
    <t>0975159677</t>
  </si>
  <si>
    <t>11010</t>
  </si>
  <si>
    <t>周昕澤、賴鉦勛</t>
  </si>
  <si>
    <t>0919475518</t>
  </si>
  <si>
    <t>41850</t>
  </si>
  <si>
    <t>0928223634-1</t>
  </si>
  <si>
    <t>14250</t>
  </si>
  <si>
    <t>0965178811</t>
  </si>
  <si>
    <t>0926187618</t>
  </si>
  <si>
    <t>陳佑宇、賴晞臻</t>
  </si>
  <si>
    <t>0922598986</t>
  </si>
  <si>
    <t>48375</t>
  </si>
  <si>
    <t>0980123946</t>
  </si>
  <si>
    <t>18810</t>
  </si>
  <si>
    <t>吳塏城 、 吳塏坴 、張庭菲</t>
  </si>
  <si>
    <t>0920218813</t>
  </si>
  <si>
    <t>17820</t>
  </si>
  <si>
    <t>郭甯菲、林爍恩、林泯言</t>
  </si>
  <si>
    <t>0975628321</t>
  </si>
  <si>
    <t>8910</t>
  </si>
  <si>
    <t>0978732337</t>
  </si>
  <si>
    <t>張皓鈞、王承安</t>
  </si>
  <si>
    <t>0921176762</t>
  </si>
  <si>
    <t>0928240053</t>
  </si>
  <si>
    <t>50490</t>
  </si>
  <si>
    <t>林秋睿、李佳萱、林秉均</t>
  </si>
  <si>
    <t>0910620154</t>
  </si>
  <si>
    <t>黃靖惠、 吳虹樺、張愷恩、張又心</t>
  </si>
  <si>
    <t>0910990429</t>
  </si>
  <si>
    <t>50400</t>
  </si>
  <si>
    <t>李�琤�、鍾亦涵、鍾昊軒</t>
  </si>
  <si>
    <t>0956558987-1</t>
  </si>
  <si>
    <t>李光祖、李光允、李沁霏</t>
  </si>
  <si>
    <t>0987015750</t>
  </si>
  <si>
    <t>CQ114233</t>
  </si>
  <si>
    <t>郭語恩、郭語蕙</t>
  </si>
  <si>
    <t>0939684088-1</t>
  </si>
  <si>
    <t>陳育彤、陳秉豐</t>
  </si>
  <si>
    <t>0985762760</t>
  </si>
  <si>
    <t>林沂霏、林品辰</t>
  </si>
  <si>
    <t>0935202527</t>
  </si>
  <si>
    <t>0926037987</t>
  </si>
  <si>
    <t>20355</t>
  </si>
  <si>
    <t>黃晨睿、謝佩恩</t>
  </si>
  <si>
    <t>0939628621</t>
  </si>
  <si>
    <t>16125</t>
  </si>
  <si>
    <t>陳鈺璇、吳宜娟</t>
  </si>
  <si>
    <t>0955101132</t>
  </si>
  <si>
    <t>0913136776</t>
  </si>
  <si>
    <t>20010</t>
  </si>
  <si>
    <t>鄭若妍、葉展睿、莫翔宇</t>
  </si>
  <si>
    <t>0921777655</t>
  </si>
  <si>
    <t>林庭寬、林庭樂</t>
  </si>
  <si>
    <t>0963000833</t>
  </si>
  <si>
    <t>32250</t>
  </si>
  <si>
    <t>黃翊庭、陳汨檍</t>
  </si>
  <si>
    <t>0920050492</t>
  </si>
  <si>
    <t>0972189778</t>
  </si>
  <si>
    <t>張家瑋、周秭卉、周書毅、杜欣桐、杜承澔</t>
  </si>
  <si>
    <t>0932150900</t>
  </si>
  <si>
    <t>0933833041</t>
  </si>
  <si>
    <t>0939173830</t>
  </si>
  <si>
    <t>32085</t>
  </si>
  <si>
    <t>陳以臻、陳柚希</t>
  </si>
  <si>
    <t>0926821102</t>
  </si>
  <si>
    <t>39015</t>
  </si>
  <si>
    <t>吳海安、吳海靜</t>
  </si>
  <si>
    <t>0925222711</t>
  </si>
  <si>
    <t>李采芯、 翁子甯、翁識允</t>
  </si>
  <si>
    <t>0975926988</t>
  </si>
  <si>
    <t>施品嘉、施品溱、游傑凱、呂澄心</t>
  </si>
  <si>
    <t>0988663636</t>
  </si>
  <si>
    <t>0935836996</t>
  </si>
  <si>
    <t>65895</t>
  </si>
  <si>
    <t>黃敬淳、黃泓順</t>
  </si>
  <si>
    <t>0928897544</t>
  </si>
  <si>
    <t>0983018209</t>
  </si>
  <si>
    <t>張睿木</t>
  </si>
  <si>
    <t>0937883593</t>
  </si>
  <si>
    <t>侯昱辰、侯品均</t>
  </si>
  <si>
    <t>0932453331</t>
  </si>
  <si>
    <t>0919671239</t>
  </si>
  <si>
    <t>30732</t>
  </si>
  <si>
    <t>吳奕萬、郭閔誠</t>
  </si>
  <si>
    <t>0972335371-1</t>
  </si>
  <si>
    <t>陳伊緁、陳尚騏</t>
  </si>
  <si>
    <t>0955629065</t>
  </si>
  <si>
    <t>0979616489</t>
  </si>
  <si>
    <t>0937988559</t>
  </si>
  <si>
    <t>0922598986-1</t>
  </si>
  <si>
    <t>郭芷妤、王洛澄、鄭韓霏</t>
  </si>
  <si>
    <t>0928687649</t>
  </si>
  <si>
    <t>17622</t>
  </si>
  <si>
    <t>0920628216</t>
  </si>
  <si>
    <t>錢奕安、陳俊赫</t>
  </si>
  <si>
    <t>0920002928-1</t>
  </si>
  <si>
    <t>賴彥誠、陳彩婕、詹佩螢</t>
  </si>
  <si>
    <t>0989648031</t>
  </si>
  <si>
    <t>0935096728-1</t>
  </si>
  <si>
    <t>梁庭瑋、何沛澄</t>
  </si>
  <si>
    <t>0932342638</t>
  </si>
  <si>
    <t>蔡旻叡、蔡旻軒、蔡宗和</t>
  </si>
  <si>
    <t>0916879116</t>
  </si>
  <si>
    <t>11550</t>
  </si>
  <si>
    <t>葉展睿、莫翔宇</t>
  </si>
  <si>
    <t>0921777655-1</t>
  </si>
  <si>
    <t>張庭妍、張瑀婕</t>
  </si>
  <si>
    <t>0922250325</t>
  </si>
  <si>
    <t>30000</t>
  </si>
  <si>
    <t>方睿德、方睿逸、李泑盤、鍾叡澤</t>
  </si>
  <si>
    <t>0926822264</t>
  </si>
  <si>
    <t>0988391808</t>
  </si>
  <si>
    <t>0937399561-2</t>
  </si>
  <si>
    <t>0939684088-2</t>
  </si>
  <si>
    <t>13800</t>
  </si>
  <si>
    <t>柯乃文、江美儀</t>
  </si>
  <si>
    <t>0958365985</t>
  </si>
  <si>
    <t>26900</t>
  </si>
  <si>
    <t>王心妍、王浩凱</t>
  </si>
  <si>
    <t>0931043831</t>
  </si>
  <si>
    <t>蔡宗和、蔡旻叡</t>
  </si>
  <si>
    <t>0916879116-1</t>
  </si>
  <si>
    <t>賴安綺、曾詩涵</t>
  </si>
  <si>
    <t>0972227077</t>
  </si>
  <si>
    <t>林郅伭、林亞霓</t>
  </si>
  <si>
    <t>0932212128</t>
  </si>
  <si>
    <t>0929190767</t>
  </si>
  <si>
    <t>8280</t>
  </si>
  <si>
    <t>賴欣葦、蘇宥宇</t>
  </si>
  <si>
    <t>0937147856-1</t>
  </si>
  <si>
    <t>0982417999</t>
  </si>
  <si>
    <t>龔謹郁、趙丹翎、趙苒茜</t>
  </si>
  <si>
    <t>0922073003</t>
  </si>
  <si>
    <t>何忻玥、郭家淇</t>
  </si>
  <si>
    <t>0923705658</t>
  </si>
  <si>
    <t>33000</t>
  </si>
  <si>
    <t>0975763360</t>
  </si>
  <si>
    <t>40572</t>
  </si>
  <si>
    <t>0955101132-1</t>
  </si>
  <si>
    <t>7038</t>
  </si>
  <si>
    <t>0955883271-2</t>
  </si>
  <si>
    <t>鄭晴瀠、鄭恩宥</t>
  </si>
  <si>
    <t>0910530241</t>
  </si>
  <si>
    <t>14100</t>
  </si>
  <si>
    <t>王子睿、辜向言、辜向辰</t>
  </si>
  <si>
    <t>0988803870</t>
  </si>
  <si>
    <t>吳品翰、吳映璇、蔡芳怡</t>
  </si>
  <si>
    <t>0922600356</t>
  </si>
  <si>
    <t>0928514787</t>
  </si>
  <si>
    <t>18630</t>
  </si>
  <si>
    <t>0921162985</t>
  </si>
  <si>
    <t>徐歆恬、郭芮彤</t>
  </si>
  <si>
    <t>0906028059</t>
  </si>
  <si>
    <t>黃晨愷、林楷翔、邱恬葳</t>
  </si>
  <si>
    <t>0922204882</t>
  </si>
  <si>
    <t>謝向晴、謝昊恩</t>
  </si>
  <si>
    <t>0958050707</t>
  </si>
  <si>
    <t>呂澄心</t>
  </si>
  <si>
    <t>0988663636-1</t>
  </si>
  <si>
    <t>林凡恩、顧子琪</t>
  </si>
  <si>
    <t>0958889153-1</t>
  </si>
  <si>
    <t>呂晨嫣、呂沐菲</t>
  </si>
  <si>
    <t>0921745830</t>
  </si>
  <si>
    <t>21450</t>
  </si>
  <si>
    <t>李雅惠、鄒華玉</t>
  </si>
  <si>
    <t>0922355333-1</t>
  </si>
  <si>
    <t>0978773970-1</t>
  </si>
  <si>
    <t>0979042645</t>
  </si>
  <si>
    <t>13455</t>
  </si>
  <si>
    <t>許子琪、許子瑜</t>
  </si>
  <si>
    <t>0905672678</t>
  </si>
  <si>
    <t>0989954861</t>
  </si>
  <si>
    <t>林忻悅、林忻怡</t>
  </si>
  <si>
    <t>0958991897</t>
  </si>
  <si>
    <t>陳牧楷、陳洧婕</t>
  </si>
  <si>
    <t>0939108859</t>
  </si>
  <si>
    <t>吳禹潔、吳禹柔</t>
  </si>
  <si>
    <t>0912588250</t>
  </si>
  <si>
    <t>0932022220-1</t>
  </si>
  <si>
    <t>辜向言、辜向辰</t>
  </si>
  <si>
    <t>0934200004</t>
  </si>
  <si>
    <t>0926088169-1</t>
  </si>
  <si>
    <t>周暐翰、周家佑</t>
  </si>
  <si>
    <t>0975398506</t>
  </si>
  <si>
    <t>翁子甯、李采芯</t>
  </si>
  <si>
    <t>0975926988-1</t>
  </si>
  <si>
    <t>7350</t>
  </si>
  <si>
    <t>會員資料05.xls</t>
  </si>
  <si>
    <t>0958855953</t>
  </si>
  <si>
    <t>郭甯菲、林碩恩、林泯言</t>
  </si>
  <si>
    <t>0975628321-1</t>
  </si>
  <si>
    <t>黃竫橙、丁鈺欣、丁鈺軒、葉宣妍</t>
  </si>
  <si>
    <t>0928858910</t>
  </si>
  <si>
    <t>張宸暟、張宸妘、周宥廷、周宜興</t>
  </si>
  <si>
    <t>0933006532</t>
  </si>
  <si>
    <t>謝永承、謝鎮鑫</t>
  </si>
  <si>
    <t>0911202735</t>
  </si>
  <si>
    <t>詹丰羽、詹晴恩、詹宸皓</t>
  </si>
  <si>
    <t>0983622012</t>
  </si>
  <si>
    <t>葉宥希、鄭昕彤</t>
  </si>
  <si>
    <t>0958923550</t>
  </si>
  <si>
    <t>詹晴恩、詹宸浩、詹丰羽</t>
  </si>
  <si>
    <t>0971789870</t>
  </si>
  <si>
    <t>莊威則、莊子頎、吳品樺、蔡宇萬</t>
  </si>
  <si>
    <t>0952176277-1</t>
  </si>
  <si>
    <t>郭向崴、林俋岑、謝丞富</t>
  </si>
  <si>
    <t>0938883617</t>
  </si>
  <si>
    <t>9702</t>
  </si>
  <si>
    <t>施睿宸、陳玥璇</t>
  </si>
  <si>
    <t>0926680723</t>
  </si>
  <si>
    <t>0928223634</t>
  </si>
  <si>
    <t>CQ11４２０１</t>
  </si>
  <si>
    <t>簡妍思</t>
  </si>
  <si>
    <t>0913245678</t>
  </si>
  <si>
    <t>０９６３００８３５１</t>
  </si>
  <si>
    <t>三民月票144</t>
  </si>
  <si>
    <t>黃宥嘉、鍾文愷</t>
  </si>
  <si>
    <t>0930970852</t>
  </si>
  <si>
    <t>蔡昕桐、蔡昕恩</t>
  </si>
  <si>
    <t>新北課程</t>
  </si>
  <si>
    <t>新北家教會員</t>
  </si>
  <si>
    <t>0958088666</t>
  </si>
  <si>
    <t>25920</t>
  </si>
  <si>
    <t>陳柏碩、陳霖</t>
  </si>
  <si>
    <t>新北館</t>
  </si>
  <si>
    <t>0960926856</t>
  </si>
  <si>
    <t>李秉祐、李家丞、馬靖峰</t>
  </si>
  <si>
    <t>0932728089</t>
  </si>
  <si>
    <t>0986119202</t>
  </si>
  <si>
    <t>A11402</t>
  </si>
  <si>
    <t>林柏辰</t>
  </si>
  <si>
    <t>0987277897</t>
  </si>
  <si>
    <t>A130803063</t>
  </si>
  <si>
    <t>許錚</t>
  </si>
  <si>
    <t>0932345516</t>
  </si>
  <si>
    <t>鄭斌鴻、侯文娟</t>
  </si>
  <si>
    <t>0952260875</t>
  </si>
  <si>
    <t>顧子琪、顧子賢、潘威佑、潘宣妤</t>
  </si>
  <si>
    <t>AQ01140723</t>
  </si>
  <si>
    <t>陳禹甯、翁楷玹、翁楷淳、陳禹樸</t>
  </si>
  <si>
    <t>0987168289</t>
  </si>
  <si>
    <t>0913521852</t>
  </si>
  <si>
    <t>50040</t>
  </si>
  <si>
    <t>陳吟榛、陳俐帆、陳姿穎</t>
  </si>
  <si>
    <t>0900000001</t>
  </si>
  <si>
    <t>陳名明、石家怡</t>
  </si>
  <si>
    <t>0939541957</t>
  </si>
  <si>
    <t>AQ0014</t>
  </si>
  <si>
    <t>李紫晞、吳忻語、石家宜</t>
  </si>
  <si>
    <t>0937987666</t>
  </si>
  <si>
    <t>7290</t>
  </si>
  <si>
    <t>陳宥均、陳宥任、陳宥齊</t>
  </si>
  <si>
    <t>0963099285</t>
  </si>
  <si>
    <t>莊盛安、修樂菲</t>
  </si>
  <si>
    <t>0978071701-1</t>
  </si>
  <si>
    <t>0953417659</t>
  </si>
  <si>
    <t>31220</t>
  </si>
  <si>
    <t>黃子嫣</t>
  </si>
  <si>
    <t>0911111111</t>
  </si>
  <si>
    <t>陳威霖、陳威丞</t>
  </si>
  <si>
    <t>0974512659</t>
  </si>
  <si>
    <t>MQ09052970</t>
  </si>
  <si>
    <t>0974596741</t>
  </si>
  <si>
    <t>5400</t>
  </si>
  <si>
    <t>AQ0018</t>
  </si>
  <si>
    <t>4800</t>
  </si>
  <si>
    <t>AQ0015</t>
  </si>
  <si>
    <t>0966647964</t>
  </si>
  <si>
    <t>張善富、張侲威</t>
  </si>
  <si>
    <t>AQ0016</t>
  </si>
  <si>
    <t>23880</t>
  </si>
  <si>
    <t>蔡姍霓、劉芸樺</t>
  </si>
  <si>
    <t>0976070785</t>
  </si>
  <si>
    <t>0000000005</t>
  </si>
  <si>
    <t>0900000002</t>
  </si>
  <si>
    <t>李怡��、賴倩瑩</t>
  </si>
  <si>
    <t>111049111049</t>
  </si>
  <si>
    <t>AQ111060</t>
  </si>
  <si>
    <t>彭允?</t>
  </si>
  <si>
    <t>0954712556</t>
  </si>
  <si>
    <t>許恆偉、許恆益</t>
  </si>
  <si>
    <t>0936247558</t>
  </si>
  <si>
    <t>周允文、周以暄</t>
  </si>
  <si>
    <t>0972288989</t>
  </si>
  <si>
    <t>43200</t>
  </si>
  <si>
    <t>AQ0013</t>
  </si>
  <si>
    <t>AQ0008</t>
  </si>
  <si>
    <t>17280</t>
  </si>
  <si>
    <t>AQ00000</t>
  </si>
  <si>
    <t>9600</t>
  </si>
  <si>
    <t>游凡萱、李萬崴、周家呈</t>
  </si>
  <si>
    <t>AQ0011</t>
  </si>
  <si>
    <t>李昀桐、李翊菲</t>
  </si>
  <si>
    <t>111140111140</t>
  </si>
  <si>
    <t>賴禹心賴楷承</t>
  </si>
  <si>
    <t>111142111142</t>
  </si>
  <si>
    <t>12240</t>
  </si>
  <si>
    <t>0958623447</t>
  </si>
  <si>
    <t>曾鈺婷、張豔秋</t>
  </si>
  <si>
    <t>0920087355</t>
  </si>
  <si>
    <t>徐菁軒、徐鼎呈、陳香妘、潘柚岑</t>
  </si>
  <si>
    <t>0917766323-1</t>
  </si>
  <si>
    <t>0933221556</t>
  </si>
  <si>
    <t>林愷杰、李赫雅</t>
  </si>
  <si>
    <t>0937544216</t>
  </si>
  <si>
    <t>75600</t>
  </si>
  <si>
    <t>方心祈、方宥程</t>
  </si>
  <si>
    <t>0958741692</t>
  </si>
  <si>
    <t>陳宥珊、連唯里、連唯亦</t>
  </si>
  <si>
    <t>111275111275</t>
  </si>
  <si>
    <t>6885</t>
  </si>
  <si>
    <t>0900000025</t>
  </si>
  <si>
    <t>陳柏睿、陳柏宏、陳冠宏</t>
  </si>
  <si>
    <t>0911342957</t>
  </si>
  <si>
    <t>張馨予、張展睿</t>
  </si>
  <si>
    <t>0926992560</t>
  </si>
  <si>
    <t>18360</t>
  </si>
  <si>
    <t>0988566112</t>
  </si>
  <si>
    <t>0919522885</t>
  </si>
  <si>
    <t>蘇重澐、蘇重寧</t>
  </si>
  <si>
    <t>0912546951</t>
  </si>
  <si>
    <t>0958934014</t>
  </si>
  <si>
    <t>AQ111429</t>
  </si>
  <si>
    <t>丁宥妘</t>
  </si>
  <si>
    <t>111429111429</t>
  </si>
  <si>
    <t>0914151085</t>
  </si>
  <si>
    <t>許睿群、李卓軒</t>
  </si>
  <si>
    <t>0937955231</t>
  </si>
  <si>
    <t>25560</t>
  </si>
  <si>
    <t>謝昊廷、謝昀彤</t>
  </si>
  <si>
    <t>0932313729</t>
  </si>
  <si>
    <t>63000</t>
  </si>
  <si>
    <t>陳宥辰、陳宥勳</t>
  </si>
  <si>
    <t>0919797143</t>
  </si>
  <si>
    <t>顧子琪、林邵城、林凡恩、顧子賢、潘威佑、潘宣妤</t>
  </si>
  <si>
    <t>AQ0005</t>
  </si>
  <si>
    <t>40608</t>
  </si>
  <si>
    <t>洪宥曦、洪宥恩、王杰申</t>
  </si>
  <si>
    <t>0928700918</t>
  </si>
  <si>
    <t>13770</t>
  </si>
  <si>
    <t>賴詩璇、廖庭甄</t>
  </si>
  <si>
    <t>0920408140</t>
  </si>
  <si>
    <t>41904</t>
  </si>
  <si>
    <t>0958934001</t>
  </si>
  <si>
    <t>0900000023</t>
  </si>
  <si>
    <t>徐菁軒、徐鼎呈、陳曉妍</t>
  </si>
  <si>
    <t>0917766323</t>
  </si>
  <si>
    <t>0934153060</t>
  </si>
  <si>
    <t>105120</t>
  </si>
  <si>
    <t>王宥凱、王宥勳</t>
  </si>
  <si>
    <t>0933136491-1</t>
  </si>
  <si>
    <t>0937985659</t>
  </si>
  <si>
    <t>魏雅彤、魏業彬</t>
  </si>
  <si>
    <t>0900000020</t>
  </si>
  <si>
    <t>詹鈞翔 林昊緯 林昕霓撢撢</t>
  </si>
  <si>
    <t>0900000009</t>
  </si>
  <si>
    <t>林劭城、林凡恩</t>
  </si>
  <si>
    <t>AQ0001</t>
  </si>
  <si>
    <t>20520</t>
  </si>
  <si>
    <t>陳春涼、洪子涵、李元翔、劉怡伶、楊莉婷</t>
  </si>
  <si>
    <t>0000000008</t>
  </si>
  <si>
    <t>0928406699</t>
  </si>
  <si>
    <t>8550</t>
  </si>
  <si>
    <t>鍾柏棟、鍾語恩、葉婉錤</t>
  </si>
  <si>
    <t>0900000008</t>
  </si>
  <si>
    <t>0955624889</t>
  </si>
  <si>
    <t>5700</t>
  </si>
  <si>
    <t>0985659789</t>
  </si>
  <si>
    <t>阮如謙、阮如諄</t>
  </si>
  <si>
    <t>0939908339</t>
  </si>
  <si>
    <t>蔡沛倫、張艷秋</t>
  </si>
  <si>
    <t>0000000010</t>
  </si>
  <si>
    <t>13320</t>
  </si>
  <si>
    <t>石恩齊、石恩嘉</t>
  </si>
  <si>
    <t>0937845378</t>
  </si>
  <si>
    <t>黃歆喬、黃浩峰</t>
  </si>
  <si>
    <t>0958920567</t>
  </si>
  <si>
    <t>俞品妍、俞品成</t>
  </si>
  <si>
    <t>0900000024</t>
  </si>
  <si>
    <t>0928802744</t>
  </si>
  <si>
    <t>0945657396</t>
  </si>
  <si>
    <t>邱郁晴、邱芊靜</t>
  </si>
  <si>
    <t>0975606036</t>
  </si>
  <si>
    <t>許椼愷、許宸瑋</t>
  </si>
  <si>
    <t>AQ0022</t>
  </si>
  <si>
    <t>0987238688</t>
  </si>
  <si>
    <t>40950</t>
  </si>
  <si>
    <t>連士勛、曾品侑、曾歆晏</t>
  </si>
  <si>
    <t>0982480987</t>
  </si>
  <si>
    <t>許語安、許筑媛、謝彥昀</t>
  </si>
  <si>
    <t>0935546212</t>
  </si>
  <si>
    <t>81891</t>
  </si>
  <si>
    <t>李睦恆、李睦晨、張智媛</t>
  </si>
  <si>
    <t>0955680421</t>
  </si>
  <si>
    <t>林柏宇、林禹菲、葉恆、林承偉</t>
  </si>
  <si>
    <t>0954126337</t>
  </si>
  <si>
    <t>吳欣柔、卓思圻、侯志辰、葉恆</t>
  </si>
  <si>
    <t>0986793088</t>
  </si>
  <si>
    <t>吳栩寬、吳玳儀</t>
  </si>
  <si>
    <t>0962076541</t>
  </si>
  <si>
    <t>呂秉倢、呂秉澄</t>
  </si>
  <si>
    <t>0931754567</t>
  </si>
  <si>
    <t>楊鎧睿、楊子瑩</t>
  </si>
  <si>
    <t>0963296308</t>
  </si>
  <si>
    <t>21300</t>
  </si>
  <si>
    <t>AQ112472</t>
  </si>
  <si>
    <t>湯予馨、湯隆頡</t>
  </si>
  <si>
    <t>0966655666</t>
  </si>
  <si>
    <t>吳宥燊、林柏叡、葉宸希</t>
  </si>
  <si>
    <t>0920096096</t>
  </si>
  <si>
    <t>67006</t>
  </si>
  <si>
    <t>吳若郡、洪心妍、陳柏嘩</t>
  </si>
  <si>
    <t>0939301404</t>
  </si>
  <si>
    <t>梁宥炘、梁懷媗</t>
  </si>
  <si>
    <t>AQ0002</t>
  </si>
  <si>
    <t>吳紹齊、吳勗廷</t>
  </si>
  <si>
    <t>0920869138</t>
  </si>
  <si>
    <t>0000000000</t>
  </si>
  <si>
    <t>駱庭聿</t>
  </si>
  <si>
    <t>0900000005</t>
  </si>
  <si>
    <t>李軒、李聿</t>
  </si>
  <si>
    <t>0900000004</t>
  </si>
  <si>
    <t>李松穎、李松樺</t>
  </si>
  <si>
    <t>0900000006</t>
  </si>
  <si>
    <t>0936551588</t>
  </si>
  <si>
    <t>29160</t>
  </si>
  <si>
    <t>0939778079</t>
  </si>
  <si>
    <t>詹加靖、詹加右</t>
  </si>
  <si>
    <t>0937512688</t>
  </si>
  <si>
    <t>14850</t>
  </si>
  <si>
    <t>陳怡安、張心榕</t>
  </si>
  <si>
    <t>0976107080</t>
  </si>
  <si>
    <t>11520</t>
  </si>
  <si>
    <t>0912266611</t>
  </si>
  <si>
    <t>0932265839</t>
  </si>
  <si>
    <t>施羽禺、施宏澤</t>
  </si>
  <si>
    <t>0952117685</t>
  </si>
  <si>
    <t>郭柏岑、郭芸瑄、葉庭妤</t>
  </si>
  <si>
    <t>0937469019</t>
  </si>
  <si>
    <t>0956748223</t>
  </si>
  <si>
    <t>0910275948</t>
  </si>
  <si>
    <t>房磊、房樺</t>
  </si>
  <si>
    <t>0917111777</t>
  </si>
  <si>
    <t>53100</t>
  </si>
  <si>
    <t>0955742116</t>
  </si>
  <si>
    <t>曾昭誠、蔡逸程</t>
  </si>
  <si>
    <t>0910960516</t>
  </si>
  <si>
    <t>王允菲、王允晞、林妍喬、林思荺</t>
  </si>
  <si>
    <t>0920105812</t>
  </si>
  <si>
    <t>丁翊庭、丁梓洋、李欣桐</t>
  </si>
  <si>
    <t>0910917501</t>
  </si>
  <si>
    <t>47520</t>
  </si>
  <si>
    <t>0933377810</t>
  </si>
  <si>
    <t>12840</t>
  </si>
  <si>
    <t>吳雅薇、邱天</t>
  </si>
  <si>
    <t>0916760790</t>
  </si>
  <si>
    <t>28305</t>
  </si>
  <si>
    <t>李宇澤、莫翊芸、苑珺羽</t>
  </si>
  <si>
    <t>0951613799</t>
  </si>
  <si>
    <t>10935</t>
  </si>
  <si>
    <t>李宇澤、李宥莛</t>
  </si>
  <si>
    <t>0958717662</t>
  </si>
  <si>
    <t>邱唯晴、邱若穎</t>
  </si>
  <si>
    <t>0913666118</t>
  </si>
  <si>
    <t>109620</t>
  </si>
  <si>
    <t>AQ113031</t>
  </si>
  <si>
    <t>何樺亦</t>
  </si>
  <si>
    <t>0939912123</t>
  </si>
  <si>
    <t>林凡恩、林邵城、顧子琪</t>
  </si>
  <si>
    <t>0958889153</t>
  </si>
  <si>
    <t>顧子琪</t>
  </si>
  <si>
    <t>0926061999</t>
  </si>
  <si>
    <t>9300</t>
  </si>
  <si>
    <t>AQ113037</t>
  </si>
  <si>
    <t>0937896640</t>
  </si>
  <si>
    <t>0928500335</t>
  </si>
  <si>
    <t>20235</t>
  </si>
  <si>
    <t>陳信愷、楊雨樂、楊雨芯、張哲睿</t>
  </si>
  <si>
    <t>0908557606</t>
  </si>
  <si>
    <t>賴榆晞、賴榆翔</t>
  </si>
  <si>
    <t>0913090166</t>
  </si>
  <si>
    <t>0916333432</t>
  </si>
  <si>
    <t>131850</t>
  </si>
  <si>
    <t>江振瑋、朱厲瑋</t>
  </si>
  <si>
    <t>0987531721</t>
  </si>
  <si>
    <t>AQ113055</t>
  </si>
  <si>
    <t>書芮羚、吳珮瑄、陳思甯</t>
  </si>
  <si>
    <t>0939691004-2</t>
  </si>
  <si>
    <t>君芮羚、吳沛宣、陳思甯</t>
  </si>
  <si>
    <t>0939691004</t>
  </si>
  <si>
    <t>17100</t>
  </si>
  <si>
    <t>0902228252</t>
  </si>
  <si>
    <t>54993</t>
  </si>
  <si>
    <t>鍾羽婕</t>
  </si>
  <si>
    <t>0988562423</t>
  </si>
  <si>
    <t>18216</t>
  </si>
  <si>
    <t>王宏睿、王宏遠</t>
  </si>
  <si>
    <t>0933075099</t>
  </si>
  <si>
    <t>138240</t>
  </si>
  <si>
    <t>0919705056</t>
  </si>
  <si>
    <t>51750</t>
  </si>
  <si>
    <t>AQ113064</t>
  </si>
  <si>
    <t>09260619999</t>
  </si>
  <si>
    <t>0958224885</t>
  </si>
  <si>
    <t>64008</t>
  </si>
  <si>
    <t>0919543217</t>
  </si>
  <si>
    <t>李嘉宸、李柏筱、陳詠芯、陳詠安</t>
  </si>
  <si>
    <t>0987316117</t>
  </si>
  <si>
    <t>邱雅橙、邱承緒、霍禹碩</t>
  </si>
  <si>
    <t>0908072998</t>
  </si>
  <si>
    <t>981383938</t>
  </si>
  <si>
    <t>簡劭謙、簡言叡</t>
  </si>
  <si>
    <t>0922055158</t>
  </si>
  <si>
    <t>1400</t>
  </si>
  <si>
    <t>許書銘、林意珊</t>
  </si>
  <si>
    <t>0912148262</t>
  </si>
  <si>
    <t>許芮晞、陳思紜、李亦甯</t>
  </si>
  <si>
    <t>0911503032</t>
  </si>
  <si>
    <t>謝雨襄、謝雨芯</t>
  </si>
  <si>
    <t>0911221010</t>
  </si>
  <si>
    <t>41436</t>
  </si>
  <si>
    <t>0921387692</t>
  </si>
  <si>
    <t>73800</t>
  </si>
  <si>
    <t>楊昇翰、楊沅叡</t>
  </si>
  <si>
    <t>0926552248</t>
  </si>
  <si>
    <t>52950</t>
  </si>
  <si>
    <t>0939999253</t>
  </si>
  <si>
    <t>25416</t>
  </si>
  <si>
    <t>0910462117</t>
  </si>
  <si>
    <t>30222</t>
  </si>
  <si>
    <t>高維憶、蔡沛恩</t>
  </si>
  <si>
    <t>0927673831-1</t>
  </si>
  <si>
    <t>15300</t>
  </si>
  <si>
    <t>劉騏禎、劉嚴文</t>
  </si>
  <si>
    <t>0958715328</t>
  </si>
  <si>
    <t>93960</t>
  </si>
  <si>
    <t>林愷杰、張守君、李赫雅</t>
  </si>
  <si>
    <t>0922368644</t>
  </si>
  <si>
    <t>40095</t>
  </si>
  <si>
    <t>0932453663</t>
  </si>
  <si>
    <t>謝允昊、吳甯恩</t>
  </si>
  <si>
    <t>0983888731</t>
  </si>
  <si>
    <t>3600</t>
  </si>
  <si>
    <t>0911591190</t>
  </si>
  <si>
    <t>23232</t>
  </si>
  <si>
    <t>蔡玉珊、張語宸、蔡惠蘭</t>
  </si>
  <si>
    <t>0900000111</t>
  </si>
  <si>
    <t>0931393973</t>
  </si>
  <si>
    <t>0987427287</t>
  </si>
  <si>
    <t>40224</t>
  </si>
  <si>
    <t>0932460372</t>
  </si>
  <si>
    <t>邱聖軒、邱郁喬、邱郁晴</t>
  </si>
  <si>
    <t>0983390705</t>
  </si>
  <si>
    <t>0960625945</t>
  </si>
  <si>
    <t>39720</t>
  </si>
  <si>
    <t>0918062933</t>
  </si>
  <si>
    <t>0911501366</t>
  </si>
  <si>
    <t>張禹甯、張禹皓</t>
  </si>
  <si>
    <t>0963093938-2</t>
  </si>
  <si>
    <t>0975759723</t>
  </si>
  <si>
    <t>22693</t>
  </si>
  <si>
    <t>0912896786</t>
  </si>
  <si>
    <t>44100</t>
  </si>
  <si>
    <t>姚星佑、林楷恩</t>
  </si>
  <si>
    <t>0923113843</t>
  </si>
  <si>
    <t>63075</t>
  </si>
  <si>
    <t>0911143119</t>
  </si>
  <si>
    <t>158940</t>
  </si>
  <si>
    <t>呂庭攸、呂彥錞</t>
  </si>
  <si>
    <t>0989877026</t>
  </si>
  <si>
    <t>0953554707-1</t>
  </si>
  <si>
    <t>49680</t>
  </si>
  <si>
    <t>何詠晴、王心玄、王羽柔、王雨洛</t>
  </si>
  <si>
    <t>0955399966</t>
  </si>
  <si>
    <t>黃筠芯、黃浩展</t>
  </si>
  <si>
    <t>0909194141</t>
  </si>
  <si>
    <t>曾大瑀</t>
  </si>
  <si>
    <t>0913530325</t>
  </si>
  <si>
    <t>57960</t>
  </si>
  <si>
    <t>王歆雅、王俊叡、張滋芸、張瑀洋</t>
  </si>
  <si>
    <t>0918078738-1</t>
  </si>
  <si>
    <t>27600</t>
  </si>
  <si>
    <t>AQ113125-1</t>
  </si>
  <si>
    <t>0919347546</t>
  </si>
  <si>
    <t>39408</t>
  </si>
  <si>
    <t>0927520682</t>
  </si>
  <si>
    <t>0933025041-1</t>
  </si>
  <si>
    <t>李芊緹、林書妤</t>
  </si>
  <si>
    <t>0976711380-1</t>
  </si>
  <si>
    <t>簡睿賢、詹秉澄、詹凱茵</t>
  </si>
  <si>
    <t>0920180204</t>
  </si>
  <si>
    <t>45360</t>
  </si>
  <si>
    <t>梁宸瑞、許榕庭</t>
  </si>
  <si>
    <t>0956955880-1</t>
  </si>
  <si>
    <t>林昱昕、林永軒</t>
  </si>
  <si>
    <t>0910928157-1</t>
  </si>
  <si>
    <t>7650</t>
  </si>
  <si>
    <t>0977070365</t>
  </si>
  <si>
    <t>劉媛琬、郭詠涵、丁文洪、呂蕎希</t>
  </si>
  <si>
    <t>0931365060</t>
  </si>
  <si>
    <t>112142112142</t>
  </si>
  <si>
    <t>林邵城、林凡恩、梁宥忻、梁懷瑄</t>
  </si>
  <si>
    <t>AQ0004</t>
  </si>
  <si>
    <t>24480</t>
  </si>
  <si>
    <t>梁宥炘、林邵城、林凡恩</t>
  </si>
  <si>
    <t>AQ0003</t>
  </si>
  <si>
    <t>0936590062</t>
  </si>
  <si>
    <t>7700</t>
  </si>
  <si>
    <t>AQ113147</t>
  </si>
  <si>
    <t>0910288456</t>
  </si>
  <si>
    <t>方尹杏</t>
  </si>
  <si>
    <t>0984296589</t>
  </si>
  <si>
    <t>蔡云箴、蔡紹泉</t>
  </si>
  <si>
    <t>0932386894</t>
  </si>
  <si>
    <t>0920007000</t>
  </si>
  <si>
    <t>0916722198</t>
  </si>
  <si>
    <t>0972995028</t>
  </si>
  <si>
    <t>0963093938</t>
  </si>
  <si>
    <t>AQ113159</t>
  </si>
  <si>
    <t>賴仕斌、賴始鈞</t>
  </si>
  <si>
    <t>0937556926</t>
  </si>
  <si>
    <t>張若妍、張苒苒</t>
  </si>
  <si>
    <t>0937542161</t>
  </si>
  <si>
    <t>0939590106</t>
  </si>
  <si>
    <t>0955999311</t>
  </si>
  <si>
    <t>王瑞麟、王若權</t>
  </si>
  <si>
    <t>0910688530</t>
  </si>
  <si>
    <t>0975001701</t>
  </si>
  <si>
    <t>78660</t>
  </si>
  <si>
    <t>黃韋翔</t>
  </si>
  <si>
    <t>0912028648</t>
  </si>
  <si>
    <t>26865</t>
  </si>
  <si>
    <t>AQ113170</t>
  </si>
  <si>
    <t>林宇倫、葉恩勇</t>
  </si>
  <si>
    <t>0918899268</t>
  </si>
  <si>
    <t>0933054112</t>
  </si>
  <si>
    <t>AQ113177</t>
  </si>
  <si>
    <t>林宥葶、郭語桐</t>
  </si>
  <si>
    <t>0909125925</t>
  </si>
  <si>
    <t>AQ113178</t>
  </si>
  <si>
    <t>鄭秉宸、張詠甯</t>
  </si>
  <si>
    <t>0935897572</t>
  </si>
  <si>
    <t>0926598162</t>
  </si>
  <si>
    <t>高子晉、高敬凱、高茞風、高茞祖</t>
  </si>
  <si>
    <t>0958863006</t>
  </si>
  <si>
    <t>0902361129</t>
  </si>
  <si>
    <t>AQ113184</t>
  </si>
  <si>
    <t>賈沐書、蘇種寧、蘇重燁</t>
  </si>
  <si>
    <t>0911338706</t>
  </si>
  <si>
    <t>0922272517</t>
  </si>
  <si>
    <t>劉俊其、商玲玲</t>
  </si>
  <si>
    <t>0939278907</t>
  </si>
  <si>
    <t>承心凱、李尚安</t>
  </si>
  <si>
    <t>0958657336</t>
  </si>
  <si>
    <t>50401</t>
  </si>
  <si>
    <t>曾丞希、曾昶葳</t>
  </si>
  <si>
    <t>0937159190</t>
  </si>
  <si>
    <t>21825</t>
  </si>
  <si>
    <t>蔡子婕、蔡光宇</t>
  </si>
  <si>
    <t>0922590258</t>
  </si>
  <si>
    <t>鄭隆頡、張珮琦、張珮綾</t>
  </si>
  <si>
    <t>0921580921</t>
  </si>
  <si>
    <t>24840</t>
  </si>
  <si>
    <t>陳欣淋、黃歆捷、黃楷鈞</t>
  </si>
  <si>
    <t>0972803807</t>
  </si>
  <si>
    <t>32760</t>
  </si>
  <si>
    <t>0988835316</t>
  </si>
  <si>
    <t>0934130880</t>
  </si>
  <si>
    <t>0922117266</t>
  </si>
  <si>
    <t>0956955880</t>
  </si>
  <si>
    <t>紀奐宇、紀炫宇</t>
  </si>
  <si>
    <t>0933822113</t>
  </si>
  <si>
    <t>0922880984</t>
  </si>
  <si>
    <t>陳秉宏、陳軒宇</t>
  </si>
  <si>
    <t>0952468578</t>
  </si>
  <si>
    <t>0987048924</t>
  </si>
  <si>
    <t>黃宥捷、黃宥翔</t>
  </si>
  <si>
    <t>0921817509</t>
  </si>
  <si>
    <t>慧真、碧涵</t>
  </si>
  <si>
    <t>0952104288</t>
  </si>
  <si>
    <t>0973665687</t>
  </si>
  <si>
    <t>81000</t>
  </si>
  <si>
    <t>侯善媜、侯博恩</t>
  </si>
  <si>
    <t>0917979298</t>
  </si>
  <si>
    <t>0919553715</t>
  </si>
  <si>
    <t>44088</t>
  </si>
  <si>
    <t>李承禾、張睦矸、張睦訢、林昱昕</t>
  </si>
  <si>
    <t>0921919517</t>
  </si>
  <si>
    <t>王麗媜、王翊丞</t>
  </si>
  <si>
    <t>0928628132</t>
  </si>
  <si>
    <t>鐘昀芯、鐘秉燁</t>
  </si>
  <si>
    <t>0922639775</t>
  </si>
  <si>
    <t>28950</t>
  </si>
  <si>
    <t>賴宥安、蕭成允、蔡珺婷、蔡承綱、林豊軒</t>
  </si>
  <si>
    <t>0922989892</t>
  </si>
  <si>
    <t>31590</t>
  </si>
  <si>
    <t>0928227629</t>
  </si>
  <si>
    <t>3960</t>
  </si>
  <si>
    <t>0912790580</t>
  </si>
  <si>
    <t>2200</t>
  </si>
  <si>
    <t>楊博鈞、楊宸睿</t>
  </si>
  <si>
    <t>0908959328</t>
  </si>
  <si>
    <t>彭禹綸、李沂宸、李湘允、黃維霆</t>
  </si>
  <si>
    <t>0956353765</t>
  </si>
  <si>
    <t>陳柏瑜、陳柏銓</t>
  </si>
  <si>
    <t>0929701122</t>
  </si>
  <si>
    <t>0918884177</t>
  </si>
  <si>
    <t>54630</t>
  </si>
  <si>
    <t>吳采凌、吳俐妘</t>
  </si>
  <si>
    <t>0926366288-2</t>
  </si>
  <si>
    <t>13536</t>
  </si>
  <si>
    <t>陸彥婷、陸冠羽</t>
  </si>
  <si>
    <t>0921107905</t>
  </si>
  <si>
    <t>李思寬、李依倢</t>
  </si>
  <si>
    <t>091275514</t>
  </si>
  <si>
    <t>25344</t>
  </si>
  <si>
    <t>0953272736</t>
  </si>
  <si>
    <t>44430</t>
  </si>
  <si>
    <t>0938201890</t>
  </si>
  <si>
    <t>0958642117</t>
  </si>
  <si>
    <t>紀炫宇、張禹皓</t>
  </si>
  <si>
    <t>0963093398</t>
  </si>
  <si>
    <t>廖殷詰、雷昕融、廖桓語</t>
  </si>
  <si>
    <t>0920627698</t>
  </si>
  <si>
    <t>陳佳睿、陳益綸</t>
  </si>
  <si>
    <t>0922200632</t>
  </si>
  <si>
    <t>范亦菲、范亦喬</t>
  </si>
  <si>
    <t>0920326159</t>
  </si>
  <si>
    <t>7800</t>
  </si>
  <si>
    <t>楊曜榮、楊燦榮</t>
  </si>
  <si>
    <t>0955621258</t>
  </si>
  <si>
    <t>27630</t>
  </si>
  <si>
    <t>0939731473</t>
  </si>
  <si>
    <t>0933217417-2</t>
  </si>
  <si>
    <t>11000</t>
  </si>
  <si>
    <t>李予媗、王彥侖</t>
  </si>
  <si>
    <t>0910871023</t>
  </si>
  <si>
    <t>0939985581</t>
  </si>
  <si>
    <t>32295</t>
  </si>
  <si>
    <t>鄭睿瑄、鄭允泰</t>
  </si>
  <si>
    <t>0954026182</t>
  </si>
  <si>
    <t>0988163997</t>
  </si>
  <si>
    <t>0912540088</t>
  </si>
  <si>
    <t>陳甯熙、陳韋君</t>
  </si>
  <si>
    <t>0978911931</t>
  </si>
  <si>
    <t>黃云祺、徐筱涵</t>
  </si>
  <si>
    <t>0921866134</t>
  </si>
  <si>
    <t>黃佩雯、黃佩瑜、鄧詠云</t>
  </si>
  <si>
    <t>0982118948</t>
  </si>
  <si>
    <t>0928946657</t>
  </si>
  <si>
    <t>0909654903</t>
  </si>
  <si>
    <t>25740</t>
  </si>
  <si>
    <t>0932907705</t>
  </si>
  <si>
    <t>0921812164</t>
  </si>
  <si>
    <t>53070</t>
  </si>
  <si>
    <t>0926264668</t>
  </si>
  <si>
    <t>24300</t>
  </si>
  <si>
    <t>0919823051</t>
  </si>
  <si>
    <t>82800</t>
  </si>
  <si>
    <t>0926281670</t>
  </si>
  <si>
    <t>87030</t>
  </si>
  <si>
    <t>林新翰、林祐辰</t>
  </si>
  <si>
    <t>0912231255</t>
  </si>
  <si>
    <t>36000</t>
  </si>
  <si>
    <t>0987308814</t>
  </si>
  <si>
    <t>25035</t>
  </si>
  <si>
    <t>0937688888</t>
  </si>
  <si>
    <t>商班班、劉俊貝</t>
  </si>
  <si>
    <t>0968791009</t>
  </si>
  <si>
    <t>AQ113268</t>
  </si>
  <si>
    <t>陳宥安、陳宥甯</t>
  </si>
  <si>
    <t>0992042905</t>
  </si>
  <si>
    <t>091806864</t>
  </si>
  <si>
    <t>0955977624</t>
  </si>
  <si>
    <t>0912920563</t>
  </si>
  <si>
    <t>黃晨芯、簡晟安、李軒毅</t>
  </si>
  <si>
    <t>0937459789</t>
  </si>
  <si>
    <t>江言彩</t>
  </si>
  <si>
    <t>0930712206</t>
  </si>
  <si>
    <t>16020</t>
  </si>
  <si>
    <t>0953713335</t>
  </si>
  <si>
    <t>0952313083</t>
  </si>
  <si>
    <t>洪萱芛、洪以宸</t>
  </si>
  <si>
    <t>0933872983</t>
  </si>
  <si>
    <t>40860</t>
  </si>
  <si>
    <t>0953037197</t>
  </si>
  <si>
    <t>44160</t>
  </si>
  <si>
    <t>吳懿祐、吳禹承</t>
  </si>
  <si>
    <t>0928827113</t>
  </si>
  <si>
    <t>AQ113287</t>
  </si>
  <si>
    <t>0932908430</t>
  </si>
  <si>
    <t>0926164023</t>
  </si>
  <si>
    <t>0973533288</t>
  </si>
  <si>
    <t>24420</t>
  </si>
  <si>
    <t>0918068640</t>
  </si>
  <si>
    <t>51462</t>
  </si>
  <si>
    <t>0919617953</t>
  </si>
  <si>
    <t>18480</t>
  </si>
  <si>
    <t>0978071701</t>
  </si>
  <si>
    <t>34380</t>
  </si>
  <si>
    <t>王韻中、王珩燁</t>
  </si>
  <si>
    <t>0912127414</t>
  </si>
  <si>
    <t>23580</t>
  </si>
  <si>
    <t>杜瑀璇、杜瑀瑄</t>
  </si>
  <si>
    <t>0920052474</t>
  </si>
  <si>
    <t>0933136491</t>
  </si>
  <si>
    <t>23040</t>
  </si>
  <si>
    <t>0921932568</t>
  </si>
  <si>
    <t>0975178106</t>
  </si>
  <si>
    <t>AQ113299</t>
  </si>
  <si>
    <t>周雋��、汪庭妤</t>
  </si>
  <si>
    <t>0918078738</t>
  </si>
  <si>
    <t>0971858826</t>
  </si>
  <si>
    <t>吳子敬、吳昱辰、邱騏睿</t>
  </si>
  <si>
    <t>0912818552</t>
  </si>
  <si>
    <t>賴杰里</t>
  </si>
  <si>
    <t>0956888791</t>
  </si>
  <si>
    <t>48600</t>
  </si>
  <si>
    <t>賴嘉佑 賴柔昀 賴柔娜 林</t>
  </si>
  <si>
    <t>0972206526</t>
  </si>
  <si>
    <t>陳育媃、陳宥廷</t>
  </si>
  <si>
    <t>0912922986</t>
  </si>
  <si>
    <t>34110</t>
  </si>
  <si>
    <t>0908655831</t>
  </si>
  <si>
    <t>0972912533</t>
  </si>
  <si>
    <t>劉芷聿、劉承皓</t>
  </si>
  <si>
    <t>0910369779</t>
  </si>
  <si>
    <t>49050</t>
  </si>
  <si>
    <t>0933217417</t>
  </si>
  <si>
    <t>0953554707</t>
  </si>
  <si>
    <t>197640</t>
  </si>
  <si>
    <t>吳文凱</t>
  </si>
  <si>
    <t>0933018549</t>
  </si>
  <si>
    <t>0987046086</t>
  </si>
  <si>
    <t>0910368991</t>
  </si>
  <si>
    <t>顧子賢</t>
  </si>
  <si>
    <t>0976171313</t>
  </si>
  <si>
    <t>-400</t>
  </si>
  <si>
    <t>葉慕言</t>
  </si>
  <si>
    <t>0911886110</t>
  </si>
  <si>
    <t>陳若頤、陳格脩</t>
  </si>
  <si>
    <t>0903137057</t>
  </si>
  <si>
    <t>陳可霓、陳可勳</t>
  </si>
  <si>
    <t>0972912531</t>
  </si>
  <si>
    <t>17910</t>
  </si>
  <si>
    <t>0916008818</t>
  </si>
  <si>
    <t>52410</t>
  </si>
  <si>
    <t>0952668021</t>
  </si>
  <si>
    <t>31875</t>
  </si>
  <si>
    <t>林昕嬡、林侑廷</t>
  </si>
  <si>
    <t>0937027629</t>
  </si>
  <si>
    <t>42660</t>
  </si>
  <si>
    <t>楊坤、吳欣珣</t>
  </si>
  <si>
    <t>0933025041</t>
  </si>
  <si>
    <t>0928827113(1)</t>
  </si>
  <si>
    <t>45780</t>
  </si>
  <si>
    <t>0928827113(2)</t>
  </si>
  <si>
    <t>51060</t>
  </si>
  <si>
    <t>劉妍希、簡曖</t>
  </si>
  <si>
    <t>0939702466</t>
  </si>
  <si>
    <t>盧巧娣、盧震寰</t>
  </si>
  <si>
    <t>0911106558</t>
  </si>
  <si>
    <t>0952554242</t>
  </si>
  <si>
    <t>林子晴、林芊帆</t>
  </si>
  <si>
    <t>0919982200</t>
  </si>
  <si>
    <t>127440</t>
  </si>
  <si>
    <t>09933822113</t>
  </si>
  <si>
    <t>0912527224</t>
  </si>
  <si>
    <t>葉晨曦、葉尋曦</t>
  </si>
  <si>
    <t>0921173254</t>
  </si>
  <si>
    <t>091127938</t>
  </si>
  <si>
    <t>林序衡、張詠晴</t>
  </si>
  <si>
    <t>0910464016</t>
  </si>
  <si>
    <t>0955171617</t>
  </si>
  <si>
    <t>113850</t>
  </si>
  <si>
    <t>廖席婕、陳芊雅、陳璿旭</t>
  </si>
  <si>
    <t>0973200395</t>
  </si>
  <si>
    <t>34920</t>
  </si>
  <si>
    <t>陳冠瑜、陳威綸、章綵育</t>
  </si>
  <si>
    <t>1331170980</t>
  </si>
  <si>
    <t>陳俊孝、童研、童禹</t>
  </si>
  <si>
    <t>0921991299</t>
  </si>
  <si>
    <t>100095</t>
  </si>
  <si>
    <t>李泯澈、許宸瑀、高睿言</t>
  </si>
  <si>
    <t>0918081552</t>
  </si>
  <si>
    <t>0981145800</t>
  </si>
  <si>
    <t>55710</t>
  </si>
  <si>
    <t>林雅玟、廖庭誼、廖錦鋐</t>
  </si>
  <si>
    <t>0960755204</t>
  </si>
  <si>
    <t>126816</t>
  </si>
  <si>
    <t>關弘毅、謝沛晴</t>
  </si>
  <si>
    <t>0926939361</t>
  </si>
  <si>
    <t>49230</t>
  </si>
  <si>
    <t>林陽璿、林湛萱</t>
  </si>
  <si>
    <t>0935666519</t>
  </si>
  <si>
    <t>洪宥曦、洪宥恩</t>
  </si>
  <si>
    <t>0928700918-1</t>
  </si>
  <si>
    <t>0911873283</t>
  </si>
  <si>
    <t>王瑄翎、王皓正</t>
  </si>
  <si>
    <t>0926234093-1</t>
  </si>
  <si>
    <t>陳柏安、譚宗昀、陳瑀樂、陳瑀柔</t>
  </si>
  <si>
    <t>0916936293</t>
  </si>
  <si>
    <t>0917535398</t>
  </si>
  <si>
    <t>0922953465</t>
  </si>
  <si>
    <t>陳建富、詹婷羽</t>
  </si>
  <si>
    <t>0988657977</t>
  </si>
  <si>
    <t>0933092699</t>
  </si>
  <si>
    <t>41760</t>
  </si>
  <si>
    <t>0919935580</t>
  </si>
  <si>
    <t>13035</t>
  </si>
  <si>
    <t>林紹彥、林筱芙</t>
  </si>
  <si>
    <t>0958215015</t>
  </si>
  <si>
    <t>0912274026</t>
  </si>
  <si>
    <t>張睦訢、林昱昕、李承禾</t>
  </si>
  <si>
    <t>0910928157</t>
  </si>
  <si>
    <t>謝楹茹、謝雨瞳、謝誠翔</t>
  </si>
  <si>
    <t>0908258168</t>
  </si>
  <si>
    <t>0975395989</t>
  </si>
  <si>
    <t>吳佳佑、吳青玥、廖予彤、施喬欣</t>
  </si>
  <si>
    <t>0975205094</t>
  </si>
  <si>
    <t>林典嬡、林加叡</t>
  </si>
  <si>
    <t>0970061461</t>
  </si>
  <si>
    <t>蕭成允、蔡珺婷、蔡承綱、林豊軒</t>
  </si>
  <si>
    <t>1131208</t>
  </si>
  <si>
    <t>葉彩彤、葉宥騏</t>
  </si>
  <si>
    <t>0952967789</t>
  </si>
  <si>
    <t>陳俊孝、黃采綺、童研、童禹</t>
  </si>
  <si>
    <t>0919176532</t>
  </si>
  <si>
    <t>20304</t>
  </si>
  <si>
    <t>洪靖勝、羅奕昕、羅翊勛、林榆展</t>
  </si>
  <si>
    <t>0912231047</t>
  </si>
  <si>
    <t>0918325831</t>
  </si>
  <si>
    <t>31704</t>
  </si>
  <si>
    <t>黃鎧逸、黃鎧蒂</t>
  </si>
  <si>
    <t>0933819916</t>
  </si>
  <si>
    <t>0926234093</t>
  </si>
  <si>
    <t>21960</t>
  </si>
  <si>
    <t>0926243093(1)</t>
  </si>
  <si>
    <t>吳若郡、黃詩函</t>
  </si>
  <si>
    <t>AQ0023</t>
  </si>
  <si>
    <t>戴子瑜、林予翔</t>
  </si>
  <si>
    <t>0937639739</t>
  </si>
  <si>
    <t>28080</t>
  </si>
  <si>
    <t>0955677899</t>
  </si>
  <si>
    <t>許純瑋、陳俊穆、陳柏修、陳雨希</t>
  </si>
  <si>
    <t>0988553161</t>
  </si>
  <si>
    <t>0937027629(1)</t>
  </si>
  <si>
    <t>1500</t>
  </si>
  <si>
    <t>鍾昀芯、蘇妍芸、鄭妍安、陳柏愷、陳怡婷</t>
  </si>
  <si>
    <t>0927233487</t>
  </si>
  <si>
    <t>12150</t>
  </si>
  <si>
    <t>蔡菲芸、蔡孟萱、朱育萱、陳柏叡、王羽賢</t>
  </si>
  <si>
    <t>0989015781</t>
  </si>
  <si>
    <t>陳良諺、陳洛妍</t>
  </si>
  <si>
    <t>0916260953</t>
  </si>
  <si>
    <t>AQ113588</t>
  </si>
  <si>
    <t>紀奐宇、紀炫宇、張禹甯、張禹皓、葉禹儂</t>
  </si>
  <si>
    <t>0963093939-3</t>
  </si>
  <si>
    <t>07050422</t>
  </si>
  <si>
    <t>劉承浩、劉芷聿、周秀蓁</t>
  </si>
  <si>
    <t>0910369779(1)</t>
  </si>
  <si>
    <t>張岦語、陳筱婷</t>
  </si>
  <si>
    <t>0920839382</t>
  </si>
  <si>
    <t>蔡沛倫、余依宸</t>
  </si>
  <si>
    <t>0900000981</t>
  </si>
  <si>
    <t>林新翰、林佑辰</t>
  </si>
  <si>
    <t>0919787983</t>
  </si>
  <si>
    <t>林婕縈、陳奕齊</t>
  </si>
  <si>
    <t>0916023383</t>
  </si>
  <si>
    <t>王愷鑫、王星陽</t>
  </si>
  <si>
    <t>0980465708</t>
  </si>
  <si>
    <t>34245</t>
  </si>
  <si>
    <t>0926066162</t>
  </si>
  <si>
    <t>陳柏勳、陳秉睿、周庭安、周宥廷</t>
  </si>
  <si>
    <t>0919563697</t>
  </si>
  <si>
    <t>葉哲綸、葉子瑜</t>
  </si>
  <si>
    <t>0918352996</t>
  </si>
  <si>
    <t>33180</t>
  </si>
  <si>
    <t>0910000000</t>
  </si>
  <si>
    <t>葉禹儂、潘禹喬、紀煥宇、張禹甯</t>
  </si>
  <si>
    <t>0963093938-1</t>
  </si>
  <si>
    <t>謝修有、謝修平、楊振典、楊光</t>
  </si>
  <si>
    <t>0988853130</t>
  </si>
  <si>
    <t>陳采樂、陳令亞、林睿澤</t>
  </si>
  <si>
    <t>0915143585</t>
  </si>
  <si>
    <t>詹采婕、江欣庭</t>
  </si>
  <si>
    <t>0978523683</t>
  </si>
  <si>
    <t>0905603900</t>
  </si>
  <si>
    <t>蕭予辰、蕭予佟</t>
  </si>
  <si>
    <t>0920300357</t>
  </si>
  <si>
    <t>鐘子皓</t>
  </si>
  <si>
    <t>0933777240</t>
  </si>
  <si>
    <t>14055</t>
  </si>
  <si>
    <t>金璽悅、金璽樂</t>
  </si>
  <si>
    <t>0938275670</t>
  </si>
  <si>
    <t>41550</t>
  </si>
  <si>
    <t>0910895622</t>
  </si>
  <si>
    <t>林資彤、林資浩</t>
  </si>
  <si>
    <t>0988922836</t>
  </si>
  <si>
    <t>21750</t>
  </si>
  <si>
    <t>陳星宇、陳昱霏</t>
  </si>
  <si>
    <t>0976556212</t>
  </si>
  <si>
    <t>0910963339</t>
  </si>
  <si>
    <t>33630</t>
  </si>
  <si>
    <t>AQ1140129</t>
  </si>
  <si>
    <t>邱雅澄、邱承緒、霍禹碩、陳昱潔</t>
  </si>
  <si>
    <t>0988030739</t>
  </si>
  <si>
    <t>謝可祺、涂瑩暄</t>
  </si>
  <si>
    <t>0961212771</t>
  </si>
  <si>
    <t>47800</t>
  </si>
  <si>
    <t>0918008574</t>
  </si>
  <si>
    <t>21210</t>
  </si>
  <si>
    <t>吳奕威、吳宜珊</t>
  </si>
  <si>
    <t>0958631638</t>
  </si>
  <si>
    <t>侯治辰、洪靖傑</t>
  </si>
  <si>
    <t>0918201818</t>
  </si>
  <si>
    <t>許德豐、許青雲</t>
  </si>
  <si>
    <t>0932242332</t>
  </si>
  <si>
    <t>李育騏、竇聆端</t>
  </si>
  <si>
    <t>0955447959</t>
  </si>
  <si>
    <t>0933822113-1</t>
  </si>
  <si>
    <t>楊昇翰 楊浣叡 Aden</t>
  </si>
  <si>
    <t>0958267292</t>
  </si>
  <si>
    <t>0926366288</t>
  </si>
  <si>
    <t>李昱緯、李昱融</t>
  </si>
  <si>
    <t>0966592620</t>
  </si>
  <si>
    <t>高維憶、蔡沛恩、徐裕翔、徐華憶</t>
  </si>
  <si>
    <t>0927673831</t>
  </si>
  <si>
    <t>20800</t>
  </si>
  <si>
    <t>徐慶興、徐立恩</t>
  </si>
  <si>
    <t>0921929959</t>
  </si>
  <si>
    <t>22350</t>
  </si>
  <si>
    <t>劉家銘、黃宥恩</t>
  </si>
  <si>
    <t>0933826476</t>
  </si>
  <si>
    <t>張佳雯、楊恆宇</t>
  </si>
  <si>
    <t>0935676683</t>
  </si>
  <si>
    <t>林世偉、林豊軒、林豊翔</t>
  </si>
  <si>
    <t>0952058379</t>
  </si>
  <si>
    <t>0952899767</t>
  </si>
  <si>
    <t>AQ114052</t>
  </si>
  <si>
    <t>李敔仝、李昕娮</t>
  </si>
  <si>
    <t>0919590018</t>
  </si>
  <si>
    <t>張峰源、張博媛</t>
  </si>
  <si>
    <t>0965322117</t>
  </si>
  <si>
    <t>15825</t>
  </si>
  <si>
    <t>黃筱媛、黃毓喬</t>
  </si>
  <si>
    <t>0972103256</t>
  </si>
  <si>
    <t>30225</t>
  </si>
  <si>
    <t>顏采曦、顏冠丞</t>
  </si>
  <si>
    <t>0937215418</t>
  </si>
  <si>
    <t>15150</t>
  </si>
  <si>
    <t>陳宏亮、陳宛琳</t>
  </si>
  <si>
    <t>0988259860</t>
  </si>
  <si>
    <t>郭仲恩、郭品彤</t>
  </si>
  <si>
    <t>0980067105</t>
  </si>
  <si>
    <t>0922852004</t>
  </si>
  <si>
    <t>游以晨、游宥辰</t>
  </si>
  <si>
    <t>0976763318</t>
  </si>
  <si>
    <t>41040</t>
  </si>
  <si>
    <t>施喬欣、江秉駿、江佩蓁</t>
  </si>
  <si>
    <t>0928516113</t>
  </si>
  <si>
    <t>46530</t>
  </si>
  <si>
    <t>李彥妤、李彥辰</t>
  </si>
  <si>
    <t>0981398589</t>
  </si>
  <si>
    <t>-4150</t>
  </si>
  <si>
    <t>陳瑀希、陳歆蕎</t>
  </si>
  <si>
    <t>0989026921</t>
  </si>
  <si>
    <t>0933055618</t>
  </si>
  <si>
    <t>顏宥家、顏亦彤</t>
  </si>
  <si>
    <t>0980674730</t>
  </si>
  <si>
    <t>陳禹甯、翁楷玹、翁楷淳</t>
  </si>
  <si>
    <t>0953070855</t>
  </si>
  <si>
    <t>21150</t>
  </si>
  <si>
    <t>趙子翊、趙沛縈</t>
  </si>
  <si>
    <t>0917631641</t>
  </si>
  <si>
    <t>22700</t>
  </si>
  <si>
    <t>陳奕璇、陳佳欣</t>
  </si>
  <si>
    <t>0987586782</t>
  </si>
  <si>
    <t>0920310727</t>
  </si>
  <si>
    <t>0937786189</t>
  </si>
  <si>
    <t>吳昱辰、吳子敬</t>
  </si>
  <si>
    <t>0910737371</t>
  </si>
  <si>
    <t>0980465708-1</t>
  </si>
  <si>
    <t>Arina Jeffers  Louisa Jef</t>
  </si>
  <si>
    <t>0979125614</t>
  </si>
  <si>
    <t>AQ1140801</t>
  </si>
  <si>
    <t>張容瑄／張容榛／張容嘉</t>
  </si>
  <si>
    <t>０９３２５０２５３８</t>
  </si>
  <si>
    <t>游聿宸</t>
  </si>
  <si>
    <t>0925385363</t>
  </si>
  <si>
    <t>陳紘峻、陳湘尼</t>
  </si>
  <si>
    <t>0912028677</t>
  </si>
  <si>
    <t>0955555219</t>
  </si>
  <si>
    <t>李品鋐、李品叡</t>
  </si>
  <si>
    <t>0937503938</t>
  </si>
  <si>
    <t>65775</t>
  </si>
  <si>
    <t>蔡姍諭、蔡萱螢</t>
  </si>
  <si>
    <t>0975535719-2</t>
  </si>
  <si>
    <t>廖宥綺、劉倩宇</t>
  </si>
  <si>
    <t>0952201131</t>
  </si>
  <si>
    <t>蘇雨、凌依欣、張若帆</t>
  </si>
  <si>
    <t>0978401922</t>
  </si>
  <si>
    <t>蕭予辰、蕭宇佟</t>
  </si>
  <si>
    <t>0965122697</t>
  </si>
  <si>
    <t>0928976145</t>
  </si>
  <si>
    <t>謝心綺、吳姚葦、何申令、林相羽</t>
  </si>
  <si>
    <t>0927088317</t>
  </si>
  <si>
    <t>0937022613</t>
  </si>
  <si>
    <t>0920030498</t>
  </si>
  <si>
    <t>陳宥博、黃聿緯</t>
  </si>
  <si>
    <t>0909576332</t>
  </si>
  <si>
    <t>0921991299-1</t>
  </si>
  <si>
    <t>0933874768</t>
  </si>
  <si>
    <t>0932148373</t>
  </si>
  <si>
    <t>0921358153</t>
  </si>
  <si>
    <t>AQ11411222</t>
  </si>
  <si>
    <t>09280119899</t>
  </si>
  <si>
    <t>吳昱緯、吳思璇</t>
  </si>
  <si>
    <t>0975797779</t>
  </si>
  <si>
    <t>蘇重寧、蘇重燁</t>
  </si>
  <si>
    <t>0911338706-1</t>
  </si>
  <si>
    <t>曾韋又、吳衍霆</t>
  </si>
  <si>
    <t>0911553715</t>
  </si>
  <si>
    <t>AQ114128</t>
  </si>
  <si>
    <t>0937215418-1</t>
  </si>
  <si>
    <t>Mia林  Reed林</t>
  </si>
  <si>
    <t>0966236683</t>
  </si>
  <si>
    <t>4500</t>
  </si>
  <si>
    <t>AQ114148</t>
  </si>
  <si>
    <t>0918884177-1</t>
  </si>
  <si>
    <t>康薰尹、康宸瑄、康祐瑄</t>
  </si>
  <si>
    <t>0920352108</t>
  </si>
  <si>
    <t>林欣彤、洪宇蓁</t>
  </si>
  <si>
    <t>0926754498</t>
  </si>
  <si>
    <t>王宏遠、王紘軒</t>
  </si>
  <si>
    <t>546544</t>
  </si>
  <si>
    <t>10260</t>
  </si>
  <si>
    <t>蔡姍諭、蔡萱螢、詹博森</t>
  </si>
  <si>
    <t>0975535719</t>
  </si>
  <si>
    <t>0917395316</t>
  </si>
  <si>
    <t>AQ114156</t>
  </si>
  <si>
    <t>詹婷羽、陳建富</t>
  </si>
  <si>
    <t>0911270355</t>
  </si>
  <si>
    <t>劉苡萱、李依球</t>
  </si>
  <si>
    <t>0972205824</t>
  </si>
  <si>
    <t>李承達、李欣芮、楊忠穎</t>
  </si>
  <si>
    <t>0955333911</t>
  </si>
  <si>
    <t>林宸銘、林宸瑋</t>
  </si>
  <si>
    <t>0932984961</t>
  </si>
  <si>
    <t>26508</t>
  </si>
  <si>
    <t>0983818899</t>
  </si>
  <si>
    <t>46920</t>
  </si>
  <si>
    <t>AQ114713</t>
  </si>
  <si>
    <t>0958631638-1</t>
  </si>
  <si>
    <t>朱家儀、江霖睿</t>
  </si>
  <si>
    <t>0937966481</t>
  </si>
  <si>
    <t>邱彥澤、邱亮瑜</t>
  </si>
  <si>
    <t>0933073831</t>
  </si>
  <si>
    <t>李舒雅、林睿哲</t>
  </si>
  <si>
    <t>29717663</t>
  </si>
  <si>
    <t>0960719183</t>
  </si>
  <si>
    <t>23510</t>
  </si>
  <si>
    <t>張容瑄、張容榛、張容嘉</t>
  </si>
  <si>
    <t>0932502538</t>
  </si>
  <si>
    <t>吳文瑄、吳庭皜</t>
  </si>
  <si>
    <t>0975372886</t>
  </si>
  <si>
    <t>49675</t>
  </si>
  <si>
    <t>0955333911-1</t>
  </si>
  <si>
    <t>34650</t>
  </si>
  <si>
    <t>AQ11500500</t>
  </si>
  <si>
    <t>蔡欣倢、謝艾臻</t>
  </si>
  <si>
    <t>0953339349</t>
  </si>
  <si>
    <t>高尚銓</t>
  </si>
  <si>
    <t>0970217777</t>
  </si>
  <si>
    <t>張皓然、張禹晴</t>
  </si>
  <si>
    <t>0918491807</t>
  </si>
  <si>
    <t>0935697263</t>
  </si>
  <si>
    <t>22980</t>
  </si>
  <si>
    <t>林書妤、林書慧、林妤庭</t>
  </si>
  <si>
    <t>0979117563</t>
  </si>
  <si>
    <t>5280</t>
  </si>
  <si>
    <t>0926874779</t>
  </si>
  <si>
    <t>0933100629</t>
  </si>
  <si>
    <t>0987169385</t>
  </si>
  <si>
    <t>李長朔、廖辰佑、黃唯宸</t>
  </si>
  <si>
    <t>0952668021-1</t>
  </si>
  <si>
    <t>張天耀、張竣博、葉修睿</t>
  </si>
  <si>
    <t>0911281961</t>
  </si>
  <si>
    <t>徐雨禾、徐雨希</t>
  </si>
  <si>
    <t>0956100596</t>
  </si>
  <si>
    <t>10150</t>
  </si>
  <si>
    <t>陳韋君、陳甯熙、陳韋靜</t>
  </si>
  <si>
    <t>0978911931-1</t>
  </si>
  <si>
    <t>0955881908</t>
  </si>
  <si>
    <t>黃妍甯、溫苡捷、吳宇宸、李忻豪</t>
  </si>
  <si>
    <t>0908123188</t>
  </si>
  <si>
    <t>0987575668</t>
  </si>
  <si>
    <t>周子菲、周穆妍、蔡昀宸、蔡孟宸</t>
  </si>
  <si>
    <t>0912942537</t>
  </si>
  <si>
    <t>周品言</t>
  </si>
  <si>
    <t>0933252667</t>
  </si>
  <si>
    <t>林承斌、林奕騰</t>
  </si>
  <si>
    <t>0920199953</t>
  </si>
  <si>
    <t>7050</t>
  </si>
  <si>
    <t>邱承緒、邱雅橙</t>
  </si>
  <si>
    <t>0937190623</t>
  </si>
  <si>
    <t>吳苡涵、吳亦杰</t>
  </si>
  <si>
    <t>0921972657</t>
  </si>
  <si>
    <t>0981688883</t>
  </si>
  <si>
    <t>郭宸皓、李洛瑀</t>
  </si>
  <si>
    <t>0936852475</t>
  </si>
  <si>
    <t>AQ115518</t>
  </si>
  <si>
    <t>王靖翔、王晨宇、楊承澔、蔡羽柔</t>
  </si>
  <si>
    <t>0936088329</t>
  </si>
  <si>
    <t>陳旼、余鎧婕、余宥安</t>
  </si>
  <si>
    <t>0919222678</t>
  </si>
  <si>
    <t>0988671173</t>
  </si>
  <si>
    <t>19872</t>
  </si>
  <si>
    <t>0983724286</t>
  </si>
  <si>
    <t>10903</t>
  </si>
  <si>
    <t>林美君、蘇峻騏、丁詳恩</t>
  </si>
  <si>
    <t>0931143094</t>
  </si>
  <si>
    <t>38250</t>
  </si>
  <si>
    <t>BQ109244</t>
  </si>
  <si>
    <t>曹莞馨、朱瑤珊</t>
  </si>
  <si>
    <t>0944221899</t>
  </si>
  <si>
    <t>BQ109335</t>
  </si>
  <si>
    <t>劉祐嘉</t>
  </si>
  <si>
    <t>109335109335</t>
  </si>
  <si>
    <t>曾策希、曾策昕</t>
  </si>
  <si>
    <t>KU85701064</t>
  </si>
  <si>
    <t>楊竣尹、周鈺尹、周鈺岑</t>
  </si>
  <si>
    <t>MQ28949513</t>
  </si>
  <si>
    <t>BQ111039</t>
  </si>
  <si>
    <t>陳梓葶、陳梓儀、王詠竣</t>
  </si>
  <si>
    <t>DE61539407</t>
  </si>
  <si>
    <t>陳子晹、林子浚</t>
  </si>
  <si>
    <t>0000</t>
  </si>
  <si>
    <t>余承哲、余依宸</t>
  </si>
  <si>
    <t>FK04437416</t>
  </si>
  <si>
    <t>BQ11147</t>
  </si>
  <si>
    <t>DE61540940</t>
  </si>
  <si>
    <t>0963558221</t>
  </si>
  <si>
    <t>黃崢豪、黃梓豪、陳則語、陳則希</t>
  </si>
  <si>
    <t>0928360770</t>
  </si>
  <si>
    <t>21888</t>
  </si>
  <si>
    <t>蔡宜秀、蔡叡昀</t>
  </si>
  <si>
    <t>VS41885835</t>
  </si>
  <si>
    <t>0988445112</t>
  </si>
  <si>
    <t>0989022869</t>
  </si>
  <si>
    <t>100560</t>
  </si>
  <si>
    <t>陳禾宸</t>
  </si>
  <si>
    <t>0982880886</t>
  </si>
  <si>
    <t>45000</t>
  </si>
  <si>
    <t>楊祉洁、楊胤淮</t>
  </si>
  <si>
    <t>0957456713</t>
  </si>
  <si>
    <t>賴姵妡、賴姵縈</t>
  </si>
  <si>
    <t>0920753702</t>
  </si>
  <si>
    <t>吳禹樂、吳宇辰</t>
  </si>
  <si>
    <t>0911255987</t>
  </si>
  <si>
    <t>0937947965</t>
  </si>
  <si>
    <t>郭芯嘉、郭芊妘</t>
  </si>
  <si>
    <t>0987560315</t>
  </si>
  <si>
    <t>李昀樂、李昀芮</t>
  </si>
  <si>
    <t>0926338939</t>
  </si>
  <si>
    <t>6100</t>
  </si>
  <si>
    <t>謝丞富、林俋岑、郭向崴</t>
  </si>
  <si>
    <t>0983048732</t>
  </si>
  <si>
    <t>1650</t>
  </si>
  <si>
    <t>BQ新北家教</t>
  </si>
  <si>
    <t>謝秉維</t>
  </si>
  <si>
    <t>0932207728</t>
  </si>
  <si>
    <t>張宥璘、張宏燦、張仲軒</t>
  </si>
  <si>
    <t>112009112009</t>
  </si>
  <si>
    <t>林小萍、曾士修、曾喬歆、曾偉宸</t>
  </si>
  <si>
    <t>0933883158</t>
  </si>
  <si>
    <t>33600</t>
  </si>
  <si>
    <t>102/04/04</t>
  </si>
  <si>
    <t>0921935005</t>
  </si>
  <si>
    <t>許允衫、許丞濬</t>
  </si>
  <si>
    <t>0933047757</t>
  </si>
  <si>
    <t>0955793016</t>
  </si>
  <si>
    <t>0939727327</t>
  </si>
  <si>
    <t>趙正浩、趙正安</t>
  </si>
  <si>
    <t>0915305335</t>
  </si>
  <si>
    <t>許峻祥、許仲凱</t>
  </si>
  <si>
    <t>0926176798</t>
  </si>
  <si>
    <t>0976794019</t>
  </si>
  <si>
    <t>劉俊廣、李翌氶、蔡齊彧</t>
  </si>
  <si>
    <t>0930954321</t>
  </si>
  <si>
    <t>陳宥熹、羅勻希、羅予亨</t>
  </si>
  <si>
    <t>0920468073</t>
  </si>
  <si>
    <t>吳奕萬、郭閔誠、劉彥誠</t>
  </si>
  <si>
    <t>0972335371</t>
  </si>
  <si>
    <t>0978726876</t>
  </si>
  <si>
    <t>67631775</t>
  </si>
  <si>
    <t>0908553878</t>
  </si>
  <si>
    <t>33480</t>
  </si>
  <si>
    <t>CQ1135811</t>
  </si>
  <si>
    <t>李品嫻、曾浚瑜</t>
  </si>
  <si>
    <t>60615921</t>
  </si>
  <si>
    <t>許少綸、許紘睿、黃愷宸</t>
  </si>
  <si>
    <t>0919438560-1</t>
  </si>
  <si>
    <t>許少綸、許紘睿、黃愷宸、張昱藤、張芸岑</t>
  </si>
  <si>
    <t>0919438560-2</t>
  </si>
  <si>
    <t>莊威則、莊子頎、吳品樺</t>
  </si>
  <si>
    <t>0952176277</t>
  </si>
  <si>
    <t>簡愷均、簡楷桀、陳泓宇、陳彥希、方睿德</t>
  </si>
  <si>
    <t>0910817610</t>
  </si>
  <si>
    <t>39000</t>
  </si>
  <si>
    <t>0911502818</t>
  </si>
  <si>
    <t>0952188415</t>
  </si>
  <si>
    <t>郭秀琪、郭信菲、郭子娟</t>
  </si>
  <si>
    <t>0921841236</t>
  </si>
  <si>
    <t>0952986590-1</t>
  </si>
  <si>
    <t>彭禹綸、李沂宸、李湘允、廖思嘉、黃維霆</t>
  </si>
  <si>
    <t>0911201071</t>
  </si>
  <si>
    <t>0928599295</t>
  </si>
  <si>
    <t>陳君宜、陳佳琪</t>
  </si>
  <si>
    <t>0915100949</t>
  </si>
  <si>
    <t>1080</t>
  </si>
  <si>
    <t>吳秀美、林瑋勵</t>
  </si>
  <si>
    <t>0958219319</t>
  </si>
  <si>
    <t>陳品橦、魏晨伊、魏郁芯</t>
  </si>
  <si>
    <t>0927294690-1</t>
  </si>
  <si>
    <t>陳品橦、魏晨伊、魏郁芯、莊沛穎</t>
  </si>
  <si>
    <t>0927294690</t>
  </si>
  <si>
    <t>張又中</t>
  </si>
  <si>
    <t>0975766527</t>
  </si>
  <si>
    <t>李以樂、連予曦</t>
  </si>
  <si>
    <t>0955883271-1</t>
  </si>
  <si>
    <t>林宸麒、林芷瀅</t>
  </si>
  <si>
    <t>0915588058</t>
  </si>
  <si>
    <t>鄭丞希、鄭丞傑</t>
  </si>
  <si>
    <t>0952213533</t>
  </si>
  <si>
    <t>王晏翎、王郁寧</t>
  </si>
  <si>
    <t>0958326055</t>
  </si>
  <si>
    <t>28500</t>
  </si>
  <si>
    <t>邱詠暄、許菲恩、邱創偉、許瑞和</t>
  </si>
  <si>
    <t>0952709408</t>
  </si>
  <si>
    <t>34800</t>
  </si>
  <si>
    <t>陳巧穎、陳巧韻</t>
  </si>
  <si>
    <t>0936806080</t>
  </si>
  <si>
    <t>0900099919</t>
  </si>
  <si>
    <t>80385</t>
  </si>
  <si>
    <t>吳宥嫻、吳晞玄</t>
  </si>
  <si>
    <t>0953964779</t>
  </si>
  <si>
    <t>36750</t>
  </si>
  <si>
    <t>CQ114215</t>
  </si>
  <si>
    <t>0952183351-1</t>
  </si>
  <si>
    <t>0937455054</t>
  </si>
  <si>
    <t>陳語熙、陳浩之</t>
  </si>
  <si>
    <t>0919869239</t>
  </si>
  <si>
    <t>0920191619</t>
  </si>
  <si>
    <t>22038</t>
  </si>
  <si>
    <t>賀千毓、姚傑仁、姚品宏</t>
  </si>
  <si>
    <t>0983220852</t>
  </si>
  <si>
    <t>李可瑜、吳婧羽</t>
  </si>
  <si>
    <t>0970977986</t>
  </si>
  <si>
    <t>張鈞翔、張庭輔、陳竑傑</t>
  </si>
  <si>
    <t>0932347971</t>
  </si>
  <si>
    <t>0932313641</t>
  </si>
  <si>
    <t>0928514787-1</t>
  </si>
  <si>
    <t>林煦、鄭芃芸、褚弘旭</t>
  </si>
  <si>
    <t>0955125822</t>
  </si>
  <si>
    <t>蘇宥豪、蘇亭瑜</t>
  </si>
  <si>
    <t>0910137086</t>
  </si>
  <si>
    <t>王子妤、王子琦</t>
  </si>
  <si>
    <t>0918677822</t>
  </si>
  <si>
    <t>19680</t>
  </si>
  <si>
    <t>魏晨伊、郁芯、佩穎</t>
  </si>
  <si>
    <t>0928424722</t>
  </si>
  <si>
    <t>19206</t>
  </si>
  <si>
    <t>0972384546</t>
  </si>
  <si>
    <t>11760</t>
  </si>
  <si>
    <t>吳少宇、吳少凱</t>
  </si>
  <si>
    <t>0963082598</t>
  </si>
  <si>
    <t>0922113206</t>
  </si>
  <si>
    <t>廖翌昂、廖翌晴</t>
  </si>
  <si>
    <t>0920191619-1</t>
  </si>
  <si>
    <t>陳牧楷、陳洧婕、魏晞羽</t>
  </si>
  <si>
    <t>0939108859-1</t>
  </si>
  <si>
    <t>莊子頎、吳品樺</t>
  </si>
  <si>
    <t>0952176277-2</t>
  </si>
  <si>
    <t>陳致睿、李毓菲、廖芷萱、廖昱曘</t>
  </si>
  <si>
    <t>0960534655</t>
  </si>
  <si>
    <t>王洛澄、鄭涵菲</t>
  </si>
  <si>
    <t>0916325053</t>
  </si>
  <si>
    <t>三重館</t>
  </si>
  <si>
    <t>0921812796</t>
  </si>
  <si>
    <t>38952</t>
  </si>
  <si>
    <t>許子彤、許葳</t>
  </si>
  <si>
    <t>商工課程</t>
  </si>
  <si>
    <t>0958729541</t>
  </si>
  <si>
    <t>陳妍安、陳妍均</t>
  </si>
  <si>
    <t>0916242232</t>
  </si>
  <si>
    <t>49440</t>
  </si>
  <si>
    <t>陳柏辰、陳虹伶、蘇彥丞、吳孟軒</t>
  </si>
  <si>
    <t>0916982997</t>
  </si>
  <si>
    <t>0913009897</t>
  </si>
  <si>
    <t>謝東哲、謝依靜、謝佩璇</t>
  </si>
  <si>
    <t>0952663043</t>
  </si>
  <si>
    <t>B13103</t>
  </si>
  <si>
    <t>楊政修</t>
  </si>
  <si>
    <t>0911553712</t>
  </si>
  <si>
    <t>B13104</t>
  </si>
  <si>
    <t>劉憶瑩</t>
  </si>
  <si>
    <t>0919329712</t>
  </si>
  <si>
    <t>曾子豪、曾子瑜</t>
  </si>
  <si>
    <t>0933074090</t>
  </si>
  <si>
    <t>陳睫晞、胡賀鈞、陳睫禹、胡庭瑄</t>
  </si>
  <si>
    <t>AQ0017</t>
  </si>
  <si>
    <t>24430</t>
  </si>
  <si>
    <t>陳慧屏、蔡侑庭、蔡承翰</t>
  </si>
  <si>
    <t>AQ0019</t>
  </si>
  <si>
    <t>張鼎綸、張妍妍</t>
  </si>
  <si>
    <t>0952657693</t>
  </si>
  <si>
    <t>李宜軒、李沅軒</t>
  </si>
  <si>
    <t>AQ0020</t>
  </si>
  <si>
    <t>黃諾恩、李睿玹、張有紳</t>
  </si>
  <si>
    <t>0958934013</t>
  </si>
  <si>
    <t>謝旭翔、謝承叡</t>
  </si>
  <si>
    <t>0929169103</t>
  </si>
  <si>
    <t>劉竫宥、李渟嶼、亦霖、思羽</t>
  </si>
  <si>
    <t>AQ0006</t>
  </si>
  <si>
    <t>BQ111033</t>
  </si>
  <si>
    <t>賴韻晴、賴冠銓</t>
  </si>
  <si>
    <t>DE61540306</t>
  </si>
  <si>
    <t>張棟凱、張嘉恩</t>
  </si>
  <si>
    <t>0956736161-1</t>
  </si>
  <si>
    <t>吳博瀚、吳秉澄</t>
  </si>
  <si>
    <t>0956736161-2</t>
  </si>
  <si>
    <t>李卓軒、許睿群</t>
  </si>
  <si>
    <t>蕭宇辰、蕭宇君</t>
  </si>
  <si>
    <t>0937088872</t>
  </si>
  <si>
    <t>46224</t>
  </si>
  <si>
    <t>0951435722</t>
  </si>
  <si>
    <t>元永翔、元永叡</t>
  </si>
  <si>
    <t>紀冠睿、紀語恩</t>
  </si>
  <si>
    <t>0956736161-3</t>
  </si>
  <si>
    <t>張茗宸、張煜弘</t>
  </si>
  <si>
    <t>0973512337</t>
  </si>
  <si>
    <t>余珖瑋、余得睿</t>
  </si>
  <si>
    <t>0933255667</t>
  </si>
  <si>
    <t>14688</t>
  </si>
  <si>
    <t>謝祥瀚、謝祥立</t>
  </si>
  <si>
    <t>0920270767</t>
  </si>
  <si>
    <t>林劭澄、林劭謙</t>
  </si>
  <si>
    <t>0970569728</t>
  </si>
  <si>
    <t>邱盈慈、楊祉詰</t>
  </si>
  <si>
    <t>0957456712</t>
  </si>
  <si>
    <t>29376</t>
  </si>
  <si>
    <t>0966729541</t>
  </si>
  <si>
    <t>0911565832</t>
  </si>
  <si>
    <t>唐翊宸、唐翊洋</t>
  </si>
  <si>
    <t>0957656693</t>
  </si>
  <si>
    <t>7344</t>
  </si>
  <si>
    <t>0939933382</t>
  </si>
  <si>
    <t>23800</t>
  </si>
  <si>
    <t>0900111222</t>
  </si>
  <si>
    <t>0953289313</t>
  </si>
  <si>
    <t>鄭宇廷、林煦昊、林于蕎</t>
  </si>
  <si>
    <t>0983916765-2</t>
  </si>
  <si>
    <t>0976613417</t>
  </si>
  <si>
    <t>0968775079</t>
  </si>
  <si>
    <t>0920107013</t>
  </si>
  <si>
    <t>陳品邑</t>
  </si>
  <si>
    <t>0955742659</t>
  </si>
  <si>
    <t>0989800234</t>
  </si>
  <si>
    <t>0937039857</t>
  </si>
  <si>
    <t>BQ112290</t>
  </si>
  <si>
    <t>陳耑佑</t>
  </si>
  <si>
    <t>0978666555</t>
  </si>
  <si>
    <t>0919730925</t>
  </si>
  <si>
    <t>楊捷翔、楊曜安</t>
  </si>
  <si>
    <t>0924029887</t>
  </si>
  <si>
    <t>劉宥彤、劉又甄、沈柏宇、沈奕丞</t>
  </si>
  <si>
    <t>0937752031</t>
  </si>
  <si>
    <t>20736</t>
  </si>
  <si>
    <t>蔡薰賢、洪楨雅</t>
  </si>
  <si>
    <t>0910951005</t>
  </si>
  <si>
    <t>詹紹柔、詹樂昀、詹顥宸</t>
  </si>
  <si>
    <t>0963469636</t>
  </si>
  <si>
    <t>0939693212</t>
  </si>
  <si>
    <t>張博睿、張凱睿</t>
  </si>
  <si>
    <t>0987003036</t>
  </si>
  <si>
    <t>曾秀茹、江佳霖、施儀欣、黃雋恩</t>
  </si>
  <si>
    <t>0912263473</t>
  </si>
  <si>
    <t>0955810185</t>
  </si>
  <si>
    <t>張佳禾、張承宗</t>
  </si>
  <si>
    <t>0980594643</t>
  </si>
  <si>
    <t>15552</t>
  </si>
  <si>
    <t>0935973139</t>
  </si>
  <si>
    <t>0958112332</t>
  </si>
  <si>
    <t>孫子淳、黃宗祥、陳品宜、陳立帆</t>
  </si>
  <si>
    <t>0920521554</t>
  </si>
  <si>
    <t>李宇皓、李宇彤</t>
  </si>
  <si>
    <t>0963045255</t>
  </si>
  <si>
    <t>20805</t>
  </si>
  <si>
    <t>黃冠融、連祐則、連騰戰、連義祥</t>
  </si>
  <si>
    <t>0957412566</t>
  </si>
  <si>
    <t>吳支月</t>
  </si>
  <si>
    <t>0973655591</t>
  </si>
  <si>
    <t>陳渃昀、陳禹橙、陳楷沂</t>
  </si>
  <si>
    <t>112438112438</t>
  </si>
  <si>
    <t>莊明霖、高瑜玟</t>
  </si>
  <si>
    <t>0975538873</t>
  </si>
  <si>
    <t>0937034783</t>
  </si>
  <si>
    <t>周祉勳、周祉諾</t>
  </si>
  <si>
    <t>0921604248</t>
  </si>
  <si>
    <t>56934</t>
  </si>
  <si>
    <t>王晨睿、王顓凱</t>
  </si>
  <si>
    <t>0989991556</t>
  </si>
  <si>
    <t>BQ113072</t>
  </si>
  <si>
    <t>詹秉澄、詹凱茵、蕭雅純</t>
  </si>
  <si>
    <t>09201802044</t>
  </si>
  <si>
    <t>吳律蓁、吳又融</t>
  </si>
  <si>
    <t>0911248744</t>
  </si>
  <si>
    <t>0916803354</t>
  </si>
  <si>
    <t>81648</t>
  </si>
  <si>
    <t>吳禹漩、吳禹樂</t>
  </si>
  <si>
    <t>0919307069</t>
  </si>
  <si>
    <t>0913906199</t>
  </si>
  <si>
    <t>0928828969</t>
  </si>
  <si>
    <t>王歆媛、王彥蓁</t>
  </si>
  <si>
    <t>0936285475</t>
  </si>
  <si>
    <t>33390</t>
  </si>
  <si>
    <t>楊賜梅、謝旻諺</t>
  </si>
  <si>
    <t>0918631131</t>
  </si>
  <si>
    <t>黃煒宸、黃小香</t>
  </si>
  <si>
    <t>0975650503</t>
  </si>
  <si>
    <t>112110</t>
  </si>
  <si>
    <t>0955517557</t>
  </si>
  <si>
    <t>蕭詠駿、鄭又慈</t>
  </si>
  <si>
    <t>AQ0010</t>
  </si>
  <si>
    <t>27540</t>
  </si>
  <si>
    <t>莊鎮睿、林熙芝</t>
  </si>
  <si>
    <t>0939933381</t>
  </si>
  <si>
    <t>106128</t>
  </si>
  <si>
    <t>楊芷軒、許以曦</t>
  </si>
  <si>
    <t>0916265368-1</t>
  </si>
  <si>
    <t>0917151923</t>
  </si>
  <si>
    <t>47754</t>
  </si>
  <si>
    <t>林偉程、楊又璇</t>
  </si>
  <si>
    <t>0916710620</t>
  </si>
  <si>
    <t>趙芃、林霖</t>
  </si>
  <si>
    <t>0968567285</t>
  </si>
  <si>
    <t>0958934009</t>
  </si>
  <si>
    <t>13638</t>
  </si>
  <si>
    <t>許雅妤、陳昇凡、陳雨昕</t>
  </si>
  <si>
    <t>0978952459</t>
  </si>
  <si>
    <t>0910696688</t>
  </si>
  <si>
    <t>17424</t>
  </si>
  <si>
    <t>丁歆彤、丁昕妍</t>
  </si>
  <si>
    <t>0931362133</t>
  </si>
  <si>
    <t>李豈碩、李晏慈、莊華安、莊喬安</t>
  </si>
  <si>
    <t>0952417659</t>
  </si>
  <si>
    <t>20275</t>
  </si>
  <si>
    <t>李豈碩、李晏慈、謝佳軒、李晨菲</t>
  </si>
  <si>
    <t>0918309882</t>
  </si>
  <si>
    <t>11404</t>
  </si>
  <si>
    <t>陳韻晴、陳繹翔、廖翊宸、廖翊妡</t>
  </si>
  <si>
    <t>0970944931</t>
  </si>
  <si>
    <t>89400</t>
  </si>
  <si>
    <t>吳菩恆、吳碩恆</t>
  </si>
  <si>
    <t>0928730690</t>
  </si>
  <si>
    <t>0952707951</t>
  </si>
  <si>
    <t>陳文慶</t>
  </si>
  <si>
    <t>0988305820</t>
  </si>
  <si>
    <t>82692</t>
  </si>
  <si>
    <t>0965717656</t>
  </si>
  <si>
    <t>林羿澄、吳澄浩</t>
  </si>
  <si>
    <t>0935316663</t>
  </si>
  <si>
    <t>董祐喬、陳宥希、陳志鳴</t>
  </si>
  <si>
    <t>0922717627</t>
  </si>
  <si>
    <t>鄭羽庭、游子柔</t>
  </si>
  <si>
    <t>BJ88865043</t>
  </si>
  <si>
    <t>陳品蓁、詹博傑</t>
  </si>
  <si>
    <t>0987703114</t>
  </si>
  <si>
    <t>陳潔玉、陳冠文、陳沛旭</t>
  </si>
  <si>
    <t>0989988426</t>
  </si>
  <si>
    <t>0916167142</t>
  </si>
  <si>
    <t>0958934003</t>
  </si>
  <si>
    <t>0935167865</t>
  </si>
  <si>
    <t>陳之葉、陳瑾瑜</t>
  </si>
  <si>
    <t>0918903203</t>
  </si>
  <si>
    <t>48330</t>
  </si>
  <si>
    <t>詹沛忻、詹子樂</t>
  </si>
  <si>
    <t>0912510279</t>
  </si>
  <si>
    <t>許晏紳、許馥薇</t>
  </si>
  <si>
    <t>0983525968</t>
  </si>
  <si>
    <t>98118</t>
  </si>
  <si>
    <t>蕭宇綸、蕭宇彤</t>
  </si>
  <si>
    <t>0975289909</t>
  </si>
  <si>
    <t>李沛穎、李昀柔、吳邦誠</t>
  </si>
  <si>
    <t>0955087720</t>
  </si>
  <si>
    <t>0930947039</t>
  </si>
  <si>
    <t>李昀晏、李昀宸</t>
  </si>
  <si>
    <t>0958934005</t>
  </si>
  <si>
    <t>李昀霏、李昀晴、李昀霓</t>
  </si>
  <si>
    <t>0910054776</t>
  </si>
  <si>
    <t>101/12/09</t>
  </si>
  <si>
    <t>0988377443</t>
  </si>
  <si>
    <t>黃煦凱、廖俞安</t>
  </si>
  <si>
    <t>0926251535</t>
  </si>
  <si>
    <t>43350</t>
  </si>
  <si>
    <t>王宥琋、郭宣妤</t>
  </si>
  <si>
    <t>0958264081</t>
  </si>
  <si>
    <t>67662</t>
  </si>
  <si>
    <t>0905191938</t>
  </si>
  <si>
    <t>15510</t>
  </si>
  <si>
    <t>蘇子淯、陳耑佑</t>
  </si>
  <si>
    <t>0931947547</t>
  </si>
  <si>
    <t>0917522507</t>
  </si>
  <si>
    <t>0983916765-1</t>
  </si>
  <si>
    <t>81144</t>
  </si>
  <si>
    <t>陳品邑、陳瑜采</t>
  </si>
  <si>
    <t>0989800234-1</t>
  </si>
  <si>
    <t>邱之弘、邱安喬</t>
  </si>
  <si>
    <t>0953212011</t>
  </si>
  <si>
    <t>41640</t>
  </si>
  <si>
    <t>粘洛齊、張安緹、沈志叡</t>
  </si>
  <si>
    <t>0933075199</t>
  </si>
  <si>
    <t>鄭椲澈、鄭椲穎</t>
  </si>
  <si>
    <t>0956697676</t>
  </si>
  <si>
    <t>鄭凱聰、鄭宇廷</t>
  </si>
  <si>
    <t>0983916765</t>
  </si>
  <si>
    <t>0933037462</t>
  </si>
  <si>
    <t>70554</t>
  </si>
  <si>
    <t>李羽涵、李玉瑄、許秝岷</t>
  </si>
  <si>
    <t>0915680699</t>
  </si>
  <si>
    <t>25812</t>
  </si>
  <si>
    <t>0955089833</t>
  </si>
  <si>
    <t>0978103307</t>
  </si>
  <si>
    <t>22932</t>
  </si>
  <si>
    <t>陳思雋、陳思宇</t>
  </si>
  <si>
    <t>0919387249</t>
  </si>
  <si>
    <t>陳宥臻、陳宣曄</t>
  </si>
  <si>
    <t>0939332750</t>
  </si>
  <si>
    <t>41955</t>
  </si>
  <si>
    <t>0920218511</t>
  </si>
  <si>
    <t>蕭仲廷、蕭仲祐</t>
  </si>
  <si>
    <t>0921622688</t>
  </si>
  <si>
    <t>王若茵、林霏</t>
  </si>
  <si>
    <t>0983628635</t>
  </si>
  <si>
    <t>0920965694</t>
  </si>
  <si>
    <t>辜御齊</t>
  </si>
  <si>
    <t>0927885596</t>
  </si>
  <si>
    <t>0911182938</t>
  </si>
  <si>
    <t>9510</t>
  </si>
  <si>
    <t>林紘逸、林宸寬</t>
  </si>
  <si>
    <t>0928256839</t>
  </si>
  <si>
    <t>李承哲、李亮誼</t>
  </si>
  <si>
    <t>0933858662</t>
  </si>
  <si>
    <t>0939599839</t>
  </si>
  <si>
    <t>范濬紳、范仲廷</t>
  </si>
  <si>
    <t>0919501937</t>
  </si>
  <si>
    <t>42360</t>
  </si>
  <si>
    <t>葉丞芸、葉丞軒</t>
  </si>
  <si>
    <t>0912570671</t>
  </si>
  <si>
    <t>林祐正、林妤芯</t>
  </si>
  <si>
    <t>0928787516</t>
  </si>
  <si>
    <t>73080</t>
  </si>
  <si>
    <t>黃鈺峰、黃鈺捷、羅亦辰</t>
  </si>
  <si>
    <t>0985101642</t>
  </si>
  <si>
    <t>0928576279</t>
  </si>
  <si>
    <t>0926340528</t>
  </si>
  <si>
    <t>胡芸瑄、黃奎赫、李泰樑</t>
  </si>
  <si>
    <t>0912094878</t>
  </si>
  <si>
    <t>38340</t>
  </si>
  <si>
    <t>蘇品豪、蘇浚翔、廖翊崴</t>
  </si>
  <si>
    <t>0910882858</t>
  </si>
  <si>
    <t>36120</t>
  </si>
  <si>
    <t>0911685342</t>
  </si>
  <si>
    <t>61960</t>
  </si>
  <si>
    <t>謝東哲、謝佩璇、謝依靜</t>
  </si>
  <si>
    <t>0952663043-1</t>
  </si>
  <si>
    <t>27900</t>
  </si>
  <si>
    <t>0926238656-1</t>
  </si>
  <si>
    <t>李品慧、李羽晟</t>
  </si>
  <si>
    <t>0933701726</t>
  </si>
  <si>
    <t>55050</t>
  </si>
  <si>
    <t>0903170826</t>
  </si>
  <si>
    <t>58986</t>
  </si>
  <si>
    <t>0966138858</t>
  </si>
  <si>
    <t>0932625033</t>
  </si>
  <si>
    <t>52575</t>
  </si>
  <si>
    <t>陳彥羲、林駿盛</t>
  </si>
  <si>
    <t>0923663321</t>
  </si>
  <si>
    <t>涂棨勛、涂芷嫣、黃羿涵、黃楷鈞</t>
  </si>
  <si>
    <t>0928579181</t>
  </si>
  <si>
    <t>68280</t>
  </si>
  <si>
    <t>溫厚義、馬逸舒</t>
  </si>
  <si>
    <t>0968383395</t>
  </si>
  <si>
    <t>5184</t>
  </si>
  <si>
    <t>0952286955</t>
  </si>
  <si>
    <t>0936286198</t>
  </si>
  <si>
    <t>0916685359</t>
  </si>
  <si>
    <t>鄭羽彤、鄭涵勻</t>
  </si>
  <si>
    <t>0933237828</t>
  </si>
  <si>
    <t>20430</t>
  </si>
  <si>
    <t>0939561232</t>
  </si>
  <si>
    <t>0910859275</t>
  </si>
  <si>
    <t>0920215407</t>
  </si>
  <si>
    <t>42264</t>
  </si>
  <si>
    <t>0921646760</t>
  </si>
  <si>
    <t>陳泓翔、陳新翰</t>
  </si>
  <si>
    <t>0934193003</t>
  </si>
  <si>
    <t>彭子洧、彭韋榤</t>
  </si>
  <si>
    <t>0963326146</t>
  </si>
  <si>
    <t>方香琴</t>
  </si>
  <si>
    <t>0965739936</t>
  </si>
  <si>
    <t>陳依晴、陳若語</t>
  </si>
  <si>
    <t>0988028023</t>
  </si>
  <si>
    <t>呂沛庭、呂家逵</t>
  </si>
  <si>
    <t>0936647899</t>
  </si>
  <si>
    <t>0982252694</t>
  </si>
  <si>
    <t>陳泓育、陳哲育</t>
  </si>
  <si>
    <t>0932001825</t>
  </si>
  <si>
    <t>江宥磊、江宥緯</t>
  </si>
  <si>
    <t>0926368926</t>
  </si>
  <si>
    <t>56100</t>
  </si>
  <si>
    <t>0928817342</t>
  </si>
  <si>
    <t>26100</t>
  </si>
  <si>
    <t>0935973198</t>
  </si>
  <si>
    <t>67800</t>
  </si>
  <si>
    <t>0939287997</t>
  </si>
  <si>
    <t>56760</t>
  </si>
  <si>
    <t>0935323195</t>
  </si>
  <si>
    <t>57360</t>
  </si>
  <si>
    <t>09109510055</t>
  </si>
  <si>
    <t>呂昕芮、呂宥廷</t>
  </si>
  <si>
    <t>0913800680</t>
  </si>
  <si>
    <t>潘柏呈、巴洛赫</t>
  </si>
  <si>
    <t>0922303924</t>
  </si>
  <si>
    <t>蘇慧君、薛聖翰</t>
  </si>
  <si>
    <t>0928829297</t>
  </si>
  <si>
    <t>黃舒羽、黃孜羽</t>
  </si>
  <si>
    <t>0919730926</t>
  </si>
  <si>
    <t>張嚴文、張恩赫</t>
  </si>
  <si>
    <t>0980018580</t>
  </si>
  <si>
    <t>58560</t>
  </si>
  <si>
    <t>陳冠荃、陳品霓、謝辰逸</t>
  </si>
  <si>
    <t>0989197008</t>
  </si>
  <si>
    <t>李沛穎、李昀柔、李昀霓</t>
  </si>
  <si>
    <t>0916167142.1</t>
  </si>
  <si>
    <t>吳邦誠、張雅欣</t>
  </si>
  <si>
    <t>0928207634</t>
  </si>
  <si>
    <t>39600</t>
  </si>
  <si>
    <t>羅亦辰、黃鈺捷、黃鈺峰</t>
  </si>
  <si>
    <t>0987122163</t>
  </si>
  <si>
    <t>陳楷沂、陳韋霓</t>
  </si>
  <si>
    <t>0912912109</t>
  </si>
  <si>
    <t>陳宥希、黃祐睿</t>
  </si>
  <si>
    <t>0922717627-1</t>
  </si>
  <si>
    <t>呂凱傑、呂昕芮</t>
  </si>
  <si>
    <t>097866626</t>
  </si>
  <si>
    <t>21480</t>
  </si>
  <si>
    <t>彭于晏、馮淯翔、馮宥堯</t>
  </si>
  <si>
    <t>0919173769</t>
  </si>
  <si>
    <t>汪宸宇、汪季霏</t>
  </si>
  <si>
    <t>0933047061</t>
  </si>
  <si>
    <t>高上雅</t>
  </si>
  <si>
    <t>0925158179</t>
  </si>
  <si>
    <t>0958934015</t>
  </si>
  <si>
    <t>9360</t>
  </si>
  <si>
    <t>0982296197</t>
  </si>
  <si>
    <t>鄭羽彤、鄭宇竣、趙滬</t>
  </si>
  <si>
    <t>0965123828</t>
  </si>
  <si>
    <t>陳韻晴、陳繹翔、廖翊宸、廖翊妡、葉可彤、鄭博升</t>
  </si>
  <si>
    <t>09709449310</t>
  </si>
  <si>
    <t>22080</t>
  </si>
  <si>
    <t>0958274081</t>
  </si>
  <si>
    <t>0917417688</t>
  </si>
  <si>
    <t>翁芸芸、黃文鈺</t>
  </si>
  <si>
    <t>0938221247</t>
  </si>
  <si>
    <t>許曦文</t>
  </si>
  <si>
    <t>0937056326</t>
  </si>
  <si>
    <t>高羽汝</t>
  </si>
  <si>
    <t>0926999648</t>
  </si>
  <si>
    <t>0985762961</t>
  </si>
  <si>
    <t>0955532032</t>
  </si>
  <si>
    <t>連恩嫻、鄭光芸、賴倚樂、賴倚婕</t>
  </si>
  <si>
    <t>0919708307</t>
  </si>
  <si>
    <t>林媗緹、林宣澔</t>
  </si>
  <si>
    <t>0913635907</t>
  </si>
  <si>
    <t>40980</t>
  </si>
  <si>
    <t>葉宸昊、葉宸熙</t>
  </si>
  <si>
    <t>0905371750</t>
  </si>
  <si>
    <t>0939662224</t>
  </si>
  <si>
    <t>陳秀聞、陳星妤、陳星妍</t>
  </si>
  <si>
    <t>0952189532-1</t>
  </si>
  <si>
    <t>0933818815</t>
  </si>
  <si>
    <t>55380</t>
  </si>
  <si>
    <t>潘宜鎂、劉羽涵</t>
  </si>
  <si>
    <t>0934074923</t>
  </si>
  <si>
    <t>周子濬、周秉燊</t>
  </si>
  <si>
    <t>0937469061</t>
  </si>
  <si>
    <t>0956039222</t>
  </si>
  <si>
    <t>0919501937.1</t>
  </si>
  <si>
    <t>0933229999</t>
  </si>
  <si>
    <t>0926740107</t>
  </si>
  <si>
    <t>康嘉欣、朱駿豪</t>
  </si>
  <si>
    <t>83/04/05</t>
  </si>
  <si>
    <t>0937293351</t>
  </si>
  <si>
    <t>溫厚義、黃禎亮</t>
  </si>
  <si>
    <t>0968383395.1</t>
  </si>
  <si>
    <t>0952322223</t>
  </si>
  <si>
    <t>0934193003.1</t>
  </si>
  <si>
    <t>邱瑀盺、粱芷晴</t>
  </si>
  <si>
    <t>0988233775</t>
  </si>
  <si>
    <t>15900</t>
  </si>
  <si>
    <t>劉芝聿</t>
  </si>
  <si>
    <t>AQ0009</t>
  </si>
  <si>
    <t>劉瑄宇、劉瑄佾、李澄沄</t>
  </si>
  <si>
    <t>0930092794</t>
  </si>
  <si>
    <t>安井綺里、安井悠登、郭登荃、蕭采緹</t>
  </si>
  <si>
    <t>0916850944</t>
  </si>
  <si>
    <t>周品辰、張宇姍</t>
  </si>
  <si>
    <t>109/12/22</t>
  </si>
  <si>
    <t>0915730001</t>
  </si>
  <si>
    <t>26600</t>
  </si>
  <si>
    <t>彭冠豪、陳建亨、盧翔暉</t>
  </si>
  <si>
    <t>0922212041.1</t>
  </si>
  <si>
    <t>黃芃甯、黃苡睿</t>
  </si>
  <si>
    <t>0968760865</t>
  </si>
  <si>
    <t>23025</t>
  </si>
  <si>
    <t>楊喬勛、楊喬琋</t>
  </si>
  <si>
    <t>0913561677</t>
  </si>
  <si>
    <t>36300</t>
  </si>
  <si>
    <t>BQ113433</t>
  </si>
  <si>
    <t>0937981783</t>
  </si>
  <si>
    <t>0982492210</t>
  </si>
  <si>
    <t>吳明陽、吳重樂</t>
  </si>
  <si>
    <t>0973010613</t>
  </si>
  <si>
    <t>0985554602</t>
  </si>
  <si>
    <t>0936452622</t>
  </si>
  <si>
    <t>林采婕、鄭光芸</t>
  </si>
  <si>
    <t>0912771023</t>
  </si>
  <si>
    <t>柯婉苓、黃舒羽</t>
  </si>
  <si>
    <t>0919730927</t>
  </si>
  <si>
    <t>翁可妮、翁芸芸、黃玟鈺</t>
  </si>
  <si>
    <t>0938221247-1</t>
  </si>
  <si>
    <t>羅宇泰、張凱翔</t>
  </si>
  <si>
    <t>0953660386</t>
  </si>
  <si>
    <t>連恩嫻、鄭光芸、林採婕、賴倚婕</t>
  </si>
  <si>
    <t>0926179323</t>
  </si>
  <si>
    <t>黃子芹、黃承駒</t>
  </si>
  <si>
    <t>0919917502</t>
  </si>
  <si>
    <t>25800</t>
  </si>
  <si>
    <t>0922628636</t>
  </si>
  <si>
    <t>陳欣湉、陳庭弘</t>
  </si>
  <si>
    <t>0911896622</t>
  </si>
  <si>
    <t>林庭宇、林軒宇</t>
  </si>
  <si>
    <t>0958934008</t>
  </si>
  <si>
    <t>0955810184</t>
  </si>
  <si>
    <t>77652</t>
  </si>
  <si>
    <t>0920446192</t>
  </si>
  <si>
    <t>許妙憶、許云之</t>
  </si>
  <si>
    <t>0958934007</t>
  </si>
  <si>
    <t>0987607540</t>
  </si>
  <si>
    <t>48300</t>
  </si>
  <si>
    <t>0920588290</t>
  </si>
  <si>
    <t>81900</t>
  </si>
  <si>
    <t>潘柏邑、巴洛克</t>
  </si>
  <si>
    <t>0922303925</t>
  </si>
  <si>
    <t>李豈碩、李晏慈</t>
  </si>
  <si>
    <t>0918309882.1</t>
  </si>
  <si>
    <t>0912499456</t>
  </si>
  <si>
    <t>蘇晨琋、蘇晨皓</t>
  </si>
  <si>
    <t>0988760735</t>
  </si>
  <si>
    <t>0926550630</t>
  </si>
  <si>
    <t>0939676718</t>
  </si>
  <si>
    <t>47085</t>
  </si>
  <si>
    <t>0939676718-1</t>
  </si>
  <si>
    <t>曾柏瑜、曾苡喬、施雨彤</t>
  </si>
  <si>
    <t>0928573701</t>
  </si>
  <si>
    <t>77220</t>
  </si>
  <si>
    <t>陳星蒨、陳星澔</t>
  </si>
  <si>
    <t>103/11/13</t>
  </si>
  <si>
    <t>0926882435</t>
  </si>
  <si>
    <t>28725</t>
  </si>
  <si>
    <t>葉軒綸、黃奕維、黃翊睿、藍禹晴</t>
  </si>
  <si>
    <t>0905632850</t>
  </si>
  <si>
    <t>0910760746</t>
  </si>
  <si>
    <t>0912188682</t>
  </si>
  <si>
    <t>52785</t>
  </si>
  <si>
    <t>胡允斌、林可欣</t>
  </si>
  <si>
    <t>0921116744</t>
  </si>
  <si>
    <t>41050</t>
  </si>
  <si>
    <t>0911822047</t>
  </si>
  <si>
    <t>吳奕廷、張軒齊</t>
  </si>
  <si>
    <t>0988084883</t>
  </si>
  <si>
    <t>徐翊華、徐翊宸</t>
  </si>
  <si>
    <t>0937984913</t>
  </si>
  <si>
    <t>0918713136</t>
  </si>
  <si>
    <t>0939272316</t>
  </si>
  <si>
    <t>0919095297</t>
  </si>
  <si>
    <t>胡允斌、朱沐欣</t>
  </si>
  <si>
    <t>0922004000</t>
  </si>
  <si>
    <t>0919870210</t>
  </si>
  <si>
    <t>74/08/03</t>
  </si>
  <si>
    <t>0958739859</t>
  </si>
  <si>
    <t>許宥湄、許宥婕</t>
  </si>
  <si>
    <t>0930980802</t>
  </si>
  <si>
    <t>48925</t>
  </si>
  <si>
    <t>0988519327</t>
  </si>
  <si>
    <t>4140</t>
  </si>
  <si>
    <t>潘威愷、潘禹潔、潘禹蓁</t>
  </si>
  <si>
    <t>0905767803</t>
  </si>
  <si>
    <t>邱品臻、邱雋詠</t>
  </si>
  <si>
    <t>0938775756</t>
  </si>
  <si>
    <t>郭芷吟、郭庭瑄、吳貞儀</t>
  </si>
  <si>
    <t>0938551505</t>
  </si>
  <si>
    <t>褚政昕、林凡恭</t>
  </si>
  <si>
    <t>0939113514</t>
  </si>
  <si>
    <t>0975277268</t>
  </si>
  <si>
    <t>7755</t>
  </si>
  <si>
    <t>朱怡璇、林強</t>
  </si>
  <si>
    <t>0970658238</t>
  </si>
  <si>
    <t>余瑀彤、徐菁琬</t>
  </si>
  <si>
    <t>0928527015</t>
  </si>
  <si>
    <t>105/05/20</t>
  </si>
  <si>
    <t>0928256839.1</t>
  </si>
  <si>
    <t>0927061808</t>
  </si>
  <si>
    <t>姜昀希、潘衍丞、陳昱睿、周成洋、王新耀</t>
  </si>
  <si>
    <t>0981643377</t>
  </si>
  <si>
    <t>陳心妍</t>
  </si>
  <si>
    <t>0921241382.2</t>
  </si>
  <si>
    <t>林芸葶、林琪恩</t>
  </si>
  <si>
    <t>0911260592</t>
  </si>
  <si>
    <t>27750</t>
  </si>
  <si>
    <t>吳邦誠、王丞皓</t>
  </si>
  <si>
    <t>0978137525</t>
  </si>
  <si>
    <t>張庭榛、許芷甯</t>
  </si>
  <si>
    <t>0925328828</t>
  </si>
  <si>
    <t>46500</t>
  </si>
  <si>
    <t>0909667839</t>
  </si>
  <si>
    <t>林宸妤、林竑宇</t>
  </si>
  <si>
    <t>0910356072</t>
  </si>
  <si>
    <t>楊一中、何夢怡</t>
  </si>
  <si>
    <t>0918562803-1</t>
  </si>
  <si>
    <t>0928195060</t>
  </si>
  <si>
    <t>林湛禹、林瑀攸</t>
  </si>
  <si>
    <t>0982661494</t>
  </si>
  <si>
    <t>0963988357</t>
  </si>
  <si>
    <t>345</t>
  </si>
  <si>
    <t>BQ114047</t>
  </si>
  <si>
    <t>0932870676</t>
  </si>
  <si>
    <t>0975538872</t>
  </si>
  <si>
    <t>15732</t>
  </si>
  <si>
    <t>莊抉妤、呂允樂</t>
  </si>
  <si>
    <t>0986122202-1</t>
  </si>
  <si>
    <t>方再民</t>
  </si>
  <si>
    <t>0937986664</t>
  </si>
  <si>
    <t>葉羽芯</t>
  </si>
  <si>
    <t>0927336957</t>
  </si>
  <si>
    <t>吳尚恩、呂妍萱</t>
  </si>
  <si>
    <t>0972935707</t>
  </si>
  <si>
    <t>王舒玄、林昊均、林廷曜、夏凱均</t>
  </si>
  <si>
    <t>0918810928</t>
  </si>
  <si>
    <t>王芯卉、王怡文、鄭宇芸</t>
  </si>
  <si>
    <t>0937963436</t>
  </si>
  <si>
    <t>蔡立源、劉懿萱</t>
  </si>
  <si>
    <t>0981151111</t>
  </si>
  <si>
    <t>8800</t>
  </si>
  <si>
    <t>陳宥翰、陳宥菲</t>
  </si>
  <si>
    <t>0926825939</t>
  </si>
  <si>
    <t>朱家蓉、許維宸</t>
  </si>
  <si>
    <t>0915490757</t>
  </si>
  <si>
    <t>連義祥、連義展</t>
  </si>
  <si>
    <t>0903803239</t>
  </si>
  <si>
    <t>施鈞傑、高佩侑</t>
  </si>
  <si>
    <t>0912566557</t>
  </si>
  <si>
    <t>洪振崴、洪韻筑</t>
  </si>
  <si>
    <t>0921579699</t>
  </si>
  <si>
    <t>羅紓婧、羅紓昀</t>
  </si>
  <si>
    <t>0920967008</t>
  </si>
  <si>
    <t>潘宣綺、陳奕安、陳思彤</t>
  </si>
  <si>
    <t>0922801088</t>
  </si>
  <si>
    <t>51480</t>
  </si>
  <si>
    <t>0909621689</t>
  </si>
  <si>
    <t>李於晴、李於昊、李於嘩</t>
  </si>
  <si>
    <t>0955198981</t>
  </si>
  <si>
    <t>0905767332</t>
  </si>
  <si>
    <t>0987331897</t>
  </si>
  <si>
    <t>0917555573</t>
  </si>
  <si>
    <t>13662</t>
  </si>
  <si>
    <t>陳聖皓、陳紹揚</t>
  </si>
  <si>
    <t>0986017777</t>
  </si>
  <si>
    <t>21975</t>
  </si>
  <si>
    <t>0926472506</t>
  </si>
  <si>
    <t>40875</t>
  </si>
  <si>
    <t>0922212041</t>
  </si>
  <si>
    <t>0937459789-1</t>
  </si>
  <si>
    <t>許凱甯、李梓恬</t>
  </si>
  <si>
    <t>0988397131</t>
  </si>
  <si>
    <t>0975538842</t>
  </si>
  <si>
    <t>BQ114103</t>
  </si>
  <si>
    <t>0939933381-1</t>
  </si>
  <si>
    <t>BQ114104</t>
  </si>
  <si>
    <t>郭宣妤、曹至菲、王宥希</t>
  </si>
  <si>
    <t>0939311414.1</t>
  </si>
  <si>
    <t>0928071246</t>
  </si>
  <si>
    <t>0928048553</t>
  </si>
  <si>
    <t>32625</t>
  </si>
  <si>
    <t>謝桓宇、謝沁恩</t>
  </si>
  <si>
    <t>0988797796</t>
  </si>
  <si>
    <t>50600</t>
  </si>
  <si>
    <t>黃璿元、黃麒祐</t>
  </si>
  <si>
    <t>0937368429</t>
  </si>
  <si>
    <t>0975523637</t>
  </si>
  <si>
    <t>胡萁峰、胡丞萱、林品沂</t>
  </si>
  <si>
    <t>0952635475</t>
  </si>
  <si>
    <t>0911259035</t>
  </si>
  <si>
    <t>廖柏勛、廖羿琁</t>
  </si>
  <si>
    <t>0927159588</t>
  </si>
  <si>
    <t>0921419737</t>
  </si>
  <si>
    <t>BQ114131</t>
  </si>
  <si>
    <t>邱瑀昕、梁芷晴</t>
  </si>
  <si>
    <t>0917611516</t>
  </si>
  <si>
    <t>0960714198</t>
  </si>
  <si>
    <t>0989102754</t>
  </si>
  <si>
    <t>陳星妤、陳星妍</t>
  </si>
  <si>
    <t>09521895322</t>
  </si>
  <si>
    <t>許駿宥、許心宥</t>
  </si>
  <si>
    <t>0983232791</t>
  </si>
  <si>
    <t>楊采論、楊承諭</t>
  </si>
  <si>
    <t>0928627168</t>
  </si>
  <si>
    <t>0920698620</t>
  </si>
  <si>
    <t>林宥希、林宣伶</t>
  </si>
  <si>
    <t>0989564153</t>
  </si>
  <si>
    <t>63090</t>
  </si>
  <si>
    <t>李梓恬、許凱甯、許耘丞</t>
  </si>
  <si>
    <t>0920073816</t>
  </si>
  <si>
    <t>葉軒綸、邱雋詠、邱品臻</t>
  </si>
  <si>
    <t>0922713907</t>
  </si>
  <si>
    <t>張佳禾、張承洋</t>
  </si>
  <si>
    <t>09805946433</t>
  </si>
  <si>
    <t>藍禹晴、杜苡菲、杜春潔</t>
  </si>
  <si>
    <t>0919285029</t>
  </si>
  <si>
    <t>0922398633</t>
  </si>
  <si>
    <t>翁樂隼、翁子琁</t>
  </si>
  <si>
    <t>0925317891</t>
  </si>
  <si>
    <t>0986122202</t>
  </si>
  <si>
    <t>簡于寧、葉金蓉</t>
  </si>
  <si>
    <t>0928099559</t>
  </si>
  <si>
    <t>蔡宜芳、蔡竣宇</t>
  </si>
  <si>
    <t>0987361358</t>
  </si>
  <si>
    <t>0915490757-1</t>
  </si>
  <si>
    <t>陳潔玉、陳冠文</t>
  </si>
  <si>
    <t>0989988426-1</t>
  </si>
  <si>
    <t>林詠潔、林暐珊</t>
  </si>
  <si>
    <t>0922825253</t>
  </si>
  <si>
    <t>0956788386</t>
  </si>
  <si>
    <t>楊博全、楊博光</t>
  </si>
  <si>
    <t>0926238656</t>
  </si>
  <si>
    <t>陳心妍、李姝諭</t>
  </si>
  <si>
    <t>0921241382</t>
  </si>
  <si>
    <t>19125</t>
  </si>
  <si>
    <t>姜昀希、潘衍丞、陳昱睿</t>
  </si>
  <si>
    <t>0981643377-1</t>
  </si>
  <si>
    <t>林沂潔、林沂萱、汪愉珊、林柏良</t>
  </si>
  <si>
    <t>0955812685</t>
  </si>
  <si>
    <t>44400</t>
  </si>
  <si>
    <t>107/08/03</t>
  </si>
  <si>
    <t>0939507422</t>
  </si>
  <si>
    <t>胡明琪、胡昭瑜</t>
  </si>
  <si>
    <t>0911822047-1</t>
  </si>
  <si>
    <t>0922713907-1</t>
  </si>
  <si>
    <t>王怡文、林芯卉、鄭杏玉</t>
  </si>
  <si>
    <t>0916688755.1</t>
  </si>
  <si>
    <t>0921866445</t>
  </si>
  <si>
    <t>0973356591</t>
  </si>
  <si>
    <t>陳昱潔、陳星宇</t>
  </si>
  <si>
    <t>0987509975</t>
  </si>
  <si>
    <t>0917750713</t>
  </si>
  <si>
    <t>0916873839</t>
  </si>
  <si>
    <t>賴妍昕、賴語宸、賴盈妡、賴柏俞</t>
  </si>
  <si>
    <t>0972699623</t>
  </si>
  <si>
    <t>周品辰、張宇珊</t>
  </si>
  <si>
    <t>0932215527</t>
  </si>
  <si>
    <t>8525</t>
  </si>
  <si>
    <t>0902228252-1</t>
  </si>
  <si>
    <t>楊一中</t>
  </si>
  <si>
    <t>0918562803</t>
  </si>
  <si>
    <t>101/04/13</t>
  </si>
  <si>
    <t>0987021755</t>
  </si>
  <si>
    <t>林雅慧、劉妍靚</t>
  </si>
  <si>
    <t>0909598333</t>
  </si>
  <si>
    <t>白欣穎、周佳樂、周芯貝、周孜禮</t>
  </si>
  <si>
    <t>0921930689</t>
  </si>
  <si>
    <t>董詠翔、許荃蔓</t>
  </si>
  <si>
    <t>0917812721</t>
  </si>
  <si>
    <t>0933015110</t>
  </si>
  <si>
    <t>0930065771</t>
  </si>
  <si>
    <t>0936554577</t>
  </si>
  <si>
    <t>38985</t>
  </si>
  <si>
    <t>林柏宇周靖璇 周暄佑</t>
  </si>
  <si>
    <t>0932707649</t>
  </si>
  <si>
    <t>56232</t>
  </si>
  <si>
    <t>0939311414</t>
  </si>
  <si>
    <t>0987103346</t>
  </si>
  <si>
    <t>0963036703</t>
  </si>
  <si>
    <t>21555</t>
  </si>
  <si>
    <t>0911781978</t>
  </si>
  <si>
    <t>0987531025</t>
  </si>
  <si>
    <t>黃素芬、馮素貞</t>
  </si>
  <si>
    <t>0966580230</t>
  </si>
  <si>
    <t>何昀夏、何芸舞</t>
  </si>
  <si>
    <t>0921969558</t>
  </si>
  <si>
    <t>0955804093</t>
  </si>
  <si>
    <t>鄭然熙、李璐揚</t>
  </si>
  <si>
    <t>0910317925</t>
  </si>
  <si>
    <t>郭家汝、陳瑞彤</t>
  </si>
  <si>
    <t>0928481734</t>
  </si>
  <si>
    <t>0928948206</t>
  </si>
  <si>
    <t>26910</t>
  </si>
  <si>
    <t>0916688755.2</t>
  </si>
  <si>
    <t>0939937686</t>
  </si>
  <si>
    <t>許宸嫣、許宸禎</t>
  </si>
  <si>
    <t>0972189520</t>
  </si>
  <si>
    <t>盧紫妍、李昀襄</t>
  </si>
  <si>
    <t>0925900932</t>
  </si>
  <si>
    <t>簡凱澄、倪凱陞、郭義光</t>
  </si>
  <si>
    <t>0926952553</t>
  </si>
  <si>
    <t>27522</t>
  </si>
  <si>
    <t>陳星妤、陳星妍、史柏允</t>
  </si>
  <si>
    <t>0952189532</t>
  </si>
  <si>
    <t>14124</t>
  </si>
  <si>
    <t>0911103376</t>
  </si>
  <si>
    <t>林裕淮、林晉慶、林恩霈、鄒采妍</t>
  </si>
  <si>
    <t>0922448048.2</t>
  </si>
  <si>
    <t>14000</t>
  </si>
  <si>
    <t>鄭伊恩、楊哲嘉、陳右安、黃妍寧</t>
  </si>
  <si>
    <t>0952110224</t>
  </si>
  <si>
    <t>2000</t>
  </si>
  <si>
    <t>0979909908</t>
  </si>
  <si>
    <t>王冠惟、莊心慈、劉宸豪</t>
  </si>
  <si>
    <t>0905191938-1</t>
  </si>
  <si>
    <t>57420</t>
  </si>
  <si>
    <t>鄒芷妍、王寀溱、鄒采妍</t>
  </si>
  <si>
    <t>0966660003</t>
  </si>
  <si>
    <t>41160</t>
  </si>
  <si>
    <t>陳妍羽</t>
  </si>
  <si>
    <t>0987458553</t>
  </si>
  <si>
    <t>0987458553.1</t>
  </si>
  <si>
    <t>廖芝瑩、洪千惠、林蕙</t>
  </si>
  <si>
    <t>0905280677</t>
  </si>
  <si>
    <t>11900</t>
  </si>
  <si>
    <t>何珮瑩、林宜蒨</t>
  </si>
  <si>
    <t>09219306899</t>
  </si>
  <si>
    <t>陳玥凝、陳宥安</t>
  </si>
  <si>
    <t>0935565475</t>
  </si>
  <si>
    <t>0938718725</t>
  </si>
  <si>
    <t>林俐樺、何思甸</t>
  </si>
  <si>
    <t>0921862236</t>
  </si>
  <si>
    <t>游洛齊、龍永承、龍永恩</t>
  </si>
  <si>
    <t>0989016012</t>
  </si>
  <si>
    <t>28314</t>
  </si>
  <si>
    <t>0910520090</t>
  </si>
  <si>
    <t>陳冠廷、黃詩婷</t>
  </si>
  <si>
    <t>0918410567</t>
  </si>
  <si>
    <t>15500</t>
  </si>
  <si>
    <t>王律婕、汪佳樂</t>
  </si>
  <si>
    <t>0975127077</t>
  </si>
  <si>
    <t>19500</t>
  </si>
  <si>
    <t>0925395167</t>
  </si>
  <si>
    <t>40188</t>
  </si>
  <si>
    <t>蔡瑞敏、張宸均</t>
  </si>
  <si>
    <t>0932945700</t>
  </si>
  <si>
    <t>羅子涵、郭品樂、楊騏聿</t>
  </si>
  <si>
    <t>0939388633</t>
  </si>
  <si>
    <t>林裕淮、林晉慶、林恩霈</t>
  </si>
  <si>
    <t>0922448048</t>
  </si>
  <si>
    <t>80/04/15</t>
  </si>
  <si>
    <t>0988241415</t>
  </si>
  <si>
    <t>8478</t>
  </si>
  <si>
    <t>張宇辰、張宇亨</t>
  </si>
  <si>
    <t>0930303929</t>
  </si>
  <si>
    <t>0916878007</t>
  </si>
  <si>
    <t>李浩誠、李泓治、Benny</t>
  </si>
  <si>
    <t>0915005905</t>
  </si>
  <si>
    <t>8712</t>
  </si>
  <si>
    <t>0980427816</t>
  </si>
  <si>
    <t>22356</t>
  </si>
  <si>
    <t>0953205962</t>
  </si>
  <si>
    <t>張宸碩、許允謙、許允亮</t>
  </si>
  <si>
    <t>0925328828.1</t>
  </si>
  <si>
    <t>0919551105</t>
  </si>
  <si>
    <t>0983525968.1</t>
  </si>
  <si>
    <t>7866</t>
  </si>
  <si>
    <t>江學耘、江昀恬</t>
  </si>
  <si>
    <t>0982798492</t>
  </si>
  <si>
    <t>0989133398</t>
  </si>
  <si>
    <t>17172</t>
  </si>
  <si>
    <t>黃苡昕、黃子妍、黃子沂</t>
  </si>
  <si>
    <t>0922039223</t>
  </si>
  <si>
    <t>0925126718</t>
  </si>
  <si>
    <t>17586</t>
  </si>
  <si>
    <t>0926556590</t>
  </si>
  <si>
    <t>林禹賢、林靖唯</t>
  </si>
  <si>
    <t>0953623959</t>
  </si>
  <si>
    <t>8900</t>
  </si>
  <si>
    <t>黃歆頤、黃彥綸</t>
  </si>
  <si>
    <t>105/09/24</t>
  </si>
  <si>
    <t>0910844225</t>
  </si>
  <si>
    <t>羅欣、黃玉珪</t>
  </si>
  <si>
    <t>44/07/15</t>
  </si>
  <si>
    <t>0916688755.3</t>
  </si>
  <si>
    <t>16350</t>
  </si>
  <si>
    <t>葉品陞、葉品頤</t>
  </si>
  <si>
    <t>0926897992</t>
  </si>
  <si>
    <t>33750</t>
  </si>
  <si>
    <t>林靖恩、林妡語</t>
  </si>
  <si>
    <t>0927601050</t>
  </si>
  <si>
    <t>0934053344</t>
  </si>
  <si>
    <t>16560</t>
  </si>
  <si>
    <t>0922711546.1</t>
  </si>
  <si>
    <t>廖少綸、廖少宏</t>
  </si>
  <si>
    <t>0976137092</t>
  </si>
  <si>
    <t>廖睫睎、廖冠程</t>
  </si>
  <si>
    <t>0989839321</t>
  </si>
  <si>
    <t>107/05/25</t>
  </si>
  <si>
    <t>0988628657</t>
  </si>
  <si>
    <t>林水全</t>
  </si>
  <si>
    <t>107/08/08</t>
  </si>
  <si>
    <t>0960098837</t>
  </si>
  <si>
    <t>14655</t>
  </si>
  <si>
    <t>林祐頡、朱瑜萱</t>
  </si>
  <si>
    <t>0928011989</t>
  </si>
  <si>
    <t>BQ115026</t>
  </si>
  <si>
    <t>楊子絃、楊子恩、洪昊陽、洪昊謙</t>
  </si>
  <si>
    <t>102/01/23</t>
  </si>
  <si>
    <t>0909540415</t>
  </si>
  <si>
    <t>68/06/15</t>
  </si>
  <si>
    <t>0921777686</t>
  </si>
  <si>
    <t>0912562136</t>
  </si>
  <si>
    <t>0917645697</t>
  </si>
  <si>
    <t>魏品恩、魏品芸</t>
  </si>
  <si>
    <t>0988135080</t>
  </si>
  <si>
    <t>16250</t>
  </si>
  <si>
    <t>0932343232</t>
  </si>
  <si>
    <t>0919450143</t>
  </si>
  <si>
    <t>66/04/06</t>
  </si>
  <si>
    <t>0910581351</t>
  </si>
  <si>
    <t>郭芯嘉、郭芊妘、陳沁妤</t>
  </si>
  <si>
    <t>104/11/15</t>
  </si>
  <si>
    <t>0961020262</t>
  </si>
  <si>
    <t>彭朝聲、彭玟麒</t>
  </si>
  <si>
    <t>0921810618</t>
  </si>
  <si>
    <t>張奕薪、張奕謙</t>
  </si>
  <si>
    <t>0970170082</t>
  </si>
  <si>
    <t>8820</t>
  </si>
  <si>
    <t>陳蜜雅、陳孜語</t>
  </si>
  <si>
    <t>0911395911</t>
  </si>
  <si>
    <t>王律婕、汪佳樂、汪嵩懷、汪彥廷</t>
  </si>
  <si>
    <t>0975127077.1</t>
  </si>
  <si>
    <t>0958934004</t>
  </si>
  <si>
    <t>江佳霖、黃雋恩、黃子恩、沈秉宏</t>
  </si>
  <si>
    <t>0933951044</t>
  </si>
  <si>
    <t>14112</t>
  </si>
  <si>
    <t>0988629096</t>
  </si>
  <si>
    <t>8114</t>
  </si>
  <si>
    <t>高子鈞、黃韻佳</t>
  </si>
  <si>
    <t>0956050522</t>
  </si>
  <si>
    <t>0921173932</t>
  </si>
  <si>
    <t>68/08/23</t>
  </si>
  <si>
    <t>0936522555</t>
  </si>
  <si>
    <t>林宣澄、林楷茗</t>
  </si>
  <si>
    <t>0939629038</t>
  </si>
  <si>
    <t>0928622223</t>
  </si>
  <si>
    <t>蘇珈語、蘇敬恩</t>
  </si>
  <si>
    <t>0912915912</t>
  </si>
  <si>
    <t>10680</t>
  </si>
  <si>
    <t>林帛宇、林羽宸</t>
  </si>
  <si>
    <t>0933107597</t>
  </si>
  <si>
    <t>5340</t>
  </si>
  <si>
    <t>0920129049</t>
  </si>
  <si>
    <t>0910104837</t>
  </si>
  <si>
    <t>陳芷婕、陳宇宥、陳毅</t>
  </si>
  <si>
    <t>0927383378</t>
  </si>
  <si>
    <t>45540</t>
  </si>
  <si>
    <t>林鈺庭、林鈺娟、游皓晴、游秉頵</t>
  </si>
  <si>
    <t>0981907815</t>
  </si>
  <si>
    <t>0926227506</t>
  </si>
  <si>
    <t>BQ11509</t>
  </si>
  <si>
    <t>000</t>
  </si>
  <si>
    <t>0000000</t>
  </si>
  <si>
    <t>董曦元、董禎元</t>
  </si>
  <si>
    <t>0961222201</t>
  </si>
  <si>
    <t>25290</t>
  </si>
  <si>
    <t>劉昕玥、林倢誼</t>
  </si>
  <si>
    <t>0922711546</t>
  </si>
  <si>
    <t>詹昕樺、詹沂穎</t>
  </si>
  <si>
    <t>0935153303</t>
  </si>
  <si>
    <t>賴欣葦、蘇宥宇、蘇宥嘉</t>
  </si>
  <si>
    <t>0937147856</t>
  </si>
  <si>
    <t>41910</t>
  </si>
  <si>
    <t>0958934002</t>
  </si>
  <si>
    <t>26400</t>
  </si>
  <si>
    <t>陳享恩、陳頌恩</t>
  </si>
  <si>
    <t>0958934012</t>
  </si>
  <si>
    <t>0958934010</t>
  </si>
  <si>
    <t>謝潤澤、謝名燿</t>
  </si>
  <si>
    <t>0958934011</t>
  </si>
  <si>
    <t>BQ115059</t>
    <phoneticPr fontId="16" type="noConversion"/>
  </si>
  <si>
    <t>判斷是否有資料</t>
    <phoneticPr fontId="16" type="noConversion"/>
  </si>
  <si>
    <t>AQ113308</t>
    <phoneticPr fontId="16" type="noConversion"/>
  </si>
  <si>
    <t>27255</t>
  </si>
  <si>
    <t>吳青諭、吳宇佑</t>
  </si>
  <si>
    <t>0931290858</t>
  </si>
  <si>
    <t>季蔚帆、林宇桓</t>
  </si>
  <si>
    <t>0918732834</t>
  </si>
  <si>
    <t>0937848368</t>
  </si>
  <si>
    <t>0913222254</t>
  </si>
  <si>
    <t>17640</t>
  </si>
  <si>
    <t>16146</t>
  </si>
  <si>
    <t>蔡東樺、蔡曜安、蔡曜羽、蔡雨芯</t>
  </si>
  <si>
    <t>106/07/07</t>
  </si>
  <si>
    <t>0910554558</t>
  </si>
  <si>
    <t>黃禹嫣、黃翊恆</t>
  </si>
  <si>
    <t>0921845258</t>
  </si>
  <si>
    <t>林宜閒、林湘品</t>
  </si>
  <si>
    <t>0965313230</t>
  </si>
  <si>
    <t>0929933056</t>
  </si>
  <si>
    <t>109/04/13</t>
  </si>
  <si>
    <t>0934020021</t>
  </si>
  <si>
    <t>陳詩羽</t>
  </si>
  <si>
    <t>108/01/25</t>
  </si>
  <si>
    <t>0976834520</t>
  </si>
  <si>
    <t>0986189878</t>
  </si>
  <si>
    <t>26208</t>
  </si>
  <si>
    <t>22125</t>
  </si>
  <si>
    <t>22650</t>
  </si>
  <si>
    <t>16500</t>
  </si>
  <si>
    <t>蔡育潔、阮偉銘</t>
  </si>
  <si>
    <t>0911570278</t>
  </si>
  <si>
    <t>原卡號</t>
  </si>
  <si>
    <t>原姓名</t>
  </si>
  <si>
    <t>正規化卡號</t>
  </si>
  <si>
    <t>是否有資料</t>
  </si>
  <si>
    <t>比對方式</t>
  </si>
  <si>
    <t>會員編號(庫)</t>
  </si>
  <si>
    <t>會員姓名(庫)</t>
  </si>
  <si>
    <t>群組(庫)</t>
  </si>
  <si>
    <t>館別</t>
  </si>
  <si>
    <t>市話</t>
  </si>
  <si>
    <t>6</t>
  </si>
  <si>
    <t>有資料</t>
  </si>
  <si>
    <t>卡號相符</t>
  </si>
  <si>
    <t>新北高中</t>
  </si>
  <si>
    <t>0928160963</t>
  </si>
  <si>
    <t>7</t>
  </si>
  <si>
    <t>0911563931</t>
  </si>
  <si>
    <t>11</t>
  </si>
  <si>
    <t>0932012341</t>
  </si>
  <si>
    <t>25</t>
  </si>
  <si>
    <t>許嘉文</t>
  </si>
  <si>
    <t>0932549778</t>
  </si>
  <si>
    <t>29</t>
  </si>
  <si>
    <t>三民高中</t>
  </si>
  <si>
    <t>0952641567</t>
  </si>
  <si>
    <t>37</t>
  </si>
  <si>
    <t>0900394194</t>
  </si>
  <si>
    <t>39</t>
  </si>
  <si>
    <t>0928084563</t>
  </si>
  <si>
    <t>56</t>
  </si>
  <si>
    <t>0910192942</t>
  </si>
  <si>
    <t>57</t>
  </si>
  <si>
    <t>0928880002</t>
  </si>
  <si>
    <t>74</t>
  </si>
  <si>
    <t>77</t>
  </si>
  <si>
    <t>0915694615</t>
  </si>
  <si>
    <t>94</t>
  </si>
  <si>
    <t>CQ113527-1姚奕鍇</t>
  </si>
  <si>
    <t>105</t>
  </si>
  <si>
    <t>0976987109</t>
  </si>
  <si>
    <t>130</t>
  </si>
  <si>
    <t>賴欣葦.蘇宥宇.蘇宥嘉</t>
  </si>
  <si>
    <t>三重商工</t>
  </si>
  <si>
    <t>150</t>
  </si>
  <si>
    <t>0982070815</t>
  </si>
  <si>
    <t>160</t>
  </si>
  <si>
    <t>0911693649</t>
  </si>
  <si>
    <t>162</t>
  </si>
  <si>
    <t>0961330110</t>
  </si>
  <si>
    <t>166</t>
  </si>
  <si>
    <t>0919268429</t>
  </si>
  <si>
    <t>205</t>
  </si>
  <si>
    <t>0921751876</t>
  </si>
  <si>
    <t>215</t>
  </si>
  <si>
    <t>268</t>
  </si>
  <si>
    <t>劉昕玥.林倢誼</t>
  </si>
  <si>
    <t>426</t>
  </si>
  <si>
    <t>430</t>
  </si>
  <si>
    <t>詹昕樺.詹沂穎</t>
  </si>
  <si>
    <t>495</t>
  </si>
  <si>
    <t>543</t>
  </si>
  <si>
    <t>575</t>
  </si>
  <si>
    <t>643</t>
  </si>
  <si>
    <t>669</t>
  </si>
  <si>
    <t>777</t>
  </si>
  <si>
    <t>0936262633</t>
  </si>
  <si>
    <t>848</t>
  </si>
  <si>
    <t>CQ1140601</t>
  </si>
  <si>
    <t>0913400123</t>
  </si>
  <si>
    <t>861</t>
  </si>
  <si>
    <t>0917601204</t>
  </si>
  <si>
    <t>911</t>
  </si>
  <si>
    <t>956</t>
  </si>
  <si>
    <t>1002</t>
  </si>
  <si>
    <t>CQ11４２０１簡妍思</t>
  </si>
  <si>
    <t>CQ114201</t>
  </si>
  <si>
    <t>1010</t>
  </si>
  <si>
    <t>0920802321</t>
  </si>
  <si>
    <t>1075</t>
  </si>
  <si>
    <t>1153</t>
  </si>
  <si>
    <t>1159</t>
  </si>
  <si>
    <t>1163</t>
  </si>
  <si>
    <t>1179</t>
  </si>
  <si>
    <t>0970422905</t>
  </si>
  <si>
    <t>1209</t>
  </si>
  <si>
    <t>0937966481-2</t>
  </si>
  <si>
    <t>1218</t>
  </si>
  <si>
    <t>0933875816</t>
  </si>
  <si>
    <t>1227</t>
  </si>
  <si>
    <t>0968772862-2</t>
  </si>
  <si>
    <t>1271</t>
  </si>
  <si>
    <t>1289</t>
  </si>
  <si>
    <t>0911151291</t>
  </si>
  <si>
    <t>1308</t>
  </si>
  <si>
    <t>1371</t>
  </si>
  <si>
    <t>1375</t>
  </si>
  <si>
    <t>1390</t>
  </si>
  <si>
    <t>姓名相符(會員編號異常)</t>
  </si>
  <si>
    <t>汪宇綸</t>
  </si>
  <si>
    <t>0932311513</t>
  </si>
  <si>
    <t>1423</t>
  </si>
  <si>
    <t>AQ113125-1王歆雅 王俊叡張滋芸 張瑀洋</t>
  </si>
  <si>
    <t>王歆雅 王俊叡 張滋芸 張瑀洋</t>
  </si>
  <si>
    <t>1475</t>
  </si>
  <si>
    <t>1516</t>
  </si>
  <si>
    <t>1517</t>
  </si>
  <si>
    <t>1529</t>
  </si>
  <si>
    <t>1553</t>
  </si>
  <si>
    <t>無資料</t>
  </si>
  <si>
    <t>—</t>
  </si>
  <si>
    <t>1556</t>
  </si>
  <si>
    <t>0921690089</t>
  </si>
  <si>
    <t>1614</t>
  </si>
  <si>
    <t>1625</t>
  </si>
  <si>
    <t>0987999331</t>
  </si>
  <si>
    <t>1634</t>
  </si>
  <si>
    <t>1638</t>
  </si>
  <si>
    <t>1642</t>
  </si>
  <si>
    <t>1643</t>
  </si>
  <si>
    <t>1700</t>
  </si>
  <si>
    <t>BQ新北家教謝秉維</t>
  </si>
  <si>
    <t>1736</t>
  </si>
  <si>
    <t>1745</t>
  </si>
  <si>
    <t>1765</t>
  </si>
  <si>
    <t>0972896660</t>
  </si>
  <si>
    <t>1782</t>
  </si>
  <si>
    <t>0955770306</t>
  </si>
  <si>
    <t>1867</t>
  </si>
  <si>
    <t>1883</t>
  </si>
  <si>
    <t>0910316059</t>
  </si>
  <si>
    <t>1888</t>
  </si>
  <si>
    <t>1889</t>
  </si>
  <si>
    <t>1893</t>
  </si>
  <si>
    <t>1914</t>
  </si>
  <si>
    <t>1932</t>
  </si>
  <si>
    <t>1936</t>
  </si>
  <si>
    <t>1937</t>
  </si>
  <si>
    <t>1942</t>
  </si>
  <si>
    <t>1984</t>
  </si>
  <si>
    <t>2124</t>
  </si>
  <si>
    <t>2128</t>
  </si>
  <si>
    <t>0933222114</t>
  </si>
  <si>
    <t>2132</t>
  </si>
  <si>
    <t>DE61539324</t>
  </si>
  <si>
    <t>2166</t>
  </si>
  <si>
    <t>2197</t>
  </si>
  <si>
    <t>CQ113525-1陳允昊 陳韵彤</t>
  </si>
  <si>
    <t>2261</t>
  </si>
  <si>
    <t>0912082183</t>
  </si>
  <si>
    <t>2332</t>
  </si>
  <si>
    <t>2334</t>
  </si>
  <si>
    <t>高向辰</t>
  </si>
  <si>
    <t>0911111321</t>
  </si>
  <si>
    <t>2353</t>
  </si>
  <si>
    <t>陳享恩/陳頌恩</t>
  </si>
  <si>
    <t>2354</t>
  </si>
  <si>
    <t>謝潤澤/謝名燿</t>
  </si>
  <si>
    <t>2355</t>
  </si>
  <si>
    <t>2365</t>
  </si>
  <si>
    <t>2366</t>
  </si>
  <si>
    <t>2370</t>
  </si>
  <si>
    <t>福林111059</t>
  </si>
  <si>
    <t>FL38959204</t>
  </si>
  <si>
    <t>2373</t>
  </si>
  <si>
    <t>0933039376</t>
  </si>
  <si>
    <t>2378</t>
  </si>
  <si>
    <t>2419</t>
  </si>
  <si>
    <t>2469</t>
  </si>
  <si>
    <t>0920222765</t>
  </si>
  <si>
    <t>2486</t>
  </si>
  <si>
    <t>2506</t>
  </si>
  <si>
    <t>2539</t>
  </si>
  <si>
    <t>0912127414-1</t>
  </si>
  <si>
    <t>2552</t>
  </si>
  <si>
    <t>0987557541</t>
  </si>
  <si>
    <t>2554</t>
  </si>
  <si>
    <t>2570</t>
  </si>
  <si>
    <t>2580</t>
  </si>
  <si>
    <t>2599</t>
  </si>
  <si>
    <t>2605</t>
  </si>
  <si>
    <t>2633</t>
  </si>
  <si>
    <t>2652</t>
  </si>
  <si>
    <t>2675</t>
  </si>
  <si>
    <t>2687</t>
  </si>
  <si>
    <t>0988313840</t>
  </si>
  <si>
    <t>2688</t>
  </si>
  <si>
    <t>2689</t>
  </si>
  <si>
    <t>2747</t>
  </si>
  <si>
    <t>2764</t>
  </si>
  <si>
    <t>2765</t>
  </si>
  <si>
    <t>2777</t>
  </si>
  <si>
    <t>2778</t>
  </si>
  <si>
    <t>2819</t>
  </si>
  <si>
    <t>2876</t>
  </si>
  <si>
    <t>2941</t>
  </si>
  <si>
    <t>2965</t>
  </si>
  <si>
    <t>3019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</si>
</sst>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22">
    <font>
      <sz val="11"/>
      <color theme="1"/>
      <name val="Calibri"/>
      <family val="2"/>
      <charset val="1"/>
    </font>
    <font>
      <b/>
      <sz val="16"/>
      <color rgb="FF1F4E78"/>
      <name val="Noto Sans CJK SC"/>
      <family val="2"/>
    </font>
    <font>
      <sz val="10"/>
      <color rgb="FF595959"/>
      <name val="Noto Sans CJK SC"/>
      <family val="2"/>
    </font>
    <font>
      <sz val="10"/>
      <color rgb="FF595959"/>
      <name val="Microsoft JhengHei"/>
      <family val="2"/>
      <charset val="136"/>
    </font>
    <font>
      <sz val="10"/>
      <color rgb="FFC00000"/>
      <name val="Noto Sans CJK SC"/>
      <family val="2"/>
    </font>
    <font>
      <sz val="10"/>
      <color rgb="FFC00000"/>
      <name val="Microsoft JhengHei"/>
      <family val="2"/>
      <charset val="136"/>
    </font>
    <font>
      <b/>
      <sz val="12"/>
      <color rgb="FFFFFFFF"/>
      <name val="Noto Sans CJK SC"/>
      <family val="2"/>
    </font>
    <font>
      <b/>
      <sz val="12"/>
      <color rgb="FFFFFFFF"/>
      <name val="Microsoft JhengHei"/>
      <family val="2"/>
      <charset val="136"/>
    </font>
    <font>
      <b/>
      <sz val="11"/>
      <name val="Noto Sans CJK SC"/>
      <family val="2"/>
    </font>
    <font>
      <sz val="11"/>
      <name val="Microsoft JhengHei"/>
      <family val="2"/>
      <charset val="136"/>
    </font>
    <font>
      <b/>
      <sz val="11"/>
      <name val="Microsoft JhengHei"/>
      <family val="2"/>
      <charset val="136"/>
    </font>
    <font>
      <sz val="11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sz val="10"/>
      <name val="Noto Sans CJK SC"/>
      <family val="2"/>
    </font>
    <font>
      <sz val="9"/>
      <name val="GenSenRounded TW B"/>
      <family val="3"/>
      <charset val="136"/>
    </font>
    <font>
      <sz val="11"/>
      <color theme="1"/>
      <name val="Microsoft JhengHei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新細明體"/>
      <family val="1"/>
      <charset val="136"/>
    </font>
    <font>
      <sz val="10"/>
      <name val="新細明體"/>
      <family val="1"/>
      <charset val="136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F8CBA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3" fontId="9" fillId="0" borderId="1" xfId="0" applyNumberFormat="1" applyFont="1" applyBorder="1" applyAlignment="1">
      <alignment horizontal="right"/>
    </xf>
    <xf numFmtId="0" fontId="8" fillId="4" borderId="1" xfId="0" applyFont="1" applyFill="1" applyBorder="1" applyAlignment="1">
      <alignment horizontal="center"/>
    </xf>
    <xf numFmtId="0" fontId="11" fillId="0" borderId="1" xfId="0" applyFont="1" applyBorder="1"/>
    <xf numFmtId="176" fontId="9" fillId="0" borderId="1" xfId="0" applyNumberFormat="1" applyFont="1" applyBorder="1" applyAlignment="1">
      <alignment horizontal="right"/>
    </xf>
    <xf numFmtId="3" fontId="10" fillId="3" borderId="1" xfId="0" applyNumberFormat="1" applyFont="1" applyFill="1" applyBorder="1" applyAlignment="1">
      <alignment horizontal="right"/>
    </xf>
    <xf numFmtId="176" fontId="10" fillId="3" borderId="1" xfId="0" applyNumberFormat="1" applyFont="1" applyFill="1" applyBorder="1" applyAlignment="1">
      <alignment horizontal="right"/>
    </xf>
    <xf numFmtId="0" fontId="9" fillId="0" borderId="1" xfId="0" applyFont="1" applyBorder="1"/>
    <xf numFmtId="0" fontId="12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top"/>
    </xf>
    <xf numFmtId="49" fontId="14" fillId="0" borderId="1" xfId="0" applyNumberFormat="1" applyFont="1" applyBorder="1" applyAlignment="1">
      <alignment horizontal="left" vertical="top"/>
    </xf>
    <xf numFmtId="177" fontId="14" fillId="0" borderId="1" xfId="0" applyNumberFormat="1" applyFont="1" applyBorder="1" applyAlignment="1">
      <alignment horizontal="center" vertical="top"/>
    </xf>
    <xf numFmtId="0" fontId="15" fillId="0" borderId="1" xfId="0" applyFont="1" applyBorder="1" applyAlignment="1">
      <alignment vertical="top"/>
    </xf>
    <xf numFmtId="49" fontId="14" fillId="0" borderId="1" xfId="0" applyNumberFormat="1" applyFont="1" applyBorder="1" applyAlignment="1">
      <alignment vertical="top"/>
    </xf>
    <xf numFmtId="0" fontId="14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center" vertical="top"/>
    </xf>
    <xf numFmtId="3" fontId="14" fillId="0" borderId="1" xfId="0" applyNumberFormat="1" applyFont="1" applyBorder="1" applyAlignment="1">
      <alignment horizontal="right" vertical="top"/>
    </xf>
    <xf numFmtId="0" fontId="14" fillId="0" borderId="1" xfId="0" applyFont="1" applyBorder="1" applyAlignment="1">
      <alignment vertical="top"/>
    </xf>
    <xf numFmtId="49" fontId="15" fillId="0" borderId="1" xfId="0" applyNumberFormat="1" applyFont="1" applyBorder="1" applyAlignment="1">
      <alignment vertical="top"/>
    </xf>
    <xf numFmtId="0" fontId="17" fillId="0" borderId="0" xfId="0" applyFont="1"/>
    <xf numFmtId="0" fontId="18" fillId="6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left" vertical="center"/>
    </xf>
    <xf numFmtId="0" fontId="19" fillId="8" borderId="2" xfId="0" applyFont="1" applyFill="1" applyBorder="1" applyAlignment="1">
      <alignment horizontal="left" vertical="center"/>
    </xf>
    <xf numFmtId="0" fontId="19" fillId="5" borderId="2" xfId="0" applyFont="1" applyFill="1" applyBorder="1" applyAlignment="1">
      <alignment horizontal="left" vertical="center"/>
    </xf>
    <xf numFmtId="0" fontId="19" fillId="9" borderId="2" xfId="0" applyFont="1" applyFill="1" applyBorder="1" applyAlignment="1">
      <alignment horizontal="left" vertical="center"/>
    </xf>
    <xf numFmtId="0" fontId="20" fillId="10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left" vertical="center"/>
    </xf>
    <xf numFmtId="0" fontId="21" fillId="8" borderId="2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left" vertical="center"/>
    </xf>
    <xf numFmtId="0" fontId="21" fillId="11" borderId="2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04BA31-D464-8D44-B4E5-BE1C2C84BDB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bc2fe5a-66ef-4389-9d22-2d91347aa19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showGridLines="0" zoomScaleNormal="100" workbookViewId="0"/>
  </sheetViews>
  <sheetFormatPr baseColWidth="10" defaultColWidth="8.6640625" defaultRowHeight="15"/>
  <cols>
    <col min="1" max="1" width="18" customWidth="1"/>
    <col min="2" max="2" width="12" customWidth="1"/>
    <col min="3" max="3" width="16" customWidth="1"/>
    <col min="4" max="4" width="12" customWidth="1"/>
  </cols>
  <sheetData>
    <row r="1" spans="1:4" ht="21">
      <c r="A1" s="1" t="s">
        <v>0</v>
      </c>
    </row>
    <row r="2" spans="1:4" ht="16">
      <c r="A2" s="2" t="s">
        <v>1</v>
      </c>
    </row>
    <row r="3" spans="1:4" ht="16">
      <c r="A3" s="2" t="s">
        <v>2</v>
      </c>
    </row>
    <row r="4" spans="1:4" ht="16">
      <c r="A4" s="3" t="s">
        <v>3</v>
      </c>
    </row>
    <row r="6" spans="1:4" ht="18">
      <c r="A6" s="4" t="s">
        <v>4</v>
      </c>
      <c r="B6" s="5"/>
    </row>
    <row r="7" spans="1:4" ht="17">
      <c r="A7" s="6" t="s">
        <v>5</v>
      </c>
      <c r="B7" s="7">
        <f>COUNT(家教課程明細!$A$2:$A$3020)</f>
        <v>3019</v>
      </c>
    </row>
    <row r="8" spans="1:4" ht="17">
      <c r="A8" s="6" t="s">
        <v>6</v>
      </c>
      <c r="B8" s="7">
        <f>SUM(家教課程明細!$O$2:$O$3020)</f>
        <v>29786382</v>
      </c>
    </row>
    <row r="9" spans="1:4" ht="17">
      <c r="A9" s="6" t="s">
        <v>7</v>
      </c>
      <c r="B9" s="7">
        <f>SUM(家教課程明細!$N$2:$N$3020)</f>
        <v>-2586258</v>
      </c>
    </row>
    <row r="10" spans="1:4" ht="17">
      <c r="A10" s="6" t="s">
        <v>8</v>
      </c>
      <c r="B10" s="7">
        <f>SUM(家教課程明細!$M$2:$M$3020)</f>
        <v>0</v>
      </c>
    </row>
    <row r="11" spans="1:4" ht="17">
      <c r="A11" s="6" t="s">
        <v>9</v>
      </c>
      <c r="B11" s="7">
        <f>SUM(家教課程明細!$I$2:$I$3020)</f>
        <v>4111</v>
      </c>
    </row>
    <row r="12" spans="1:4" ht="17">
      <c r="A12" s="6" t="s">
        <v>10</v>
      </c>
      <c r="B12" s="7">
        <f>ROUND(SUM(家教課程明細!$O$2:$O$3020)/COUNT(家教課程明細!$A$2:$A$3020),0)</f>
        <v>9866</v>
      </c>
    </row>
    <row r="14" spans="1:4" ht="18">
      <c r="A14" s="4" t="s">
        <v>11</v>
      </c>
      <c r="B14" s="5"/>
      <c r="C14" s="5"/>
      <c r="D14" s="5"/>
    </row>
    <row r="15" spans="1:4">
      <c r="A15" s="8" t="s">
        <v>12</v>
      </c>
      <c r="B15" s="8" t="s">
        <v>13</v>
      </c>
      <c r="C15" s="8" t="s">
        <v>14</v>
      </c>
      <c r="D15" s="8" t="s">
        <v>15</v>
      </c>
    </row>
    <row r="16" spans="1:4" ht="17">
      <c r="A16" s="9" t="s">
        <v>16</v>
      </c>
      <c r="B16" s="7">
        <f>COUNTIF(家教課程明細!$L$2:$L$3020,"現金")</f>
        <v>2684</v>
      </c>
      <c r="C16" s="7">
        <f>SUMIF(家教課程明細!$L$2:$L$3020,"現金",家教課程明細!$O$2:$O$3020)</f>
        <v>26440909</v>
      </c>
      <c r="D16" s="10">
        <f>IF($C$16=0,0,$C$16/$C$20)</f>
        <v>0.88768447943761686</v>
      </c>
    </row>
    <row r="17" spans="1:4" ht="17">
      <c r="A17" s="9" t="s">
        <v>17</v>
      </c>
      <c r="B17" s="7">
        <f>COUNTIF(家教課程明細!$L$2:$L$3020,"刷卡")</f>
        <v>71</v>
      </c>
      <c r="C17" s="7">
        <f>SUMIF(家教課程明細!$L$2:$L$3020,"刷卡",家教課程明細!$O$2:$O$3020)</f>
        <v>604710</v>
      </c>
      <c r="D17" s="10">
        <f>IF($C$17=0,0,$C$17/$C$20)</f>
        <v>2.0301559283030748E-2</v>
      </c>
    </row>
    <row r="18" spans="1:4" ht="17">
      <c r="A18" s="9" t="s">
        <v>18</v>
      </c>
      <c r="B18" s="7">
        <f>COUNTIF(家教課程明細!$L$2:$L$3020,"其他")</f>
        <v>264</v>
      </c>
      <c r="C18" s="7">
        <f>SUMIF(家教課程明細!$L$2:$L$3020,"其他",家教課程明細!$O$2:$O$3020)</f>
        <v>2740763</v>
      </c>
      <c r="D18" s="10">
        <f>IF($C$18=0,0,$C$18/$C$20)</f>
        <v>9.2013961279352421E-2</v>
      </c>
    </row>
    <row r="19" spans="1:4" ht="17">
      <c r="A19" s="9" t="s">
        <v>19</v>
      </c>
      <c r="B19" s="7">
        <f>COUNTIF(家教課程明細!$L$2:$L$3020,"儲值扣款")</f>
        <v>0</v>
      </c>
      <c r="C19" s="7">
        <f>SUMIF(家教課程明細!$L$2:$L$3020,"儲值扣款",家教課程明細!$O$2:$O$3020)</f>
        <v>0</v>
      </c>
      <c r="D19" s="10">
        <f>IF($C$19=0,0,$C$19/$C$20)</f>
        <v>0</v>
      </c>
    </row>
    <row r="20" spans="1:4" ht="17">
      <c r="A20" s="6" t="s">
        <v>20</v>
      </c>
      <c r="B20" s="11">
        <f>SUM($B$16:$B$19)</f>
        <v>3019</v>
      </c>
      <c r="C20" s="11">
        <f>SUM($C$16:$C$19)</f>
        <v>29786382</v>
      </c>
      <c r="D20" s="12">
        <f>IF($C$20=0,0,$C$20/$C$20)</f>
        <v>1</v>
      </c>
    </row>
    <row r="22" spans="1:4" ht="18">
      <c r="A22" s="4" t="s">
        <v>21</v>
      </c>
      <c r="B22" s="5"/>
      <c r="C22" s="5"/>
      <c r="D22" s="5"/>
    </row>
    <row r="23" spans="1:4">
      <c r="A23" s="8" t="s">
        <v>22</v>
      </c>
      <c r="B23" s="8" t="s">
        <v>13</v>
      </c>
      <c r="C23" s="8" t="s">
        <v>14</v>
      </c>
      <c r="D23" s="8" t="s">
        <v>15</v>
      </c>
    </row>
    <row r="24" spans="1:4" ht="17">
      <c r="A24" s="13" t="s">
        <v>23</v>
      </c>
      <c r="B24" s="7">
        <f>COUNTIF(家教課程明細!$J$2:$J$3020,"1VS1")</f>
        <v>1014</v>
      </c>
      <c r="C24" s="7">
        <f>SUMIF(家教課程明細!$J$2:$J$3020,"1VS1",家教課程明細!$O$2:$O$3020)</f>
        <v>8571520</v>
      </c>
      <c r="D24" s="10">
        <f>IF($C$24=0,0,$C$24/$C$31)</f>
        <v>0.28776640278097554</v>
      </c>
    </row>
    <row r="25" spans="1:4" ht="17">
      <c r="A25" s="13" t="s">
        <v>24</v>
      </c>
      <c r="B25" s="7">
        <f>COUNTIF(家教課程明細!$J$2:$J$3020,"1VS2")</f>
        <v>1373</v>
      </c>
      <c r="C25" s="7">
        <f>SUMIF(家教課程明細!$J$2:$J$3020,"1VS2",家教課程明細!$O$2:$O$3020)</f>
        <v>13353115</v>
      </c>
      <c r="D25" s="10">
        <f>IF($C$25=0,0,$C$25/$C$31)</f>
        <v>0.44829596961457086</v>
      </c>
    </row>
    <row r="26" spans="1:4" ht="17">
      <c r="A26" s="13" t="s">
        <v>25</v>
      </c>
      <c r="B26" s="7">
        <f>COUNTIF(家教課程明細!$J$2:$J$3020,"1VS3")</f>
        <v>397</v>
      </c>
      <c r="C26" s="7">
        <f>SUMIF(家教課程明細!$J$2:$J$3020,"1VS3",家教課程明細!$O$2:$O$3020)</f>
        <v>4713562</v>
      </c>
      <c r="D26" s="10">
        <f>IF($C$26=0,0,$C$26/$C$31)</f>
        <v>0.15824553650053907</v>
      </c>
    </row>
    <row r="27" spans="1:4" ht="17">
      <c r="A27" s="13" t="s">
        <v>26</v>
      </c>
      <c r="B27" s="7">
        <f>COUNTIF(家教課程明細!$J$2:$J$3020,"1VS4")</f>
        <v>192</v>
      </c>
      <c r="C27" s="7">
        <f>SUMIF(家教課程明細!$J$2:$J$3020,"1VS4",家教課程明細!$O$2:$O$3020)</f>
        <v>2549085</v>
      </c>
      <c r="D27" s="10">
        <f>IF($C$27=0,0,$C$27/$C$31)</f>
        <v>8.5578872922532176E-2</v>
      </c>
    </row>
    <row r="28" spans="1:4" ht="17">
      <c r="A28" s="13" t="s">
        <v>27</v>
      </c>
      <c r="B28" s="7">
        <f>COUNTIF(家教課程明細!$J$2:$J$3020,"1VS5")</f>
        <v>39</v>
      </c>
      <c r="C28" s="7">
        <f>SUMIF(家教課程明細!$J$2:$J$3020,"1VS5",家教課程明細!$O$2:$O$3020)</f>
        <v>525012</v>
      </c>
      <c r="D28" s="10">
        <f>IF($C$28=0,0,$C$28/$C$31)</f>
        <v>1.7625907033623621E-2</v>
      </c>
    </row>
    <row r="29" spans="1:4" ht="17">
      <c r="A29" s="13" t="s">
        <v>28</v>
      </c>
      <c r="B29" s="7">
        <f>COUNTIF(家教課程明細!$J$2:$J$3020,"1VS6")</f>
        <v>4</v>
      </c>
      <c r="C29" s="7">
        <f>SUMIF(家教課程明細!$J$2:$J$3020,"1VS6",家教課程明細!$O$2:$O$3020)</f>
        <v>74088</v>
      </c>
      <c r="D29" s="10">
        <f>IF($C$29=0,0,$C$29/$C$31)</f>
        <v>2.4873111477587309E-3</v>
      </c>
    </row>
    <row r="30" spans="1:4" ht="17">
      <c r="A30" s="9" t="s">
        <v>18</v>
      </c>
      <c r="B30" s="7">
        <f>COUNTIF(家教課程明細!$J$2:$J$3020,"其他")</f>
        <v>0</v>
      </c>
      <c r="C30" s="7">
        <f>SUMIF(家教課程明細!$J$2:$J$3020,"其他",家教課程明細!$O$2:$O$3020)</f>
        <v>0</v>
      </c>
      <c r="D30" s="10">
        <f>IF($C$30=0,0,$C$30/$C$31)</f>
        <v>0</v>
      </c>
    </row>
    <row r="31" spans="1:4" ht="17">
      <c r="A31" s="6" t="s">
        <v>20</v>
      </c>
      <c r="B31" s="11">
        <f>SUM($B$24:$B$30)</f>
        <v>3019</v>
      </c>
      <c r="C31" s="11">
        <f>SUM($C$24:$C$30)</f>
        <v>29786382</v>
      </c>
      <c r="D31" s="12">
        <f>IF($C$31=0,0,$C$31/$C$31)</f>
        <v>1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3020"/>
  <sheetViews>
    <sheetView tabSelected="1" zoomScaleNormal="100" workbookViewId="0">
      <pane ySplit="1" topLeftCell="A7" activePane="bottomLeft" state="frozen"/>
      <selection pane="bottomLeft" activeCell="M670" sqref="M670"/>
    </sheetView>
  </sheetViews>
  <sheetFormatPr baseColWidth="10" defaultColWidth="8.6640625" defaultRowHeight="15"/>
  <cols>
    <col min="1" max="1" width="6" customWidth="1"/>
    <col min="2" max="2" width="21" customWidth="1"/>
    <col min="3" max="3" width="11.5" customWidth="1"/>
    <col min="4" max="4" width="9" customWidth="1"/>
    <col min="5" max="5" width="11" customWidth="1"/>
    <col min="6" max="6" width="12" customWidth="1"/>
    <col min="7" max="7" width="20" customWidth="1"/>
    <col min="8" max="8" width="32" customWidth="1"/>
    <col min="9" max="9" width="8" customWidth="1"/>
    <col min="10" max="10" width="9" customWidth="1"/>
    <col min="11" max="11" width="7" customWidth="1"/>
    <col min="12" max="12" width="8" customWidth="1"/>
    <col min="13" max="14" width="9" customWidth="1"/>
    <col min="15" max="15" width="11" customWidth="1"/>
    <col min="16" max="16" width="9" customWidth="1"/>
    <col min="17" max="19" width="19.1640625" bestFit="1" customWidth="1"/>
    <col min="20" max="20" width="15" bestFit="1" customWidth="1"/>
  </cols>
  <sheetData>
    <row r="1" spans="1:20" ht="17">
      <c r="A1" s="14" t="s">
        <v>29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22</v>
      </c>
      <c r="K1" s="14" t="s">
        <v>38</v>
      </c>
      <c r="L1" s="14" t="s">
        <v>12</v>
      </c>
      <c r="M1" s="14" t="s">
        <v>39</v>
      </c>
      <c r="N1" s="14" t="s">
        <v>40</v>
      </c>
      <c r="O1" s="14" t="s">
        <v>14</v>
      </c>
      <c r="P1" s="14" t="s">
        <v>41</v>
      </c>
      <c r="Q1" s="32" t="s">
        <v>12310</v>
      </c>
      <c r="R1" s="32" t="s">
        <v>12300</v>
      </c>
      <c r="S1" s="33" t="s">
        <v>12329</v>
      </c>
      <c r="T1" s="25" t="s">
        <v>12256</v>
      </c>
    </row>
    <row r="2" spans="1:20" ht="14.25" hidden="1" customHeight="1">
      <c r="A2" s="15">
        <v>1</v>
      </c>
      <c r="B2" s="16" t="s">
        <v>42</v>
      </c>
      <c r="C2" s="17">
        <v>46194</v>
      </c>
      <c r="D2" s="15" t="s">
        <v>43</v>
      </c>
      <c r="E2" s="18" t="s">
        <v>44</v>
      </c>
      <c r="F2" s="19" t="s">
        <v>45</v>
      </c>
      <c r="G2" s="18" t="s">
        <v>46</v>
      </c>
      <c r="H2" s="20" t="s">
        <v>47</v>
      </c>
      <c r="I2" s="15">
        <v>1</v>
      </c>
      <c r="J2" s="15" t="s">
        <v>24</v>
      </c>
      <c r="K2" s="15"/>
      <c r="L2" s="21" t="s">
        <v>16</v>
      </c>
      <c r="M2" s="22">
        <v>0</v>
      </c>
      <c r="N2" s="22">
        <v>0</v>
      </c>
      <c r="O2" s="22">
        <v>9000</v>
      </c>
      <c r="P2" s="22">
        <v>9000</v>
      </c>
      <c r="Q2" t="str" cm="1">
        <f t="array" ref="Q2">_xlfn.TEXTJOIN("、",TRUE,IF('學員資料-三民高中'!$B$2:$B$454=$F2,'學員資料-三民高中'!$G$2:$G$454,""))</f>
        <v/>
      </c>
      <c r="R2" t="str" cm="1">
        <f t="array" ref="R2">_xlfn.TEXTJOIN("、",TRUE,IF('學員資料-新北高中'!$B$2:$B$583=$F2,'學員資料-新北高中'!$G$2:$G$583,""))</f>
        <v/>
      </c>
      <c r="S2" t="str" cm="1">
        <f t="array" ref="S2">_xlfn.TEXTJOIN("、",TRUE,IF('學員資料-三重商工'!$B$2:$B$472=$F2,'學員資料-三重商工'!$G$2:$G$472,""))</f>
        <v>0986189878</v>
      </c>
      <c r="T2">
        <f>3-COUNTBLANK(Q2:S2)</f>
        <v>1</v>
      </c>
    </row>
    <row r="3" spans="1:20" ht="14.25" hidden="1" customHeight="1">
      <c r="A3" s="15">
        <v>2</v>
      </c>
      <c r="B3" s="16" t="s">
        <v>48</v>
      </c>
      <c r="C3" s="17">
        <v>46194</v>
      </c>
      <c r="D3" s="15" t="s">
        <v>49</v>
      </c>
      <c r="E3" s="18" t="s">
        <v>44</v>
      </c>
      <c r="F3" s="19" t="s">
        <v>50</v>
      </c>
      <c r="G3" s="18" t="s">
        <v>51</v>
      </c>
      <c r="H3" s="20" t="s">
        <v>52</v>
      </c>
      <c r="I3" s="15">
        <v>1</v>
      </c>
      <c r="J3" s="15" t="s">
        <v>24</v>
      </c>
      <c r="K3" s="15"/>
      <c r="L3" s="21" t="s">
        <v>16</v>
      </c>
      <c r="M3" s="22">
        <v>0</v>
      </c>
      <c r="N3" s="22">
        <v>0</v>
      </c>
      <c r="O3" s="22">
        <v>7500</v>
      </c>
      <c r="P3" s="22">
        <v>7500</v>
      </c>
      <c r="Q3" t="str" cm="1">
        <f t="array" ref="Q3">_xlfn.TEXTJOIN("、",TRUE,IF('學員資料-三民高中'!$B$2:$B$454=$F3,'學員資料-三民高中'!$G$2:$G$454,""))</f>
        <v/>
      </c>
      <c r="R3" t="str" cm="1">
        <f t="array" ref="R3">_xlfn.TEXTJOIN("、",TRUE,IF('學員資料-新北高中'!$B$2:$B$583=$F3,'學員資料-新北高中'!$G$2:$G$583,""))</f>
        <v/>
      </c>
      <c r="S3" t="str" cm="1">
        <f t="array" ref="S3">_xlfn.TEXTJOIN("、",TRUE,IF('學員資料-三重商工'!$B$2:$B$472=$F3,'學員資料-三重商工'!$G$2:$G$472,""))</f>
        <v>0929933056</v>
      </c>
      <c r="T3">
        <f t="shared" ref="T3:T66" si="0">3-COUNTBLANK(Q3:S3)</f>
        <v>1</v>
      </c>
    </row>
    <row r="4" spans="1:20" ht="14.25" hidden="1" customHeight="1">
      <c r="A4" s="15">
        <v>3</v>
      </c>
      <c r="B4" s="16" t="s">
        <v>53</v>
      </c>
      <c r="C4" s="17">
        <v>46193</v>
      </c>
      <c r="D4" s="15" t="s">
        <v>54</v>
      </c>
      <c r="E4" s="18" t="s">
        <v>55</v>
      </c>
      <c r="F4" s="19" t="s">
        <v>56</v>
      </c>
      <c r="G4" s="18" t="s">
        <v>57</v>
      </c>
      <c r="H4" s="20" t="s">
        <v>47</v>
      </c>
      <c r="I4" s="15">
        <v>1</v>
      </c>
      <c r="J4" s="15" t="s">
        <v>24</v>
      </c>
      <c r="K4" s="15"/>
      <c r="L4" s="21" t="s">
        <v>18</v>
      </c>
      <c r="M4" s="22">
        <v>0</v>
      </c>
      <c r="N4" s="22">
        <v>0</v>
      </c>
      <c r="O4" s="22">
        <v>9000</v>
      </c>
      <c r="P4" s="22">
        <v>9000</v>
      </c>
      <c r="Q4" t="str" cm="1">
        <f t="array" ref="Q4">_xlfn.TEXTJOIN("、",TRUE,IF('學員資料-三民高中'!$B$2:$B$454=$F4,'學員資料-三民高中'!$G$2:$G$454,""))</f>
        <v/>
      </c>
      <c r="R4" t="str" cm="1">
        <f t="array" ref="R4">_xlfn.TEXTJOIN("、",TRUE,IF('學員資料-新北高中'!$B$2:$B$583=$F4,'學員資料-新北高中'!$G$2:$G$583,""))</f>
        <v>0911570278</v>
      </c>
      <c r="S4" t="str" cm="1">
        <f t="array" ref="S4">_xlfn.TEXTJOIN("、",TRUE,IF('學員資料-三重商工'!$B$2:$B$472=$F4,'學員資料-三重商工'!$G$2:$G$472,""))</f>
        <v/>
      </c>
      <c r="T4">
        <f t="shared" si="0"/>
        <v>1</v>
      </c>
    </row>
    <row r="5" spans="1:20" ht="14.25" hidden="1" customHeight="1">
      <c r="A5" s="15">
        <v>4</v>
      </c>
      <c r="B5" s="16" t="s">
        <v>58</v>
      </c>
      <c r="C5" s="17">
        <v>46193</v>
      </c>
      <c r="D5" s="15" t="s">
        <v>59</v>
      </c>
      <c r="E5" s="18" t="s">
        <v>55</v>
      </c>
      <c r="F5" s="19" t="s">
        <v>60</v>
      </c>
      <c r="G5" s="18" t="s">
        <v>61</v>
      </c>
      <c r="H5" s="20" t="s">
        <v>52</v>
      </c>
      <c r="I5" s="15">
        <v>1</v>
      </c>
      <c r="J5" s="15" t="s">
        <v>24</v>
      </c>
      <c r="K5" s="15"/>
      <c r="L5" s="21" t="s">
        <v>18</v>
      </c>
      <c r="M5" s="22">
        <v>0</v>
      </c>
      <c r="N5" s="22">
        <v>0</v>
      </c>
      <c r="O5" s="22">
        <v>7500</v>
      </c>
      <c r="P5" s="22">
        <v>7500</v>
      </c>
      <c r="Q5" t="str" cm="1">
        <f t="array" ref="Q5">_xlfn.TEXTJOIN("、",TRUE,IF('學員資料-三民高中'!$B$2:$B$454=$F5,'學員資料-三民高中'!$G$2:$G$454,""))</f>
        <v/>
      </c>
      <c r="R5" t="str" cm="1">
        <f t="array" ref="R5">_xlfn.TEXTJOIN("、",TRUE,IF('學員資料-新北高中'!$B$2:$B$583=$F5,'學員資料-新北高中'!$G$2:$G$583,""))</f>
        <v/>
      </c>
      <c r="S5" t="str" cm="1">
        <f t="array" ref="S5">_xlfn.TEXTJOIN("、",TRUE,IF('學員資料-三重商工'!$B$2:$B$472=$F5,'學員資料-三重商工'!$G$2:$G$472,""))</f>
        <v>0960714198</v>
      </c>
      <c r="T5">
        <f t="shared" si="0"/>
        <v>1</v>
      </c>
    </row>
    <row r="6" spans="1:20" ht="14.25" hidden="1" customHeight="1">
      <c r="A6" s="15">
        <v>5</v>
      </c>
      <c r="B6" s="16" t="s">
        <v>62</v>
      </c>
      <c r="C6" s="17">
        <v>46193</v>
      </c>
      <c r="D6" s="15" t="s">
        <v>63</v>
      </c>
      <c r="E6" s="18" t="s">
        <v>55</v>
      </c>
      <c r="F6" s="19" t="s">
        <v>64</v>
      </c>
      <c r="G6" s="18" t="s">
        <v>65</v>
      </c>
      <c r="H6" s="20" t="s">
        <v>66</v>
      </c>
      <c r="I6" s="15">
        <v>1</v>
      </c>
      <c r="J6" s="15" t="s">
        <v>23</v>
      </c>
      <c r="K6" s="15"/>
      <c r="L6" s="21" t="s">
        <v>16</v>
      </c>
      <c r="M6" s="22">
        <v>0</v>
      </c>
      <c r="N6" s="22">
        <v>0</v>
      </c>
      <c r="O6" s="22">
        <v>6900</v>
      </c>
      <c r="P6" s="22">
        <v>6900</v>
      </c>
      <c r="Q6" t="str" cm="1">
        <f t="array" ref="Q6">_xlfn.TEXTJOIN("、",TRUE,IF('學員資料-三民高中'!$B$2:$B$454=$F6,'學員資料-三民高中'!$G$2:$G$454,""))</f>
        <v/>
      </c>
      <c r="R6" t="str" cm="1">
        <f t="array" ref="R6">_xlfn.TEXTJOIN("、",TRUE,IF('學員資料-新北高中'!$B$2:$B$583=$F6,'學員資料-新北高中'!$G$2:$G$583,""))</f>
        <v>0932148373</v>
      </c>
      <c r="S6" t="str" cm="1">
        <f t="array" ref="S6">_xlfn.TEXTJOIN("、",TRUE,IF('學員資料-三重商工'!$B$2:$B$472=$F6,'學員資料-三重商工'!$G$2:$G$472,""))</f>
        <v/>
      </c>
      <c r="T6">
        <f t="shared" si="0"/>
        <v>1</v>
      </c>
    </row>
    <row r="7" spans="1:20" ht="14.25" customHeight="1">
      <c r="A7" s="15">
        <v>6</v>
      </c>
      <c r="B7" s="16" t="s">
        <v>67</v>
      </c>
      <c r="C7" s="17">
        <v>46193</v>
      </c>
      <c r="D7" s="15" t="s">
        <v>68</v>
      </c>
      <c r="E7" s="18" t="s">
        <v>55</v>
      </c>
      <c r="F7" s="19" t="s">
        <v>69</v>
      </c>
      <c r="G7" s="18" t="s">
        <v>70</v>
      </c>
      <c r="H7" s="20" t="s">
        <v>66</v>
      </c>
      <c r="I7" s="15">
        <v>1</v>
      </c>
      <c r="J7" s="15" t="s">
        <v>23</v>
      </c>
      <c r="K7" s="15"/>
      <c r="L7" s="21" t="s">
        <v>18</v>
      </c>
      <c r="M7" s="22">
        <v>0</v>
      </c>
      <c r="N7" s="22">
        <v>0</v>
      </c>
      <c r="O7" s="22">
        <v>6900</v>
      </c>
      <c r="P7" s="22">
        <v>6900</v>
      </c>
      <c r="Q7" t="str" cm="1">
        <f t="array" ref="Q7">_xlfn.TEXTJOIN("、",TRUE,IF('學員資料-三民高中'!$B$2:$B$454=$F7,'學員資料-三民高中'!$G$2:$G$454,""))</f>
        <v/>
      </c>
      <c r="R7" t="str" cm="1">
        <f t="array" ref="R7">_xlfn.TEXTJOIN("、",TRUE,IF('學員資料-新北高中'!$B$2:$B$583=$F7,'學員資料-新北高中'!$G$2:$G$583,""))</f>
        <v/>
      </c>
      <c r="S7" t="str" cm="1">
        <f t="array" ref="S7">_xlfn.TEXTJOIN("、",TRUE,IF('學員資料-三重商工'!$B$2:$B$472=$F7,'學員資料-三重商工'!$G$2:$G$472,""))</f>
        <v/>
      </c>
      <c r="T7">
        <f t="shared" si="0"/>
        <v>0</v>
      </c>
    </row>
    <row r="8" spans="1:20" ht="28.5" customHeight="1">
      <c r="A8" s="15">
        <v>7</v>
      </c>
      <c r="B8" s="16" t="s">
        <v>71</v>
      </c>
      <c r="C8" s="17">
        <v>46193</v>
      </c>
      <c r="D8" s="15" t="s">
        <v>72</v>
      </c>
      <c r="E8" s="18" t="s">
        <v>55</v>
      </c>
      <c r="F8" s="19" t="s">
        <v>73</v>
      </c>
      <c r="G8" s="18" t="s">
        <v>74</v>
      </c>
      <c r="H8" s="20" t="s">
        <v>75</v>
      </c>
      <c r="I8" s="15">
        <v>2</v>
      </c>
      <c r="J8" s="15" t="s">
        <v>23</v>
      </c>
      <c r="K8" s="15"/>
      <c r="L8" s="21" t="s">
        <v>18</v>
      </c>
      <c r="M8" s="22">
        <v>0</v>
      </c>
      <c r="N8" s="22">
        <v>0</v>
      </c>
      <c r="O8" s="22">
        <v>13800</v>
      </c>
      <c r="P8" s="22">
        <v>13800</v>
      </c>
      <c r="Q8" t="str" cm="1">
        <f t="array" ref="Q8">_xlfn.TEXTJOIN("、",TRUE,IF('學員資料-三民高中'!$B$2:$B$454=$F8,'學員資料-三民高中'!$G$2:$G$454,""))</f>
        <v/>
      </c>
      <c r="R8" t="str" cm="1">
        <f t="array" ref="R8">_xlfn.TEXTJOIN("、",TRUE,IF('學員資料-新北高中'!$B$2:$B$583=$F8,'學員資料-新北高中'!$G$2:$G$583,""))</f>
        <v/>
      </c>
      <c r="S8" t="str" cm="1">
        <f t="array" ref="S8">_xlfn.TEXTJOIN("、",TRUE,IF('學員資料-三重商工'!$B$2:$B$472=$F8,'學員資料-三重商工'!$G$2:$G$472,""))</f>
        <v/>
      </c>
      <c r="T8">
        <f t="shared" si="0"/>
        <v>0</v>
      </c>
    </row>
    <row r="9" spans="1:20" ht="14.25" hidden="1" customHeight="1">
      <c r="A9" s="15">
        <v>8</v>
      </c>
      <c r="B9" s="16" t="s">
        <v>76</v>
      </c>
      <c r="C9" s="17">
        <v>46191</v>
      </c>
      <c r="D9" s="15" t="s">
        <v>77</v>
      </c>
      <c r="E9" s="18" t="s">
        <v>78</v>
      </c>
      <c r="F9" s="19" t="s">
        <v>79</v>
      </c>
      <c r="G9" s="18" t="s">
        <v>80</v>
      </c>
      <c r="H9" s="20" t="s">
        <v>66</v>
      </c>
      <c r="I9" s="15">
        <v>1</v>
      </c>
      <c r="J9" s="15" t="s">
        <v>23</v>
      </c>
      <c r="K9" s="15"/>
      <c r="L9" s="21" t="s">
        <v>16</v>
      </c>
      <c r="M9" s="22">
        <v>0</v>
      </c>
      <c r="N9" s="22">
        <v>0</v>
      </c>
      <c r="O9" s="22">
        <v>6900</v>
      </c>
      <c r="P9" s="22">
        <v>6900</v>
      </c>
      <c r="Q9" t="str" cm="1">
        <f t="array" ref="Q9">_xlfn.TEXTJOIN("、",TRUE,IF('學員資料-三民高中'!$B$2:$B$454=$F9,'學員資料-三民高中'!$G$2:$G$454,""))</f>
        <v>0926037987</v>
      </c>
      <c r="R9" t="str" cm="1">
        <f t="array" ref="R9">_xlfn.TEXTJOIN("、",TRUE,IF('學員資料-新北高中'!$B$2:$B$583=$F9,'學員資料-新北高中'!$G$2:$G$583,""))</f>
        <v/>
      </c>
      <c r="S9" t="str" cm="1">
        <f t="array" ref="S9">_xlfn.TEXTJOIN("、",TRUE,IF('學員資料-三重商工'!$B$2:$B$472=$F9,'學員資料-三重商工'!$G$2:$G$472,""))</f>
        <v/>
      </c>
      <c r="T9">
        <f t="shared" si="0"/>
        <v>1</v>
      </c>
    </row>
    <row r="10" spans="1:20" ht="28.5" hidden="1" customHeight="1">
      <c r="A10" s="15">
        <v>9</v>
      </c>
      <c r="B10" s="16" t="s">
        <v>81</v>
      </c>
      <c r="C10" s="17">
        <v>46191</v>
      </c>
      <c r="D10" s="15" t="s">
        <v>82</v>
      </c>
      <c r="E10" s="18" t="s">
        <v>83</v>
      </c>
      <c r="F10" s="19" t="s">
        <v>12255</v>
      </c>
      <c r="G10" s="18" t="s">
        <v>85</v>
      </c>
      <c r="H10" s="20" t="s">
        <v>75</v>
      </c>
      <c r="I10" s="15">
        <v>2</v>
      </c>
      <c r="J10" s="15" t="s">
        <v>23</v>
      </c>
      <c r="K10" s="15"/>
      <c r="L10" s="21" t="s">
        <v>16</v>
      </c>
      <c r="M10" s="22">
        <v>0</v>
      </c>
      <c r="N10" s="22">
        <v>0</v>
      </c>
      <c r="O10" s="22">
        <v>13800</v>
      </c>
      <c r="P10" s="22">
        <v>13800</v>
      </c>
      <c r="Q10" t="str" cm="1">
        <f t="array" ref="Q10">_xlfn.TEXTJOIN("、",TRUE,IF('學員資料-三民高中'!$B$2:$B$454=$F10,'學員資料-三民高中'!$G$2:$G$454,""))</f>
        <v/>
      </c>
      <c r="R10" t="str" cm="1">
        <f t="array" ref="R10">_xlfn.TEXTJOIN("、",TRUE,IF('學員資料-新北高中'!$B$2:$B$583=$F10,'學員資料-新北高中'!$G$2:$G$583,""))</f>
        <v/>
      </c>
      <c r="S10" t="str" cm="1">
        <f t="array" ref="S10">_xlfn.TEXTJOIN("、",TRUE,IF('學員資料-三重商工'!$B$2:$B$472=$F10,'學員資料-三重商工'!$G$2:$G$472,""))</f>
        <v>0976834520</v>
      </c>
      <c r="T10">
        <f t="shared" si="0"/>
        <v>1</v>
      </c>
    </row>
    <row r="11" spans="1:20" ht="14.25" hidden="1" customHeight="1">
      <c r="A11" s="15">
        <v>10</v>
      </c>
      <c r="B11" s="16" t="s">
        <v>86</v>
      </c>
      <c r="C11" s="17">
        <v>46190</v>
      </c>
      <c r="D11" s="15" t="s">
        <v>87</v>
      </c>
      <c r="E11" s="18" t="s">
        <v>83</v>
      </c>
      <c r="F11" s="19" t="s">
        <v>88</v>
      </c>
      <c r="G11" s="18" t="s">
        <v>89</v>
      </c>
      <c r="H11" s="20" t="s">
        <v>66</v>
      </c>
      <c r="I11" s="15">
        <v>1</v>
      </c>
      <c r="J11" s="15" t="s">
        <v>23</v>
      </c>
      <c r="K11" s="15"/>
      <c r="L11" s="21" t="s">
        <v>16</v>
      </c>
      <c r="M11" s="22">
        <v>0</v>
      </c>
      <c r="N11" s="22">
        <v>0</v>
      </c>
      <c r="O11" s="22">
        <v>6900</v>
      </c>
      <c r="P11" s="22">
        <v>6900</v>
      </c>
      <c r="Q11" t="str" cm="1">
        <f t="array" ref="Q11">_xlfn.TEXTJOIN("、",TRUE,IF('學員資料-三民高中'!$B$2:$B$454=$F11,'學員資料-三民高中'!$G$2:$G$454,""))</f>
        <v/>
      </c>
      <c r="R11" t="str" cm="1">
        <f t="array" ref="R11">_xlfn.TEXTJOIN("、",TRUE,IF('學員資料-新北高中'!$B$2:$B$583=$F11,'學員資料-新北高中'!$G$2:$G$583,""))</f>
        <v/>
      </c>
      <c r="S11" t="str" cm="1">
        <f t="array" ref="S11">_xlfn.TEXTJOIN("、",TRUE,IF('學員資料-三重商工'!$B$2:$B$472=$F11,'學員資料-三重商工'!$G$2:$G$472,""))</f>
        <v>0934020021</v>
      </c>
      <c r="T11">
        <f t="shared" si="0"/>
        <v>1</v>
      </c>
    </row>
    <row r="12" spans="1:20" ht="14.25" customHeight="1">
      <c r="A12" s="15">
        <v>11</v>
      </c>
      <c r="B12" s="16" t="s">
        <v>90</v>
      </c>
      <c r="C12" s="17">
        <v>46189</v>
      </c>
      <c r="D12" s="15" t="s">
        <v>91</v>
      </c>
      <c r="E12" s="18" t="s">
        <v>92</v>
      </c>
      <c r="F12" s="19" t="s">
        <v>93</v>
      </c>
      <c r="G12" s="18" t="s">
        <v>94</v>
      </c>
      <c r="H12" s="20" t="s">
        <v>66</v>
      </c>
      <c r="I12" s="15">
        <v>1</v>
      </c>
      <c r="J12" s="15" t="s">
        <v>23</v>
      </c>
      <c r="K12" s="15"/>
      <c r="L12" s="21" t="s">
        <v>16</v>
      </c>
      <c r="M12" s="22">
        <v>0</v>
      </c>
      <c r="N12" s="22">
        <v>0</v>
      </c>
      <c r="O12" s="22">
        <v>6900</v>
      </c>
      <c r="P12" s="22">
        <v>6900</v>
      </c>
      <c r="Q12" t="str" cm="1">
        <f t="array" ref="Q12">_xlfn.TEXTJOIN("、",TRUE,IF('學員資料-三民高中'!$B$2:$B$454=$F12,'學員資料-三民高中'!$G$2:$G$454,""))</f>
        <v/>
      </c>
      <c r="R12" t="str" cm="1">
        <f t="array" ref="R12">_xlfn.TEXTJOIN("、",TRUE,IF('學員資料-新北高中'!$B$2:$B$583=$F12,'學員資料-新北高中'!$G$2:$G$583,""))</f>
        <v/>
      </c>
      <c r="S12" t="str" cm="1">
        <f t="array" ref="S12">_xlfn.TEXTJOIN("、",TRUE,IF('學員資料-三重商工'!$B$2:$B$472=$F12,'學員資料-三重商工'!$G$2:$G$472,""))</f>
        <v/>
      </c>
      <c r="T12">
        <f t="shared" si="0"/>
        <v>0</v>
      </c>
    </row>
    <row r="13" spans="1:20" ht="28.5" hidden="1" customHeight="1">
      <c r="A13" s="15">
        <v>12</v>
      </c>
      <c r="B13" s="16" t="s">
        <v>95</v>
      </c>
      <c r="C13" s="17">
        <v>46188</v>
      </c>
      <c r="D13" s="15" t="s">
        <v>96</v>
      </c>
      <c r="E13" s="18" t="s">
        <v>78</v>
      </c>
      <c r="F13" s="19" t="s">
        <v>97</v>
      </c>
      <c r="G13" s="18" t="s">
        <v>98</v>
      </c>
      <c r="H13" s="20" t="s">
        <v>99</v>
      </c>
      <c r="I13" s="15">
        <v>2</v>
      </c>
      <c r="J13" s="15" t="s">
        <v>24</v>
      </c>
      <c r="K13" s="15"/>
      <c r="L13" s="21" t="s">
        <v>16</v>
      </c>
      <c r="M13" s="22">
        <v>0</v>
      </c>
      <c r="N13" s="22">
        <v>0</v>
      </c>
      <c r="O13" s="22">
        <v>15000</v>
      </c>
      <c r="P13" s="22">
        <v>15000</v>
      </c>
      <c r="Q13" t="str" cm="1">
        <f t="array" ref="Q13">_xlfn.TEXTJOIN("、",TRUE,IF('學員資料-三民高中'!$B$2:$B$454=$F13,'學員資料-三民高中'!$G$2:$G$454,""))</f>
        <v>0931290858</v>
      </c>
      <c r="R13" t="str" cm="1">
        <f t="array" ref="R13">_xlfn.TEXTJOIN("、",TRUE,IF('學員資料-新北高中'!$B$2:$B$583=$F13,'學員資料-新北高中'!$G$2:$G$583,""))</f>
        <v/>
      </c>
      <c r="S13" t="str" cm="1">
        <f t="array" ref="S13">_xlfn.TEXTJOIN("、",TRUE,IF('學員資料-三重商工'!$B$2:$B$472=$F13,'學員資料-三重商工'!$G$2:$G$472,""))</f>
        <v/>
      </c>
      <c r="T13">
        <f t="shared" si="0"/>
        <v>1</v>
      </c>
    </row>
    <row r="14" spans="1:20" ht="14.25" hidden="1" customHeight="1">
      <c r="A14" s="15">
        <v>13</v>
      </c>
      <c r="B14" s="16" t="s">
        <v>100</v>
      </c>
      <c r="C14" s="17">
        <v>46188</v>
      </c>
      <c r="D14" s="15" t="s">
        <v>101</v>
      </c>
      <c r="E14" s="18" t="s">
        <v>83</v>
      </c>
      <c r="F14" s="19" t="s">
        <v>102</v>
      </c>
      <c r="G14" s="18" t="s">
        <v>103</v>
      </c>
      <c r="H14" s="20" t="s">
        <v>47</v>
      </c>
      <c r="I14" s="15">
        <v>1</v>
      </c>
      <c r="J14" s="15" t="s">
        <v>24</v>
      </c>
      <c r="K14" s="15"/>
      <c r="L14" s="21" t="s">
        <v>16</v>
      </c>
      <c r="M14" s="22">
        <v>0</v>
      </c>
      <c r="N14" s="22">
        <v>0</v>
      </c>
      <c r="O14" s="22">
        <v>9000</v>
      </c>
      <c r="P14" s="22">
        <v>9000</v>
      </c>
      <c r="Q14" t="str" cm="1">
        <f t="array" ref="Q14">_xlfn.TEXTJOIN("、",TRUE,IF('學員資料-三民高中'!$B$2:$B$454=$F14,'學員資料-三民高中'!$G$2:$G$454,""))</f>
        <v/>
      </c>
      <c r="R14" t="str" cm="1">
        <f t="array" ref="R14">_xlfn.TEXTJOIN("、",TRUE,IF('學員資料-新北高中'!$B$2:$B$583=$F14,'學員資料-新北高中'!$G$2:$G$583,""))</f>
        <v/>
      </c>
      <c r="S14" t="str" cm="1">
        <f t="array" ref="S14">_xlfn.TEXTJOIN("、",TRUE,IF('學員資料-三重商工'!$B$2:$B$472=$F14,'學員資料-三重商工'!$G$2:$G$472,""))</f>
        <v>0965313230</v>
      </c>
      <c r="T14">
        <f t="shared" si="0"/>
        <v>1</v>
      </c>
    </row>
    <row r="15" spans="1:20" ht="14.25" hidden="1" customHeight="1">
      <c r="A15" s="15">
        <v>14</v>
      </c>
      <c r="B15" s="16" t="s">
        <v>104</v>
      </c>
      <c r="C15" s="17">
        <v>46188</v>
      </c>
      <c r="D15" s="15" t="s">
        <v>105</v>
      </c>
      <c r="E15" s="18" t="s">
        <v>83</v>
      </c>
      <c r="F15" s="19" t="s">
        <v>106</v>
      </c>
      <c r="G15" s="18" t="s">
        <v>107</v>
      </c>
      <c r="H15" s="20" t="s">
        <v>52</v>
      </c>
      <c r="I15" s="15">
        <v>1</v>
      </c>
      <c r="J15" s="15" t="s">
        <v>24</v>
      </c>
      <c r="K15" s="15"/>
      <c r="L15" s="21" t="s">
        <v>16</v>
      </c>
      <c r="M15" s="22">
        <v>0</v>
      </c>
      <c r="N15" s="22">
        <v>0</v>
      </c>
      <c r="O15" s="22">
        <v>7500</v>
      </c>
      <c r="P15" s="22">
        <v>7500</v>
      </c>
      <c r="Q15" t="str" cm="1">
        <f t="array" ref="Q15">_xlfn.TEXTJOIN("、",TRUE,IF('學員資料-三民高中'!$B$2:$B$454=$F15,'學員資料-三民高中'!$G$2:$G$454,""))</f>
        <v/>
      </c>
      <c r="R15" t="str" cm="1">
        <f t="array" ref="R15">_xlfn.TEXTJOIN("、",TRUE,IF('學員資料-新北高中'!$B$2:$B$583=$F15,'學員資料-新北高中'!$G$2:$G$583,""))</f>
        <v/>
      </c>
      <c r="S15" t="str" cm="1">
        <f t="array" ref="S15">_xlfn.TEXTJOIN("、",TRUE,IF('學員資料-三重商工'!$B$2:$B$472=$F15,'學員資料-三重商工'!$G$2:$G$472,""))</f>
        <v>0938718725</v>
      </c>
      <c r="T15">
        <f t="shared" si="0"/>
        <v>1</v>
      </c>
    </row>
    <row r="16" spans="1:20" ht="14.25" hidden="1" customHeight="1">
      <c r="A16" s="15">
        <v>15</v>
      </c>
      <c r="B16" s="16" t="s">
        <v>108</v>
      </c>
      <c r="C16" s="17">
        <v>46188</v>
      </c>
      <c r="D16" s="15" t="s">
        <v>109</v>
      </c>
      <c r="E16" s="18" t="s">
        <v>83</v>
      </c>
      <c r="F16" s="19" t="s">
        <v>110</v>
      </c>
      <c r="G16" s="18" t="s">
        <v>111</v>
      </c>
      <c r="H16" s="20" t="s">
        <v>112</v>
      </c>
      <c r="I16" s="15">
        <v>1</v>
      </c>
      <c r="J16" s="15" t="s">
        <v>23</v>
      </c>
      <c r="K16" s="15"/>
      <c r="L16" s="21" t="s">
        <v>16</v>
      </c>
      <c r="M16" s="22">
        <v>0</v>
      </c>
      <c r="N16" s="22">
        <v>0</v>
      </c>
      <c r="O16" s="22">
        <v>8280</v>
      </c>
      <c r="P16" s="22">
        <v>8280</v>
      </c>
      <c r="Q16" t="str" cm="1">
        <f t="array" ref="Q16">_xlfn.TEXTJOIN("、",TRUE,IF('學員資料-三民高中'!$B$2:$B$454=$F16,'學員資料-三民高中'!$G$2:$G$454,""))</f>
        <v/>
      </c>
      <c r="R16" t="str" cm="1">
        <f t="array" ref="R16">_xlfn.TEXTJOIN("、",TRUE,IF('學員資料-新北高中'!$B$2:$B$583=$F16,'學員資料-新北高中'!$G$2:$G$583,""))</f>
        <v/>
      </c>
      <c r="S16" t="str" cm="1">
        <f t="array" ref="S16">_xlfn.TEXTJOIN("、",TRUE,IF('學員資料-三重商工'!$B$2:$B$472=$F16,'學員資料-三重商工'!$G$2:$G$472,""))</f>
        <v>0958934004</v>
      </c>
      <c r="T16">
        <f t="shared" si="0"/>
        <v>1</v>
      </c>
    </row>
    <row r="17" spans="1:20" ht="14.25" hidden="1" customHeight="1">
      <c r="A17" s="15">
        <v>16</v>
      </c>
      <c r="B17" s="16" t="s">
        <v>113</v>
      </c>
      <c r="C17" s="17">
        <v>46187</v>
      </c>
      <c r="D17" s="15" t="s">
        <v>114</v>
      </c>
      <c r="E17" s="18" t="s">
        <v>78</v>
      </c>
      <c r="F17" s="19" t="s">
        <v>50</v>
      </c>
      <c r="G17" s="18" t="s">
        <v>51</v>
      </c>
      <c r="H17" s="20" t="s">
        <v>115</v>
      </c>
      <c r="I17" s="15">
        <v>1</v>
      </c>
      <c r="J17" s="15" t="s">
        <v>24</v>
      </c>
      <c r="K17" s="21" t="s">
        <v>116</v>
      </c>
      <c r="L17" s="21" t="s">
        <v>16</v>
      </c>
      <c r="M17" s="22">
        <v>0</v>
      </c>
      <c r="N17" s="22">
        <v>0</v>
      </c>
      <c r="O17" s="22">
        <v>1400</v>
      </c>
      <c r="P17" s="22">
        <v>1400</v>
      </c>
      <c r="Q17" t="str" cm="1">
        <f t="array" ref="Q17">_xlfn.TEXTJOIN("、",TRUE,IF('學員資料-三民高中'!$B$2:$B$454=$F17,'學員資料-三民高中'!$G$2:$G$454,""))</f>
        <v/>
      </c>
      <c r="R17" t="str" cm="1">
        <f t="array" ref="R17">_xlfn.TEXTJOIN("、",TRUE,IF('學員資料-新北高中'!$B$2:$B$583=$F17,'學員資料-新北高中'!$G$2:$G$583,""))</f>
        <v/>
      </c>
      <c r="S17" t="str" cm="1">
        <f t="array" ref="S17">_xlfn.TEXTJOIN("、",TRUE,IF('學員資料-三重商工'!$B$2:$B$472=$F17,'學員資料-三重商工'!$G$2:$G$472,""))</f>
        <v>0929933056</v>
      </c>
      <c r="T17">
        <f t="shared" si="0"/>
        <v>1</v>
      </c>
    </row>
    <row r="18" spans="1:20" ht="14.25" hidden="1" customHeight="1">
      <c r="A18" s="15">
        <v>17</v>
      </c>
      <c r="B18" s="16" t="s">
        <v>117</v>
      </c>
      <c r="C18" s="17">
        <v>46187</v>
      </c>
      <c r="D18" s="15" t="s">
        <v>118</v>
      </c>
      <c r="E18" s="18" t="s">
        <v>78</v>
      </c>
      <c r="F18" s="19" t="s">
        <v>102</v>
      </c>
      <c r="G18" s="18" t="s">
        <v>103</v>
      </c>
      <c r="H18" s="20" t="s">
        <v>119</v>
      </c>
      <c r="I18" s="15">
        <v>1</v>
      </c>
      <c r="J18" s="15" t="s">
        <v>24</v>
      </c>
      <c r="K18" s="21" t="s">
        <v>116</v>
      </c>
      <c r="L18" s="21" t="s">
        <v>16</v>
      </c>
      <c r="M18" s="22">
        <v>0</v>
      </c>
      <c r="N18" s="22">
        <v>0</v>
      </c>
      <c r="O18" s="22">
        <v>1680</v>
      </c>
      <c r="P18" s="22">
        <v>1680</v>
      </c>
      <c r="Q18" t="str" cm="1">
        <f t="array" ref="Q18">_xlfn.TEXTJOIN("、",TRUE,IF('學員資料-三民高中'!$B$2:$B$454=$F18,'學員資料-三民高中'!$G$2:$G$454,""))</f>
        <v/>
      </c>
      <c r="R18" t="str" cm="1">
        <f t="array" ref="R18">_xlfn.TEXTJOIN("、",TRUE,IF('學員資料-新北高中'!$B$2:$B$583=$F18,'學員資料-新北高中'!$G$2:$G$583,""))</f>
        <v/>
      </c>
      <c r="S18" t="str" cm="1">
        <f t="array" ref="S18">_xlfn.TEXTJOIN("、",TRUE,IF('學員資料-三重商工'!$B$2:$B$472=$F18,'學員資料-三重商工'!$G$2:$G$472,""))</f>
        <v>0965313230</v>
      </c>
      <c r="T18">
        <f t="shared" si="0"/>
        <v>1</v>
      </c>
    </row>
    <row r="19" spans="1:20" ht="14.25" hidden="1" customHeight="1">
      <c r="A19" s="15">
        <v>18</v>
      </c>
      <c r="B19" s="16" t="s">
        <v>120</v>
      </c>
      <c r="C19" s="17">
        <v>46187</v>
      </c>
      <c r="D19" s="15" t="s">
        <v>121</v>
      </c>
      <c r="E19" s="18" t="s">
        <v>78</v>
      </c>
      <c r="F19" s="19" t="s">
        <v>122</v>
      </c>
      <c r="G19" s="18" t="s">
        <v>123</v>
      </c>
      <c r="H19" s="20" t="s">
        <v>124</v>
      </c>
      <c r="I19" s="15">
        <v>1</v>
      </c>
      <c r="J19" s="15" t="s">
        <v>26</v>
      </c>
      <c r="K19" s="15"/>
      <c r="L19" s="21" t="s">
        <v>16</v>
      </c>
      <c r="M19" s="22">
        <v>0</v>
      </c>
      <c r="N19" s="22">
        <v>0</v>
      </c>
      <c r="O19" s="22">
        <v>14400</v>
      </c>
      <c r="P19" s="22">
        <v>14400</v>
      </c>
      <c r="Q19" t="str" cm="1">
        <f t="array" ref="Q19">_xlfn.TEXTJOIN("、",TRUE,IF('學員資料-三民高中'!$B$2:$B$454=$F19,'學員資料-三民高中'!$G$2:$G$454,""))</f>
        <v/>
      </c>
      <c r="R19" t="str" cm="1">
        <f t="array" ref="R19">_xlfn.TEXTJOIN("、",TRUE,IF('學員資料-新北高中'!$B$2:$B$583=$F19,'學員資料-新北高中'!$G$2:$G$583,""))</f>
        <v/>
      </c>
      <c r="S19" t="str" cm="1">
        <f t="array" ref="S19">_xlfn.TEXTJOIN("、",TRUE,IF('學員資料-三重商工'!$B$2:$B$472=$F19,'學員資料-三重商工'!$G$2:$G$472,""))</f>
        <v>0926227506</v>
      </c>
      <c r="T19">
        <f t="shared" si="0"/>
        <v>1</v>
      </c>
    </row>
    <row r="20" spans="1:20" ht="14.25" hidden="1" customHeight="1">
      <c r="A20" s="15">
        <v>19</v>
      </c>
      <c r="B20" s="16" t="s">
        <v>125</v>
      </c>
      <c r="C20" s="17">
        <v>46187</v>
      </c>
      <c r="D20" s="15" t="s">
        <v>126</v>
      </c>
      <c r="E20" s="18" t="s">
        <v>127</v>
      </c>
      <c r="F20" s="19" t="s">
        <v>128</v>
      </c>
      <c r="G20" s="18" t="s">
        <v>129</v>
      </c>
      <c r="H20" s="20" t="s">
        <v>130</v>
      </c>
      <c r="I20" s="15">
        <v>1</v>
      </c>
      <c r="J20" s="15" t="s">
        <v>25</v>
      </c>
      <c r="K20" s="15"/>
      <c r="L20" s="21" t="s">
        <v>18</v>
      </c>
      <c r="M20" s="22">
        <v>0</v>
      </c>
      <c r="N20" s="22">
        <v>0</v>
      </c>
      <c r="O20" s="22">
        <v>9900</v>
      </c>
      <c r="P20" s="22">
        <v>9900</v>
      </c>
      <c r="Q20" t="str" cm="1">
        <f t="array" ref="Q20">_xlfn.TEXTJOIN("、",TRUE,IF('學員資料-三民高中'!$B$2:$B$454=$F20,'學員資料-三民高中'!$G$2:$G$454,""))</f>
        <v>0989648031</v>
      </c>
      <c r="R20" t="str" cm="1">
        <f t="array" ref="R20">_xlfn.TEXTJOIN("、",TRUE,IF('學員資料-新北高中'!$B$2:$B$583=$F20,'學員資料-新北高中'!$G$2:$G$583,""))</f>
        <v/>
      </c>
      <c r="S20" t="str" cm="1">
        <f t="array" ref="S20">_xlfn.TEXTJOIN("、",TRUE,IF('學員資料-三重商工'!$B$2:$B$472=$F20,'學員資料-三重商工'!$G$2:$G$472,""))</f>
        <v/>
      </c>
      <c r="T20">
        <f t="shared" si="0"/>
        <v>1</v>
      </c>
    </row>
    <row r="21" spans="1:20" ht="14.25" hidden="1" customHeight="1">
      <c r="A21" s="15">
        <v>20</v>
      </c>
      <c r="B21" s="16" t="s">
        <v>131</v>
      </c>
      <c r="C21" s="17">
        <v>46187</v>
      </c>
      <c r="D21" s="15" t="s">
        <v>132</v>
      </c>
      <c r="E21" s="18" t="s">
        <v>127</v>
      </c>
      <c r="F21" s="19" t="s">
        <v>133</v>
      </c>
      <c r="G21" s="18" t="s">
        <v>134</v>
      </c>
      <c r="H21" s="20" t="s">
        <v>52</v>
      </c>
      <c r="I21" s="15">
        <v>1</v>
      </c>
      <c r="J21" s="15" t="s">
        <v>24</v>
      </c>
      <c r="K21" s="15"/>
      <c r="L21" s="21" t="s">
        <v>18</v>
      </c>
      <c r="M21" s="22">
        <v>0</v>
      </c>
      <c r="N21" s="22">
        <v>0</v>
      </c>
      <c r="O21" s="22">
        <v>7500</v>
      </c>
      <c r="P21" s="22">
        <v>7500</v>
      </c>
      <c r="Q21" t="str" cm="1">
        <f t="array" ref="Q21">_xlfn.TEXTJOIN("、",TRUE,IF('學員資料-三民高中'!$B$2:$B$454=$F21,'學員資料-三民高中'!$G$2:$G$454,""))</f>
        <v>0918732834</v>
      </c>
      <c r="R21" t="str" cm="1">
        <f t="array" ref="R21">_xlfn.TEXTJOIN("、",TRUE,IF('學員資料-新北高中'!$B$2:$B$583=$F21,'學員資料-新北高中'!$G$2:$G$583,""))</f>
        <v/>
      </c>
      <c r="S21" t="str" cm="1">
        <f t="array" ref="S21">_xlfn.TEXTJOIN("、",TRUE,IF('學員資料-三重商工'!$B$2:$B$472=$F21,'學員資料-三重商工'!$G$2:$G$472,""))</f>
        <v/>
      </c>
      <c r="T21">
        <f t="shared" si="0"/>
        <v>1</v>
      </c>
    </row>
    <row r="22" spans="1:20" ht="14.25" hidden="1" customHeight="1">
      <c r="A22" s="15">
        <v>21</v>
      </c>
      <c r="B22" s="16" t="s">
        <v>135</v>
      </c>
      <c r="C22" s="17">
        <v>46187</v>
      </c>
      <c r="D22" s="15" t="s">
        <v>136</v>
      </c>
      <c r="E22" s="18" t="s">
        <v>44</v>
      </c>
      <c r="F22" s="19" t="s">
        <v>137</v>
      </c>
      <c r="G22" s="18" t="s">
        <v>138</v>
      </c>
      <c r="H22" s="20" t="s">
        <v>112</v>
      </c>
      <c r="I22" s="15">
        <v>1</v>
      </c>
      <c r="J22" s="15" t="s">
        <v>23</v>
      </c>
      <c r="K22" s="15"/>
      <c r="L22" s="21" t="s">
        <v>16</v>
      </c>
      <c r="M22" s="22">
        <v>0</v>
      </c>
      <c r="N22" s="22">
        <v>0</v>
      </c>
      <c r="O22" s="22">
        <v>8280</v>
      </c>
      <c r="P22" s="22">
        <v>8280</v>
      </c>
      <c r="Q22" t="str" cm="1">
        <f t="array" ref="Q22">_xlfn.TEXTJOIN("、",TRUE,IF('學員資料-三民高中'!$B$2:$B$454=$F22,'學員資料-三民高中'!$G$2:$G$454,""))</f>
        <v/>
      </c>
      <c r="R22" t="str" cm="1">
        <f t="array" ref="R22">_xlfn.TEXTJOIN("、",TRUE,IF('學員資料-新北高中'!$B$2:$B$583=$F22,'學員資料-新北高中'!$G$2:$G$583,""))</f>
        <v/>
      </c>
      <c r="S22" t="str" cm="1">
        <f t="array" ref="S22">_xlfn.TEXTJOIN("、",TRUE,IF('學員資料-三重商工'!$B$2:$B$472=$F22,'學員資料-三重商工'!$G$2:$G$472,""))</f>
        <v>0910859275</v>
      </c>
      <c r="T22">
        <f t="shared" si="0"/>
        <v>1</v>
      </c>
    </row>
    <row r="23" spans="1:20" ht="14.25" hidden="1" customHeight="1">
      <c r="A23" s="15">
        <v>22</v>
      </c>
      <c r="B23" s="16" t="s">
        <v>139</v>
      </c>
      <c r="C23" s="17">
        <v>46186</v>
      </c>
      <c r="D23" s="15" t="s">
        <v>140</v>
      </c>
      <c r="E23" s="18" t="s">
        <v>44</v>
      </c>
      <c r="F23" s="19" t="s">
        <v>141</v>
      </c>
      <c r="G23" s="18" t="s">
        <v>142</v>
      </c>
      <c r="H23" s="20" t="s">
        <v>52</v>
      </c>
      <c r="I23" s="15">
        <v>1</v>
      </c>
      <c r="J23" s="15" t="s">
        <v>24</v>
      </c>
      <c r="K23" s="15"/>
      <c r="L23" s="21" t="s">
        <v>16</v>
      </c>
      <c r="M23" s="22">
        <v>0</v>
      </c>
      <c r="N23" s="22">
        <v>-750</v>
      </c>
      <c r="O23" s="22">
        <v>6750</v>
      </c>
      <c r="P23" s="22">
        <v>6750</v>
      </c>
      <c r="Q23" t="str" cm="1">
        <f t="array" ref="Q23">_xlfn.TEXTJOIN("、",TRUE,IF('學員資料-三民高中'!$B$2:$B$454=$F23,'學員資料-三民高中'!$G$2:$G$454,""))</f>
        <v>0937147856-1</v>
      </c>
      <c r="R23" t="str" cm="1">
        <f t="array" ref="R23">_xlfn.TEXTJOIN("、",TRUE,IF('學員資料-新北高中'!$B$2:$B$583=$F23,'學員資料-新北高中'!$G$2:$G$583,""))</f>
        <v/>
      </c>
      <c r="S23" t="str" cm="1">
        <f t="array" ref="S23">_xlfn.TEXTJOIN("、",TRUE,IF('學員資料-三重商工'!$B$2:$B$472=$F23,'學員資料-三重商工'!$G$2:$G$472,""))</f>
        <v/>
      </c>
      <c r="T23">
        <f t="shared" si="0"/>
        <v>1</v>
      </c>
    </row>
    <row r="24" spans="1:20" ht="14.25" hidden="1" customHeight="1">
      <c r="A24" s="15">
        <v>23</v>
      </c>
      <c r="B24" s="16" t="s">
        <v>143</v>
      </c>
      <c r="C24" s="17">
        <v>46186</v>
      </c>
      <c r="D24" s="15" t="s">
        <v>144</v>
      </c>
      <c r="E24" s="18" t="s">
        <v>44</v>
      </c>
      <c r="F24" s="19" t="s">
        <v>145</v>
      </c>
      <c r="G24" s="18" t="s">
        <v>146</v>
      </c>
      <c r="H24" s="20" t="s">
        <v>115</v>
      </c>
      <c r="I24" s="15">
        <v>1</v>
      </c>
      <c r="J24" s="15" t="s">
        <v>24</v>
      </c>
      <c r="K24" s="21" t="s">
        <v>116</v>
      </c>
      <c r="L24" s="21" t="s">
        <v>16</v>
      </c>
      <c r="M24" s="22">
        <v>0</v>
      </c>
      <c r="N24" s="22">
        <v>0</v>
      </c>
      <c r="O24" s="22">
        <v>1400</v>
      </c>
      <c r="P24" s="22">
        <v>1400</v>
      </c>
      <c r="Q24" t="str" cm="1">
        <f t="array" ref="Q24">_xlfn.TEXTJOIN("、",TRUE,IF('學員資料-三民高中'!$B$2:$B$454=$F24,'學員資料-三民高中'!$G$2:$G$454,""))</f>
        <v/>
      </c>
      <c r="R24" t="str" cm="1">
        <f t="array" ref="R24">_xlfn.TEXTJOIN("、",TRUE,IF('學員資料-新北高中'!$B$2:$B$583=$F24,'學員資料-新北高中'!$G$2:$G$583,""))</f>
        <v/>
      </c>
      <c r="S24" t="str" cm="1">
        <f t="array" ref="S24">_xlfn.TEXTJOIN("、",TRUE,IF('學員資料-三重商工'!$B$2:$B$472=$F24,'學員資料-三重商工'!$G$2:$G$472,""))</f>
        <v>0921845258</v>
      </c>
      <c r="T24">
        <f t="shared" si="0"/>
        <v>1</v>
      </c>
    </row>
    <row r="25" spans="1:20" ht="14.25" hidden="1" customHeight="1">
      <c r="A25" s="15">
        <v>24</v>
      </c>
      <c r="B25" s="16" t="s">
        <v>147</v>
      </c>
      <c r="C25" s="17">
        <v>46186</v>
      </c>
      <c r="D25" s="15" t="s">
        <v>148</v>
      </c>
      <c r="E25" s="18" t="s">
        <v>55</v>
      </c>
      <c r="F25" s="19" t="s">
        <v>149</v>
      </c>
      <c r="G25" s="18" t="s">
        <v>150</v>
      </c>
      <c r="H25" s="20" t="s">
        <v>112</v>
      </c>
      <c r="I25" s="15">
        <v>1</v>
      </c>
      <c r="J25" s="15" t="s">
        <v>23</v>
      </c>
      <c r="K25" s="15"/>
      <c r="L25" s="21" t="s">
        <v>18</v>
      </c>
      <c r="M25" s="22">
        <v>0</v>
      </c>
      <c r="N25" s="22">
        <v>-3312</v>
      </c>
      <c r="O25" s="22">
        <v>4968</v>
      </c>
      <c r="P25" s="22">
        <v>4968</v>
      </c>
      <c r="Q25" t="str" cm="1">
        <f t="array" ref="Q25">_xlfn.TEXTJOIN("、",TRUE,IF('學員資料-三民高中'!$B$2:$B$454=$F25,'學員資料-三民高中'!$G$2:$G$454,""))</f>
        <v/>
      </c>
      <c r="R25" t="str" cm="1">
        <f t="array" ref="R25">_xlfn.TEXTJOIN("、",TRUE,IF('學員資料-新北高中'!$B$2:$B$583=$F25,'學員資料-新北高中'!$G$2:$G$583,""))</f>
        <v>0955977624</v>
      </c>
      <c r="S25" t="str" cm="1">
        <f t="array" ref="S25">_xlfn.TEXTJOIN("、",TRUE,IF('學員資料-三重商工'!$B$2:$B$472=$F25,'學員資料-三重商工'!$G$2:$G$472,""))</f>
        <v/>
      </c>
      <c r="T25">
        <f t="shared" si="0"/>
        <v>1</v>
      </c>
    </row>
    <row r="26" spans="1:20" ht="14.25" customHeight="1">
      <c r="A26" s="15">
        <v>25</v>
      </c>
      <c r="B26" s="16" t="s">
        <v>151</v>
      </c>
      <c r="C26" s="17">
        <v>46186</v>
      </c>
      <c r="D26" s="15" t="s">
        <v>152</v>
      </c>
      <c r="E26" s="18" t="s">
        <v>55</v>
      </c>
      <c r="F26" s="19" t="s">
        <v>153</v>
      </c>
      <c r="G26" s="18" t="s">
        <v>154</v>
      </c>
      <c r="H26" s="20" t="s">
        <v>112</v>
      </c>
      <c r="I26" s="15">
        <v>1</v>
      </c>
      <c r="J26" s="15" t="s">
        <v>23</v>
      </c>
      <c r="K26" s="15"/>
      <c r="L26" s="21" t="s">
        <v>18</v>
      </c>
      <c r="M26" s="22">
        <v>0</v>
      </c>
      <c r="N26" s="22">
        <v>-3312</v>
      </c>
      <c r="O26" s="22">
        <v>4968</v>
      </c>
      <c r="P26" s="22">
        <v>4968</v>
      </c>
      <c r="Q26" t="str" cm="1">
        <f t="array" ref="Q26">_xlfn.TEXTJOIN("、",TRUE,IF('學員資料-三民高中'!$B$2:$B$454=$F26,'學員資料-三民高中'!$G$2:$G$454,""))</f>
        <v/>
      </c>
      <c r="R26" t="str" cm="1">
        <f t="array" ref="R26">_xlfn.TEXTJOIN("、",TRUE,IF('學員資料-新北高中'!$B$2:$B$583=$F26,'學員資料-新北高中'!$G$2:$G$583,""))</f>
        <v/>
      </c>
      <c r="S26" t="str" cm="1">
        <f t="array" ref="S26">_xlfn.TEXTJOIN("、",TRUE,IF('學員資料-三重商工'!$B$2:$B$472=$F26,'學員資料-三重商工'!$G$2:$G$472,""))</f>
        <v/>
      </c>
      <c r="T26">
        <f t="shared" si="0"/>
        <v>0</v>
      </c>
    </row>
    <row r="27" spans="1:20" ht="14.25" hidden="1" customHeight="1">
      <c r="A27" s="15">
        <v>26</v>
      </c>
      <c r="B27" s="16" t="s">
        <v>155</v>
      </c>
      <c r="C27" s="17">
        <v>46186</v>
      </c>
      <c r="D27" s="15" t="s">
        <v>156</v>
      </c>
      <c r="E27" s="18" t="s">
        <v>55</v>
      </c>
      <c r="F27" s="19" t="s">
        <v>157</v>
      </c>
      <c r="G27" s="18" t="s">
        <v>158</v>
      </c>
      <c r="H27" s="20" t="s">
        <v>47</v>
      </c>
      <c r="I27" s="15">
        <v>1</v>
      </c>
      <c r="J27" s="15" t="s">
        <v>24</v>
      </c>
      <c r="K27" s="15"/>
      <c r="L27" s="21" t="s">
        <v>18</v>
      </c>
      <c r="M27" s="22">
        <v>0</v>
      </c>
      <c r="N27" s="22">
        <v>0</v>
      </c>
      <c r="O27" s="22">
        <v>9000</v>
      </c>
      <c r="P27" s="22">
        <v>9000</v>
      </c>
      <c r="Q27" t="str" cm="1">
        <f t="array" ref="Q27">_xlfn.TEXTJOIN("、",TRUE,IF('學員資料-三民高中'!$B$2:$B$454=$F27,'學員資料-三民高中'!$G$2:$G$454,""))</f>
        <v/>
      </c>
      <c r="R27" t="str" cm="1">
        <f t="array" ref="R27">_xlfn.TEXTJOIN("、",TRUE,IF('學員資料-新北高中'!$B$2:$B$583=$F27,'學員資料-新北高中'!$G$2:$G$583,""))</f>
        <v>0911338706-1</v>
      </c>
      <c r="S27" t="str" cm="1">
        <f t="array" ref="S27">_xlfn.TEXTJOIN("、",TRUE,IF('學員資料-三重商工'!$B$2:$B$472=$F27,'學員資料-三重商工'!$G$2:$G$472,""))</f>
        <v/>
      </c>
      <c r="T27">
        <f t="shared" si="0"/>
        <v>1</v>
      </c>
    </row>
    <row r="28" spans="1:20" ht="28.5" hidden="1" customHeight="1">
      <c r="A28" s="15">
        <v>27</v>
      </c>
      <c r="B28" s="16" t="s">
        <v>159</v>
      </c>
      <c r="C28" s="17">
        <v>46186</v>
      </c>
      <c r="D28" s="15" t="s">
        <v>160</v>
      </c>
      <c r="E28" s="18" t="s">
        <v>161</v>
      </c>
      <c r="F28" s="19" t="s">
        <v>162</v>
      </c>
      <c r="G28" s="18" t="s">
        <v>163</v>
      </c>
      <c r="H28" s="20" t="s">
        <v>99</v>
      </c>
      <c r="I28" s="15">
        <v>2</v>
      </c>
      <c r="J28" s="15" t="s">
        <v>24</v>
      </c>
      <c r="K28" s="15"/>
      <c r="L28" s="21" t="s">
        <v>16</v>
      </c>
      <c r="M28" s="22">
        <v>0</v>
      </c>
      <c r="N28" s="22">
        <v>0</v>
      </c>
      <c r="O28" s="22">
        <v>15000</v>
      </c>
      <c r="P28" s="22">
        <v>15000</v>
      </c>
      <c r="Q28" t="str" cm="1">
        <f t="array" ref="Q28">_xlfn.TEXTJOIN("、",TRUE,IF('學員資料-三民高中'!$B$2:$B$454=$F28,'學員資料-三民高中'!$G$2:$G$454,""))</f>
        <v/>
      </c>
      <c r="R28" t="str" cm="1">
        <f t="array" ref="R28">_xlfn.TEXTJOIN("、",TRUE,IF('學員資料-新北高中'!$B$2:$B$583=$F28,'學員資料-新北高中'!$G$2:$G$583,""))</f>
        <v>0958631638</v>
      </c>
      <c r="S28" t="str" cm="1">
        <f t="array" ref="S28">_xlfn.TEXTJOIN("、",TRUE,IF('學員資料-三重商工'!$B$2:$B$472=$F28,'學員資料-三重商工'!$G$2:$G$472,""))</f>
        <v/>
      </c>
      <c r="T28">
        <f t="shared" si="0"/>
        <v>1</v>
      </c>
    </row>
    <row r="29" spans="1:20" ht="14.25" hidden="1" customHeight="1">
      <c r="A29" s="15">
        <v>28</v>
      </c>
      <c r="B29" s="16" t="s">
        <v>164</v>
      </c>
      <c r="C29" s="17">
        <v>46185</v>
      </c>
      <c r="D29" s="15" t="s">
        <v>165</v>
      </c>
      <c r="E29" s="18" t="s">
        <v>83</v>
      </c>
      <c r="F29" s="19" t="s">
        <v>166</v>
      </c>
      <c r="G29" s="18" t="s">
        <v>167</v>
      </c>
      <c r="H29" s="20" t="s">
        <v>47</v>
      </c>
      <c r="I29" s="15">
        <v>1</v>
      </c>
      <c r="J29" s="15" t="s">
        <v>24</v>
      </c>
      <c r="K29" s="15"/>
      <c r="L29" s="21" t="s">
        <v>16</v>
      </c>
      <c r="M29" s="22">
        <v>0</v>
      </c>
      <c r="N29" s="22">
        <v>0</v>
      </c>
      <c r="O29" s="22">
        <v>9000</v>
      </c>
      <c r="P29" s="22">
        <v>9000</v>
      </c>
      <c r="Q29" t="str" cm="1">
        <f t="array" ref="Q29">_xlfn.TEXTJOIN("、",TRUE,IF('學員資料-三民高中'!$B$2:$B$454=$F29,'學員資料-三民高中'!$G$2:$G$454,""))</f>
        <v/>
      </c>
      <c r="R29" t="str" cm="1">
        <f t="array" ref="R29">_xlfn.TEXTJOIN("、",TRUE,IF('學員資料-新北高中'!$B$2:$B$583=$F29,'學員資料-新北高中'!$G$2:$G$583,""))</f>
        <v/>
      </c>
      <c r="S29" t="str" cm="1">
        <f t="array" ref="S29">_xlfn.TEXTJOIN("、",TRUE,IF('學員資料-三重商工'!$B$2:$B$472=$F29,'學員資料-三重商工'!$G$2:$G$472,""))</f>
        <v>0913222254</v>
      </c>
      <c r="T29">
        <f t="shared" si="0"/>
        <v>1</v>
      </c>
    </row>
    <row r="30" spans="1:20" ht="14.25" customHeight="1">
      <c r="A30" s="15">
        <v>29</v>
      </c>
      <c r="B30" s="16" t="s">
        <v>168</v>
      </c>
      <c r="C30" s="17">
        <v>46185</v>
      </c>
      <c r="D30" s="15" t="s">
        <v>169</v>
      </c>
      <c r="E30" s="18" t="s">
        <v>170</v>
      </c>
      <c r="F30" s="19" t="s">
        <v>171</v>
      </c>
      <c r="G30" s="18" t="s">
        <v>172</v>
      </c>
      <c r="H30" s="20" t="s">
        <v>66</v>
      </c>
      <c r="I30" s="15">
        <v>1</v>
      </c>
      <c r="J30" s="15" t="s">
        <v>23</v>
      </c>
      <c r="K30" s="15"/>
      <c r="L30" s="21" t="s">
        <v>16</v>
      </c>
      <c r="M30" s="22">
        <v>0</v>
      </c>
      <c r="N30" s="22">
        <v>0</v>
      </c>
      <c r="O30" s="22">
        <v>6900</v>
      </c>
      <c r="P30" s="22">
        <v>6900</v>
      </c>
      <c r="Q30" t="str" cm="1">
        <f t="array" ref="Q30">_xlfn.TEXTJOIN("、",TRUE,IF('學員資料-三民高中'!$B$2:$B$454=$F30,'學員資料-三民高中'!$G$2:$G$454,""))</f>
        <v/>
      </c>
      <c r="R30" t="str" cm="1">
        <f t="array" ref="R30">_xlfn.TEXTJOIN("、",TRUE,IF('學員資料-新北高中'!$B$2:$B$583=$F30,'學員資料-新北高中'!$G$2:$G$583,""))</f>
        <v/>
      </c>
      <c r="S30" t="str" cm="1">
        <f t="array" ref="S30">_xlfn.TEXTJOIN("、",TRUE,IF('學員資料-三重商工'!$B$2:$B$472=$F30,'學員資料-三重商工'!$G$2:$G$472,""))</f>
        <v/>
      </c>
      <c r="T30">
        <f t="shared" si="0"/>
        <v>0</v>
      </c>
    </row>
    <row r="31" spans="1:20" ht="14.25" hidden="1" customHeight="1">
      <c r="A31" s="15">
        <v>30</v>
      </c>
      <c r="B31" s="16" t="s">
        <v>173</v>
      </c>
      <c r="C31" s="17">
        <v>46185</v>
      </c>
      <c r="D31" s="15" t="s">
        <v>174</v>
      </c>
      <c r="E31" s="18" t="s">
        <v>170</v>
      </c>
      <c r="F31" s="19" t="s">
        <v>175</v>
      </c>
      <c r="G31" s="18" t="s">
        <v>176</v>
      </c>
      <c r="H31" s="20" t="s">
        <v>130</v>
      </c>
      <c r="I31" s="15">
        <v>1</v>
      </c>
      <c r="J31" s="15" t="s">
        <v>25</v>
      </c>
      <c r="K31" s="15"/>
      <c r="L31" s="21" t="s">
        <v>16</v>
      </c>
      <c r="M31" s="22">
        <v>0</v>
      </c>
      <c r="N31" s="22">
        <v>0</v>
      </c>
      <c r="O31" s="22">
        <v>9900</v>
      </c>
      <c r="P31" s="22">
        <v>9900</v>
      </c>
      <c r="Q31" t="str" cm="1">
        <f t="array" ref="Q31">_xlfn.TEXTJOIN("、",TRUE,IF('學員資料-三民高中'!$B$2:$B$454=$F31,'學員資料-三民高中'!$G$2:$G$454,""))</f>
        <v>0919360553</v>
      </c>
      <c r="R31" t="str" cm="1">
        <f t="array" ref="R31">_xlfn.TEXTJOIN("、",TRUE,IF('學員資料-新北高中'!$B$2:$B$583=$F31,'學員資料-新北高中'!$G$2:$G$583,""))</f>
        <v/>
      </c>
      <c r="S31" t="str" cm="1">
        <f t="array" ref="S31">_xlfn.TEXTJOIN("、",TRUE,IF('學員資料-三重商工'!$B$2:$B$472=$F31,'學員資料-三重商工'!$G$2:$G$472,""))</f>
        <v/>
      </c>
      <c r="T31">
        <f t="shared" si="0"/>
        <v>1</v>
      </c>
    </row>
    <row r="32" spans="1:20" ht="14.25" hidden="1" customHeight="1">
      <c r="A32" s="15">
        <v>31</v>
      </c>
      <c r="B32" s="16" t="s">
        <v>177</v>
      </c>
      <c r="C32" s="17">
        <v>46185</v>
      </c>
      <c r="D32" s="15" t="s">
        <v>178</v>
      </c>
      <c r="E32" s="18" t="s">
        <v>44</v>
      </c>
      <c r="F32" s="19" t="s">
        <v>179</v>
      </c>
      <c r="G32" s="18" t="s">
        <v>180</v>
      </c>
      <c r="H32" s="20" t="s">
        <v>52</v>
      </c>
      <c r="I32" s="15">
        <v>1</v>
      </c>
      <c r="J32" s="15" t="s">
        <v>24</v>
      </c>
      <c r="K32" s="15"/>
      <c r="L32" s="21" t="s">
        <v>16</v>
      </c>
      <c r="M32" s="22">
        <v>0</v>
      </c>
      <c r="N32" s="22">
        <v>0</v>
      </c>
      <c r="O32" s="22">
        <v>7500</v>
      </c>
      <c r="P32" s="22">
        <v>7500</v>
      </c>
      <c r="Q32" t="str" cm="1">
        <f t="array" ref="Q32">_xlfn.TEXTJOIN("、",TRUE,IF('學員資料-三民高中'!$B$2:$B$454=$F32,'學員資料-三民高中'!$G$2:$G$454,""))</f>
        <v/>
      </c>
      <c r="R32" t="str" cm="1">
        <f t="array" ref="R32">_xlfn.TEXTJOIN("、",TRUE,IF('學員資料-新北高中'!$B$2:$B$583=$F32,'學員資料-新北高中'!$G$2:$G$583,""))</f>
        <v>0989026921</v>
      </c>
      <c r="S32" t="str" cm="1">
        <f t="array" ref="S32">_xlfn.TEXTJOIN("、",TRUE,IF('學員資料-三重商工'!$B$2:$B$472=$F32,'學員資料-三重商工'!$G$2:$G$472,""))</f>
        <v/>
      </c>
      <c r="T32">
        <f t="shared" si="0"/>
        <v>1</v>
      </c>
    </row>
    <row r="33" spans="1:20" ht="14.25" hidden="1" customHeight="1">
      <c r="A33" s="15">
        <v>32</v>
      </c>
      <c r="B33" s="16" t="s">
        <v>181</v>
      </c>
      <c r="C33" s="17">
        <v>46184</v>
      </c>
      <c r="D33" s="15" t="s">
        <v>182</v>
      </c>
      <c r="E33" s="18" t="s">
        <v>83</v>
      </c>
      <c r="F33" s="19" t="s">
        <v>183</v>
      </c>
      <c r="G33" s="18" t="s">
        <v>184</v>
      </c>
      <c r="H33" s="20" t="s">
        <v>52</v>
      </c>
      <c r="I33" s="15">
        <v>1</v>
      </c>
      <c r="J33" s="15" t="s">
        <v>24</v>
      </c>
      <c r="K33" s="15"/>
      <c r="L33" s="21" t="s">
        <v>16</v>
      </c>
      <c r="M33" s="22">
        <v>0</v>
      </c>
      <c r="N33" s="22">
        <v>0</v>
      </c>
      <c r="O33" s="22">
        <v>7500</v>
      </c>
      <c r="P33" s="22">
        <v>7500</v>
      </c>
      <c r="Q33" t="str" cm="1">
        <f t="array" ref="Q33">_xlfn.TEXTJOIN("、",TRUE,IF('學員資料-三民高中'!$B$2:$B$454=$F33,'學員資料-三民高中'!$G$2:$G$454,""))</f>
        <v/>
      </c>
      <c r="R33" t="str" cm="1">
        <f t="array" ref="R33">_xlfn.TEXTJOIN("、",TRUE,IF('學員資料-新北高中'!$B$2:$B$583=$F33,'學員資料-新北高中'!$G$2:$G$583,""))</f>
        <v/>
      </c>
      <c r="S33" t="str" cm="1">
        <f t="array" ref="S33">_xlfn.TEXTJOIN("、",TRUE,IF('學員資料-三重商工'!$B$2:$B$472=$F33,'學員資料-三重商工'!$G$2:$G$472,""))</f>
        <v>0910554558</v>
      </c>
      <c r="T33">
        <f t="shared" si="0"/>
        <v>1</v>
      </c>
    </row>
    <row r="34" spans="1:20" ht="14.25" hidden="1" customHeight="1">
      <c r="A34" s="15">
        <v>33</v>
      </c>
      <c r="B34" s="16" t="s">
        <v>185</v>
      </c>
      <c r="C34" s="17">
        <v>46184</v>
      </c>
      <c r="D34" s="15" t="s">
        <v>186</v>
      </c>
      <c r="E34" s="18" t="s">
        <v>92</v>
      </c>
      <c r="F34" s="19" t="s">
        <v>187</v>
      </c>
      <c r="G34" s="18" t="s">
        <v>188</v>
      </c>
      <c r="H34" s="20" t="s">
        <v>52</v>
      </c>
      <c r="I34" s="15">
        <v>1</v>
      </c>
      <c r="J34" s="15" t="s">
        <v>24</v>
      </c>
      <c r="K34" s="15"/>
      <c r="L34" s="21" t="s">
        <v>16</v>
      </c>
      <c r="M34" s="22">
        <v>0</v>
      </c>
      <c r="N34" s="22">
        <v>0</v>
      </c>
      <c r="O34" s="22">
        <v>7500</v>
      </c>
      <c r="P34" s="22">
        <v>7500</v>
      </c>
      <c r="Q34" t="str" cm="1">
        <f t="array" ref="Q34">_xlfn.TEXTJOIN("、",TRUE,IF('學員資料-三民高中'!$B$2:$B$454=$F34,'學員資料-三民高中'!$G$2:$G$454,""))</f>
        <v/>
      </c>
      <c r="R34" t="str" cm="1">
        <f t="array" ref="R34">_xlfn.TEXTJOIN("、",TRUE,IF('學員資料-新北高中'!$B$2:$B$583=$F34,'學員資料-新北高中'!$G$2:$G$583,""))</f>
        <v>0922852004</v>
      </c>
      <c r="S34" t="str" cm="1">
        <f t="array" ref="S34">_xlfn.TEXTJOIN("、",TRUE,IF('學員資料-三重商工'!$B$2:$B$472=$F34,'學員資料-三重商工'!$G$2:$G$472,""))</f>
        <v/>
      </c>
      <c r="T34">
        <f t="shared" si="0"/>
        <v>1</v>
      </c>
    </row>
    <row r="35" spans="1:20" ht="14.25" hidden="1" customHeight="1">
      <c r="A35" s="15">
        <v>34</v>
      </c>
      <c r="B35" s="16" t="s">
        <v>189</v>
      </c>
      <c r="C35" s="17">
        <v>46183</v>
      </c>
      <c r="D35" s="15" t="s">
        <v>190</v>
      </c>
      <c r="E35" s="18" t="s">
        <v>170</v>
      </c>
      <c r="F35" s="19" t="s">
        <v>191</v>
      </c>
      <c r="G35" s="18" t="s">
        <v>192</v>
      </c>
      <c r="H35" s="20" t="s">
        <v>112</v>
      </c>
      <c r="I35" s="15">
        <v>1</v>
      </c>
      <c r="J35" s="15" t="s">
        <v>23</v>
      </c>
      <c r="K35" s="15"/>
      <c r="L35" s="21" t="s">
        <v>16</v>
      </c>
      <c r="M35" s="22">
        <v>0</v>
      </c>
      <c r="N35" s="22">
        <v>0</v>
      </c>
      <c r="O35" s="22">
        <v>8280</v>
      </c>
      <c r="P35" s="22">
        <v>8280</v>
      </c>
      <c r="Q35" t="str" cm="1">
        <f t="array" ref="Q35">_xlfn.TEXTJOIN("、",TRUE,IF('學員資料-三民高中'!$B$2:$B$454=$F35,'學員資料-三民高中'!$G$2:$G$454,""))</f>
        <v/>
      </c>
      <c r="R35" t="str" cm="1">
        <f t="array" ref="R35">_xlfn.TEXTJOIN("、",TRUE,IF('學員資料-新北高中'!$B$2:$B$583=$F35,'學員資料-新北高中'!$G$2:$G$583,""))</f>
        <v/>
      </c>
      <c r="S35" t="str" cm="1">
        <f t="array" ref="S35">_xlfn.TEXTJOIN("、",TRUE,IF('學員資料-三重商工'!$B$2:$B$472=$F35,'學員資料-三重商工'!$G$2:$G$472,""))</f>
        <v>0919450143</v>
      </c>
      <c r="T35">
        <f t="shared" si="0"/>
        <v>1</v>
      </c>
    </row>
    <row r="36" spans="1:20" ht="14.25" hidden="1" customHeight="1">
      <c r="A36" s="15">
        <v>35</v>
      </c>
      <c r="B36" s="16" t="s">
        <v>193</v>
      </c>
      <c r="C36" s="17">
        <v>46183</v>
      </c>
      <c r="D36" s="15" t="s">
        <v>194</v>
      </c>
      <c r="E36" s="18" t="s">
        <v>195</v>
      </c>
      <c r="F36" s="19" t="s">
        <v>196</v>
      </c>
      <c r="G36" s="18" t="s">
        <v>197</v>
      </c>
      <c r="H36" s="20" t="s">
        <v>52</v>
      </c>
      <c r="I36" s="15">
        <v>1</v>
      </c>
      <c r="J36" s="15" t="s">
        <v>24</v>
      </c>
      <c r="K36" s="15"/>
      <c r="L36" s="21" t="s">
        <v>18</v>
      </c>
      <c r="M36" s="22">
        <v>0</v>
      </c>
      <c r="N36" s="22">
        <v>0</v>
      </c>
      <c r="O36" s="22">
        <v>7500</v>
      </c>
      <c r="P36" s="22">
        <v>7500</v>
      </c>
      <c r="Q36" t="str" cm="1">
        <f t="array" ref="Q36">_xlfn.TEXTJOIN("、",TRUE,IF('學員資料-三民高中'!$B$2:$B$454=$F36,'學員資料-三民高中'!$G$2:$G$454,""))</f>
        <v/>
      </c>
      <c r="R36" t="str" cm="1">
        <f t="array" ref="R36">_xlfn.TEXTJOIN("、",TRUE,IF('學員資料-新北高中'!$B$2:$B$583=$F36,'學員資料-新北高中'!$G$2:$G$583,""))</f>
        <v>0932386894</v>
      </c>
      <c r="S36" t="str" cm="1">
        <f t="array" ref="S36">_xlfn.TEXTJOIN("、",TRUE,IF('學員資料-三重商工'!$B$2:$B$472=$F36,'學員資料-三重商工'!$G$2:$G$472,""))</f>
        <v/>
      </c>
      <c r="T36">
        <f t="shared" si="0"/>
        <v>1</v>
      </c>
    </row>
    <row r="37" spans="1:20" ht="28.5" hidden="1" customHeight="1">
      <c r="A37" s="15">
        <v>36</v>
      </c>
      <c r="B37" s="16" t="s">
        <v>198</v>
      </c>
      <c r="C37" s="17">
        <v>46183</v>
      </c>
      <c r="D37" s="15" t="s">
        <v>199</v>
      </c>
      <c r="E37" s="18" t="s">
        <v>170</v>
      </c>
      <c r="F37" s="19" t="s">
        <v>200</v>
      </c>
      <c r="G37" s="18" t="s">
        <v>201</v>
      </c>
      <c r="H37" s="20" t="s">
        <v>99</v>
      </c>
      <c r="I37" s="15">
        <v>2</v>
      </c>
      <c r="J37" s="15" t="s">
        <v>24</v>
      </c>
      <c r="K37" s="15"/>
      <c r="L37" s="21" t="s">
        <v>16</v>
      </c>
      <c r="M37" s="22">
        <v>0</v>
      </c>
      <c r="N37" s="22">
        <v>-300</v>
      </c>
      <c r="O37" s="22">
        <v>14700</v>
      </c>
      <c r="P37" s="22">
        <v>14700</v>
      </c>
      <c r="Q37" t="str" cm="1">
        <f t="array" ref="Q37">_xlfn.TEXTJOIN("、",TRUE,IF('學員資料-三民高中'!$B$2:$B$454=$F37,'學員資料-三民高中'!$G$2:$G$454,""))</f>
        <v>0958923550</v>
      </c>
      <c r="R37" t="str" cm="1">
        <f t="array" ref="R37">_xlfn.TEXTJOIN("、",TRUE,IF('學員資料-新北高中'!$B$2:$B$583=$F37,'學員資料-新北高中'!$G$2:$G$583,""))</f>
        <v/>
      </c>
      <c r="S37" t="str" cm="1">
        <f t="array" ref="S37">_xlfn.TEXTJOIN("、",TRUE,IF('學員資料-三重商工'!$B$2:$B$472=$F37,'學員資料-三重商工'!$G$2:$G$472,""))</f>
        <v/>
      </c>
      <c r="T37">
        <f t="shared" si="0"/>
        <v>1</v>
      </c>
    </row>
    <row r="38" spans="1:20" ht="14.25" customHeight="1">
      <c r="A38" s="15">
        <v>37</v>
      </c>
      <c r="B38" s="16" t="s">
        <v>202</v>
      </c>
      <c r="C38" s="17">
        <v>46183</v>
      </c>
      <c r="D38" s="15" t="s">
        <v>203</v>
      </c>
      <c r="E38" s="18" t="s">
        <v>92</v>
      </c>
      <c r="F38" s="19" t="s">
        <v>204</v>
      </c>
      <c r="G38" s="18" t="s">
        <v>205</v>
      </c>
      <c r="H38" s="20" t="s">
        <v>66</v>
      </c>
      <c r="I38" s="15">
        <v>1</v>
      </c>
      <c r="J38" s="15" t="s">
        <v>23</v>
      </c>
      <c r="K38" s="15"/>
      <c r="L38" s="21" t="s">
        <v>17</v>
      </c>
      <c r="M38" s="22">
        <v>0</v>
      </c>
      <c r="N38" s="22">
        <v>0</v>
      </c>
      <c r="O38" s="22">
        <v>6900</v>
      </c>
      <c r="P38" s="22">
        <v>6900</v>
      </c>
      <c r="Q38" t="str" cm="1">
        <f t="array" ref="Q38">_xlfn.TEXTJOIN("、",TRUE,IF('學員資料-三民高中'!$B$2:$B$454=$F38,'學員資料-三民高中'!$G$2:$G$454,""))</f>
        <v/>
      </c>
      <c r="R38" t="str" cm="1">
        <f t="array" ref="R38">_xlfn.TEXTJOIN("、",TRUE,IF('學員資料-新北高中'!$B$2:$B$583=$F38,'學員資料-新北高中'!$G$2:$G$583,""))</f>
        <v/>
      </c>
      <c r="S38" t="str" cm="1">
        <f t="array" ref="S38">_xlfn.TEXTJOIN("、",TRUE,IF('學員資料-三重商工'!$B$2:$B$472=$F38,'學員資料-三重商工'!$G$2:$G$472,""))</f>
        <v/>
      </c>
      <c r="T38">
        <f t="shared" si="0"/>
        <v>0</v>
      </c>
    </row>
    <row r="39" spans="1:20" ht="14.25" hidden="1" customHeight="1">
      <c r="A39" s="15">
        <v>38</v>
      </c>
      <c r="B39" s="16" t="s">
        <v>206</v>
      </c>
      <c r="C39" s="17">
        <v>46183</v>
      </c>
      <c r="D39" s="15" t="s">
        <v>207</v>
      </c>
      <c r="E39" s="18" t="s">
        <v>83</v>
      </c>
      <c r="F39" s="19" t="s">
        <v>208</v>
      </c>
      <c r="G39" s="18" t="s">
        <v>209</v>
      </c>
      <c r="H39" s="20" t="s">
        <v>210</v>
      </c>
      <c r="I39" s="15">
        <v>1</v>
      </c>
      <c r="J39" s="15" t="s">
        <v>26</v>
      </c>
      <c r="K39" s="15"/>
      <c r="L39" s="21" t="s">
        <v>18</v>
      </c>
      <c r="M39" s="22">
        <v>0</v>
      </c>
      <c r="N39" s="22">
        <v>0</v>
      </c>
      <c r="O39" s="22">
        <v>12000</v>
      </c>
      <c r="P39" s="22">
        <v>12000</v>
      </c>
      <c r="Q39" t="str" cm="1">
        <f t="array" ref="Q39">_xlfn.TEXTJOIN("、",TRUE,IF('學員資料-三民高中'!$B$2:$B$454=$F39,'學員資料-三民高中'!$G$2:$G$454,""))</f>
        <v/>
      </c>
      <c r="R39" t="str" cm="1">
        <f t="array" ref="R39">_xlfn.TEXTJOIN("、",TRUE,IF('學員資料-新北高中'!$B$2:$B$583=$F39,'學員資料-新北高中'!$G$2:$G$583,""))</f>
        <v/>
      </c>
      <c r="S39" t="str" cm="1">
        <f t="array" ref="S39">_xlfn.TEXTJOIN("、",TRUE,IF('學員資料-三重商工'!$B$2:$B$472=$F39,'學員資料-三重商工'!$G$2:$G$472,""))</f>
        <v>0981907815</v>
      </c>
      <c r="T39">
        <f t="shared" si="0"/>
        <v>1</v>
      </c>
    </row>
    <row r="40" spans="1:20" ht="14.25" customHeight="1">
      <c r="A40" s="15">
        <v>39</v>
      </c>
      <c r="B40" s="16" t="s">
        <v>211</v>
      </c>
      <c r="C40" s="17">
        <v>46182</v>
      </c>
      <c r="D40" s="15" t="s">
        <v>212</v>
      </c>
      <c r="E40" s="18" t="s">
        <v>92</v>
      </c>
      <c r="F40" s="19" t="s">
        <v>213</v>
      </c>
      <c r="G40" s="18" t="s">
        <v>214</v>
      </c>
      <c r="H40" s="20" t="s">
        <v>52</v>
      </c>
      <c r="I40" s="15">
        <v>1</v>
      </c>
      <c r="J40" s="15" t="s">
        <v>24</v>
      </c>
      <c r="K40" s="15"/>
      <c r="L40" s="21" t="s">
        <v>18</v>
      </c>
      <c r="M40" s="22">
        <v>0</v>
      </c>
      <c r="N40" s="22">
        <v>0</v>
      </c>
      <c r="O40" s="22">
        <v>7500</v>
      </c>
      <c r="P40" s="22">
        <v>7500</v>
      </c>
      <c r="Q40" t="str" cm="1">
        <f t="array" ref="Q40">_xlfn.TEXTJOIN("、",TRUE,IF('學員資料-三民高中'!$B$2:$B$454=$F40,'學員資料-三民高中'!$G$2:$G$454,""))</f>
        <v/>
      </c>
      <c r="R40" t="str" cm="1">
        <f t="array" ref="R40">_xlfn.TEXTJOIN("、",TRUE,IF('學員資料-新北高中'!$B$2:$B$583=$F40,'學員資料-新北高中'!$G$2:$G$583,""))</f>
        <v/>
      </c>
      <c r="S40" t="str" cm="1">
        <f t="array" ref="S40">_xlfn.TEXTJOIN("、",TRUE,IF('學員資料-三重商工'!$B$2:$B$472=$F40,'學員資料-三重商工'!$G$2:$G$472,""))</f>
        <v/>
      </c>
      <c r="T40">
        <f t="shared" si="0"/>
        <v>0</v>
      </c>
    </row>
    <row r="41" spans="1:20" ht="28.5" hidden="1" customHeight="1">
      <c r="A41" s="15">
        <v>40</v>
      </c>
      <c r="B41" s="16" t="s">
        <v>215</v>
      </c>
      <c r="C41" s="17">
        <v>46181</v>
      </c>
      <c r="D41" s="15" t="s">
        <v>216</v>
      </c>
      <c r="E41" s="18" t="s">
        <v>83</v>
      </c>
      <c r="F41" s="19" t="s">
        <v>217</v>
      </c>
      <c r="G41" s="18" t="s">
        <v>218</v>
      </c>
      <c r="H41" s="20" t="s">
        <v>219</v>
      </c>
      <c r="I41" s="15">
        <v>2</v>
      </c>
      <c r="J41" s="15" t="s">
        <v>25</v>
      </c>
      <c r="K41" s="15"/>
      <c r="L41" s="21" t="s">
        <v>16</v>
      </c>
      <c r="M41" s="22">
        <v>0</v>
      </c>
      <c r="N41" s="22">
        <v>-3960</v>
      </c>
      <c r="O41" s="22">
        <v>45540</v>
      </c>
      <c r="P41" s="22">
        <v>45540</v>
      </c>
      <c r="Q41" t="str" cm="1">
        <f t="array" ref="Q41">_xlfn.TEXTJOIN("、",TRUE,IF('學員資料-三民高中'!$B$2:$B$454=$F41,'學員資料-三民高中'!$G$2:$G$454,""))</f>
        <v/>
      </c>
      <c r="R41" t="str" cm="1">
        <f t="array" ref="R41">_xlfn.TEXTJOIN("、",TRUE,IF('學員資料-新北高中'!$B$2:$B$583=$F41,'學員資料-新北高中'!$G$2:$G$583,""))</f>
        <v/>
      </c>
      <c r="S41" t="str" cm="1">
        <f t="array" ref="S41">_xlfn.TEXTJOIN("、",TRUE,IF('學員資料-三重商工'!$B$2:$B$472=$F41,'學員資料-三重商工'!$G$2:$G$472,""))</f>
        <v>0927383378</v>
      </c>
      <c r="T41">
        <f t="shared" si="0"/>
        <v>1</v>
      </c>
    </row>
    <row r="42" spans="1:20" ht="14.25" hidden="1" customHeight="1">
      <c r="A42" s="15">
        <v>41</v>
      </c>
      <c r="B42" s="16" t="s">
        <v>220</v>
      </c>
      <c r="C42" s="17">
        <v>46180</v>
      </c>
      <c r="D42" s="15" t="s">
        <v>221</v>
      </c>
      <c r="E42" s="18" t="s">
        <v>161</v>
      </c>
      <c r="F42" s="19" t="s">
        <v>222</v>
      </c>
      <c r="G42" s="18" t="s">
        <v>223</v>
      </c>
      <c r="H42" s="20" t="s">
        <v>52</v>
      </c>
      <c r="I42" s="15">
        <v>1</v>
      </c>
      <c r="J42" s="15" t="s">
        <v>24</v>
      </c>
      <c r="K42" s="15"/>
      <c r="L42" s="21" t="s">
        <v>16</v>
      </c>
      <c r="M42" s="22">
        <v>0</v>
      </c>
      <c r="N42" s="22">
        <v>0</v>
      </c>
      <c r="O42" s="22">
        <v>7500</v>
      </c>
      <c r="P42" s="22">
        <v>7500</v>
      </c>
      <c r="Q42" t="str" cm="1">
        <f t="array" ref="Q42">_xlfn.TEXTJOIN("、",TRUE,IF('學員資料-三民高中'!$B$2:$B$454=$F42,'學員資料-三民高中'!$G$2:$G$454,""))</f>
        <v/>
      </c>
      <c r="R42" t="str" cm="1">
        <f t="array" ref="R42">_xlfn.TEXTJOIN("、",TRUE,IF('學員資料-新北高中'!$B$2:$B$583=$F42,'學員資料-新北高中'!$G$2:$G$583,""))</f>
        <v>0980067105</v>
      </c>
      <c r="S42" t="str" cm="1">
        <f t="array" ref="S42">_xlfn.TEXTJOIN("、",TRUE,IF('學員資料-三重商工'!$B$2:$B$472=$F42,'學員資料-三重商工'!$G$2:$G$472,""))</f>
        <v/>
      </c>
      <c r="T42">
        <f t="shared" si="0"/>
        <v>1</v>
      </c>
    </row>
    <row r="43" spans="1:20" ht="14.25" hidden="1" customHeight="1">
      <c r="A43" s="15">
        <v>42</v>
      </c>
      <c r="B43" s="16" t="s">
        <v>224</v>
      </c>
      <c r="C43" s="17">
        <v>46180</v>
      </c>
      <c r="D43" s="15" t="s">
        <v>225</v>
      </c>
      <c r="E43" s="18" t="s">
        <v>161</v>
      </c>
      <c r="F43" s="19" t="s">
        <v>226</v>
      </c>
      <c r="G43" s="18" t="s">
        <v>227</v>
      </c>
      <c r="H43" s="20" t="s">
        <v>66</v>
      </c>
      <c r="I43" s="15">
        <v>1</v>
      </c>
      <c r="J43" s="15" t="s">
        <v>23</v>
      </c>
      <c r="K43" s="15"/>
      <c r="L43" s="21" t="s">
        <v>16</v>
      </c>
      <c r="M43" s="22">
        <v>0</v>
      </c>
      <c r="N43" s="22">
        <v>0</v>
      </c>
      <c r="O43" s="22">
        <v>6900</v>
      </c>
      <c r="P43" s="22">
        <v>6900</v>
      </c>
      <c r="Q43" t="str" cm="1">
        <f t="array" ref="Q43">_xlfn.TEXTJOIN("、",TRUE,IF('學員資料-三民高中'!$B$2:$B$454=$F43,'學員資料-三民高中'!$G$2:$G$454,""))</f>
        <v/>
      </c>
      <c r="R43" t="str" cm="1">
        <f t="array" ref="R43">_xlfn.TEXTJOIN("、",TRUE,IF('學員資料-新北高中'!$B$2:$B$583=$F43,'學員資料-新北高中'!$G$2:$G$583,""))</f>
        <v>0933252667</v>
      </c>
      <c r="S43" t="str" cm="1">
        <f t="array" ref="S43">_xlfn.TEXTJOIN("、",TRUE,IF('學員資料-三重商工'!$B$2:$B$472=$F43,'學員資料-三重商工'!$G$2:$G$472,""))</f>
        <v/>
      </c>
      <c r="T43">
        <f t="shared" si="0"/>
        <v>1</v>
      </c>
    </row>
    <row r="44" spans="1:20" ht="14.25" hidden="1" customHeight="1">
      <c r="A44" s="15">
        <v>43</v>
      </c>
      <c r="B44" s="16" t="s">
        <v>228</v>
      </c>
      <c r="C44" s="17">
        <v>46179</v>
      </c>
      <c r="D44" s="15" t="s">
        <v>229</v>
      </c>
      <c r="E44" s="18" t="s">
        <v>44</v>
      </c>
      <c r="F44" s="19" t="s">
        <v>230</v>
      </c>
      <c r="G44" s="18" t="s">
        <v>231</v>
      </c>
      <c r="H44" s="20" t="s">
        <v>66</v>
      </c>
      <c r="I44" s="15">
        <v>1</v>
      </c>
      <c r="J44" s="15" t="s">
        <v>23</v>
      </c>
      <c r="K44" s="15"/>
      <c r="L44" s="21" t="s">
        <v>16</v>
      </c>
      <c r="M44" s="22">
        <v>0</v>
      </c>
      <c r="N44" s="22">
        <v>0</v>
      </c>
      <c r="O44" s="22">
        <v>6900</v>
      </c>
      <c r="P44" s="22">
        <v>6900</v>
      </c>
      <c r="Q44" t="str" cm="1">
        <f t="array" ref="Q44">_xlfn.TEXTJOIN("、",TRUE,IF('學員資料-三民高中'!$B$2:$B$454=$F44,'學員資料-三民高中'!$G$2:$G$454,""))</f>
        <v/>
      </c>
      <c r="R44" t="str" cm="1">
        <f t="array" ref="R44">_xlfn.TEXTJOIN("、",TRUE,IF('學員資料-新北高中'!$B$2:$B$583=$F44,'學員資料-新北高中'!$G$2:$G$583,""))</f>
        <v/>
      </c>
      <c r="S44" t="str" cm="1">
        <f t="array" ref="S44">_xlfn.TEXTJOIN("、",TRUE,IF('學員資料-三重商工'!$B$2:$B$472=$F44,'學員資料-三重商工'!$G$2:$G$472,""))</f>
        <v>0953205962</v>
      </c>
      <c r="T44">
        <f t="shared" si="0"/>
        <v>1</v>
      </c>
    </row>
    <row r="45" spans="1:20" ht="14.25" hidden="1" customHeight="1">
      <c r="A45" s="15">
        <v>44</v>
      </c>
      <c r="B45" s="16" t="s">
        <v>232</v>
      </c>
      <c r="C45" s="17">
        <v>46179</v>
      </c>
      <c r="D45" s="15" t="s">
        <v>233</v>
      </c>
      <c r="E45" s="18" t="s">
        <v>44</v>
      </c>
      <c r="F45" s="19" t="s">
        <v>234</v>
      </c>
      <c r="G45" s="18" t="s">
        <v>235</v>
      </c>
      <c r="H45" s="20" t="s">
        <v>130</v>
      </c>
      <c r="I45" s="15">
        <v>1</v>
      </c>
      <c r="J45" s="15" t="s">
        <v>25</v>
      </c>
      <c r="K45" s="15"/>
      <c r="L45" s="21" t="s">
        <v>16</v>
      </c>
      <c r="M45" s="22">
        <v>0</v>
      </c>
      <c r="N45" s="22">
        <v>0</v>
      </c>
      <c r="O45" s="22">
        <v>9900</v>
      </c>
      <c r="P45" s="22">
        <v>9900</v>
      </c>
      <c r="Q45" t="str" cm="1">
        <f t="array" ref="Q45">_xlfn.TEXTJOIN("、",TRUE,IF('學員資料-三民高中'!$B$2:$B$454=$F45,'學員資料-三民高中'!$G$2:$G$454,""))</f>
        <v/>
      </c>
      <c r="R45" t="str" cm="1">
        <f t="array" ref="R45">_xlfn.TEXTJOIN("、",TRUE,IF('學員資料-新北高中'!$B$2:$B$583=$F45,'學員資料-新北高中'!$G$2:$G$583,""))</f>
        <v/>
      </c>
      <c r="S45" t="str" cm="1">
        <f t="array" ref="S45">_xlfn.TEXTJOIN("、",TRUE,IF('學員資料-三重商工'!$B$2:$B$472=$F45,'學員資料-三重商工'!$G$2:$G$472,""))</f>
        <v>0919285029</v>
      </c>
      <c r="T45">
        <f t="shared" si="0"/>
        <v>1</v>
      </c>
    </row>
    <row r="46" spans="1:20" ht="14.25" hidden="1" customHeight="1">
      <c r="A46" s="15">
        <v>45</v>
      </c>
      <c r="B46" s="16" t="s">
        <v>236</v>
      </c>
      <c r="C46" s="17">
        <v>46179</v>
      </c>
      <c r="D46" s="15" t="s">
        <v>237</v>
      </c>
      <c r="E46" s="18" t="s">
        <v>44</v>
      </c>
      <c r="F46" s="19" t="s">
        <v>238</v>
      </c>
      <c r="G46" s="18" t="s">
        <v>239</v>
      </c>
      <c r="H46" s="20" t="s">
        <v>66</v>
      </c>
      <c r="I46" s="15">
        <v>1</v>
      </c>
      <c r="J46" s="15" t="s">
        <v>23</v>
      </c>
      <c r="K46" s="15"/>
      <c r="L46" s="21" t="s">
        <v>16</v>
      </c>
      <c r="M46" s="22">
        <v>0</v>
      </c>
      <c r="N46" s="22">
        <v>0</v>
      </c>
      <c r="O46" s="22">
        <v>6900</v>
      </c>
      <c r="P46" s="22">
        <v>6900</v>
      </c>
      <c r="Q46" t="str" cm="1">
        <f t="array" ref="Q46">_xlfn.TEXTJOIN("、",TRUE,IF('學員資料-三民高中'!$B$2:$B$454=$F46,'學員資料-三民高中'!$G$2:$G$454,""))</f>
        <v/>
      </c>
      <c r="R46" t="str" cm="1">
        <f t="array" ref="R46">_xlfn.TEXTJOIN("、",TRUE,IF('學員資料-新北高中'!$B$2:$B$583=$F46,'學員資料-新北高中'!$G$2:$G$583,""))</f>
        <v/>
      </c>
      <c r="S46" t="str" cm="1">
        <f t="array" ref="S46">_xlfn.TEXTJOIN("、",TRUE,IF('學員資料-三重商工'!$B$2:$B$472=$F46,'學員資料-三重商工'!$G$2:$G$472,""))</f>
        <v>0920129049</v>
      </c>
      <c r="T46">
        <f t="shared" si="0"/>
        <v>1</v>
      </c>
    </row>
    <row r="47" spans="1:20" ht="28.5" hidden="1" customHeight="1">
      <c r="A47" s="15">
        <v>46</v>
      </c>
      <c r="B47" s="16" t="s">
        <v>240</v>
      </c>
      <c r="C47" s="17">
        <v>46179</v>
      </c>
      <c r="D47" s="15" t="s">
        <v>241</v>
      </c>
      <c r="E47" s="18" t="s">
        <v>78</v>
      </c>
      <c r="F47" s="19" t="s">
        <v>242</v>
      </c>
      <c r="G47" s="18" t="s">
        <v>243</v>
      </c>
      <c r="H47" s="20" t="s">
        <v>244</v>
      </c>
      <c r="I47" s="15">
        <v>2</v>
      </c>
      <c r="J47" s="15" t="s">
        <v>23</v>
      </c>
      <c r="K47" s="15"/>
      <c r="L47" s="21" t="s">
        <v>16</v>
      </c>
      <c r="M47" s="22">
        <v>0</v>
      </c>
      <c r="N47" s="22">
        <v>0</v>
      </c>
      <c r="O47" s="22">
        <v>16560</v>
      </c>
      <c r="P47" s="22">
        <v>16560</v>
      </c>
      <c r="Q47" t="str" cm="1">
        <f t="array" ref="Q47">_xlfn.TEXTJOIN("、",TRUE,IF('學員資料-三民高中'!$B$2:$B$454=$F47,'學員資料-三民高中'!$G$2:$G$454,""))</f>
        <v>0989899080</v>
      </c>
      <c r="R47" t="str" cm="1">
        <f t="array" ref="R47">_xlfn.TEXTJOIN("、",TRUE,IF('學員資料-新北高中'!$B$2:$B$583=$F47,'學員資料-新北高中'!$G$2:$G$583,""))</f>
        <v/>
      </c>
      <c r="S47" t="str" cm="1">
        <f t="array" ref="S47">_xlfn.TEXTJOIN("、",TRUE,IF('學員資料-三重商工'!$B$2:$B$472=$F47,'學員資料-三重商工'!$G$2:$G$472,""))</f>
        <v/>
      </c>
      <c r="T47">
        <f t="shared" si="0"/>
        <v>1</v>
      </c>
    </row>
    <row r="48" spans="1:20" ht="14.25" hidden="1" customHeight="1">
      <c r="A48" s="15">
        <v>47</v>
      </c>
      <c r="B48" s="16" t="s">
        <v>245</v>
      </c>
      <c r="C48" s="17">
        <v>46179</v>
      </c>
      <c r="D48" s="15" t="s">
        <v>246</v>
      </c>
      <c r="E48" s="18" t="s">
        <v>78</v>
      </c>
      <c r="F48" s="19" t="s">
        <v>247</v>
      </c>
      <c r="G48" s="18" t="s">
        <v>248</v>
      </c>
      <c r="H48" s="20" t="s">
        <v>130</v>
      </c>
      <c r="I48" s="15">
        <v>1</v>
      </c>
      <c r="J48" s="15" t="s">
        <v>25</v>
      </c>
      <c r="K48" s="15"/>
      <c r="L48" s="21" t="s">
        <v>16</v>
      </c>
      <c r="M48" s="22">
        <v>0</v>
      </c>
      <c r="N48" s="22">
        <v>0</v>
      </c>
      <c r="O48" s="22">
        <v>9900</v>
      </c>
      <c r="P48" s="22">
        <v>9900</v>
      </c>
      <c r="Q48" t="str" cm="1">
        <f t="array" ref="Q48">_xlfn.TEXTJOIN("、",TRUE,IF('學員資料-三民高中'!$B$2:$B$454=$F48,'學員資料-三民高中'!$G$2:$G$454,""))</f>
        <v>0983622012</v>
      </c>
      <c r="R48" t="str" cm="1">
        <f t="array" ref="R48">_xlfn.TEXTJOIN("、",TRUE,IF('學員資料-新北高中'!$B$2:$B$583=$F48,'學員資料-新北高中'!$G$2:$G$583,""))</f>
        <v/>
      </c>
      <c r="S48" t="str" cm="1">
        <f t="array" ref="S48">_xlfn.TEXTJOIN("、",TRUE,IF('學員資料-三重商工'!$B$2:$B$472=$F48,'學員資料-三重商工'!$G$2:$G$472,""))</f>
        <v/>
      </c>
      <c r="T48">
        <f t="shared" si="0"/>
        <v>1</v>
      </c>
    </row>
    <row r="49" spans="1:20" ht="14.25" hidden="1" customHeight="1">
      <c r="A49" s="15">
        <v>48</v>
      </c>
      <c r="B49" s="16" t="s">
        <v>249</v>
      </c>
      <c r="C49" s="17">
        <v>46179</v>
      </c>
      <c r="D49" s="15" t="s">
        <v>250</v>
      </c>
      <c r="E49" s="18" t="s">
        <v>161</v>
      </c>
      <c r="F49" s="19" t="s">
        <v>251</v>
      </c>
      <c r="G49" s="18" t="s">
        <v>252</v>
      </c>
      <c r="H49" s="20" t="s">
        <v>52</v>
      </c>
      <c r="I49" s="15">
        <v>1</v>
      </c>
      <c r="J49" s="15" t="s">
        <v>24</v>
      </c>
      <c r="K49" s="15"/>
      <c r="L49" s="21" t="s">
        <v>16</v>
      </c>
      <c r="M49" s="22">
        <v>0</v>
      </c>
      <c r="N49" s="22">
        <v>-150</v>
      </c>
      <c r="O49" s="22">
        <v>7350</v>
      </c>
      <c r="P49" s="22">
        <v>7350</v>
      </c>
      <c r="Q49" t="str" cm="1">
        <f t="array" ref="Q49">_xlfn.TEXTJOIN("、",TRUE,IF('學員資料-三民高中'!$B$2:$B$454=$F49,'學員資料-三民高中'!$G$2:$G$454,""))</f>
        <v/>
      </c>
      <c r="R49" t="str" cm="1">
        <f t="array" ref="R49">_xlfn.TEXTJOIN("、",TRUE,IF('學員資料-新北高中'!$B$2:$B$583=$F49,'學員資料-新北高中'!$G$2:$G$583,""))</f>
        <v>0921929959</v>
      </c>
      <c r="S49" t="str" cm="1">
        <f t="array" ref="S49">_xlfn.TEXTJOIN("、",TRUE,IF('學員資料-三重商工'!$B$2:$B$472=$F49,'學員資料-三重商工'!$G$2:$G$472,""))</f>
        <v/>
      </c>
      <c r="T49">
        <f t="shared" si="0"/>
        <v>1</v>
      </c>
    </row>
    <row r="50" spans="1:20" ht="14.25" hidden="1" customHeight="1">
      <c r="A50" s="15">
        <v>49</v>
      </c>
      <c r="B50" s="16" t="s">
        <v>253</v>
      </c>
      <c r="C50" s="17">
        <v>46179</v>
      </c>
      <c r="D50" s="15" t="s">
        <v>254</v>
      </c>
      <c r="E50" s="18" t="s">
        <v>161</v>
      </c>
      <c r="F50" s="19" t="s">
        <v>255</v>
      </c>
      <c r="G50" s="18" t="s">
        <v>256</v>
      </c>
      <c r="H50" s="20" t="s">
        <v>210</v>
      </c>
      <c r="I50" s="15">
        <v>1</v>
      </c>
      <c r="J50" s="15" t="s">
        <v>26</v>
      </c>
      <c r="K50" s="15"/>
      <c r="L50" s="21" t="s">
        <v>16</v>
      </c>
      <c r="M50" s="22">
        <v>0</v>
      </c>
      <c r="N50" s="22">
        <v>0</v>
      </c>
      <c r="O50" s="22">
        <v>12000</v>
      </c>
      <c r="P50" s="22">
        <v>12000</v>
      </c>
      <c r="Q50" t="str" cm="1">
        <f t="array" ref="Q50">_xlfn.TEXTJOIN("、",TRUE,IF('學員資料-三民高中'!$B$2:$B$454=$F50,'學員資料-三民高中'!$G$2:$G$454,""))</f>
        <v/>
      </c>
      <c r="R50" t="str" cm="1">
        <f t="array" ref="R50">_xlfn.TEXTJOIN("、",TRUE,IF('學員資料-新北高中'!$B$2:$B$583=$F50,'學員資料-新北高中'!$G$2:$G$583,""))</f>
        <v>0912942537</v>
      </c>
      <c r="S50" t="str" cm="1">
        <f t="array" ref="S50">_xlfn.TEXTJOIN("、",TRUE,IF('學員資料-三重商工'!$B$2:$B$472=$F50,'學員資料-三重商工'!$G$2:$G$472,""))</f>
        <v/>
      </c>
      <c r="T50">
        <f t="shared" si="0"/>
        <v>1</v>
      </c>
    </row>
    <row r="51" spans="1:20" ht="43.5" hidden="1" customHeight="1">
      <c r="A51" s="15">
        <v>50</v>
      </c>
      <c r="B51" s="16" t="s">
        <v>257</v>
      </c>
      <c r="C51" s="17">
        <v>46179</v>
      </c>
      <c r="D51" s="15" t="s">
        <v>258</v>
      </c>
      <c r="E51" s="18" t="s">
        <v>161</v>
      </c>
      <c r="F51" s="19" t="s">
        <v>259</v>
      </c>
      <c r="G51" s="18" t="s">
        <v>260</v>
      </c>
      <c r="H51" s="20" t="s">
        <v>261</v>
      </c>
      <c r="I51" s="15">
        <v>3</v>
      </c>
      <c r="J51" s="15" t="s">
        <v>23</v>
      </c>
      <c r="K51" s="15"/>
      <c r="L51" s="21" t="s">
        <v>16</v>
      </c>
      <c r="M51" s="22">
        <v>0</v>
      </c>
      <c r="N51" s="22">
        <v>-828</v>
      </c>
      <c r="O51" s="22">
        <v>19872</v>
      </c>
      <c r="P51" s="22">
        <v>19872</v>
      </c>
      <c r="Q51" t="str" cm="1">
        <f t="array" ref="Q51">_xlfn.TEXTJOIN("、",TRUE,IF('學員資料-三民高中'!$B$2:$B$454=$F51,'學員資料-三民高中'!$G$2:$G$454,""))</f>
        <v/>
      </c>
      <c r="R51" t="str" cm="1">
        <f t="array" ref="R51">_xlfn.TEXTJOIN("、",TRUE,IF('學員資料-新北高中'!$B$2:$B$583=$F51,'學員資料-新北高中'!$G$2:$G$583,""))</f>
        <v>0988671173</v>
      </c>
      <c r="S51" t="str" cm="1">
        <f t="array" ref="S51">_xlfn.TEXTJOIN("、",TRUE,IF('學員資料-三重商工'!$B$2:$B$472=$F51,'學員資料-三重商工'!$G$2:$G$472,""))</f>
        <v/>
      </c>
      <c r="T51">
        <f t="shared" si="0"/>
        <v>1</v>
      </c>
    </row>
    <row r="52" spans="1:20" ht="14.25" hidden="1" customHeight="1">
      <c r="A52" s="15">
        <v>51</v>
      </c>
      <c r="B52" s="16" t="s">
        <v>262</v>
      </c>
      <c r="C52" s="17">
        <v>46178</v>
      </c>
      <c r="D52" s="15" t="s">
        <v>263</v>
      </c>
      <c r="E52" s="18" t="s">
        <v>170</v>
      </c>
      <c r="F52" s="19" t="s">
        <v>264</v>
      </c>
      <c r="G52" s="18" t="s">
        <v>265</v>
      </c>
      <c r="H52" s="20" t="s">
        <v>266</v>
      </c>
      <c r="I52" s="15">
        <v>1</v>
      </c>
      <c r="J52" s="15" t="s">
        <v>24</v>
      </c>
      <c r="K52" s="15"/>
      <c r="L52" s="21" t="s">
        <v>16</v>
      </c>
      <c r="M52" s="22">
        <v>0</v>
      </c>
      <c r="N52" s="22">
        <v>0</v>
      </c>
      <c r="O52" s="22">
        <v>10800</v>
      </c>
      <c r="P52" s="22">
        <v>10800</v>
      </c>
      <c r="Q52" t="str" cm="1">
        <f t="array" ref="Q52">_xlfn.TEXTJOIN("、",TRUE,IF('學員資料-三民高中'!$B$2:$B$454=$F52,'學員資料-三民高中'!$G$2:$G$454,""))</f>
        <v/>
      </c>
      <c r="R52" t="str" cm="1">
        <f t="array" ref="R52">_xlfn.TEXTJOIN("、",TRUE,IF('學員資料-新北高中'!$B$2:$B$583=$F52,'學員資料-新北高中'!$G$2:$G$583,""))</f>
        <v>0952176277-2</v>
      </c>
      <c r="S52" t="str" cm="1">
        <f t="array" ref="S52">_xlfn.TEXTJOIN("、",TRUE,IF('學員資料-三重商工'!$B$2:$B$472=$F52,'學員資料-三重商工'!$G$2:$G$472,""))</f>
        <v/>
      </c>
      <c r="T52">
        <f t="shared" si="0"/>
        <v>1</v>
      </c>
    </row>
    <row r="53" spans="1:20" ht="14.25" hidden="1" customHeight="1">
      <c r="A53" s="15">
        <v>52</v>
      </c>
      <c r="B53" s="16" t="s">
        <v>267</v>
      </c>
      <c r="C53" s="17">
        <v>46177</v>
      </c>
      <c r="D53" s="15" t="s">
        <v>268</v>
      </c>
      <c r="E53" s="18" t="s">
        <v>78</v>
      </c>
      <c r="F53" s="19" t="s">
        <v>269</v>
      </c>
      <c r="G53" s="18" t="s">
        <v>270</v>
      </c>
      <c r="H53" s="20" t="s">
        <v>66</v>
      </c>
      <c r="I53" s="15">
        <v>1</v>
      </c>
      <c r="J53" s="15" t="s">
        <v>23</v>
      </c>
      <c r="K53" s="15"/>
      <c r="L53" s="21" t="s">
        <v>16</v>
      </c>
      <c r="M53" s="22">
        <v>0</v>
      </c>
      <c r="N53" s="22">
        <v>0</v>
      </c>
      <c r="O53" s="22">
        <v>6900</v>
      </c>
      <c r="P53" s="22">
        <v>6900</v>
      </c>
      <c r="Q53" t="str" cm="1">
        <f t="array" ref="Q53">_xlfn.TEXTJOIN("、",TRUE,IF('學員資料-三民高中'!$B$2:$B$454=$F53,'學員資料-三民高中'!$G$2:$G$454,""))</f>
        <v>0913136776</v>
      </c>
      <c r="R53" t="str" cm="1">
        <f t="array" ref="R53">_xlfn.TEXTJOIN("、",TRUE,IF('學員資料-新北高中'!$B$2:$B$583=$F53,'學員資料-新北高中'!$G$2:$G$583,""))</f>
        <v/>
      </c>
      <c r="S53" t="str" cm="1">
        <f t="array" ref="S53">_xlfn.TEXTJOIN("、",TRUE,IF('學員資料-三重商工'!$B$2:$B$472=$F53,'學員資料-三重商工'!$G$2:$G$472,""))</f>
        <v/>
      </c>
      <c r="T53">
        <f t="shared" si="0"/>
        <v>1</v>
      </c>
    </row>
    <row r="54" spans="1:20" ht="14.25" hidden="1" customHeight="1">
      <c r="A54" s="15">
        <v>53</v>
      </c>
      <c r="B54" s="16" t="s">
        <v>271</v>
      </c>
      <c r="C54" s="17">
        <v>46177</v>
      </c>
      <c r="D54" s="15" t="s">
        <v>272</v>
      </c>
      <c r="E54" s="18" t="s">
        <v>78</v>
      </c>
      <c r="F54" s="19" t="s">
        <v>273</v>
      </c>
      <c r="G54" s="18" t="s">
        <v>274</v>
      </c>
      <c r="H54" s="20" t="s">
        <v>130</v>
      </c>
      <c r="I54" s="15">
        <v>1</v>
      </c>
      <c r="J54" s="15" t="s">
        <v>25</v>
      </c>
      <c r="K54" s="15"/>
      <c r="L54" s="21" t="s">
        <v>16</v>
      </c>
      <c r="M54" s="22">
        <v>0</v>
      </c>
      <c r="N54" s="22">
        <v>-198</v>
      </c>
      <c r="O54" s="22">
        <v>9702</v>
      </c>
      <c r="P54" s="22">
        <v>9702</v>
      </c>
      <c r="Q54" t="str" cm="1">
        <f t="array" ref="Q54">_xlfn.TEXTJOIN("、",TRUE,IF('學員資料-三民高中'!$B$2:$B$454=$F54,'學員資料-三民高中'!$G$2:$G$454,""))</f>
        <v>0938883617</v>
      </c>
      <c r="R54" t="str" cm="1">
        <f t="array" ref="R54">_xlfn.TEXTJOIN("、",TRUE,IF('學員資料-新北高中'!$B$2:$B$583=$F54,'學員資料-新北高中'!$G$2:$G$583,""))</f>
        <v/>
      </c>
      <c r="S54" t="str" cm="1">
        <f t="array" ref="S54">_xlfn.TEXTJOIN("、",TRUE,IF('學員資料-三重商工'!$B$2:$B$472=$F54,'學員資料-三重商工'!$G$2:$G$472,""))</f>
        <v/>
      </c>
      <c r="T54">
        <f t="shared" si="0"/>
        <v>1</v>
      </c>
    </row>
    <row r="55" spans="1:20" ht="14.25" hidden="1" customHeight="1">
      <c r="A55" s="15">
        <v>54</v>
      </c>
      <c r="B55" s="16" t="s">
        <v>275</v>
      </c>
      <c r="C55" s="17">
        <v>46177</v>
      </c>
      <c r="D55" s="15" t="s">
        <v>276</v>
      </c>
      <c r="E55" s="18" t="s">
        <v>78</v>
      </c>
      <c r="F55" s="19" t="s">
        <v>277</v>
      </c>
      <c r="G55" s="18" t="s">
        <v>278</v>
      </c>
      <c r="H55" s="20" t="s">
        <v>130</v>
      </c>
      <c r="I55" s="15">
        <v>1</v>
      </c>
      <c r="J55" s="15" t="s">
        <v>25</v>
      </c>
      <c r="K55" s="15"/>
      <c r="L55" s="21" t="s">
        <v>16</v>
      </c>
      <c r="M55" s="22">
        <v>0</v>
      </c>
      <c r="N55" s="22">
        <v>0</v>
      </c>
      <c r="O55" s="22">
        <v>9900</v>
      </c>
      <c r="P55" s="22">
        <v>9900</v>
      </c>
      <c r="Q55" t="str" cm="1">
        <f t="array" ref="Q55">_xlfn.TEXTJOIN("、",TRUE,IF('學員資料-三民高中'!$B$2:$B$454=$F55,'學員資料-三民高中'!$G$2:$G$454,""))</f>
        <v/>
      </c>
      <c r="R55" t="str" cm="1">
        <f t="array" ref="R55">_xlfn.TEXTJOIN("、",TRUE,IF('學員資料-新北高中'!$B$2:$B$583=$F55,'學員資料-新北高中'!$G$2:$G$583,""))</f>
        <v>0939108859-1</v>
      </c>
      <c r="S55" t="str" cm="1">
        <f t="array" ref="S55">_xlfn.TEXTJOIN("、",TRUE,IF('學員資料-三重商工'!$B$2:$B$472=$F55,'學員資料-三重商工'!$G$2:$G$472,""))</f>
        <v/>
      </c>
      <c r="T55">
        <f t="shared" si="0"/>
        <v>1</v>
      </c>
    </row>
    <row r="56" spans="1:20" ht="14.25" hidden="1" customHeight="1">
      <c r="A56" s="15">
        <v>55</v>
      </c>
      <c r="B56" s="16" t="s">
        <v>279</v>
      </c>
      <c r="C56" s="17">
        <v>46177</v>
      </c>
      <c r="D56" s="15" t="s">
        <v>280</v>
      </c>
      <c r="E56" s="18" t="s">
        <v>281</v>
      </c>
      <c r="F56" s="19" t="s">
        <v>282</v>
      </c>
      <c r="G56" s="18" t="s">
        <v>283</v>
      </c>
      <c r="H56" s="20" t="s">
        <v>52</v>
      </c>
      <c r="I56" s="15">
        <v>1</v>
      </c>
      <c r="J56" s="15" t="s">
        <v>24</v>
      </c>
      <c r="K56" s="15"/>
      <c r="L56" s="21" t="s">
        <v>18</v>
      </c>
      <c r="M56" s="22">
        <v>0</v>
      </c>
      <c r="N56" s="22">
        <v>-7200</v>
      </c>
      <c r="O56" s="22">
        <v>300</v>
      </c>
      <c r="P56" s="22">
        <v>300</v>
      </c>
      <c r="Q56" t="str" cm="1">
        <f t="array" ref="Q56">_xlfn.TEXTJOIN("、",TRUE,IF('學員資料-三民高中'!$B$2:$B$454=$F56,'學員資料-三民高中'!$G$2:$G$454,""))</f>
        <v/>
      </c>
      <c r="R56" t="str" cm="1">
        <f t="array" ref="R56">_xlfn.TEXTJOIN("、",TRUE,IF('學員資料-新北高中'!$B$2:$B$583=$F56,'學員資料-新北高中'!$G$2:$G$583,""))</f>
        <v>0920199953</v>
      </c>
      <c r="S56" t="str" cm="1">
        <f t="array" ref="S56">_xlfn.TEXTJOIN("、",TRUE,IF('學員資料-三重商工'!$B$2:$B$472=$F56,'學員資料-三重商工'!$G$2:$G$472,""))</f>
        <v/>
      </c>
      <c r="T56">
        <f t="shared" si="0"/>
        <v>1</v>
      </c>
    </row>
    <row r="57" spans="1:20" ht="14.25" customHeight="1">
      <c r="A57" s="15">
        <v>56</v>
      </c>
      <c r="B57" s="16" t="s">
        <v>284</v>
      </c>
      <c r="C57" s="17">
        <v>46177</v>
      </c>
      <c r="D57" s="15" t="s">
        <v>285</v>
      </c>
      <c r="E57" s="18" t="s">
        <v>281</v>
      </c>
      <c r="F57" s="19" t="s">
        <v>286</v>
      </c>
      <c r="G57" s="18" t="s">
        <v>287</v>
      </c>
      <c r="H57" s="20" t="s">
        <v>66</v>
      </c>
      <c r="I57" s="15">
        <v>1</v>
      </c>
      <c r="J57" s="15" t="s">
        <v>23</v>
      </c>
      <c r="K57" s="15"/>
      <c r="L57" s="21" t="s">
        <v>16</v>
      </c>
      <c r="M57" s="22">
        <v>0</v>
      </c>
      <c r="N57" s="22">
        <v>0</v>
      </c>
      <c r="O57" s="22">
        <v>6900</v>
      </c>
      <c r="P57" s="22">
        <v>6900</v>
      </c>
      <c r="Q57" t="str" cm="1">
        <f t="array" ref="Q57">_xlfn.TEXTJOIN("、",TRUE,IF('學員資料-三民高中'!$B$2:$B$454=$F57,'學員資料-三民高中'!$G$2:$G$454,""))</f>
        <v/>
      </c>
      <c r="R57" t="str" cm="1">
        <f t="array" ref="R57">_xlfn.TEXTJOIN("、",TRUE,IF('學員資料-新北高中'!$B$2:$B$583=$F57,'學員資料-新北高中'!$G$2:$G$583,""))</f>
        <v/>
      </c>
      <c r="S57" t="str" cm="1">
        <f t="array" ref="S57">_xlfn.TEXTJOIN("、",TRUE,IF('學員資料-三重商工'!$B$2:$B$472=$F57,'學員資料-三重商工'!$G$2:$G$472,""))</f>
        <v/>
      </c>
      <c r="T57">
        <f t="shared" si="0"/>
        <v>0</v>
      </c>
    </row>
    <row r="58" spans="1:20" ht="14.25" customHeight="1">
      <c r="A58" s="15">
        <v>57</v>
      </c>
      <c r="B58" s="16" t="s">
        <v>288</v>
      </c>
      <c r="C58" s="17">
        <v>46177</v>
      </c>
      <c r="D58" s="15" t="s">
        <v>289</v>
      </c>
      <c r="E58" s="18" t="s">
        <v>281</v>
      </c>
      <c r="F58" s="19" t="s">
        <v>290</v>
      </c>
      <c r="G58" s="18" t="s">
        <v>291</v>
      </c>
      <c r="H58" s="20" t="s">
        <v>66</v>
      </c>
      <c r="I58" s="15">
        <v>1</v>
      </c>
      <c r="J58" s="15" t="s">
        <v>23</v>
      </c>
      <c r="K58" s="15"/>
      <c r="L58" s="21" t="s">
        <v>18</v>
      </c>
      <c r="M58" s="22">
        <v>0</v>
      </c>
      <c r="N58" s="22">
        <v>0</v>
      </c>
      <c r="O58" s="22">
        <v>6900</v>
      </c>
      <c r="P58" s="22">
        <v>6900</v>
      </c>
      <c r="Q58" t="str" cm="1">
        <f t="array" ref="Q58">_xlfn.TEXTJOIN("、",TRUE,IF('學員資料-三民高中'!$B$2:$B$454=$F58,'學員資料-三民高中'!$G$2:$G$454,""))</f>
        <v/>
      </c>
      <c r="R58" t="str" cm="1">
        <f t="array" ref="R58">_xlfn.TEXTJOIN("、",TRUE,IF('學員資料-新北高中'!$B$2:$B$583=$F58,'學員資料-新北高中'!$G$2:$G$583,""))</f>
        <v/>
      </c>
      <c r="S58" t="str" cm="1">
        <f t="array" ref="S58">_xlfn.TEXTJOIN("、",TRUE,IF('學員資料-三重商工'!$B$2:$B$472=$F58,'學員資料-三重商工'!$G$2:$G$472,""))</f>
        <v/>
      </c>
      <c r="T58">
        <f t="shared" si="0"/>
        <v>0</v>
      </c>
    </row>
    <row r="59" spans="1:20" ht="14.25" hidden="1" customHeight="1">
      <c r="A59" s="15">
        <v>58</v>
      </c>
      <c r="B59" s="16" t="s">
        <v>292</v>
      </c>
      <c r="C59" s="17">
        <v>46176</v>
      </c>
      <c r="D59" s="15" t="s">
        <v>293</v>
      </c>
      <c r="E59" s="18" t="s">
        <v>83</v>
      </c>
      <c r="F59" s="19" t="s">
        <v>294</v>
      </c>
      <c r="G59" s="18" t="s">
        <v>295</v>
      </c>
      <c r="H59" s="20" t="s">
        <v>47</v>
      </c>
      <c r="I59" s="15">
        <v>1</v>
      </c>
      <c r="J59" s="15" t="s">
        <v>24</v>
      </c>
      <c r="K59" s="15"/>
      <c r="L59" s="21" t="s">
        <v>18</v>
      </c>
      <c r="M59" s="22">
        <v>0</v>
      </c>
      <c r="N59" s="22">
        <v>0</v>
      </c>
      <c r="O59" s="22">
        <v>9000</v>
      </c>
      <c r="P59" s="22">
        <v>9000</v>
      </c>
      <c r="Q59" t="str" cm="1">
        <f t="array" ref="Q59">_xlfn.TEXTJOIN("、",TRUE,IF('學員資料-三民高中'!$B$2:$B$454=$F59,'學員資料-三民高中'!$G$2:$G$454,""))</f>
        <v/>
      </c>
      <c r="R59" t="str" cm="1">
        <f t="array" ref="R59">_xlfn.TEXTJOIN("、",TRUE,IF('學員資料-新北高中'!$B$2:$B$583=$F59,'學員資料-新北高中'!$G$2:$G$583,""))</f>
        <v/>
      </c>
      <c r="S59" t="str" cm="1">
        <f t="array" ref="S59">_xlfn.TEXTJOIN("、",TRUE,IF('學員資料-三重商工'!$B$2:$B$472=$F59,'學員資料-三重商工'!$G$2:$G$472,""))</f>
        <v>0912915912</v>
      </c>
      <c r="T59">
        <f t="shared" si="0"/>
        <v>1</v>
      </c>
    </row>
    <row r="60" spans="1:20" ht="14.25" hidden="1" customHeight="1">
      <c r="A60" s="15">
        <v>59</v>
      </c>
      <c r="B60" s="16" t="s">
        <v>296</v>
      </c>
      <c r="C60" s="17">
        <v>46174</v>
      </c>
      <c r="D60" s="15" t="s">
        <v>297</v>
      </c>
      <c r="E60" s="18" t="s">
        <v>83</v>
      </c>
      <c r="F60" s="19" t="s">
        <v>298</v>
      </c>
      <c r="G60" s="18" t="s">
        <v>299</v>
      </c>
      <c r="H60" s="20" t="s">
        <v>52</v>
      </c>
      <c r="I60" s="15">
        <v>1</v>
      </c>
      <c r="J60" s="15" t="s">
        <v>24</v>
      </c>
      <c r="K60" s="15"/>
      <c r="L60" s="21" t="s">
        <v>16</v>
      </c>
      <c r="M60" s="22">
        <v>0</v>
      </c>
      <c r="N60" s="22">
        <v>-3000</v>
      </c>
      <c r="O60" s="22">
        <v>4500</v>
      </c>
      <c r="P60" s="22">
        <v>4500</v>
      </c>
      <c r="Q60" t="str" cm="1">
        <f t="array" ref="Q60">_xlfn.TEXTJOIN("、",TRUE,IF('學員資料-三民高中'!$B$2:$B$454=$F60,'學員資料-三民高中'!$G$2:$G$454,""))</f>
        <v/>
      </c>
      <c r="R60" t="str" cm="1">
        <f t="array" ref="R60">_xlfn.TEXTJOIN("、",TRUE,IF('學員資料-新北高中'!$B$2:$B$583=$F60,'學員資料-新北高中'!$G$2:$G$583,""))</f>
        <v/>
      </c>
      <c r="S60" t="str" cm="1">
        <f t="array" ref="S60">_xlfn.TEXTJOIN("、",TRUE,IF('學員資料-三重商工'!$B$2:$B$472=$F60,'學員資料-三重商工'!$G$2:$G$472,""))</f>
        <v>0933107597</v>
      </c>
      <c r="T60">
        <f t="shared" si="0"/>
        <v>1</v>
      </c>
    </row>
    <row r="61" spans="1:20" ht="14.25" hidden="1" customHeight="1">
      <c r="A61" s="15">
        <v>60</v>
      </c>
      <c r="B61" s="16" t="s">
        <v>300</v>
      </c>
      <c r="C61" s="17">
        <v>46174</v>
      </c>
      <c r="D61" s="15" t="s">
        <v>301</v>
      </c>
      <c r="E61" s="18" t="s">
        <v>83</v>
      </c>
      <c r="F61" s="19" t="s">
        <v>298</v>
      </c>
      <c r="G61" s="18" t="s">
        <v>299</v>
      </c>
      <c r="H61" s="20" t="s">
        <v>115</v>
      </c>
      <c r="I61" s="15">
        <v>1</v>
      </c>
      <c r="J61" s="15" t="s">
        <v>24</v>
      </c>
      <c r="K61" s="21" t="s">
        <v>116</v>
      </c>
      <c r="L61" s="21" t="s">
        <v>16</v>
      </c>
      <c r="M61" s="22">
        <v>0</v>
      </c>
      <c r="N61" s="22">
        <v>-560</v>
      </c>
      <c r="O61" s="22">
        <v>840</v>
      </c>
      <c r="P61" s="22">
        <v>840</v>
      </c>
      <c r="Q61" t="str" cm="1">
        <f t="array" ref="Q61">_xlfn.TEXTJOIN("、",TRUE,IF('學員資料-三民高中'!$B$2:$B$454=$F61,'學員資料-三民高中'!$G$2:$G$454,""))</f>
        <v/>
      </c>
      <c r="R61" t="str" cm="1">
        <f t="array" ref="R61">_xlfn.TEXTJOIN("、",TRUE,IF('學員資料-新北高中'!$B$2:$B$583=$F61,'學員資料-新北高中'!$G$2:$G$583,""))</f>
        <v/>
      </c>
      <c r="S61" t="str" cm="1">
        <f t="array" ref="S61">_xlfn.TEXTJOIN("、",TRUE,IF('學員資料-三重商工'!$B$2:$B$472=$F61,'學員資料-三重商工'!$G$2:$G$472,""))</f>
        <v>0933107597</v>
      </c>
      <c r="T61">
        <f t="shared" si="0"/>
        <v>1</v>
      </c>
    </row>
    <row r="62" spans="1:20" ht="14.25" hidden="1" customHeight="1">
      <c r="A62" s="15">
        <v>61</v>
      </c>
      <c r="B62" s="16" t="s">
        <v>302</v>
      </c>
      <c r="C62" s="17">
        <v>46174</v>
      </c>
      <c r="D62" s="15" t="s">
        <v>303</v>
      </c>
      <c r="E62" s="18" t="s">
        <v>78</v>
      </c>
      <c r="F62" s="19" t="s">
        <v>304</v>
      </c>
      <c r="G62" s="18" t="s">
        <v>305</v>
      </c>
      <c r="H62" s="20" t="s">
        <v>52</v>
      </c>
      <c r="I62" s="15">
        <v>1</v>
      </c>
      <c r="J62" s="15" t="s">
        <v>24</v>
      </c>
      <c r="K62" s="15"/>
      <c r="L62" s="21" t="s">
        <v>16</v>
      </c>
      <c r="M62" s="22">
        <v>0</v>
      </c>
      <c r="N62" s="22">
        <v>0</v>
      </c>
      <c r="O62" s="22">
        <v>7500</v>
      </c>
      <c r="P62" s="22">
        <v>7500</v>
      </c>
      <c r="Q62" t="str" cm="1">
        <f t="array" ref="Q62">_xlfn.TEXTJOIN("、",TRUE,IF('學員資料-三民高中'!$B$2:$B$454=$F62,'學員資料-三民高中'!$G$2:$G$454,""))</f>
        <v>0956558987</v>
      </c>
      <c r="R62" t="str" cm="1">
        <f t="array" ref="R62">_xlfn.TEXTJOIN("、",TRUE,IF('學員資料-新北高中'!$B$2:$B$583=$F62,'學員資料-新北高中'!$G$2:$G$583,""))</f>
        <v/>
      </c>
      <c r="S62" t="str" cm="1">
        <f t="array" ref="S62">_xlfn.TEXTJOIN("、",TRUE,IF('學員資料-三重商工'!$B$2:$B$472=$F62,'學員資料-三重商工'!$G$2:$G$472,""))</f>
        <v/>
      </c>
      <c r="T62">
        <f t="shared" si="0"/>
        <v>1</v>
      </c>
    </row>
    <row r="63" spans="1:20" ht="14.25" hidden="1" customHeight="1">
      <c r="A63" s="15">
        <v>62</v>
      </c>
      <c r="B63" s="16" t="s">
        <v>306</v>
      </c>
      <c r="C63" s="17">
        <v>46174</v>
      </c>
      <c r="D63" s="15" t="s">
        <v>307</v>
      </c>
      <c r="E63" s="18" t="s">
        <v>78</v>
      </c>
      <c r="F63" s="19" t="s">
        <v>308</v>
      </c>
      <c r="G63" s="18" t="s">
        <v>309</v>
      </c>
      <c r="H63" s="20" t="s">
        <v>47</v>
      </c>
      <c r="I63" s="15">
        <v>1</v>
      </c>
      <c r="J63" s="15" t="s">
        <v>24</v>
      </c>
      <c r="K63" s="15"/>
      <c r="L63" s="21" t="s">
        <v>16</v>
      </c>
      <c r="M63" s="22">
        <v>0</v>
      </c>
      <c r="N63" s="22">
        <v>0</v>
      </c>
      <c r="O63" s="22">
        <v>9000</v>
      </c>
      <c r="P63" s="22">
        <v>9000</v>
      </c>
      <c r="Q63" t="str" cm="1">
        <f t="array" ref="Q63">_xlfn.TEXTJOIN("、",TRUE,IF('學員資料-三民高中'!$B$2:$B$454=$F63,'學員資料-三民高中'!$G$2:$G$454,""))</f>
        <v/>
      </c>
      <c r="R63" t="str" cm="1">
        <f t="array" ref="R63">_xlfn.TEXTJOIN("、",TRUE,IF('學員資料-新北高中'!$B$2:$B$583=$F63,'學員資料-新北高中'!$G$2:$G$583,""))</f>
        <v>0920191619-1</v>
      </c>
      <c r="S63" t="str" cm="1">
        <f t="array" ref="S63">_xlfn.TEXTJOIN("、",TRUE,IF('學員資料-三重商工'!$B$2:$B$472=$F63,'學員資料-三重商工'!$G$2:$G$472,""))</f>
        <v/>
      </c>
      <c r="T63">
        <f t="shared" si="0"/>
        <v>1</v>
      </c>
    </row>
    <row r="64" spans="1:20" ht="14.25" hidden="1" customHeight="1">
      <c r="A64" s="15">
        <v>63</v>
      </c>
      <c r="B64" s="16" t="s">
        <v>310</v>
      </c>
      <c r="C64" s="17">
        <v>46173</v>
      </c>
      <c r="D64" s="15" t="s">
        <v>311</v>
      </c>
      <c r="E64" s="18" t="s">
        <v>78</v>
      </c>
      <c r="F64" s="19" t="s">
        <v>312</v>
      </c>
      <c r="G64" s="18" t="s">
        <v>313</v>
      </c>
      <c r="H64" s="20" t="s">
        <v>130</v>
      </c>
      <c r="I64" s="15">
        <v>1</v>
      </c>
      <c r="J64" s="15" t="s">
        <v>25</v>
      </c>
      <c r="K64" s="15"/>
      <c r="L64" s="21" t="s">
        <v>16</v>
      </c>
      <c r="M64" s="22">
        <v>0</v>
      </c>
      <c r="N64" s="22">
        <v>0</v>
      </c>
      <c r="O64" s="22">
        <v>9900</v>
      </c>
      <c r="P64" s="22">
        <v>9900</v>
      </c>
      <c r="Q64" t="str" cm="1">
        <f t="array" ref="Q64">_xlfn.TEXTJOIN("、",TRUE,IF('學員資料-三民高中'!$B$2:$B$454=$F64,'學員資料-三民高中'!$G$2:$G$454,""))</f>
        <v/>
      </c>
      <c r="R64" t="str" cm="1">
        <f t="array" ref="R64">_xlfn.TEXTJOIN("、",TRUE,IF('學員資料-新北高中'!$B$2:$B$583=$F64,'學員資料-新北高中'!$G$2:$G$583,""))</f>
        <v>0919222678</v>
      </c>
      <c r="S64" t="str" cm="1">
        <f t="array" ref="S64">_xlfn.TEXTJOIN("、",TRUE,IF('學員資料-三重商工'!$B$2:$B$472=$F64,'學員資料-三重商工'!$G$2:$G$472,""))</f>
        <v/>
      </c>
      <c r="T64">
        <f t="shared" si="0"/>
        <v>1</v>
      </c>
    </row>
    <row r="65" spans="1:20" ht="14.25" hidden="1" customHeight="1">
      <c r="A65" s="15">
        <v>64</v>
      </c>
      <c r="B65" s="16" t="s">
        <v>314</v>
      </c>
      <c r="C65" s="17">
        <v>46173</v>
      </c>
      <c r="D65" s="15" t="s">
        <v>315</v>
      </c>
      <c r="E65" s="18" t="s">
        <v>55</v>
      </c>
      <c r="F65" s="19" t="s">
        <v>294</v>
      </c>
      <c r="G65" s="18" t="s">
        <v>295</v>
      </c>
      <c r="H65" s="20" t="s">
        <v>119</v>
      </c>
      <c r="I65" s="15">
        <v>1</v>
      </c>
      <c r="J65" s="15" t="s">
        <v>24</v>
      </c>
      <c r="K65" s="21" t="s">
        <v>116</v>
      </c>
      <c r="L65" s="21" t="s">
        <v>16</v>
      </c>
      <c r="M65" s="22">
        <v>0</v>
      </c>
      <c r="N65" s="22">
        <v>0</v>
      </c>
      <c r="O65" s="22">
        <v>1680</v>
      </c>
      <c r="P65" s="22">
        <v>1680</v>
      </c>
      <c r="Q65" t="str" cm="1">
        <f t="array" ref="Q65">_xlfn.TEXTJOIN("、",TRUE,IF('學員資料-三民高中'!$B$2:$B$454=$F65,'學員資料-三民高中'!$G$2:$G$454,""))</f>
        <v/>
      </c>
      <c r="R65" t="str" cm="1">
        <f t="array" ref="R65">_xlfn.TEXTJOIN("、",TRUE,IF('學員資料-新北高中'!$B$2:$B$583=$F65,'學員資料-新北高中'!$G$2:$G$583,""))</f>
        <v/>
      </c>
      <c r="S65" t="str" cm="1">
        <f t="array" ref="S65">_xlfn.TEXTJOIN("、",TRUE,IF('學員資料-三重商工'!$B$2:$B$472=$F65,'學員資料-三重商工'!$G$2:$G$472,""))</f>
        <v>0912915912</v>
      </c>
      <c r="T65">
        <f t="shared" si="0"/>
        <v>1</v>
      </c>
    </row>
    <row r="66" spans="1:20" ht="14.25" hidden="1" customHeight="1">
      <c r="A66" s="15">
        <v>65</v>
      </c>
      <c r="B66" s="16" t="s">
        <v>316</v>
      </c>
      <c r="C66" s="17">
        <v>46173</v>
      </c>
      <c r="D66" s="15" t="s">
        <v>317</v>
      </c>
      <c r="E66" s="18" t="s">
        <v>161</v>
      </c>
      <c r="F66" s="19" t="s">
        <v>318</v>
      </c>
      <c r="G66" s="18" t="s">
        <v>319</v>
      </c>
      <c r="H66" s="20" t="s">
        <v>52</v>
      </c>
      <c r="I66" s="15">
        <v>1</v>
      </c>
      <c r="J66" s="15" t="s">
        <v>24</v>
      </c>
      <c r="K66" s="15"/>
      <c r="L66" s="21" t="s">
        <v>16</v>
      </c>
      <c r="M66" s="22">
        <v>0</v>
      </c>
      <c r="N66" s="22">
        <v>-150</v>
      </c>
      <c r="O66" s="22">
        <v>7350</v>
      </c>
      <c r="P66" s="22">
        <v>7350</v>
      </c>
      <c r="Q66" t="str" cm="1">
        <f t="array" ref="Q66">_xlfn.TEXTJOIN("、",TRUE,IF('學員資料-三民高中'!$B$2:$B$454=$F66,'學員資料-三民高中'!$G$2:$G$454,""))</f>
        <v/>
      </c>
      <c r="R66" t="str" cm="1">
        <f t="array" ref="R66">_xlfn.TEXTJOIN("、",TRUE,IF('學員資料-新北高中'!$B$2:$B$583=$F66,'學員資料-新北高中'!$G$2:$G$583,""))</f>
        <v>0980465708-1</v>
      </c>
      <c r="S66" t="str" cm="1">
        <f t="array" ref="S66">_xlfn.TEXTJOIN("、",TRUE,IF('學員資料-三重商工'!$B$2:$B$472=$F66,'學員資料-三重商工'!$G$2:$G$472,""))</f>
        <v/>
      </c>
      <c r="T66">
        <f t="shared" si="0"/>
        <v>1</v>
      </c>
    </row>
    <row r="67" spans="1:20" ht="14.25" hidden="1" customHeight="1">
      <c r="A67" s="15">
        <v>66</v>
      </c>
      <c r="B67" s="16" t="s">
        <v>320</v>
      </c>
      <c r="C67" s="17">
        <v>46172</v>
      </c>
      <c r="D67" s="15" t="s">
        <v>321</v>
      </c>
      <c r="E67" s="18" t="s">
        <v>44</v>
      </c>
      <c r="F67" s="19" t="s">
        <v>322</v>
      </c>
      <c r="G67" s="18" t="s">
        <v>323</v>
      </c>
      <c r="H67" s="20" t="s">
        <v>52</v>
      </c>
      <c r="I67" s="15">
        <v>1</v>
      </c>
      <c r="J67" s="15" t="s">
        <v>24</v>
      </c>
      <c r="K67" s="15"/>
      <c r="L67" s="21" t="s">
        <v>16</v>
      </c>
      <c r="M67" s="22">
        <v>0</v>
      </c>
      <c r="N67" s="22">
        <v>-750</v>
      </c>
      <c r="O67" s="22">
        <v>6750</v>
      </c>
      <c r="P67" s="22">
        <v>6750</v>
      </c>
      <c r="Q67" t="str" cm="1">
        <f t="array" ref="Q67">_xlfn.TEXTJOIN("、",TRUE,IF('學員資料-三民高中'!$B$2:$B$454=$F67,'學員資料-三民高中'!$G$2:$G$454,""))</f>
        <v/>
      </c>
      <c r="R67" t="str" cm="1">
        <f t="array" ref="R67">_xlfn.TEXTJOIN("、",TRUE,IF('學員資料-新北高中'!$B$2:$B$583=$F67,'學員資料-新北高中'!$G$2:$G$583,""))</f>
        <v/>
      </c>
      <c r="S67" t="str" cm="1">
        <f t="array" ref="S67">_xlfn.TEXTJOIN("、",TRUE,IF('學員資料-三重商工'!$B$2:$B$472=$F67,'學員資料-三重商工'!$G$2:$G$472,""))</f>
        <v>0988628657</v>
      </c>
      <c r="T67">
        <f t="shared" ref="T67:T130" si="1">3-COUNTBLANK(Q67:S67)</f>
        <v>1</v>
      </c>
    </row>
    <row r="68" spans="1:20" ht="14.25" hidden="1" customHeight="1">
      <c r="A68" s="15">
        <v>67</v>
      </c>
      <c r="B68" s="16" t="s">
        <v>324</v>
      </c>
      <c r="C68" s="17">
        <v>46172</v>
      </c>
      <c r="D68" s="15" t="s">
        <v>325</v>
      </c>
      <c r="E68" s="18" t="s">
        <v>44</v>
      </c>
      <c r="F68" s="19" t="s">
        <v>326</v>
      </c>
      <c r="G68" s="18" t="s">
        <v>327</v>
      </c>
      <c r="H68" s="20" t="s">
        <v>210</v>
      </c>
      <c r="I68" s="15">
        <v>1</v>
      </c>
      <c r="J68" s="15" t="s">
        <v>26</v>
      </c>
      <c r="K68" s="15"/>
      <c r="L68" s="21" t="s">
        <v>16</v>
      </c>
      <c r="M68" s="22">
        <v>0</v>
      </c>
      <c r="N68" s="22">
        <v>0</v>
      </c>
      <c r="O68" s="22">
        <v>12000</v>
      </c>
      <c r="P68" s="22">
        <v>12000</v>
      </c>
      <c r="Q68" t="str" cm="1">
        <f t="array" ref="Q68">_xlfn.TEXTJOIN("、",TRUE,IF('學員資料-三民高中'!$B$2:$B$454=$F68,'學員資料-三民高中'!$G$2:$G$454,""))</f>
        <v/>
      </c>
      <c r="R68" t="str" cm="1">
        <f t="array" ref="R68">_xlfn.TEXTJOIN("、",TRUE,IF('學員資料-新北高中'!$B$2:$B$583=$F68,'學員資料-新北高中'!$G$2:$G$583,""))</f>
        <v/>
      </c>
      <c r="S68" t="str" cm="1">
        <f t="array" ref="S68">_xlfn.TEXTJOIN("、",TRUE,IF('學員資料-三重商工'!$B$2:$B$472=$F68,'學員資料-三重商工'!$G$2:$G$472,""))</f>
        <v>0955812685</v>
      </c>
      <c r="T68">
        <f t="shared" si="1"/>
        <v>1</v>
      </c>
    </row>
    <row r="69" spans="1:20" ht="14.25" hidden="1" customHeight="1">
      <c r="A69" s="15">
        <v>68</v>
      </c>
      <c r="B69" s="16" t="s">
        <v>328</v>
      </c>
      <c r="C69" s="17">
        <v>46172</v>
      </c>
      <c r="D69" s="15" t="s">
        <v>329</v>
      </c>
      <c r="E69" s="18" t="s">
        <v>78</v>
      </c>
      <c r="F69" s="19" t="s">
        <v>330</v>
      </c>
      <c r="G69" s="18" t="s">
        <v>331</v>
      </c>
      <c r="H69" s="20" t="s">
        <v>66</v>
      </c>
      <c r="I69" s="15">
        <v>1</v>
      </c>
      <c r="J69" s="15" t="s">
        <v>23</v>
      </c>
      <c r="K69" s="15"/>
      <c r="L69" s="21" t="s">
        <v>16</v>
      </c>
      <c r="M69" s="22">
        <v>0</v>
      </c>
      <c r="N69" s="22">
        <v>0</v>
      </c>
      <c r="O69" s="22">
        <v>6900</v>
      </c>
      <c r="P69" s="22">
        <v>6900</v>
      </c>
      <c r="Q69" t="str" cm="1">
        <f t="array" ref="Q69">_xlfn.TEXTJOIN("、",TRUE,IF('學員資料-三民高中'!$B$2:$B$454=$F69,'學員資料-三民高中'!$G$2:$G$454,""))</f>
        <v/>
      </c>
      <c r="R69" t="str" cm="1">
        <f t="array" ref="R69">_xlfn.TEXTJOIN("、",TRUE,IF('學員資料-新北高中'!$B$2:$B$583=$F69,'學員資料-新北高中'!$G$2:$G$583,""))</f>
        <v>0922113206</v>
      </c>
      <c r="S69" t="str" cm="1">
        <f t="array" ref="S69">_xlfn.TEXTJOIN("、",TRUE,IF('學員資料-三重商工'!$B$2:$B$472=$F69,'學員資料-三重商工'!$G$2:$G$472,""))</f>
        <v/>
      </c>
      <c r="T69">
        <f t="shared" si="1"/>
        <v>1</v>
      </c>
    </row>
    <row r="70" spans="1:20" ht="14.25" hidden="1" customHeight="1">
      <c r="A70" s="15">
        <v>69</v>
      </c>
      <c r="B70" s="16" t="s">
        <v>332</v>
      </c>
      <c r="C70" s="17">
        <v>46172</v>
      </c>
      <c r="D70" s="15" t="s">
        <v>333</v>
      </c>
      <c r="E70" s="18" t="s">
        <v>78</v>
      </c>
      <c r="F70" s="19" t="s">
        <v>334</v>
      </c>
      <c r="G70" s="18" t="s">
        <v>335</v>
      </c>
      <c r="H70" s="20" t="s">
        <v>52</v>
      </c>
      <c r="I70" s="15">
        <v>1</v>
      </c>
      <c r="J70" s="15" t="s">
        <v>24</v>
      </c>
      <c r="K70" s="15"/>
      <c r="L70" s="21" t="s">
        <v>16</v>
      </c>
      <c r="M70" s="22">
        <v>0</v>
      </c>
      <c r="N70" s="22">
        <v>0</v>
      </c>
      <c r="O70" s="22">
        <v>7500</v>
      </c>
      <c r="P70" s="22">
        <v>7500</v>
      </c>
      <c r="Q70" t="str" cm="1">
        <f t="array" ref="Q70">_xlfn.TEXTJOIN("、",TRUE,IF('學員資料-三民高中'!$B$2:$B$454=$F70,'學員資料-三民高中'!$G$2:$G$454,""))</f>
        <v>0922250325</v>
      </c>
      <c r="R70" t="str" cm="1">
        <f t="array" ref="R70">_xlfn.TEXTJOIN("、",TRUE,IF('學員資料-新北高中'!$B$2:$B$583=$F70,'學員資料-新北高中'!$G$2:$G$583,""))</f>
        <v/>
      </c>
      <c r="S70" t="str" cm="1">
        <f t="array" ref="S70">_xlfn.TEXTJOIN("、",TRUE,IF('學員資料-三重商工'!$B$2:$B$472=$F70,'學員資料-三重商工'!$G$2:$G$472,""))</f>
        <v/>
      </c>
      <c r="T70">
        <f t="shared" si="1"/>
        <v>1</v>
      </c>
    </row>
    <row r="71" spans="1:20" ht="14.25" hidden="1" customHeight="1">
      <c r="A71" s="15">
        <v>70</v>
      </c>
      <c r="B71" s="16" t="s">
        <v>336</v>
      </c>
      <c r="C71" s="17">
        <v>46172</v>
      </c>
      <c r="D71" s="15" t="s">
        <v>337</v>
      </c>
      <c r="E71" s="18" t="s">
        <v>78</v>
      </c>
      <c r="F71" s="19" t="s">
        <v>338</v>
      </c>
      <c r="G71" s="18" t="s">
        <v>339</v>
      </c>
      <c r="H71" s="20" t="s">
        <v>66</v>
      </c>
      <c r="I71" s="15">
        <v>1</v>
      </c>
      <c r="J71" s="15" t="s">
        <v>23</v>
      </c>
      <c r="K71" s="15"/>
      <c r="L71" s="21" t="s">
        <v>16</v>
      </c>
      <c r="M71" s="22">
        <v>0</v>
      </c>
      <c r="N71" s="22">
        <v>0</v>
      </c>
      <c r="O71" s="22">
        <v>6900</v>
      </c>
      <c r="P71" s="22">
        <v>6900</v>
      </c>
      <c r="Q71" t="str" cm="1">
        <f t="array" ref="Q71">_xlfn.TEXTJOIN("、",TRUE,IF('學員資料-三民高中'!$B$2:$B$454=$F71,'學員資料-三民高中'!$G$2:$G$454,""))</f>
        <v>0958855953</v>
      </c>
      <c r="R71" t="str" cm="1">
        <f t="array" ref="R71">_xlfn.TEXTJOIN("、",TRUE,IF('學員資料-新北高中'!$B$2:$B$583=$F71,'學員資料-新北高中'!$G$2:$G$583,""))</f>
        <v/>
      </c>
      <c r="S71" t="str" cm="1">
        <f t="array" ref="S71">_xlfn.TEXTJOIN("、",TRUE,IF('學員資料-三重商工'!$B$2:$B$472=$F71,'學員資料-三重商工'!$G$2:$G$472,""))</f>
        <v/>
      </c>
      <c r="T71">
        <f t="shared" si="1"/>
        <v>1</v>
      </c>
    </row>
    <row r="72" spans="1:20" ht="14.25" hidden="1" customHeight="1">
      <c r="A72" s="15">
        <v>71</v>
      </c>
      <c r="B72" s="16" t="s">
        <v>340</v>
      </c>
      <c r="C72" s="17">
        <v>46172</v>
      </c>
      <c r="D72" s="15" t="s">
        <v>341</v>
      </c>
      <c r="E72" s="18" t="s">
        <v>78</v>
      </c>
      <c r="F72" s="19" t="s">
        <v>342</v>
      </c>
      <c r="G72" s="18" t="s">
        <v>343</v>
      </c>
      <c r="H72" s="20" t="s">
        <v>52</v>
      </c>
      <c r="I72" s="15">
        <v>1</v>
      </c>
      <c r="J72" s="15" t="s">
        <v>24</v>
      </c>
      <c r="K72" s="15"/>
      <c r="L72" s="21" t="s">
        <v>16</v>
      </c>
      <c r="M72" s="22">
        <v>0</v>
      </c>
      <c r="N72" s="22">
        <v>0</v>
      </c>
      <c r="O72" s="22">
        <v>7500</v>
      </c>
      <c r="P72" s="22">
        <v>7500</v>
      </c>
      <c r="Q72" t="str" cm="1">
        <f t="array" ref="Q72">_xlfn.TEXTJOIN("、",TRUE,IF('學員資料-三民高中'!$B$2:$B$454=$F72,'學員資料-三民高中'!$G$2:$G$454,""))</f>
        <v/>
      </c>
      <c r="R72" t="str" cm="1">
        <f t="array" ref="R72">_xlfn.TEXTJOIN("、",TRUE,IF('學員資料-新北高中'!$B$2:$B$583=$F72,'學員資料-新北高中'!$G$2:$G$583,""))</f>
        <v>0963082598</v>
      </c>
      <c r="S72" t="str" cm="1">
        <f t="array" ref="S72">_xlfn.TEXTJOIN("、",TRUE,IF('學員資料-三重商工'!$B$2:$B$472=$F72,'學員資料-三重商工'!$G$2:$G$472,""))</f>
        <v/>
      </c>
      <c r="T72">
        <f t="shared" si="1"/>
        <v>1</v>
      </c>
    </row>
    <row r="73" spans="1:20" ht="14.25" hidden="1" customHeight="1">
      <c r="A73" s="15">
        <v>72</v>
      </c>
      <c r="B73" s="16" t="s">
        <v>344</v>
      </c>
      <c r="C73" s="17">
        <v>46172</v>
      </c>
      <c r="D73" s="15" t="s">
        <v>345</v>
      </c>
      <c r="E73" s="18" t="s">
        <v>78</v>
      </c>
      <c r="F73" s="19" t="s">
        <v>346</v>
      </c>
      <c r="G73" s="18" t="s">
        <v>347</v>
      </c>
      <c r="H73" s="20" t="s">
        <v>66</v>
      </c>
      <c r="I73" s="15">
        <v>1</v>
      </c>
      <c r="J73" s="15" t="s">
        <v>23</v>
      </c>
      <c r="K73" s="15"/>
      <c r="L73" s="21" t="s">
        <v>16</v>
      </c>
      <c r="M73" s="22">
        <v>0</v>
      </c>
      <c r="N73" s="22">
        <v>0</v>
      </c>
      <c r="O73" s="22">
        <v>6900</v>
      </c>
      <c r="P73" s="22">
        <v>6900</v>
      </c>
      <c r="Q73" t="str" cm="1">
        <f t="array" ref="Q73">_xlfn.TEXTJOIN("、",TRUE,IF('學員資料-三民高中'!$B$2:$B$454=$F73,'學員資料-三民高中'!$G$2:$G$454,""))</f>
        <v>0979042645</v>
      </c>
      <c r="R73" t="str" cm="1">
        <f t="array" ref="R73">_xlfn.TEXTJOIN("、",TRUE,IF('學員資料-新北高中'!$B$2:$B$583=$F73,'學員資料-新北高中'!$G$2:$G$583,""))</f>
        <v/>
      </c>
      <c r="S73" t="str" cm="1">
        <f t="array" ref="S73">_xlfn.TEXTJOIN("、",TRUE,IF('學員資料-三重商工'!$B$2:$B$472=$F73,'學員資料-三重商工'!$G$2:$G$472,""))</f>
        <v/>
      </c>
      <c r="T73">
        <f t="shared" si="1"/>
        <v>1</v>
      </c>
    </row>
    <row r="74" spans="1:20" ht="14.25" hidden="1" customHeight="1">
      <c r="A74" s="15">
        <v>73</v>
      </c>
      <c r="B74" s="16" t="s">
        <v>348</v>
      </c>
      <c r="C74" s="17">
        <v>46171</v>
      </c>
      <c r="D74" s="15" t="s">
        <v>349</v>
      </c>
      <c r="E74" s="18" t="s">
        <v>78</v>
      </c>
      <c r="F74" s="19" t="s">
        <v>350</v>
      </c>
      <c r="G74" s="18" t="s">
        <v>351</v>
      </c>
      <c r="H74" s="20" t="s">
        <v>52</v>
      </c>
      <c r="I74" s="15">
        <v>1</v>
      </c>
      <c r="J74" s="15" t="s">
        <v>24</v>
      </c>
      <c r="K74" s="15"/>
      <c r="L74" s="21" t="s">
        <v>16</v>
      </c>
      <c r="M74" s="22">
        <v>0</v>
      </c>
      <c r="N74" s="22">
        <v>0</v>
      </c>
      <c r="O74" s="22">
        <v>7500</v>
      </c>
      <c r="P74" s="22">
        <v>7500</v>
      </c>
      <c r="Q74" t="str" cm="1">
        <f t="array" ref="Q74">_xlfn.TEXTJOIN("、",TRUE,IF('學員資料-三民高中'!$B$2:$B$454=$F74,'學員資料-三民高中'!$G$2:$G$454,""))</f>
        <v>0911202735</v>
      </c>
      <c r="R74" t="str" cm="1">
        <f t="array" ref="R74">_xlfn.TEXTJOIN("、",TRUE,IF('學員資料-新北高中'!$B$2:$B$583=$F74,'學員資料-新北高中'!$G$2:$G$583,""))</f>
        <v/>
      </c>
      <c r="S74" t="str" cm="1">
        <f t="array" ref="S74">_xlfn.TEXTJOIN("、",TRUE,IF('學員資料-三重商工'!$B$2:$B$472=$F74,'學員資料-三重商工'!$G$2:$G$472,""))</f>
        <v/>
      </c>
      <c r="T74">
        <f t="shared" si="1"/>
        <v>1</v>
      </c>
    </row>
    <row r="75" spans="1:20" ht="14.25" customHeight="1">
      <c r="A75" s="15">
        <v>74</v>
      </c>
      <c r="B75" s="16" t="s">
        <v>352</v>
      </c>
      <c r="C75" s="17">
        <v>46171</v>
      </c>
      <c r="D75" s="15" t="s">
        <v>353</v>
      </c>
      <c r="E75" s="18" t="s">
        <v>78</v>
      </c>
      <c r="F75" s="19" t="s">
        <v>354</v>
      </c>
      <c r="G75" s="18" t="s">
        <v>355</v>
      </c>
      <c r="H75" s="20" t="s">
        <v>52</v>
      </c>
      <c r="I75" s="15">
        <v>1</v>
      </c>
      <c r="J75" s="15" t="s">
        <v>24</v>
      </c>
      <c r="K75" s="15"/>
      <c r="L75" s="21" t="s">
        <v>16</v>
      </c>
      <c r="M75" s="22">
        <v>0</v>
      </c>
      <c r="N75" s="22">
        <v>0</v>
      </c>
      <c r="O75" s="22">
        <v>7500</v>
      </c>
      <c r="P75" s="22">
        <v>7500</v>
      </c>
      <c r="Q75" t="str" cm="1">
        <f t="array" ref="Q75">_xlfn.TEXTJOIN("、",TRUE,IF('學員資料-三民高中'!$B$2:$B$454=$F75,'學員資料-三民高中'!$G$2:$G$454,""))</f>
        <v/>
      </c>
      <c r="R75" t="str" cm="1">
        <f t="array" ref="R75">_xlfn.TEXTJOIN("、",TRUE,IF('學員資料-新北高中'!$B$2:$B$583=$F75,'學員資料-新北高中'!$G$2:$G$583,""))</f>
        <v/>
      </c>
      <c r="S75" t="str" cm="1">
        <f t="array" ref="S75">_xlfn.TEXTJOIN("、",TRUE,IF('學員資料-三重商工'!$B$2:$B$472=$F75,'學員資料-三重商工'!$G$2:$G$472,""))</f>
        <v/>
      </c>
      <c r="T75">
        <f t="shared" si="1"/>
        <v>0</v>
      </c>
    </row>
    <row r="76" spans="1:20" ht="14.25" hidden="1" customHeight="1">
      <c r="A76" s="15">
        <v>75</v>
      </c>
      <c r="B76" s="16" t="s">
        <v>356</v>
      </c>
      <c r="C76" s="17">
        <v>46171</v>
      </c>
      <c r="D76" s="15" t="s">
        <v>357</v>
      </c>
      <c r="E76" s="18" t="s">
        <v>195</v>
      </c>
      <c r="F76" s="19" t="s">
        <v>358</v>
      </c>
      <c r="G76" s="18" t="s">
        <v>359</v>
      </c>
      <c r="H76" s="20" t="s">
        <v>66</v>
      </c>
      <c r="I76" s="15">
        <v>1</v>
      </c>
      <c r="J76" s="15" t="s">
        <v>23</v>
      </c>
      <c r="K76" s="15"/>
      <c r="L76" s="21" t="s">
        <v>18</v>
      </c>
      <c r="M76" s="22">
        <v>0</v>
      </c>
      <c r="N76" s="22">
        <v>0</v>
      </c>
      <c r="O76" s="22">
        <v>6900</v>
      </c>
      <c r="P76" s="22">
        <v>6900</v>
      </c>
      <c r="Q76" t="str" cm="1">
        <f t="array" ref="Q76">_xlfn.TEXTJOIN("、",TRUE,IF('學員資料-三民高中'!$B$2:$B$454=$F76,'學員資料-三民高中'!$G$2:$G$454,""))</f>
        <v/>
      </c>
      <c r="R76" t="str" cm="1">
        <f t="array" ref="R76">_xlfn.TEXTJOIN("、",TRUE,IF('學員資料-新北高中'!$B$2:$B$583=$F76,'學員資料-新北高中'!$G$2:$G$583,""))</f>
        <v>0918008574</v>
      </c>
      <c r="S76" t="str" cm="1">
        <f t="array" ref="S76">_xlfn.TEXTJOIN("、",TRUE,IF('學員資料-三重商工'!$B$2:$B$472=$F76,'學員資料-三重商工'!$G$2:$G$472,""))</f>
        <v/>
      </c>
      <c r="T76">
        <f t="shared" si="1"/>
        <v>1</v>
      </c>
    </row>
    <row r="77" spans="1:20" ht="14.25" hidden="1" customHeight="1">
      <c r="A77" s="15">
        <v>76</v>
      </c>
      <c r="B77" s="16" t="s">
        <v>360</v>
      </c>
      <c r="C77" s="17">
        <v>46170</v>
      </c>
      <c r="D77" s="15" t="s">
        <v>361</v>
      </c>
      <c r="E77" s="18" t="s">
        <v>83</v>
      </c>
      <c r="F77" s="19" t="s">
        <v>362</v>
      </c>
      <c r="G77" s="18" t="s">
        <v>363</v>
      </c>
      <c r="H77" s="20" t="s">
        <v>112</v>
      </c>
      <c r="I77" s="15">
        <v>1</v>
      </c>
      <c r="J77" s="15" t="s">
        <v>23</v>
      </c>
      <c r="K77" s="15"/>
      <c r="L77" s="21" t="s">
        <v>16</v>
      </c>
      <c r="M77" s="22">
        <v>0</v>
      </c>
      <c r="N77" s="22">
        <v>0</v>
      </c>
      <c r="O77" s="22">
        <v>8280</v>
      </c>
      <c r="P77" s="22">
        <v>8280</v>
      </c>
      <c r="Q77" t="str" cm="1">
        <f t="array" ref="Q77">_xlfn.TEXTJOIN("、",TRUE,IF('學員資料-三民高中'!$B$2:$B$454=$F77,'學員資料-三民高中'!$G$2:$G$454,""))</f>
        <v/>
      </c>
      <c r="R77" t="str" cm="1">
        <f t="array" ref="R77">_xlfn.TEXTJOIN("、",TRUE,IF('學員資料-新北高中'!$B$2:$B$583=$F77,'學員資料-新北高中'!$G$2:$G$583,""))</f>
        <v/>
      </c>
      <c r="S77" t="str" cm="1">
        <f t="array" ref="S77">_xlfn.TEXTJOIN("、",TRUE,IF('學員資料-三重商工'!$B$2:$B$472=$F77,'學員資料-三重商工'!$G$2:$G$472,""))</f>
        <v>0928622223</v>
      </c>
      <c r="T77">
        <f t="shared" si="1"/>
        <v>1</v>
      </c>
    </row>
    <row r="78" spans="1:20" ht="14.25" customHeight="1">
      <c r="A78" s="15">
        <v>77</v>
      </c>
      <c r="B78" s="16" t="s">
        <v>364</v>
      </c>
      <c r="C78" s="17">
        <v>46170</v>
      </c>
      <c r="D78" s="15" t="s">
        <v>365</v>
      </c>
      <c r="E78" s="18" t="s">
        <v>55</v>
      </c>
      <c r="F78" s="19" t="s">
        <v>366</v>
      </c>
      <c r="G78" s="18" t="s">
        <v>367</v>
      </c>
      <c r="H78" s="20" t="s">
        <v>66</v>
      </c>
      <c r="I78" s="15">
        <v>1</v>
      </c>
      <c r="J78" s="15" t="s">
        <v>23</v>
      </c>
      <c r="K78" s="15"/>
      <c r="L78" s="21" t="s">
        <v>16</v>
      </c>
      <c r="M78" s="22">
        <v>0</v>
      </c>
      <c r="N78" s="22">
        <v>0</v>
      </c>
      <c r="O78" s="22">
        <v>6900</v>
      </c>
      <c r="P78" s="22">
        <v>6900</v>
      </c>
      <c r="Q78" t="str" cm="1">
        <f t="array" ref="Q78">_xlfn.TEXTJOIN("、",TRUE,IF('學員資料-三民高中'!$B$2:$B$454=$F78,'學員資料-三民高中'!$G$2:$G$454,""))</f>
        <v/>
      </c>
      <c r="R78" t="str" cm="1">
        <f t="array" ref="R78">_xlfn.TEXTJOIN("、",TRUE,IF('學員資料-新北高中'!$B$2:$B$583=$F78,'學員資料-新北高中'!$G$2:$G$583,""))</f>
        <v/>
      </c>
      <c r="S78" t="str" cm="1">
        <f t="array" ref="S78">_xlfn.TEXTJOIN("、",TRUE,IF('學員資料-三重商工'!$B$2:$B$472=$F78,'學員資料-三重商工'!$G$2:$G$472,""))</f>
        <v/>
      </c>
      <c r="T78">
        <f t="shared" si="1"/>
        <v>0</v>
      </c>
    </row>
    <row r="79" spans="1:20" ht="14.25" hidden="1" customHeight="1">
      <c r="A79" s="15">
        <v>78</v>
      </c>
      <c r="B79" s="16" t="s">
        <v>368</v>
      </c>
      <c r="C79" s="17">
        <v>46169</v>
      </c>
      <c r="D79" s="15" t="s">
        <v>369</v>
      </c>
      <c r="E79" s="18" t="s">
        <v>170</v>
      </c>
      <c r="F79" s="19" t="s">
        <v>370</v>
      </c>
      <c r="G79" s="18" t="s">
        <v>371</v>
      </c>
      <c r="H79" s="20" t="s">
        <v>210</v>
      </c>
      <c r="I79" s="15">
        <v>1</v>
      </c>
      <c r="J79" s="15" t="s">
        <v>26</v>
      </c>
      <c r="K79" s="15"/>
      <c r="L79" s="21" t="s">
        <v>16</v>
      </c>
      <c r="M79" s="22">
        <v>0</v>
      </c>
      <c r="N79" s="22">
        <v>0</v>
      </c>
      <c r="O79" s="22">
        <v>12000</v>
      </c>
      <c r="P79" s="22">
        <v>12000</v>
      </c>
      <c r="Q79" t="str" cm="1">
        <f t="array" ref="Q79">_xlfn.TEXTJOIN("、",TRUE,IF('學員資料-三民高中'!$B$2:$B$454=$F79,'學員資料-三民高中'!$G$2:$G$454,""))</f>
        <v>0928858910</v>
      </c>
      <c r="R79" t="str" cm="1">
        <f t="array" ref="R79">_xlfn.TEXTJOIN("、",TRUE,IF('學員資料-新北高中'!$B$2:$B$583=$F79,'學員資料-新北高中'!$G$2:$G$583,""))</f>
        <v/>
      </c>
      <c r="S79" t="str" cm="1">
        <f t="array" ref="S79">_xlfn.TEXTJOIN("、",TRUE,IF('學員資料-三重商工'!$B$2:$B$472=$F79,'學員資料-三重商工'!$G$2:$G$472,""))</f>
        <v/>
      </c>
      <c r="T79">
        <f t="shared" si="1"/>
        <v>1</v>
      </c>
    </row>
    <row r="80" spans="1:20" ht="14.25" hidden="1" customHeight="1">
      <c r="A80" s="15">
        <v>79</v>
      </c>
      <c r="B80" s="16" t="s">
        <v>372</v>
      </c>
      <c r="C80" s="17">
        <v>46169</v>
      </c>
      <c r="D80" s="15" t="s">
        <v>373</v>
      </c>
      <c r="E80" s="18" t="s">
        <v>170</v>
      </c>
      <c r="F80" s="19" t="s">
        <v>374</v>
      </c>
      <c r="G80" s="18" t="s">
        <v>375</v>
      </c>
      <c r="H80" s="20" t="s">
        <v>52</v>
      </c>
      <c r="I80" s="15">
        <v>1</v>
      </c>
      <c r="J80" s="15" t="s">
        <v>24</v>
      </c>
      <c r="K80" s="15"/>
      <c r="L80" s="21" t="s">
        <v>16</v>
      </c>
      <c r="M80" s="22">
        <v>0</v>
      </c>
      <c r="N80" s="22">
        <v>0</v>
      </c>
      <c r="O80" s="22">
        <v>7500</v>
      </c>
      <c r="P80" s="22">
        <v>7500</v>
      </c>
      <c r="Q80" t="str" cm="1">
        <f t="array" ref="Q80">_xlfn.TEXTJOIN("、",TRUE,IF('學員資料-三民高中'!$B$2:$B$454=$F80,'學員資料-三民高中'!$G$2:$G$454,""))</f>
        <v>0926680723</v>
      </c>
      <c r="R80" t="str" cm="1">
        <f t="array" ref="R80">_xlfn.TEXTJOIN("、",TRUE,IF('學員資料-新北高中'!$B$2:$B$583=$F80,'學員資料-新北高中'!$G$2:$G$583,""))</f>
        <v/>
      </c>
      <c r="S80" t="str" cm="1">
        <f t="array" ref="S80">_xlfn.TEXTJOIN("、",TRUE,IF('學員資料-三重商工'!$B$2:$B$472=$F80,'學員資料-三重商工'!$G$2:$G$472,""))</f>
        <v/>
      </c>
      <c r="T80">
        <f t="shared" si="1"/>
        <v>1</v>
      </c>
    </row>
    <row r="81" spans="1:20" ht="14.25" hidden="1" customHeight="1">
      <c r="A81" s="15">
        <v>80</v>
      </c>
      <c r="B81" s="16" t="s">
        <v>376</v>
      </c>
      <c r="C81" s="17">
        <v>46169</v>
      </c>
      <c r="D81" s="15" t="s">
        <v>377</v>
      </c>
      <c r="E81" s="18" t="s">
        <v>170</v>
      </c>
      <c r="F81" s="19" t="s">
        <v>378</v>
      </c>
      <c r="G81" s="18" t="s">
        <v>379</v>
      </c>
      <c r="H81" s="20" t="s">
        <v>210</v>
      </c>
      <c r="I81" s="15">
        <v>1</v>
      </c>
      <c r="J81" s="15" t="s">
        <v>26</v>
      </c>
      <c r="K81" s="15"/>
      <c r="L81" s="21" t="s">
        <v>16</v>
      </c>
      <c r="M81" s="22">
        <v>0</v>
      </c>
      <c r="N81" s="22">
        <v>0</v>
      </c>
      <c r="O81" s="22">
        <v>12000</v>
      </c>
      <c r="P81" s="22">
        <v>12000</v>
      </c>
      <c r="Q81" t="str" cm="1">
        <f t="array" ref="Q81">_xlfn.TEXTJOIN("、",TRUE,IF('學員資料-三民高中'!$B$2:$B$454=$F81,'學員資料-三民高中'!$G$2:$G$454,""))</f>
        <v>0933006532</v>
      </c>
      <c r="R81" t="str" cm="1">
        <f t="array" ref="R81">_xlfn.TEXTJOIN("、",TRUE,IF('學員資料-新北高中'!$B$2:$B$583=$F81,'學員資料-新北高中'!$G$2:$G$583,""))</f>
        <v/>
      </c>
      <c r="S81" t="str" cm="1">
        <f t="array" ref="S81">_xlfn.TEXTJOIN("、",TRUE,IF('學員資料-三重商工'!$B$2:$B$472=$F81,'學員資料-三重商工'!$G$2:$G$472,""))</f>
        <v/>
      </c>
      <c r="T81">
        <f t="shared" si="1"/>
        <v>1</v>
      </c>
    </row>
    <row r="82" spans="1:20" ht="14.25" hidden="1" customHeight="1">
      <c r="A82" s="15">
        <v>81</v>
      </c>
      <c r="B82" s="16" t="s">
        <v>380</v>
      </c>
      <c r="C82" s="17">
        <v>46168</v>
      </c>
      <c r="D82" s="15" t="s">
        <v>381</v>
      </c>
      <c r="E82" s="18" t="s">
        <v>83</v>
      </c>
      <c r="F82" s="19" t="s">
        <v>382</v>
      </c>
      <c r="G82" s="18" t="s">
        <v>383</v>
      </c>
      <c r="H82" s="20" t="s">
        <v>66</v>
      </c>
      <c r="I82" s="15">
        <v>1</v>
      </c>
      <c r="J82" s="15" t="s">
        <v>23</v>
      </c>
      <c r="K82" s="15"/>
      <c r="L82" s="21" t="s">
        <v>16</v>
      </c>
      <c r="M82" s="22">
        <v>0</v>
      </c>
      <c r="N82" s="22">
        <v>0</v>
      </c>
      <c r="O82" s="22">
        <v>6900</v>
      </c>
      <c r="P82" s="22">
        <v>6900</v>
      </c>
      <c r="Q82" t="str" cm="1">
        <f t="array" ref="Q82">_xlfn.TEXTJOIN("、",TRUE,IF('學員資料-三民高中'!$B$2:$B$454=$F82,'學員資料-三民高中'!$G$2:$G$454,""))</f>
        <v/>
      </c>
      <c r="R82" t="str" cm="1">
        <f t="array" ref="R82">_xlfn.TEXTJOIN("、",TRUE,IF('學員資料-新北高中'!$B$2:$B$583=$F82,'學員資料-新北高中'!$G$2:$G$583,""))</f>
        <v/>
      </c>
      <c r="S82" t="str" cm="1">
        <f t="array" ref="S82">_xlfn.TEXTJOIN("、",TRUE,IF('學員資料-三重商工'!$B$2:$B$472=$F82,'學員資料-三重商工'!$G$2:$G$472,""))</f>
        <v>0960098837</v>
      </c>
      <c r="T82">
        <f t="shared" si="1"/>
        <v>1</v>
      </c>
    </row>
    <row r="83" spans="1:20" ht="14.25" hidden="1" customHeight="1">
      <c r="A83" s="15">
        <v>82</v>
      </c>
      <c r="B83" s="16" t="s">
        <v>384</v>
      </c>
      <c r="C83" s="17">
        <v>46168</v>
      </c>
      <c r="D83" s="15" t="s">
        <v>385</v>
      </c>
      <c r="E83" s="18" t="s">
        <v>83</v>
      </c>
      <c r="F83" s="19" t="s">
        <v>386</v>
      </c>
      <c r="G83" s="18" t="s">
        <v>387</v>
      </c>
      <c r="H83" s="20" t="s">
        <v>52</v>
      </c>
      <c r="I83" s="15">
        <v>1</v>
      </c>
      <c r="J83" s="15" t="s">
        <v>24</v>
      </c>
      <c r="K83" s="15"/>
      <c r="L83" s="21" t="s">
        <v>18</v>
      </c>
      <c r="M83" s="22">
        <v>0</v>
      </c>
      <c r="N83" s="22">
        <v>0</v>
      </c>
      <c r="O83" s="22">
        <v>7500</v>
      </c>
      <c r="P83" s="22">
        <v>7500</v>
      </c>
      <c r="Q83" t="str" cm="1">
        <f t="array" ref="Q83">_xlfn.TEXTJOIN("、",TRUE,IF('學員資料-三民高中'!$B$2:$B$454=$F83,'學員資料-三民高中'!$G$2:$G$454,""))</f>
        <v/>
      </c>
      <c r="R83" t="str" cm="1">
        <f t="array" ref="R83">_xlfn.TEXTJOIN("、",TRUE,IF('學員資料-新北高中'!$B$2:$B$583=$F83,'學員資料-新北高中'!$G$2:$G$583,""))</f>
        <v/>
      </c>
      <c r="S83" t="str" cm="1">
        <f t="array" ref="S83">_xlfn.TEXTJOIN("、",TRUE,IF('學員資料-三重商工'!$B$2:$B$472=$F83,'學員資料-三重商工'!$G$2:$G$472,""))</f>
        <v>0939629038</v>
      </c>
      <c r="T83">
        <f t="shared" si="1"/>
        <v>1</v>
      </c>
    </row>
    <row r="84" spans="1:20" ht="14.25" hidden="1" customHeight="1">
      <c r="A84" s="15">
        <v>83</v>
      </c>
      <c r="B84" s="16" t="s">
        <v>388</v>
      </c>
      <c r="C84" s="17">
        <v>46168</v>
      </c>
      <c r="D84" s="15" t="s">
        <v>389</v>
      </c>
      <c r="E84" s="18" t="s">
        <v>83</v>
      </c>
      <c r="F84" s="19" t="s">
        <v>390</v>
      </c>
      <c r="G84" s="18" t="s">
        <v>391</v>
      </c>
      <c r="H84" s="20" t="s">
        <v>112</v>
      </c>
      <c r="I84" s="15">
        <v>1</v>
      </c>
      <c r="J84" s="15" t="s">
        <v>23</v>
      </c>
      <c r="K84" s="15"/>
      <c r="L84" s="21" t="s">
        <v>18</v>
      </c>
      <c r="M84" s="22">
        <v>0</v>
      </c>
      <c r="N84" s="22">
        <v>-166</v>
      </c>
      <c r="O84" s="22">
        <v>8114</v>
      </c>
      <c r="P84" s="22">
        <v>8114</v>
      </c>
      <c r="Q84" t="str" cm="1">
        <f t="array" ref="Q84">_xlfn.TEXTJOIN("、",TRUE,IF('學員資料-三民高中'!$B$2:$B$454=$F84,'學員資料-三民高中'!$G$2:$G$454,""))</f>
        <v/>
      </c>
      <c r="R84" t="str" cm="1">
        <f t="array" ref="R84">_xlfn.TEXTJOIN("、",TRUE,IF('學員資料-新北高中'!$B$2:$B$583=$F84,'學員資料-新北高中'!$G$2:$G$583,""))</f>
        <v/>
      </c>
      <c r="S84" t="str" cm="1">
        <f t="array" ref="S84">_xlfn.TEXTJOIN("、",TRUE,IF('學員資料-三重商工'!$B$2:$B$472=$F84,'學員資料-三重商工'!$G$2:$G$472,""))</f>
        <v>0936522555</v>
      </c>
      <c r="T84">
        <f t="shared" si="1"/>
        <v>1</v>
      </c>
    </row>
    <row r="85" spans="1:20" ht="14.25" hidden="1" customHeight="1">
      <c r="A85" s="15">
        <v>84</v>
      </c>
      <c r="B85" s="16" t="s">
        <v>392</v>
      </c>
      <c r="C85" s="17">
        <v>46168</v>
      </c>
      <c r="D85" s="15" t="s">
        <v>393</v>
      </c>
      <c r="E85" s="18" t="s">
        <v>83</v>
      </c>
      <c r="F85" s="19" t="s">
        <v>394</v>
      </c>
      <c r="G85" s="18" t="s">
        <v>395</v>
      </c>
      <c r="H85" s="20" t="s">
        <v>112</v>
      </c>
      <c r="I85" s="15">
        <v>1</v>
      </c>
      <c r="J85" s="15" t="s">
        <v>23</v>
      </c>
      <c r="K85" s="15"/>
      <c r="L85" s="21" t="s">
        <v>18</v>
      </c>
      <c r="M85" s="22">
        <v>0</v>
      </c>
      <c r="N85" s="22">
        <v>-1242</v>
      </c>
      <c r="O85" s="22">
        <v>7038</v>
      </c>
      <c r="P85" s="22">
        <v>7038</v>
      </c>
      <c r="Q85" t="str" cm="1">
        <f t="array" ref="Q85">_xlfn.TEXTJOIN("、",TRUE,IF('學員資料-三民高中'!$B$2:$B$454=$F85,'學員資料-三民高中'!$G$2:$G$454,""))</f>
        <v/>
      </c>
      <c r="R85" t="str" cm="1">
        <f t="array" ref="R85">_xlfn.TEXTJOIN("、",TRUE,IF('學員資料-新北高中'!$B$2:$B$583=$F85,'學員資料-新北高中'!$G$2:$G$583,""))</f>
        <v/>
      </c>
      <c r="S85" t="str" cm="1">
        <f t="array" ref="S85">_xlfn.TEXTJOIN("、",TRUE,IF('學員資料-三重商工'!$B$2:$B$472=$F85,'學員資料-三重商工'!$G$2:$G$472,""))</f>
        <v>0920215407</v>
      </c>
      <c r="T85">
        <f t="shared" si="1"/>
        <v>1</v>
      </c>
    </row>
    <row r="86" spans="1:20" ht="14.25" hidden="1" customHeight="1">
      <c r="A86" s="15">
        <v>85</v>
      </c>
      <c r="B86" s="16" t="s">
        <v>396</v>
      </c>
      <c r="C86" s="17">
        <v>46168</v>
      </c>
      <c r="D86" s="15" t="s">
        <v>397</v>
      </c>
      <c r="E86" s="18" t="s">
        <v>398</v>
      </c>
      <c r="F86" s="19" t="s">
        <v>338</v>
      </c>
      <c r="G86" s="18" t="s">
        <v>339</v>
      </c>
      <c r="H86" s="20" t="s">
        <v>399</v>
      </c>
      <c r="I86" s="15">
        <v>1</v>
      </c>
      <c r="J86" s="15" t="s">
        <v>23</v>
      </c>
      <c r="K86" s="21" t="s">
        <v>116</v>
      </c>
      <c r="L86" s="21" t="s">
        <v>16</v>
      </c>
      <c r="M86" s="22">
        <v>0</v>
      </c>
      <c r="N86" s="22">
        <v>0</v>
      </c>
      <c r="O86" s="22">
        <v>1200</v>
      </c>
      <c r="P86" s="22">
        <v>1200</v>
      </c>
      <c r="Q86" t="str" cm="1">
        <f t="array" ref="Q86">_xlfn.TEXTJOIN("、",TRUE,IF('學員資料-三民高中'!$B$2:$B$454=$F86,'學員資料-三民高中'!$G$2:$G$454,""))</f>
        <v>0958855953</v>
      </c>
      <c r="R86" t="str" cm="1">
        <f t="array" ref="R86">_xlfn.TEXTJOIN("、",TRUE,IF('學員資料-新北高中'!$B$2:$B$583=$F86,'學員資料-新北高中'!$G$2:$G$583,""))</f>
        <v/>
      </c>
      <c r="S86" t="str" cm="1">
        <f t="array" ref="S86">_xlfn.TEXTJOIN("、",TRUE,IF('學員資料-三重商工'!$B$2:$B$472=$F86,'學員資料-三重商工'!$G$2:$G$472,""))</f>
        <v/>
      </c>
      <c r="T86">
        <f t="shared" si="1"/>
        <v>1</v>
      </c>
    </row>
    <row r="87" spans="1:20" ht="43.5" hidden="1" customHeight="1">
      <c r="A87" s="15">
        <v>86</v>
      </c>
      <c r="B87" s="16" t="s">
        <v>400</v>
      </c>
      <c r="C87" s="17">
        <v>46167</v>
      </c>
      <c r="D87" s="15" t="s">
        <v>401</v>
      </c>
      <c r="E87" s="18" t="s">
        <v>402</v>
      </c>
      <c r="F87" s="19" t="s">
        <v>403</v>
      </c>
      <c r="G87" s="18" t="s">
        <v>404</v>
      </c>
      <c r="H87" s="20" t="s">
        <v>405</v>
      </c>
      <c r="I87" s="15">
        <v>3</v>
      </c>
      <c r="J87" s="15" t="s">
        <v>25</v>
      </c>
      <c r="K87" s="15"/>
      <c r="L87" s="21" t="s">
        <v>16</v>
      </c>
      <c r="M87" s="22">
        <v>0</v>
      </c>
      <c r="N87" s="22">
        <v>0</v>
      </c>
      <c r="O87" s="22">
        <v>29700</v>
      </c>
      <c r="P87" s="22">
        <v>29700</v>
      </c>
      <c r="Q87" t="str" cm="1">
        <f t="array" ref="Q87">_xlfn.TEXTJOIN("、",TRUE,IF('學員資料-三民高中'!$B$2:$B$454=$F87,'學員資料-三民高中'!$G$2:$G$454,""))</f>
        <v/>
      </c>
      <c r="R87" t="str" cm="1">
        <f t="array" ref="R87">_xlfn.TEXTJOIN("、",TRUE,IF('學員資料-新北高中'!$B$2:$B$583=$F87,'學員資料-新北高中'!$G$2:$G$583,""))</f>
        <v>0921991299</v>
      </c>
      <c r="S87" t="str" cm="1">
        <f t="array" ref="S87">_xlfn.TEXTJOIN("、",TRUE,IF('學員資料-三重商工'!$B$2:$B$472=$F87,'學員資料-三重商工'!$G$2:$G$472,""))</f>
        <v/>
      </c>
      <c r="T87">
        <f t="shared" si="1"/>
        <v>1</v>
      </c>
    </row>
    <row r="88" spans="1:20" ht="28.5" hidden="1" customHeight="1">
      <c r="A88" s="15">
        <v>87</v>
      </c>
      <c r="B88" s="16" t="s">
        <v>406</v>
      </c>
      <c r="C88" s="17">
        <v>46167</v>
      </c>
      <c r="D88" s="15" t="s">
        <v>407</v>
      </c>
      <c r="E88" s="18" t="s">
        <v>78</v>
      </c>
      <c r="F88" s="19" t="s">
        <v>408</v>
      </c>
      <c r="G88" s="18" t="s">
        <v>409</v>
      </c>
      <c r="H88" s="20" t="s">
        <v>99</v>
      </c>
      <c r="I88" s="15">
        <v>2</v>
      </c>
      <c r="J88" s="15" t="s">
        <v>24</v>
      </c>
      <c r="K88" s="15"/>
      <c r="L88" s="21" t="s">
        <v>16</v>
      </c>
      <c r="M88" s="22">
        <v>0</v>
      </c>
      <c r="N88" s="22">
        <v>-1800</v>
      </c>
      <c r="O88" s="22">
        <v>13200</v>
      </c>
      <c r="P88" s="22">
        <v>13200</v>
      </c>
      <c r="Q88" t="str" cm="1">
        <f t="array" ref="Q88">_xlfn.TEXTJOIN("、",TRUE,IF('學員資料-三民高中'!$B$2:$B$454=$F88,'學員資料-三民高中'!$G$2:$G$454,""))</f>
        <v>0952262710</v>
      </c>
      <c r="R88" t="str" cm="1">
        <f t="array" ref="R88">_xlfn.TEXTJOIN("、",TRUE,IF('學員資料-新北高中'!$B$2:$B$583=$F88,'學員資料-新北高中'!$G$2:$G$583,""))</f>
        <v/>
      </c>
      <c r="S88" t="str" cm="1">
        <f t="array" ref="S88">_xlfn.TEXTJOIN("、",TRUE,IF('學員資料-三重商工'!$B$2:$B$472=$F88,'學員資料-三重商工'!$G$2:$G$472,""))</f>
        <v/>
      </c>
      <c r="T88">
        <f t="shared" si="1"/>
        <v>1</v>
      </c>
    </row>
    <row r="89" spans="1:20" ht="72" hidden="1" customHeight="1">
      <c r="A89" s="15">
        <v>88</v>
      </c>
      <c r="B89" s="16" t="s">
        <v>410</v>
      </c>
      <c r="C89" s="17">
        <v>46166</v>
      </c>
      <c r="D89" s="15" t="s">
        <v>411</v>
      </c>
      <c r="E89" s="18" t="s">
        <v>127</v>
      </c>
      <c r="F89" s="19" t="s">
        <v>412</v>
      </c>
      <c r="G89" s="18" t="s">
        <v>413</v>
      </c>
      <c r="H89" s="20" t="s">
        <v>414</v>
      </c>
      <c r="I89" s="15">
        <v>5</v>
      </c>
      <c r="J89" s="15" t="s">
        <v>24</v>
      </c>
      <c r="K89" s="15"/>
      <c r="L89" s="21" t="s">
        <v>18</v>
      </c>
      <c r="M89" s="22">
        <v>0</v>
      </c>
      <c r="N89" s="22">
        <v>-3000</v>
      </c>
      <c r="O89" s="22">
        <v>34500</v>
      </c>
      <c r="P89" s="22">
        <v>34500</v>
      </c>
      <c r="Q89" t="str" cm="1">
        <f t="array" ref="Q89">_xlfn.TEXTJOIN("、",TRUE,IF('學員資料-三民高中'!$B$2:$B$454=$F89,'學員資料-三民高中'!$G$2:$G$454,""))</f>
        <v>0930220021-1</v>
      </c>
      <c r="R89" t="str" cm="1">
        <f t="array" ref="R89">_xlfn.TEXTJOIN("、",TRUE,IF('學員資料-新北高中'!$B$2:$B$583=$F89,'學員資料-新北高中'!$G$2:$G$583,""))</f>
        <v/>
      </c>
      <c r="S89" t="str" cm="1">
        <f t="array" ref="S89">_xlfn.TEXTJOIN("、",TRUE,IF('學員資料-三重商工'!$B$2:$B$472=$F89,'學員資料-三重商工'!$G$2:$G$472,""))</f>
        <v/>
      </c>
      <c r="T89">
        <f t="shared" si="1"/>
        <v>1</v>
      </c>
    </row>
    <row r="90" spans="1:20" ht="72" hidden="1" customHeight="1">
      <c r="A90" s="15">
        <v>89</v>
      </c>
      <c r="B90" s="16" t="s">
        <v>415</v>
      </c>
      <c r="C90" s="17">
        <v>46166</v>
      </c>
      <c r="D90" s="15" t="s">
        <v>416</v>
      </c>
      <c r="E90" s="18" t="s">
        <v>127</v>
      </c>
      <c r="F90" s="19" t="s">
        <v>417</v>
      </c>
      <c r="G90" s="18" t="s">
        <v>418</v>
      </c>
      <c r="H90" s="20" t="s">
        <v>419</v>
      </c>
      <c r="I90" s="15">
        <v>5</v>
      </c>
      <c r="J90" s="15" t="s">
        <v>23</v>
      </c>
      <c r="K90" s="15"/>
      <c r="L90" s="21" t="s">
        <v>18</v>
      </c>
      <c r="M90" s="22">
        <v>0</v>
      </c>
      <c r="N90" s="22">
        <v>-2760</v>
      </c>
      <c r="O90" s="22">
        <v>31740</v>
      </c>
      <c r="P90" s="22">
        <v>31740</v>
      </c>
      <c r="Q90" t="str" cm="1">
        <f t="array" ref="Q90">_xlfn.TEXTJOIN("、",TRUE,IF('學員資料-三民高中'!$B$2:$B$454=$F90,'學員資料-三民高中'!$G$2:$G$454,""))</f>
        <v>0930220021</v>
      </c>
      <c r="R90" t="str" cm="1">
        <f t="array" ref="R90">_xlfn.TEXTJOIN("、",TRUE,IF('學員資料-新北高中'!$B$2:$B$583=$F90,'學員資料-新北高中'!$G$2:$G$583,""))</f>
        <v/>
      </c>
      <c r="S90" t="str" cm="1">
        <f t="array" ref="S90">_xlfn.TEXTJOIN("、",TRUE,IF('學員資料-三重商工'!$B$2:$B$472=$F90,'學員資料-三重商工'!$G$2:$G$472,""))</f>
        <v/>
      </c>
      <c r="T90">
        <f t="shared" si="1"/>
        <v>1</v>
      </c>
    </row>
    <row r="91" spans="1:20" ht="43.5" hidden="1" customHeight="1">
      <c r="A91" s="15">
        <v>90</v>
      </c>
      <c r="B91" s="16" t="s">
        <v>420</v>
      </c>
      <c r="C91" s="17">
        <v>46166</v>
      </c>
      <c r="D91" s="15" t="s">
        <v>421</v>
      </c>
      <c r="E91" s="18" t="s">
        <v>127</v>
      </c>
      <c r="F91" s="19" t="s">
        <v>422</v>
      </c>
      <c r="G91" s="18" t="s">
        <v>423</v>
      </c>
      <c r="H91" s="20" t="s">
        <v>261</v>
      </c>
      <c r="I91" s="15">
        <v>3</v>
      </c>
      <c r="J91" s="15" t="s">
        <v>23</v>
      </c>
      <c r="K91" s="15"/>
      <c r="L91" s="21" t="s">
        <v>16</v>
      </c>
      <c r="M91" s="22">
        <v>0</v>
      </c>
      <c r="N91" s="22">
        <v>-828</v>
      </c>
      <c r="O91" s="22">
        <v>19872</v>
      </c>
      <c r="P91" s="22">
        <v>19872</v>
      </c>
      <c r="Q91" t="str" cm="1">
        <f t="array" ref="Q91">_xlfn.TEXTJOIN("、",TRUE,IF('學員資料-三民高中'!$B$2:$B$454=$F91,'學員資料-三民高中'!$G$2:$G$454,""))</f>
        <v>0975763360</v>
      </c>
      <c r="R91" t="str" cm="1">
        <f t="array" ref="R91">_xlfn.TEXTJOIN("、",TRUE,IF('學員資料-新北高中'!$B$2:$B$583=$F91,'學員資料-新北高中'!$G$2:$G$583,""))</f>
        <v/>
      </c>
      <c r="S91" t="str" cm="1">
        <f t="array" ref="S91">_xlfn.TEXTJOIN("、",TRUE,IF('學員資料-三重商工'!$B$2:$B$472=$F91,'學員資料-三重商工'!$G$2:$G$472,""))</f>
        <v/>
      </c>
      <c r="T91">
        <f t="shared" si="1"/>
        <v>1</v>
      </c>
    </row>
    <row r="92" spans="1:20" ht="28.5" hidden="1" customHeight="1">
      <c r="A92" s="15">
        <v>91</v>
      </c>
      <c r="B92" s="16" t="s">
        <v>424</v>
      </c>
      <c r="C92" s="17">
        <v>46166</v>
      </c>
      <c r="D92" s="15" t="s">
        <v>425</v>
      </c>
      <c r="E92" s="18" t="s">
        <v>127</v>
      </c>
      <c r="F92" s="19" t="s">
        <v>426</v>
      </c>
      <c r="G92" s="18" t="s">
        <v>427</v>
      </c>
      <c r="H92" s="20" t="s">
        <v>99</v>
      </c>
      <c r="I92" s="15">
        <v>2</v>
      </c>
      <c r="J92" s="15" t="s">
        <v>24</v>
      </c>
      <c r="K92" s="15"/>
      <c r="L92" s="21" t="s">
        <v>18</v>
      </c>
      <c r="M92" s="22">
        <v>0</v>
      </c>
      <c r="N92" s="22">
        <v>-300</v>
      </c>
      <c r="O92" s="22">
        <v>14700</v>
      </c>
      <c r="P92" s="22">
        <v>14700</v>
      </c>
      <c r="Q92" t="str" cm="1">
        <f t="array" ref="Q92">_xlfn.TEXTJOIN("、",TRUE,IF('學員資料-三民高中'!$B$2:$B$454=$F92,'學員資料-三民高中'!$G$2:$G$454,""))</f>
        <v>0921745830</v>
      </c>
      <c r="R92" t="str" cm="1">
        <f t="array" ref="R92">_xlfn.TEXTJOIN("、",TRUE,IF('學員資料-新北高中'!$B$2:$B$583=$F92,'學員資料-新北高中'!$G$2:$G$583,""))</f>
        <v/>
      </c>
      <c r="S92" t="str" cm="1">
        <f t="array" ref="S92">_xlfn.TEXTJOIN("、",TRUE,IF('學員資料-三重商工'!$B$2:$B$472=$F92,'學員資料-三重商工'!$G$2:$G$472,""))</f>
        <v/>
      </c>
      <c r="T92">
        <f t="shared" si="1"/>
        <v>1</v>
      </c>
    </row>
    <row r="93" spans="1:20" ht="14.25" hidden="1" customHeight="1">
      <c r="A93" s="15">
        <v>92</v>
      </c>
      <c r="B93" s="16" t="s">
        <v>428</v>
      </c>
      <c r="C93" s="17">
        <v>46166</v>
      </c>
      <c r="D93" s="15" t="s">
        <v>429</v>
      </c>
      <c r="E93" s="18" t="s">
        <v>127</v>
      </c>
      <c r="F93" s="19" t="s">
        <v>430</v>
      </c>
      <c r="G93" s="18" t="s">
        <v>431</v>
      </c>
      <c r="H93" s="20" t="s">
        <v>130</v>
      </c>
      <c r="I93" s="15">
        <v>1</v>
      </c>
      <c r="J93" s="15" t="s">
        <v>25</v>
      </c>
      <c r="K93" s="15"/>
      <c r="L93" s="21" t="s">
        <v>18</v>
      </c>
      <c r="M93" s="22">
        <v>0</v>
      </c>
      <c r="N93" s="22">
        <v>0</v>
      </c>
      <c r="O93" s="22">
        <v>9900</v>
      </c>
      <c r="P93" s="22">
        <v>9900</v>
      </c>
      <c r="Q93" t="str" cm="1">
        <f t="array" ref="Q93">_xlfn.TEXTJOIN("、",TRUE,IF('學員資料-三民高中'!$B$2:$B$454=$F93,'學員資料-三民高中'!$G$2:$G$454,""))</f>
        <v>0909583927</v>
      </c>
      <c r="R93" t="str" cm="1">
        <f t="array" ref="R93">_xlfn.TEXTJOIN("、",TRUE,IF('學員資料-新北高中'!$B$2:$B$583=$F93,'學員資料-新北高中'!$G$2:$G$583,""))</f>
        <v/>
      </c>
      <c r="S93" t="str" cm="1">
        <f t="array" ref="S93">_xlfn.TEXTJOIN("、",TRUE,IF('學員資料-三重商工'!$B$2:$B$472=$F93,'學員資料-三重商工'!$G$2:$G$472,""))</f>
        <v/>
      </c>
      <c r="T93">
        <f t="shared" si="1"/>
        <v>1</v>
      </c>
    </row>
    <row r="94" spans="1:20" ht="43.5" hidden="1" customHeight="1">
      <c r="A94" s="15">
        <v>93</v>
      </c>
      <c r="B94" s="16" t="s">
        <v>432</v>
      </c>
      <c r="C94" s="17">
        <v>46166</v>
      </c>
      <c r="D94" s="15" t="s">
        <v>433</v>
      </c>
      <c r="E94" s="18" t="s">
        <v>127</v>
      </c>
      <c r="F94" s="19" t="s">
        <v>434</v>
      </c>
      <c r="G94" s="18" t="s">
        <v>435</v>
      </c>
      <c r="H94" s="20" t="s">
        <v>436</v>
      </c>
      <c r="I94" s="15">
        <v>3</v>
      </c>
      <c r="J94" s="15" t="s">
        <v>24</v>
      </c>
      <c r="K94" s="15"/>
      <c r="L94" s="21" t="s">
        <v>18</v>
      </c>
      <c r="M94" s="22">
        <v>0</v>
      </c>
      <c r="N94" s="22">
        <v>-900</v>
      </c>
      <c r="O94" s="22">
        <v>21600</v>
      </c>
      <c r="P94" s="22">
        <v>21600</v>
      </c>
      <c r="Q94" t="str" cm="1">
        <f t="array" ref="Q94">_xlfn.TEXTJOIN("、",TRUE,IF('學員資料-三民高中'!$B$2:$B$454=$F94,'學員資料-三民高中'!$G$2:$G$454,""))</f>
        <v>0913597806</v>
      </c>
      <c r="R94" t="str" cm="1">
        <f t="array" ref="R94">_xlfn.TEXTJOIN("、",TRUE,IF('學員資料-新北高中'!$B$2:$B$583=$F94,'學員資料-新北高中'!$G$2:$G$583,""))</f>
        <v/>
      </c>
      <c r="S94" t="str" cm="1">
        <f t="array" ref="S94">_xlfn.TEXTJOIN("、",TRUE,IF('學員資料-三重商工'!$B$2:$B$472=$F94,'學員資料-三重商工'!$G$2:$G$472,""))</f>
        <v/>
      </c>
      <c r="T94">
        <f t="shared" si="1"/>
        <v>1</v>
      </c>
    </row>
    <row r="95" spans="1:20" ht="14.25" customHeight="1">
      <c r="A95" s="15">
        <v>94</v>
      </c>
      <c r="B95" s="16" t="s">
        <v>437</v>
      </c>
      <c r="C95" s="17">
        <v>46166</v>
      </c>
      <c r="D95" s="15" t="s">
        <v>438</v>
      </c>
      <c r="E95" s="18" t="s">
        <v>127</v>
      </c>
      <c r="F95" s="19"/>
      <c r="G95" s="23" t="s">
        <v>439</v>
      </c>
      <c r="H95" s="20" t="s">
        <v>66</v>
      </c>
      <c r="I95" s="15">
        <v>1</v>
      </c>
      <c r="J95" s="15" t="s">
        <v>23</v>
      </c>
      <c r="K95" s="15"/>
      <c r="L95" s="21" t="s">
        <v>18</v>
      </c>
      <c r="M95" s="22">
        <v>0</v>
      </c>
      <c r="N95" s="22">
        <v>-138</v>
      </c>
      <c r="O95" s="22">
        <v>6762</v>
      </c>
      <c r="P95" s="22">
        <v>6762</v>
      </c>
      <c r="Q95" t="str" cm="1">
        <f t="array" ref="Q95">_xlfn.TEXTJOIN("、",TRUE,IF('學員資料-三民高中'!$B$2:$B$454=$F95,'學員資料-三民高中'!$G$2:$G$454,""))</f>
        <v/>
      </c>
      <c r="R95" t="str" cm="1">
        <f t="array" ref="R95">_xlfn.TEXTJOIN("、",TRUE,IF('學員資料-新北高中'!$B$2:$B$583=$F95,'學員資料-新北高中'!$G$2:$G$583,""))</f>
        <v/>
      </c>
      <c r="S95" t="str" cm="1">
        <f t="array" ref="S95">_xlfn.TEXTJOIN("、",TRUE,IF('學員資料-三重商工'!$B$2:$B$472=$F95,'學員資料-三重商工'!$G$2:$G$472,""))</f>
        <v/>
      </c>
      <c r="T95">
        <f t="shared" si="1"/>
        <v>0</v>
      </c>
    </row>
    <row r="96" spans="1:20" ht="14.25" hidden="1" customHeight="1">
      <c r="A96" s="15">
        <v>95</v>
      </c>
      <c r="B96" s="16" t="s">
        <v>440</v>
      </c>
      <c r="C96" s="17">
        <v>46166</v>
      </c>
      <c r="D96" s="15" t="s">
        <v>441</v>
      </c>
      <c r="E96" s="18" t="s">
        <v>44</v>
      </c>
      <c r="F96" s="19" t="s">
        <v>442</v>
      </c>
      <c r="G96" s="18" t="s">
        <v>443</v>
      </c>
      <c r="H96" s="20" t="s">
        <v>112</v>
      </c>
      <c r="I96" s="15">
        <v>1</v>
      </c>
      <c r="J96" s="15" t="s">
        <v>23</v>
      </c>
      <c r="K96" s="15"/>
      <c r="L96" s="21" t="s">
        <v>16</v>
      </c>
      <c r="M96" s="22">
        <v>0</v>
      </c>
      <c r="N96" s="22">
        <v>0</v>
      </c>
      <c r="O96" s="22">
        <v>8280</v>
      </c>
      <c r="P96" s="22">
        <v>8280</v>
      </c>
      <c r="Q96" t="str" cm="1">
        <f t="array" ref="Q96">_xlfn.TEXTJOIN("、",TRUE,IF('學員資料-三民高中'!$B$2:$B$454=$F96,'學員資料-三民高中'!$G$2:$G$454,""))</f>
        <v/>
      </c>
      <c r="R96" t="str" cm="1">
        <f t="array" ref="R96">_xlfn.TEXTJOIN("、",TRUE,IF('學員資料-新北高中'!$B$2:$B$583=$F96,'學員資料-新北高中'!$G$2:$G$583,""))</f>
        <v/>
      </c>
      <c r="S96" t="str" cm="1">
        <f t="array" ref="S96">_xlfn.TEXTJOIN("、",TRUE,IF('學員資料-三重商工'!$B$2:$B$472=$F96,'學員資料-三重商工'!$G$2:$G$472,""))</f>
        <v>0934053344</v>
      </c>
      <c r="T96">
        <f t="shared" si="1"/>
        <v>1</v>
      </c>
    </row>
    <row r="97" spans="1:20" ht="43.5" hidden="1" customHeight="1">
      <c r="A97" s="15">
        <v>96</v>
      </c>
      <c r="B97" s="16" t="s">
        <v>444</v>
      </c>
      <c r="C97" s="17">
        <v>46166</v>
      </c>
      <c r="D97" s="15" t="s">
        <v>445</v>
      </c>
      <c r="E97" s="18" t="s">
        <v>44</v>
      </c>
      <c r="F97" s="19" t="s">
        <v>446</v>
      </c>
      <c r="G97" s="18" t="s">
        <v>447</v>
      </c>
      <c r="H97" s="20" t="s">
        <v>261</v>
      </c>
      <c r="I97" s="15">
        <v>3</v>
      </c>
      <c r="J97" s="15" t="s">
        <v>23</v>
      </c>
      <c r="K97" s="15"/>
      <c r="L97" s="21" t="s">
        <v>16</v>
      </c>
      <c r="M97" s="22">
        <v>0</v>
      </c>
      <c r="N97" s="22">
        <v>0</v>
      </c>
      <c r="O97" s="22">
        <v>20700</v>
      </c>
      <c r="P97" s="22">
        <v>20700</v>
      </c>
      <c r="Q97" t="str" cm="1">
        <f t="array" ref="Q97">_xlfn.TEXTJOIN("、",TRUE,IF('學員資料-三民高中'!$B$2:$B$454=$F97,'學員資料-三民高中'!$G$2:$G$454,""))</f>
        <v/>
      </c>
      <c r="R97" t="str" cm="1">
        <f t="array" ref="R97">_xlfn.TEXTJOIN("、",TRUE,IF('學員資料-新北高中'!$B$2:$B$583=$F97,'學員資料-新北高中'!$G$2:$G$583,""))</f>
        <v>0928827113(2)</v>
      </c>
      <c r="S97" t="str" cm="1">
        <f t="array" ref="S97">_xlfn.TEXTJOIN("、",TRUE,IF('學員資料-三重商工'!$B$2:$B$472=$F97,'學員資料-三重商工'!$G$2:$G$472,""))</f>
        <v/>
      </c>
      <c r="T97">
        <f t="shared" si="1"/>
        <v>1</v>
      </c>
    </row>
    <row r="98" spans="1:20" ht="14.25" hidden="1" customHeight="1">
      <c r="A98" s="15">
        <v>97</v>
      </c>
      <c r="B98" s="16" t="s">
        <v>448</v>
      </c>
      <c r="C98" s="17">
        <v>46165</v>
      </c>
      <c r="D98" s="15" t="s">
        <v>449</v>
      </c>
      <c r="E98" s="18" t="s">
        <v>78</v>
      </c>
      <c r="F98" s="19" t="s">
        <v>450</v>
      </c>
      <c r="G98" s="18" t="s">
        <v>451</v>
      </c>
      <c r="H98" s="20" t="s">
        <v>52</v>
      </c>
      <c r="I98" s="15">
        <v>1</v>
      </c>
      <c r="J98" s="15" t="s">
        <v>24</v>
      </c>
      <c r="K98" s="15"/>
      <c r="L98" s="21" t="s">
        <v>16</v>
      </c>
      <c r="M98" s="22">
        <v>0</v>
      </c>
      <c r="N98" s="22">
        <v>0</v>
      </c>
      <c r="O98" s="22">
        <v>7500</v>
      </c>
      <c r="P98" s="22">
        <v>7500</v>
      </c>
      <c r="Q98" t="str" cm="1">
        <f t="array" ref="Q98">_xlfn.TEXTJOIN("、",TRUE,IF('學員資料-三民高中'!$B$2:$B$454=$F98,'學員資料-三民高中'!$G$2:$G$454,""))</f>
        <v/>
      </c>
      <c r="R98" t="str" cm="1">
        <f t="array" ref="R98">_xlfn.TEXTJOIN("、",TRUE,IF('學員資料-新北高中'!$B$2:$B$583=$F98,'學員資料-新北高中'!$G$2:$G$583,""))</f>
        <v/>
      </c>
      <c r="S98" t="str" cm="1">
        <f t="array" ref="S98">_xlfn.TEXTJOIN("、",TRUE,IF('學員資料-三重商工'!$B$2:$B$472=$F98,'學員資料-三重商工'!$G$2:$G$472,""))</f>
        <v>0916242232</v>
      </c>
      <c r="T98">
        <f t="shared" si="1"/>
        <v>1</v>
      </c>
    </row>
    <row r="99" spans="1:20" ht="14.25" hidden="1" customHeight="1">
      <c r="A99" s="15">
        <v>98</v>
      </c>
      <c r="B99" s="16" t="s">
        <v>452</v>
      </c>
      <c r="C99" s="17">
        <v>46164</v>
      </c>
      <c r="D99" s="15" t="s">
        <v>453</v>
      </c>
      <c r="E99" s="18" t="s">
        <v>78</v>
      </c>
      <c r="F99" s="19" t="s">
        <v>454</v>
      </c>
      <c r="G99" s="18" t="s">
        <v>455</v>
      </c>
      <c r="H99" s="20" t="s">
        <v>130</v>
      </c>
      <c r="I99" s="15">
        <v>1</v>
      </c>
      <c r="J99" s="15" t="s">
        <v>25</v>
      </c>
      <c r="K99" s="15"/>
      <c r="L99" s="21" t="s">
        <v>18</v>
      </c>
      <c r="M99" s="22">
        <v>0</v>
      </c>
      <c r="N99" s="22">
        <v>-198</v>
      </c>
      <c r="O99" s="22">
        <v>9702</v>
      </c>
      <c r="P99" s="22">
        <v>9702</v>
      </c>
      <c r="Q99" t="str" cm="1">
        <f t="array" ref="Q99">_xlfn.TEXTJOIN("、",TRUE,IF('學員資料-三民高中'!$B$2:$B$454=$F99,'學員資料-三民高中'!$G$2:$G$454,""))</f>
        <v/>
      </c>
      <c r="R99" t="str" cm="1">
        <f t="array" ref="R99">_xlfn.TEXTJOIN("、",TRUE,IF('學員資料-新北高中'!$B$2:$B$583=$F99,'學員資料-新北高中'!$G$2:$G$583,""))</f>
        <v>0978911931-1</v>
      </c>
      <c r="S99" t="str" cm="1">
        <f t="array" ref="S99">_xlfn.TEXTJOIN("、",TRUE,IF('學員資料-三重商工'!$B$2:$B$472=$F99,'學員資料-三重商工'!$G$2:$G$472,""))</f>
        <v/>
      </c>
      <c r="T99">
        <f t="shared" si="1"/>
        <v>1</v>
      </c>
    </row>
    <row r="100" spans="1:20" ht="43.5" hidden="1" customHeight="1">
      <c r="A100" s="15">
        <v>99</v>
      </c>
      <c r="B100" s="16" t="s">
        <v>456</v>
      </c>
      <c r="C100" s="17">
        <v>46164</v>
      </c>
      <c r="D100" s="15" t="s">
        <v>457</v>
      </c>
      <c r="E100" s="18" t="s">
        <v>170</v>
      </c>
      <c r="F100" s="19" t="s">
        <v>458</v>
      </c>
      <c r="G100" s="18" t="s">
        <v>459</v>
      </c>
      <c r="H100" s="20" t="s">
        <v>436</v>
      </c>
      <c r="I100" s="15">
        <v>3</v>
      </c>
      <c r="J100" s="15" t="s">
        <v>24</v>
      </c>
      <c r="K100" s="15"/>
      <c r="L100" s="21" t="s">
        <v>16</v>
      </c>
      <c r="M100" s="22">
        <v>0</v>
      </c>
      <c r="N100" s="22">
        <v>-900</v>
      </c>
      <c r="O100" s="22">
        <v>21600</v>
      </c>
      <c r="P100" s="22">
        <v>21600</v>
      </c>
      <c r="Q100" t="str" cm="1">
        <f t="array" ref="Q100">_xlfn.TEXTJOIN("、",TRUE,IF('學員資料-三民高中'!$B$2:$B$454=$F100,'學員資料-三民高中'!$G$2:$G$454,""))</f>
        <v>0930901313</v>
      </c>
      <c r="R100" t="str" cm="1">
        <f t="array" ref="R100">_xlfn.TEXTJOIN("、",TRUE,IF('學員資料-新北高中'!$B$2:$B$583=$F100,'學員資料-新北高中'!$G$2:$G$583,""))</f>
        <v/>
      </c>
      <c r="S100" t="str" cm="1">
        <f t="array" ref="S100">_xlfn.TEXTJOIN("、",TRUE,IF('學員資料-三重商工'!$B$2:$B$472=$F100,'學員資料-三重商工'!$G$2:$G$472,""))</f>
        <v/>
      </c>
      <c r="T100">
        <f t="shared" si="1"/>
        <v>1</v>
      </c>
    </row>
    <row r="101" spans="1:20" ht="14.25" hidden="1" customHeight="1">
      <c r="A101" s="15">
        <v>100</v>
      </c>
      <c r="B101" s="16" t="s">
        <v>460</v>
      </c>
      <c r="C101" s="17">
        <v>46164</v>
      </c>
      <c r="D101" s="15" t="s">
        <v>461</v>
      </c>
      <c r="E101" s="18" t="s">
        <v>78</v>
      </c>
      <c r="F101" s="19" t="s">
        <v>462</v>
      </c>
      <c r="G101" s="18" t="s">
        <v>463</v>
      </c>
      <c r="H101" s="20" t="s">
        <v>52</v>
      </c>
      <c r="I101" s="15">
        <v>1</v>
      </c>
      <c r="J101" s="15" t="s">
        <v>24</v>
      </c>
      <c r="K101" s="15"/>
      <c r="L101" s="21" t="s">
        <v>16</v>
      </c>
      <c r="M101" s="22">
        <v>0</v>
      </c>
      <c r="N101" s="22">
        <v>-300</v>
      </c>
      <c r="O101" s="22">
        <v>7200</v>
      </c>
      <c r="P101" s="22">
        <v>7200</v>
      </c>
      <c r="Q101" t="str" cm="1">
        <f t="array" ref="Q101">_xlfn.TEXTJOIN("、",TRUE,IF('學員資料-三民高中'!$B$2:$B$454=$F101,'學員資料-三民高中'!$G$2:$G$454,""))</f>
        <v/>
      </c>
      <c r="R101" t="str" cm="1">
        <f t="array" ref="R101">_xlfn.TEXTJOIN("、",TRUE,IF('學員資料-新北高中'!$B$2:$B$583=$F101,'學員資料-新北高中'!$G$2:$G$583,""))</f>
        <v>0938275670</v>
      </c>
      <c r="S101" t="str" cm="1">
        <f t="array" ref="S101">_xlfn.TEXTJOIN("、",TRUE,IF('學員資料-三重商工'!$B$2:$B$472=$F101,'學員資料-三重商工'!$G$2:$G$472,""))</f>
        <v/>
      </c>
      <c r="T101">
        <f t="shared" si="1"/>
        <v>1</v>
      </c>
    </row>
    <row r="102" spans="1:20" ht="14.25" hidden="1" customHeight="1">
      <c r="A102" s="15">
        <v>101</v>
      </c>
      <c r="B102" s="16" t="s">
        <v>464</v>
      </c>
      <c r="C102" s="17">
        <v>46164</v>
      </c>
      <c r="D102" s="15" t="s">
        <v>465</v>
      </c>
      <c r="E102" s="18" t="s">
        <v>170</v>
      </c>
      <c r="F102" s="19" t="s">
        <v>466</v>
      </c>
      <c r="G102" s="18" t="s">
        <v>467</v>
      </c>
      <c r="H102" s="20" t="s">
        <v>52</v>
      </c>
      <c r="I102" s="15">
        <v>1</v>
      </c>
      <c r="J102" s="15" t="s">
        <v>24</v>
      </c>
      <c r="K102" s="15"/>
      <c r="L102" s="21" t="s">
        <v>16</v>
      </c>
      <c r="M102" s="22">
        <v>0</v>
      </c>
      <c r="N102" s="22">
        <v>-150</v>
      </c>
      <c r="O102" s="22">
        <v>7350</v>
      </c>
      <c r="P102" s="22">
        <v>7350</v>
      </c>
      <c r="Q102" t="str" cm="1">
        <f t="array" ref="Q102">_xlfn.TEXTJOIN("、",TRUE,IF('學員資料-三民高中'!$B$2:$B$454=$F102,'學員資料-三民高中'!$G$2:$G$454,""))</f>
        <v>0975926988-1</v>
      </c>
      <c r="R102" t="str" cm="1">
        <f t="array" ref="R102">_xlfn.TEXTJOIN("、",TRUE,IF('學員資料-新北高中'!$B$2:$B$583=$F102,'學員資料-新北高中'!$G$2:$G$583,""))</f>
        <v/>
      </c>
      <c r="S102" t="str" cm="1">
        <f t="array" ref="S102">_xlfn.TEXTJOIN("、",TRUE,IF('學員資料-三重商工'!$B$2:$B$472=$F102,'學員資料-三重商工'!$G$2:$G$472,""))</f>
        <v/>
      </c>
      <c r="T102">
        <f t="shared" si="1"/>
        <v>1</v>
      </c>
    </row>
    <row r="103" spans="1:20" ht="43.5" hidden="1" customHeight="1">
      <c r="A103" s="15">
        <v>102</v>
      </c>
      <c r="B103" s="16" t="s">
        <v>468</v>
      </c>
      <c r="C103" s="17">
        <v>46164</v>
      </c>
      <c r="D103" s="15" t="s">
        <v>469</v>
      </c>
      <c r="E103" s="18" t="s">
        <v>170</v>
      </c>
      <c r="F103" s="19" t="s">
        <v>470</v>
      </c>
      <c r="G103" s="18" t="s">
        <v>471</v>
      </c>
      <c r="H103" s="20" t="s">
        <v>436</v>
      </c>
      <c r="I103" s="15">
        <v>3</v>
      </c>
      <c r="J103" s="15" t="s">
        <v>24</v>
      </c>
      <c r="K103" s="15"/>
      <c r="L103" s="21" t="s">
        <v>16</v>
      </c>
      <c r="M103" s="22">
        <v>0</v>
      </c>
      <c r="N103" s="22">
        <v>-900</v>
      </c>
      <c r="O103" s="22">
        <v>21600</v>
      </c>
      <c r="P103" s="22">
        <v>21600</v>
      </c>
      <c r="Q103" t="str" cm="1">
        <f t="array" ref="Q103">_xlfn.TEXTJOIN("、",TRUE,IF('學員資料-三民高中'!$B$2:$B$454=$F103,'學員資料-三民高中'!$G$2:$G$454,""))</f>
        <v>0925222711</v>
      </c>
      <c r="R103" t="str" cm="1">
        <f t="array" ref="R103">_xlfn.TEXTJOIN("、",TRUE,IF('學員資料-新北高中'!$B$2:$B$583=$F103,'學員資料-新北高中'!$G$2:$G$583,""))</f>
        <v/>
      </c>
      <c r="S103" t="str" cm="1">
        <f t="array" ref="S103">_xlfn.TEXTJOIN("、",TRUE,IF('學員資料-三重商工'!$B$2:$B$472=$F103,'學員資料-三重商工'!$G$2:$G$472,""))</f>
        <v/>
      </c>
      <c r="T103">
        <f t="shared" si="1"/>
        <v>1</v>
      </c>
    </row>
    <row r="104" spans="1:20" ht="28.5" hidden="1" customHeight="1">
      <c r="A104" s="15">
        <v>103</v>
      </c>
      <c r="B104" s="16" t="s">
        <v>472</v>
      </c>
      <c r="C104" s="17">
        <v>46164</v>
      </c>
      <c r="D104" s="15" t="s">
        <v>473</v>
      </c>
      <c r="E104" s="18" t="s">
        <v>170</v>
      </c>
      <c r="F104" s="19" t="s">
        <v>474</v>
      </c>
      <c r="G104" s="18" t="s">
        <v>475</v>
      </c>
      <c r="H104" s="20" t="s">
        <v>99</v>
      </c>
      <c r="I104" s="15">
        <v>2</v>
      </c>
      <c r="J104" s="15" t="s">
        <v>24</v>
      </c>
      <c r="K104" s="15"/>
      <c r="L104" s="21" t="s">
        <v>16</v>
      </c>
      <c r="M104" s="22">
        <v>0</v>
      </c>
      <c r="N104" s="22">
        <v>-300</v>
      </c>
      <c r="O104" s="22">
        <v>14700</v>
      </c>
      <c r="P104" s="22">
        <v>14700</v>
      </c>
      <c r="Q104" t="str" cm="1">
        <f t="array" ref="Q104">_xlfn.TEXTJOIN("、",TRUE,IF('學員資料-三民高中'!$B$2:$B$454=$F104,'學員資料-三民高中'!$G$2:$G$454,""))</f>
        <v>0975398506</v>
      </c>
      <c r="R104" t="str" cm="1">
        <f t="array" ref="R104">_xlfn.TEXTJOIN("、",TRUE,IF('學員資料-新北高中'!$B$2:$B$583=$F104,'學員資料-新北高中'!$G$2:$G$583,""))</f>
        <v/>
      </c>
      <c r="S104" t="str" cm="1">
        <f t="array" ref="S104">_xlfn.TEXTJOIN("、",TRUE,IF('學員資料-三重商工'!$B$2:$B$472=$F104,'學員資料-三重商工'!$G$2:$G$472,""))</f>
        <v/>
      </c>
      <c r="T104">
        <f t="shared" si="1"/>
        <v>1</v>
      </c>
    </row>
    <row r="105" spans="1:20" ht="14.25" hidden="1" customHeight="1">
      <c r="A105" s="15">
        <v>104</v>
      </c>
      <c r="B105" s="16" t="s">
        <v>476</v>
      </c>
      <c r="C105" s="17">
        <v>46164</v>
      </c>
      <c r="D105" s="15" t="s">
        <v>477</v>
      </c>
      <c r="E105" s="18" t="s">
        <v>170</v>
      </c>
      <c r="F105" s="19" t="s">
        <v>478</v>
      </c>
      <c r="G105" s="18" t="s">
        <v>479</v>
      </c>
      <c r="H105" s="20" t="s">
        <v>52</v>
      </c>
      <c r="I105" s="15">
        <v>1</v>
      </c>
      <c r="J105" s="15" t="s">
        <v>24</v>
      </c>
      <c r="K105" s="15"/>
      <c r="L105" s="21" t="s">
        <v>16</v>
      </c>
      <c r="M105" s="22">
        <v>0</v>
      </c>
      <c r="N105" s="22">
        <v>0</v>
      </c>
      <c r="O105" s="22">
        <v>7500</v>
      </c>
      <c r="P105" s="22">
        <v>7500</v>
      </c>
      <c r="Q105" t="str" cm="1">
        <f t="array" ref="Q105">_xlfn.TEXTJOIN("、",TRUE,IF('學員資料-三民高中'!$B$2:$B$454=$F105,'學員資料-三民高中'!$G$2:$G$454,""))</f>
        <v>0932235653</v>
      </c>
      <c r="R105" t="str" cm="1">
        <f t="array" ref="R105">_xlfn.TEXTJOIN("、",TRUE,IF('學員資料-新北高中'!$B$2:$B$583=$F105,'學員資料-新北高中'!$G$2:$G$583,""))</f>
        <v/>
      </c>
      <c r="S105" t="str" cm="1">
        <f t="array" ref="S105">_xlfn.TEXTJOIN("、",TRUE,IF('學員資料-三重商工'!$B$2:$B$472=$F105,'學員資料-三重商工'!$G$2:$G$472,""))</f>
        <v/>
      </c>
      <c r="T105">
        <f t="shared" si="1"/>
        <v>1</v>
      </c>
    </row>
    <row r="106" spans="1:20" ht="14.25" customHeight="1">
      <c r="A106" s="15">
        <v>105</v>
      </c>
      <c r="B106" s="16" t="s">
        <v>480</v>
      </c>
      <c r="C106" s="17">
        <v>46164</v>
      </c>
      <c r="D106" s="15" t="s">
        <v>481</v>
      </c>
      <c r="E106" s="18" t="s">
        <v>170</v>
      </c>
      <c r="F106" s="19" t="s">
        <v>482</v>
      </c>
      <c r="G106" s="18" t="s">
        <v>483</v>
      </c>
      <c r="H106" s="20" t="s">
        <v>66</v>
      </c>
      <c r="I106" s="15">
        <v>1</v>
      </c>
      <c r="J106" s="15" t="s">
        <v>23</v>
      </c>
      <c r="K106" s="15"/>
      <c r="L106" s="21" t="s">
        <v>16</v>
      </c>
      <c r="M106" s="22">
        <v>0</v>
      </c>
      <c r="N106" s="22">
        <v>-138</v>
      </c>
      <c r="O106" s="22">
        <v>6762</v>
      </c>
      <c r="P106" s="22">
        <v>6762</v>
      </c>
      <c r="Q106" t="str" cm="1">
        <f t="array" ref="Q106">_xlfn.TEXTJOIN("、",TRUE,IF('學員資料-三民高中'!$B$2:$B$454=$F106,'學員資料-三民高中'!$G$2:$G$454,""))</f>
        <v/>
      </c>
      <c r="R106" t="str" cm="1">
        <f t="array" ref="R106">_xlfn.TEXTJOIN("、",TRUE,IF('學員資料-新北高中'!$B$2:$B$583=$F106,'學員資料-新北高中'!$G$2:$G$583,""))</f>
        <v/>
      </c>
      <c r="S106" t="str" cm="1">
        <f t="array" ref="S106">_xlfn.TEXTJOIN("、",TRUE,IF('學員資料-三重商工'!$B$2:$B$472=$F106,'學員資料-三重商工'!$G$2:$G$472,""))</f>
        <v/>
      </c>
      <c r="T106">
        <f t="shared" si="1"/>
        <v>0</v>
      </c>
    </row>
    <row r="107" spans="1:20" ht="14.25" hidden="1" customHeight="1">
      <c r="A107" s="15">
        <v>106</v>
      </c>
      <c r="B107" s="16" t="s">
        <v>484</v>
      </c>
      <c r="C107" s="17">
        <v>46163</v>
      </c>
      <c r="D107" s="15" t="s">
        <v>485</v>
      </c>
      <c r="E107" s="18" t="s">
        <v>83</v>
      </c>
      <c r="F107" s="19" t="s">
        <v>486</v>
      </c>
      <c r="G107" s="18" t="s">
        <v>487</v>
      </c>
      <c r="H107" s="20" t="s">
        <v>210</v>
      </c>
      <c r="I107" s="15">
        <v>1</v>
      </c>
      <c r="J107" s="15" t="s">
        <v>26</v>
      </c>
      <c r="K107" s="15"/>
      <c r="L107" s="21" t="s">
        <v>18</v>
      </c>
      <c r="M107" s="22">
        <v>0</v>
      </c>
      <c r="N107" s="22">
        <v>-240</v>
      </c>
      <c r="O107" s="22">
        <v>11760</v>
      </c>
      <c r="P107" s="22">
        <v>11760</v>
      </c>
      <c r="Q107" t="str" cm="1">
        <f t="array" ref="Q107">_xlfn.TEXTJOIN("、",TRUE,IF('學員資料-三民高中'!$B$2:$B$454=$F107,'學員資料-三民高中'!$G$2:$G$454,""))</f>
        <v/>
      </c>
      <c r="R107" t="str" cm="1">
        <f t="array" ref="R107">_xlfn.TEXTJOIN("、",TRUE,IF('學員資料-新北高中'!$B$2:$B$583=$F107,'學員資料-新北高中'!$G$2:$G$583,""))</f>
        <v/>
      </c>
      <c r="S107" t="str" cm="1">
        <f t="array" ref="S107">_xlfn.TEXTJOIN("、",TRUE,IF('學員資料-三重商工'!$B$2:$B$472=$F107,'學員資料-三重商工'!$G$2:$G$472,""))</f>
        <v>0921173932</v>
      </c>
      <c r="T107">
        <f t="shared" si="1"/>
        <v>1</v>
      </c>
    </row>
    <row r="108" spans="1:20" ht="14.25" hidden="1" customHeight="1">
      <c r="A108" s="15">
        <v>107</v>
      </c>
      <c r="B108" s="16" t="s">
        <v>488</v>
      </c>
      <c r="C108" s="17">
        <v>46163</v>
      </c>
      <c r="D108" s="15" t="s">
        <v>489</v>
      </c>
      <c r="E108" s="18" t="s">
        <v>83</v>
      </c>
      <c r="F108" s="19" t="s">
        <v>490</v>
      </c>
      <c r="G108" s="18" t="s">
        <v>491</v>
      </c>
      <c r="H108" s="20" t="s">
        <v>112</v>
      </c>
      <c r="I108" s="15">
        <v>1</v>
      </c>
      <c r="J108" s="15" t="s">
        <v>23</v>
      </c>
      <c r="K108" s="15"/>
      <c r="L108" s="21" t="s">
        <v>18</v>
      </c>
      <c r="M108" s="22">
        <v>0</v>
      </c>
      <c r="N108" s="22">
        <v>0</v>
      </c>
      <c r="O108" s="22">
        <v>8280</v>
      </c>
      <c r="P108" s="22">
        <v>8280</v>
      </c>
      <c r="Q108" t="str" cm="1">
        <f t="array" ref="Q108">_xlfn.TEXTJOIN("、",TRUE,IF('學員資料-三民高中'!$B$2:$B$454=$F108,'學員資料-三民高中'!$G$2:$G$454,""))</f>
        <v/>
      </c>
      <c r="R108" t="str" cm="1">
        <f t="array" ref="R108">_xlfn.TEXTJOIN("、",TRUE,IF('學員資料-新北高中'!$B$2:$B$583=$F108,'學員資料-新北高中'!$G$2:$G$583,""))</f>
        <v/>
      </c>
      <c r="S108" t="str" cm="1">
        <f t="array" ref="S108">_xlfn.TEXTJOIN("、",TRUE,IF('學員資料-三重商工'!$B$2:$B$472=$F108,'學員資料-三重商工'!$G$2:$G$472,""))</f>
        <v>0912562136</v>
      </c>
      <c r="T108">
        <f t="shared" si="1"/>
        <v>1</v>
      </c>
    </row>
    <row r="109" spans="1:20" ht="14.25" hidden="1" customHeight="1">
      <c r="A109" s="15">
        <v>108</v>
      </c>
      <c r="B109" s="16" t="s">
        <v>492</v>
      </c>
      <c r="C109" s="17">
        <v>46163</v>
      </c>
      <c r="D109" s="15" t="s">
        <v>493</v>
      </c>
      <c r="E109" s="18" t="s">
        <v>83</v>
      </c>
      <c r="F109" s="19" t="s">
        <v>494</v>
      </c>
      <c r="G109" s="18" t="s">
        <v>495</v>
      </c>
      <c r="H109" s="20" t="s">
        <v>130</v>
      </c>
      <c r="I109" s="15">
        <v>1</v>
      </c>
      <c r="J109" s="15" t="s">
        <v>25</v>
      </c>
      <c r="K109" s="15"/>
      <c r="L109" s="21" t="s">
        <v>18</v>
      </c>
      <c r="M109" s="22">
        <v>0</v>
      </c>
      <c r="N109" s="22">
        <v>-198</v>
      </c>
      <c r="O109" s="22">
        <v>9702</v>
      </c>
      <c r="P109" s="22">
        <v>9702</v>
      </c>
      <c r="Q109" t="str" cm="1">
        <f t="array" ref="Q109">_xlfn.TEXTJOIN("、",TRUE,IF('學員資料-三民高中'!$B$2:$B$454=$F109,'學員資料-三民高中'!$G$2:$G$454,""))</f>
        <v/>
      </c>
      <c r="R109" t="str" cm="1">
        <f t="array" ref="R109">_xlfn.TEXTJOIN("、",TRUE,IF('學員資料-新北高中'!$B$2:$B$583=$F109,'學員資料-新北高中'!$G$2:$G$583,""))</f>
        <v/>
      </c>
      <c r="S109" t="str" cm="1">
        <f t="array" ref="S109">_xlfn.TEXTJOIN("、",TRUE,IF('學員資料-三重商工'!$B$2:$B$472=$F109,'學員資料-三重商工'!$G$2:$G$472,""))</f>
        <v>0989016012</v>
      </c>
      <c r="T109">
        <f t="shared" si="1"/>
        <v>1</v>
      </c>
    </row>
    <row r="110" spans="1:20" ht="14.25" hidden="1" customHeight="1">
      <c r="A110" s="15">
        <v>109</v>
      </c>
      <c r="B110" s="16" t="s">
        <v>496</v>
      </c>
      <c r="C110" s="17">
        <v>46163</v>
      </c>
      <c r="D110" s="15" t="s">
        <v>497</v>
      </c>
      <c r="E110" s="18" t="s">
        <v>83</v>
      </c>
      <c r="F110" s="19" t="s">
        <v>498</v>
      </c>
      <c r="G110" s="18" t="s">
        <v>499</v>
      </c>
      <c r="H110" s="20" t="s">
        <v>52</v>
      </c>
      <c r="I110" s="15">
        <v>1</v>
      </c>
      <c r="J110" s="15" t="s">
        <v>24</v>
      </c>
      <c r="K110" s="15"/>
      <c r="L110" s="21" t="s">
        <v>16</v>
      </c>
      <c r="M110" s="22">
        <v>0</v>
      </c>
      <c r="N110" s="22">
        <v>-150</v>
      </c>
      <c r="O110" s="22">
        <v>7350</v>
      </c>
      <c r="P110" s="22">
        <v>7350</v>
      </c>
      <c r="Q110" t="str" cm="1">
        <f t="array" ref="Q110">_xlfn.TEXTJOIN("、",TRUE,IF('學員資料-三民高中'!$B$2:$B$454=$F110,'學員資料-三民高中'!$G$2:$G$454,""))</f>
        <v/>
      </c>
      <c r="R110" t="str" cm="1">
        <f t="array" ref="R110">_xlfn.TEXTJOIN("、",TRUE,IF('學員資料-新北高中'!$B$2:$B$583=$F110,'學員資料-新北高中'!$G$2:$G$583,""))</f>
        <v/>
      </c>
      <c r="S110" t="str" cm="1">
        <f t="array" ref="S110">_xlfn.TEXTJOIN("、",TRUE,IF('學員資料-三重商工'!$B$2:$B$472=$F110,'學員資料-三重商工'!$G$2:$G$472,""))</f>
        <v>0986017777</v>
      </c>
      <c r="T110">
        <f t="shared" si="1"/>
        <v>1</v>
      </c>
    </row>
    <row r="111" spans="1:20" ht="14.25" hidden="1" customHeight="1">
      <c r="A111" s="15">
        <v>110</v>
      </c>
      <c r="B111" s="16" t="s">
        <v>500</v>
      </c>
      <c r="C111" s="17">
        <v>46163</v>
      </c>
      <c r="D111" s="15" t="s">
        <v>501</v>
      </c>
      <c r="E111" s="18" t="s">
        <v>83</v>
      </c>
      <c r="F111" s="19" t="s">
        <v>502</v>
      </c>
      <c r="G111" s="18" t="s">
        <v>503</v>
      </c>
      <c r="H111" s="20" t="s">
        <v>66</v>
      </c>
      <c r="I111" s="15">
        <v>1</v>
      </c>
      <c r="J111" s="15" t="s">
        <v>23</v>
      </c>
      <c r="K111" s="15"/>
      <c r="L111" s="21" t="s">
        <v>18</v>
      </c>
      <c r="M111" s="22">
        <v>0</v>
      </c>
      <c r="N111" s="22">
        <v>-138</v>
      </c>
      <c r="O111" s="22">
        <v>6762</v>
      </c>
      <c r="P111" s="22">
        <v>6762</v>
      </c>
      <c r="Q111" t="str" cm="1">
        <f t="array" ref="Q111">_xlfn.TEXTJOIN("、",TRUE,IF('學員資料-三民高中'!$B$2:$B$454=$F111,'學員資料-三民高中'!$G$2:$G$454,""))</f>
        <v/>
      </c>
      <c r="R111" t="str" cm="1">
        <f t="array" ref="R111">_xlfn.TEXTJOIN("、",TRUE,IF('學員資料-新北高中'!$B$2:$B$583=$F111,'學員資料-新北高中'!$G$2:$G$583,""))</f>
        <v/>
      </c>
      <c r="S111" t="str" cm="1">
        <f t="array" ref="S111">_xlfn.TEXTJOIN("、",TRUE,IF('學員資料-三重商工'!$B$2:$B$472=$F111,'學員資料-三重商工'!$G$2:$G$472,""))</f>
        <v>0917555573</v>
      </c>
      <c r="T111">
        <f t="shared" si="1"/>
        <v>1</v>
      </c>
    </row>
    <row r="112" spans="1:20" ht="28.5" hidden="1" customHeight="1">
      <c r="A112" s="15">
        <v>111</v>
      </c>
      <c r="B112" s="16" t="s">
        <v>504</v>
      </c>
      <c r="C112" s="17">
        <v>46163</v>
      </c>
      <c r="D112" s="15" t="s">
        <v>505</v>
      </c>
      <c r="E112" s="18" t="s">
        <v>83</v>
      </c>
      <c r="F112" s="19" t="s">
        <v>506</v>
      </c>
      <c r="G112" s="18" t="s">
        <v>507</v>
      </c>
      <c r="H112" s="20" t="s">
        <v>99</v>
      </c>
      <c r="I112" s="15">
        <v>2</v>
      </c>
      <c r="J112" s="15" t="s">
        <v>24</v>
      </c>
      <c r="K112" s="15"/>
      <c r="L112" s="21" t="s">
        <v>18</v>
      </c>
      <c r="M112" s="22">
        <v>0</v>
      </c>
      <c r="N112" s="22">
        <v>-3000</v>
      </c>
      <c r="O112" s="22">
        <v>12000</v>
      </c>
      <c r="P112" s="22">
        <v>12000</v>
      </c>
      <c r="Q112" t="str" cm="1">
        <f t="array" ref="Q112">_xlfn.TEXTJOIN("、",TRUE,IF('學員資料-三民高中'!$B$2:$B$454=$F112,'學員資料-三民高中'!$G$2:$G$454,""))</f>
        <v/>
      </c>
      <c r="R112" t="str" cm="1">
        <f t="array" ref="R112">_xlfn.TEXTJOIN("、",TRUE,IF('學員資料-新北高中'!$B$2:$B$583=$F112,'學員資料-新北高中'!$G$2:$G$583,""))</f>
        <v/>
      </c>
      <c r="S112" t="str" cm="1">
        <f t="array" ref="S112">_xlfn.TEXTJOIN("、",TRUE,IF('學員資料-三重商工'!$B$2:$B$472=$F112,'學員資料-三重商工'!$G$2:$G$472,""))</f>
        <v>0956050522</v>
      </c>
      <c r="T112">
        <f t="shared" si="1"/>
        <v>1</v>
      </c>
    </row>
    <row r="113" spans="1:20" ht="43.5" hidden="1" customHeight="1">
      <c r="A113" s="15">
        <v>112</v>
      </c>
      <c r="B113" s="16" t="s">
        <v>508</v>
      </c>
      <c r="C113" s="17">
        <v>46163</v>
      </c>
      <c r="D113" s="15" t="s">
        <v>509</v>
      </c>
      <c r="E113" s="18" t="s">
        <v>83</v>
      </c>
      <c r="F113" s="19" t="s">
        <v>510</v>
      </c>
      <c r="G113" s="18" t="s">
        <v>511</v>
      </c>
      <c r="H113" s="20" t="s">
        <v>405</v>
      </c>
      <c r="I113" s="15">
        <v>3</v>
      </c>
      <c r="J113" s="15" t="s">
        <v>25</v>
      </c>
      <c r="K113" s="15"/>
      <c r="L113" s="21" t="s">
        <v>18</v>
      </c>
      <c r="M113" s="22">
        <v>0</v>
      </c>
      <c r="N113" s="22">
        <v>-1188</v>
      </c>
      <c r="O113" s="22">
        <v>28512</v>
      </c>
      <c r="P113" s="22">
        <v>28512</v>
      </c>
      <c r="Q113" t="str" cm="1">
        <f t="array" ref="Q113">_xlfn.TEXTJOIN("、",TRUE,IF('學員資料-三民高中'!$B$2:$B$454=$F113,'學員資料-三民高中'!$G$2:$G$454,""))</f>
        <v/>
      </c>
      <c r="R113" t="str" cm="1">
        <f t="array" ref="R113">_xlfn.TEXTJOIN("、",TRUE,IF('學員資料-新北高中'!$B$2:$B$583=$F113,'學員資料-新北高中'!$G$2:$G$583,""))</f>
        <v/>
      </c>
      <c r="S113" t="str" cm="1">
        <f t="array" ref="S113">_xlfn.TEXTJOIN("、",TRUE,IF('學員資料-三重商工'!$B$2:$B$472=$F113,'學員資料-三重商工'!$G$2:$G$472,""))</f>
        <v>0932707649</v>
      </c>
      <c r="T113">
        <f t="shared" si="1"/>
        <v>1</v>
      </c>
    </row>
    <row r="114" spans="1:20" ht="14.25" hidden="1" customHeight="1">
      <c r="A114" s="15">
        <v>113</v>
      </c>
      <c r="B114" s="16" t="s">
        <v>512</v>
      </c>
      <c r="C114" s="17">
        <v>46163</v>
      </c>
      <c r="D114" s="15" t="s">
        <v>513</v>
      </c>
      <c r="E114" s="18" t="s">
        <v>83</v>
      </c>
      <c r="F114" s="19" t="s">
        <v>514</v>
      </c>
      <c r="G114" s="18" t="s">
        <v>515</v>
      </c>
      <c r="H114" s="20" t="s">
        <v>52</v>
      </c>
      <c r="I114" s="15">
        <v>1</v>
      </c>
      <c r="J114" s="15" t="s">
        <v>24</v>
      </c>
      <c r="K114" s="15"/>
      <c r="L114" s="21" t="s">
        <v>16</v>
      </c>
      <c r="M114" s="22">
        <v>0</v>
      </c>
      <c r="N114" s="22">
        <v>-150</v>
      </c>
      <c r="O114" s="22">
        <v>7350</v>
      </c>
      <c r="P114" s="22">
        <v>7350</v>
      </c>
      <c r="Q114" t="str" cm="1">
        <f t="array" ref="Q114">_xlfn.TEXTJOIN("、",TRUE,IF('學員資料-三民高中'!$B$2:$B$454=$F114,'學員資料-三民高中'!$G$2:$G$454,""))</f>
        <v/>
      </c>
      <c r="R114" t="str" cm="1">
        <f t="array" ref="R114">_xlfn.TEXTJOIN("、",TRUE,IF('學員資料-新北高中'!$B$2:$B$583=$F114,'學員資料-新北高中'!$G$2:$G$583,""))</f>
        <v/>
      </c>
      <c r="S114" t="str" cm="1">
        <f t="array" ref="S114">_xlfn.TEXTJOIN("、",TRUE,IF('學員資料-三重商工'!$B$2:$B$472=$F114,'學員資料-三重商工'!$G$2:$G$472,""))</f>
        <v>0988135080</v>
      </c>
      <c r="T114">
        <f t="shared" si="1"/>
        <v>1</v>
      </c>
    </row>
    <row r="115" spans="1:20" ht="14.25" hidden="1" customHeight="1">
      <c r="A115" s="15">
        <v>114</v>
      </c>
      <c r="B115" s="16" t="s">
        <v>516</v>
      </c>
      <c r="C115" s="17">
        <v>46163</v>
      </c>
      <c r="D115" s="15" t="s">
        <v>517</v>
      </c>
      <c r="E115" s="18" t="s">
        <v>83</v>
      </c>
      <c r="F115" s="19" t="s">
        <v>518</v>
      </c>
      <c r="G115" s="18" t="s">
        <v>519</v>
      </c>
      <c r="H115" s="20" t="s">
        <v>112</v>
      </c>
      <c r="I115" s="15">
        <v>1</v>
      </c>
      <c r="J115" s="15" t="s">
        <v>23</v>
      </c>
      <c r="K115" s="15"/>
      <c r="L115" s="21" t="s">
        <v>18</v>
      </c>
      <c r="M115" s="22">
        <v>0</v>
      </c>
      <c r="N115" s="22">
        <v>-166</v>
      </c>
      <c r="O115" s="22">
        <v>8114</v>
      </c>
      <c r="P115" s="22">
        <v>8114</v>
      </c>
      <c r="Q115" t="str" cm="1">
        <f t="array" ref="Q115">_xlfn.TEXTJOIN("、",TRUE,IF('學員資料-三民高中'!$B$2:$B$454=$F115,'學員資料-三民高中'!$G$2:$G$454,""))</f>
        <v/>
      </c>
      <c r="R115" t="str" cm="1">
        <f t="array" ref="R115">_xlfn.TEXTJOIN("、",TRUE,IF('學員資料-新北高中'!$B$2:$B$583=$F115,'學員資料-新北高中'!$G$2:$G$583,""))</f>
        <v/>
      </c>
      <c r="S115" t="str" cm="1">
        <f t="array" ref="S115">_xlfn.TEXTJOIN("、",TRUE,IF('學員資料-三重商工'!$B$2:$B$472=$F115,'學員資料-三重商工'!$G$2:$G$472,""))</f>
        <v>0988629096</v>
      </c>
      <c r="T115">
        <f t="shared" si="1"/>
        <v>1</v>
      </c>
    </row>
    <row r="116" spans="1:20" ht="14.25" hidden="1" customHeight="1">
      <c r="A116" s="15">
        <v>115</v>
      </c>
      <c r="B116" s="16" t="s">
        <v>520</v>
      </c>
      <c r="C116" s="17">
        <v>46162</v>
      </c>
      <c r="D116" s="15" t="s">
        <v>521</v>
      </c>
      <c r="E116" s="18" t="s">
        <v>83</v>
      </c>
      <c r="F116" s="19" t="s">
        <v>522</v>
      </c>
      <c r="G116" s="18" t="s">
        <v>523</v>
      </c>
      <c r="H116" s="20" t="s">
        <v>124</v>
      </c>
      <c r="I116" s="15">
        <v>1</v>
      </c>
      <c r="J116" s="15" t="s">
        <v>26</v>
      </c>
      <c r="K116" s="15"/>
      <c r="L116" s="21" t="s">
        <v>16</v>
      </c>
      <c r="M116" s="22">
        <v>0</v>
      </c>
      <c r="N116" s="22">
        <v>-288</v>
      </c>
      <c r="O116" s="22">
        <v>14112</v>
      </c>
      <c r="P116" s="22">
        <v>14112</v>
      </c>
      <c r="Q116" t="str" cm="1">
        <f t="array" ref="Q116">_xlfn.TEXTJOIN("、",TRUE,IF('學員資料-三民高中'!$B$2:$B$454=$F116,'學員資料-三民高中'!$G$2:$G$454,""))</f>
        <v/>
      </c>
      <c r="R116" t="str" cm="1">
        <f t="array" ref="R116">_xlfn.TEXTJOIN("、",TRUE,IF('學員資料-新北高中'!$B$2:$B$583=$F116,'學員資料-新北高中'!$G$2:$G$583,""))</f>
        <v/>
      </c>
      <c r="S116" t="str" cm="1">
        <f t="array" ref="S116">_xlfn.TEXTJOIN("、",TRUE,IF('學員資料-三重商工'!$B$2:$B$472=$F116,'學員資料-三重商工'!$G$2:$G$472,""))</f>
        <v>0933951044</v>
      </c>
      <c r="T116">
        <f t="shared" si="1"/>
        <v>1</v>
      </c>
    </row>
    <row r="117" spans="1:20" ht="43.5" hidden="1" customHeight="1">
      <c r="A117" s="15">
        <v>116</v>
      </c>
      <c r="B117" s="16" t="s">
        <v>524</v>
      </c>
      <c r="C117" s="17">
        <v>46162</v>
      </c>
      <c r="D117" s="15" t="s">
        <v>525</v>
      </c>
      <c r="E117" s="18" t="s">
        <v>83</v>
      </c>
      <c r="F117" s="19" t="s">
        <v>526</v>
      </c>
      <c r="G117" s="18" t="s">
        <v>527</v>
      </c>
      <c r="H117" s="20" t="s">
        <v>528</v>
      </c>
      <c r="I117" s="15">
        <v>3</v>
      </c>
      <c r="J117" s="15" t="s">
        <v>23</v>
      </c>
      <c r="K117" s="15"/>
      <c r="L117" s="21" t="s">
        <v>16</v>
      </c>
      <c r="M117" s="22">
        <v>0</v>
      </c>
      <c r="N117" s="22">
        <v>-996</v>
      </c>
      <c r="O117" s="22">
        <v>23844</v>
      </c>
      <c r="P117" s="22">
        <v>23844</v>
      </c>
      <c r="Q117" t="str" cm="1">
        <f t="array" ref="Q117">_xlfn.TEXTJOIN("、",TRUE,IF('學員資料-三民高中'!$B$2:$B$454=$F117,'學員資料-三民高中'!$G$2:$G$454,""))</f>
        <v/>
      </c>
      <c r="R117" t="str" cm="1">
        <f t="array" ref="R117">_xlfn.TEXTJOIN("、",TRUE,IF('學員資料-新北高中'!$B$2:$B$583=$F117,'學員資料-新北高中'!$G$2:$G$583,""))</f>
        <v/>
      </c>
      <c r="S117" t="str" cm="1">
        <f t="array" ref="S117">_xlfn.TEXTJOIN("、",TRUE,IF('學員資料-三重商工'!$B$2:$B$472=$F117,'學員資料-三重商工'!$G$2:$G$472,""))</f>
        <v>0925395167</v>
      </c>
      <c r="T117">
        <f t="shared" si="1"/>
        <v>1</v>
      </c>
    </row>
    <row r="118" spans="1:20" ht="43.5" hidden="1" customHeight="1">
      <c r="A118" s="15">
        <v>117</v>
      </c>
      <c r="B118" s="16" t="s">
        <v>529</v>
      </c>
      <c r="C118" s="17">
        <v>46162</v>
      </c>
      <c r="D118" s="15" t="s">
        <v>530</v>
      </c>
      <c r="E118" s="18" t="s">
        <v>83</v>
      </c>
      <c r="F118" s="19" t="s">
        <v>531</v>
      </c>
      <c r="G118" s="18" t="s">
        <v>532</v>
      </c>
      <c r="H118" s="20" t="s">
        <v>528</v>
      </c>
      <c r="I118" s="15">
        <v>3</v>
      </c>
      <c r="J118" s="15" t="s">
        <v>23</v>
      </c>
      <c r="K118" s="15"/>
      <c r="L118" s="21" t="s">
        <v>16</v>
      </c>
      <c r="M118" s="22">
        <v>0</v>
      </c>
      <c r="N118" s="22">
        <v>-996</v>
      </c>
      <c r="O118" s="22">
        <v>23844</v>
      </c>
      <c r="P118" s="22">
        <v>23844</v>
      </c>
      <c r="Q118" t="str" cm="1">
        <f t="array" ref="Q118">_xlfn.TEXTJOIN("、",TRUE,IF('學員資料-三民高中'!$B$2:$B$454=$F118,'學員資料-三民高中'!$G$2:$G$454,""))</f>
        <v/>
      </c>
      <c r="R118" t="str" cm="1">
        <f t="array" ref="R118">_xlfn.TEXTJOIN("、",TRUE,IF('學員資料-新北高中'!$B$2:$B$583=$F118,'學員資料-新北高中'!$G$2:$G$583,""))</f>
        <v/>
      </c>
      <c r="S118" t="str" cm="1">
        <f t="array" ref="S118">_xlfn.TEXTJOIN("、",TRUE,IF('學員資料-三重商工'!$B$2:$B$472=$F118,'學員資料-三重商工'!$G$2:$G$472,""))</f>
        <v>0983916765-1</v>
      </c>
      <c r="T118">
        <f t="shared" si="1"/>
        <v>1</v>
      </c>
    </row>
    <row r="119" spans="1:20" ht="14.25" hidden="1" customHeight="1">
      <c r="A119" s="15">
        <v>118</v>
      </c>
      <c r="B119" s="16" t="s">
        <v>533</v>
      </c>
      <c r="C119" s="17">
        <v>46162</v>
      </c>
      <c r="D119" s="15" t="s">
        <v>534</v>
      </c>
      <c r="E119" s="18" t="s">
        <v>83</v>
      </c>
      <c r="F119" s="19" t="s">
        <v>110</v>
      </c>
      <c r="G119" s="18" t="s">
        <v>111</v>
      </c>
      <c r="H119" s="20" t="s">
        <v>112</v>
      </c>
      <c r="I119" s="15">
        <v>1</v>
      </c>
      <c r="J119" s="15" t="s">
        <v>23</v>
      </c>
      <c r="K119" s="15"/>
      <c r="L119" s="21" t="s">
        <v>18</v>
      </c>
      <c r="M119" s="22">
        <v>0</v>
      </c>
      <c r="N119" s="22">
        <v>-414</v>
      </c>
      <c r="O119" s="22">
        <v>7866</v>
      </c>
      <c r="P119" s="22">
        <v>7866</v>
      </c>
      <c r="Q119" t="str" cm="1">
        <f t="array" ref="Q119">_xlfn.TEXTJOIN("、",TRUE,IF('學員資料-三民高中'!$B$2:$B$454=$F119,'學員資料-三民高中'!$G$2:$G$454,""))</f>
        <v/>
      </c>
      <c r="R119" t="str" cm="1">
        <f t="array" ref="R119">_xlfn.TEXTJOIN("、",TRUE,IF('學員資料-新北高中'!$B$2:$B$583=$F119,'學員資料-新北高中'!$G$2:$G$583,""))</f>
        <v/>
      </c>
      <c r="S119" t="str" cm="1">
        <f t="array" ref="S119">_xlfn.TEXTJOIN("、",TRUE,IF('學員資料-三重商工'!$B$2:$B$472=$F119,'學員資料-三重商工'!$G$2:$G$472,""))</f>
        <v>0958934004</v>
      </c>
      <c r="T119">
        <f t="shared" si="1"/>
        <v>1</v>
      </c>
    </row>
    <row r="120" spans="1:20" ht="14.25" hidden="1" customHeight="1">
      <c r="A120" s="15">
        <v>119</v>
      </c>
      <c r="B120" s="16" t="s">
        <v>535</v>
      </c>
      <c r="C120" s="17">
        <v>46162</v>
      </c>
      <c r="D120" s="15" t="s">
        <v>536</v>
      </c>
      <c r="E120" s="18" t="s">
        <v>537</v>
      </c>
      <c r="F120" s="19" t="s">
        <v>538</v>
      </c>
      <c r="G120" s="18" t="s">
        <v>539</v>
      </c>
      <c r="H120" s="20" t="s">
        <v>52</v>
      </c>
      <c r="I120" s="15">
        <v>1</v>
      </c>
      <c r="J120" s="15" t="s">
        <v>24</v>
      </c>
      <c r="K120" s="15"/>
      <c r="L120" s="21" t="s">
        <v>16</v>
      </c>
      <c r="M120" s="22">
        <v>0</v>
      </c>
      <c r="N120" s="22">
        <v>-750</v>
      </c>
      <c r="O120" s="22">
        <v>6750</v>
      </c>
      <c r="P120" s="22">
        <v>6750</v>
      </c>
      <c r="Q120" t="str" cm="1">
        <f t="array" ref="Q120">_xlfn.TEXTJOIN("、",TRUE,IF('學員資料-三民高中'!$B$2:$B$454=$F120,'學員資料-三民高中'!$G$2:$G$454,""))</f>
        <v>0939973562</v>
      </c>
      <c r="R120" t="str" cm="1">
        <f t="array" ref="R120">_xlfn.TEXTJOIN("、",TRUE,IF('學員資料-新北高中'!$B$2:$B$583=$F120,'學員資料-新北高中'!$G$2:$G$583,""))</f>
        <v/>
      </c>
      <c r="S120" t="str" cm="1">
        <f t="array" ref="S120">_xlfn.TEXTJOIN("、",TRUE,IF('學員資料-三重商工'!$B$2:$B$472=$F120,'學員資料-三重商工'!$G$2:$G$472,""))</f>
        <v/>
      </c>
      <c r="T120">
        <f t="shared" si="1"/>
        <v>1</v>
      </c>
    </row>
    <row r="121" spans="1:20" ht="14.25" hidden="1" customHeight="1">
      <c r="A121" s="15">
        <v>120</v>
      </c>
      <c r="B121" s="16" t="s">
        <v>540</v>
      </c>
      <c r="C121" s="17">
        <v>46162</v>
      </c>
      <c r="D121" s="15" t="s">
        <v>541</v>
      </c>
      <c r="E121" s="18" t="s">
        <v>195</v>
      </c>
      <c r="F121" s="19" t="s">
        <v>542</v>
      </c>
      <c r="G121" s="18" t="s">
        <v>543</v>
      </c>
      <c r="H121" s="20" t="s">
        <v>66</v>
      </c>
      <c r="I121" s="15">
        <v>1</v>
      </c>
      <c r="J121" s="15" t="s">
        <v>23</v>
      </c>
      <c r="K121" s="15"/>
      <c r="L121" s="21" t="s">
        <v>18</v>
      </c>
      <c r="M121" s="22">
        <v>0</v>
      </c>
      <c r="N121" s="22">
        <v>-138</v>
      </c>
      <c r="O121" s="22">
        <v>6762</v>
      </c>
      <c r="P121" s="22">
        <v>6762</v>
      </c>
      <c r="Q121" t="str" cm="1">
        <f t="array" ref="Q121">_xlfn.TEXTJOIN("、",TRUE,IF('學員資料-三民高中'!$B$2:$B$454=$F121,'學員資料-三民高中'!$G$2:$G$454,""))</f>
        <v/>
      </c>
      <c r="R121" t="str" cm="1">
        <f t="array" ref="R121">_xlfn.TEXTJOIN("、",TRUE,IF('學員資料-新北高中'!$B$2:$B$583=$F121,'學員資料-新北高中'!$G$2:$G$583,""))</f>
        <v>0918068640</v>
      </c>
      <c r="S121" t="str" cm="1">
        <f t="array" ref="S121">_xlfn.TEXTJOIN("、",TRUE,IF('學員資料-三重商工'!$B$2:$B$472=$F121,'學員資料-三重商工'!$G$2:$G$472,""))</f>
        <v/>
      </c>
      <c r="T121">
        <f t="shared" si="1"/>
        <v>1</v>
      </c>
    </row>
    <row r="122" spans="1:20" ht="14.25" hidden="1" customHeight="1">
      <c r="A122" s="15">
        <v>121</v>
      </c>
      <c r="B122" s="16" t="s">
        <v>544</v>
      </c>
      <c r="C122" s="17">
        <v>46161</v>
      </c>
      <c r="D122" s="15" t="s">
        <v>545</v>
      </c>
      <c r="E122" s="18" t="s">
        <v>83</v>
      </c>
      <c r="F122" s="19" t="s">
        <v>546</v>
      </c>
      <c r="G122" s="18" t="s">
        <v>547</v>
      </c>
      <c r="H122" s="20" t="s">
        <v>210</v>
      </c>
      <c r="I122" s="15">
        <v>1</v>
      </c>
      <c r="J122" s="15" t="s">
        <v>26</v>
      </c>
      <c r="K122" s="15"/>
      <c r="L122" s="21" t="s">
        <v>18</v>
      </c>
      <c r="M122" s="22">
        <v>0</v>
      </c>
      <c r="N122" s="22">
        <v>-240</v>
      </c>
      <c r="O122" s="22">
        <v>11760</v>
      </c>
      <c r="P122" s="22">
        <v>11760</v>
      </c>
      <c r="Q122" t="str" cm="1">
        <f t="array" ref="Q122">_xlfn.TEXTJOIN("、",TRUE,IF('學員資料-三民高中'!$B$2:$B$454=$F122,'學員資料-三民高中'!$G$2:$G$454,""))</f>
        <v/>
      </c>
      <c r="R122" t="str" cm="1">
        <f t="array" ref="R122">_xlfn.TEXTJOIN("、",TRUE,IF('學員資料-新北高中'!$B$2:$B$583=$F122,'學員資料-新北高中'!$G$2:$G$583,""))</f>
        <v/>
      </c>
      <c r="S122" t="str" cm="1">
        <f t="array" ref="S122">_xlfn.TEXTJOIN("、",TRUE,IF('學員資料-三重商工'!$B$2:$B$472=$F122,'學員資料-三重商工'!$G$2:$G$472,""))</f>
        <v>0975127077.1</v>
      </c>
      <c r="T122">
        <f t="shared" si="1"/>
        <v>1</v>
      </c>
    </row>
    <row r="123" spans="1:20" ht="43.5" hidden="1" customHeight="1">
      <c r="A123" s="15">
        <v>122</v>
      </c>
      <c r="B123" s="16" t="s">
        <v>548</v>
      </c>
      <c r="C123" s="17">
        <v>46161</v>
      </c>
      <c r="D123" s="15" t="s">
        <v>549</v>
      </c>
      <c r="E123" s="18" t="s">
        <v>83</v>
      </c>
      <c r="F123" s="19" t="s">
        <v>550</v>
      </c>
      <c r="G123" s="18" t="s">
        <v>551</v>
      </c>
      <c r="H123" s="20" t="s">
        <v>528</v>
      </c>
      <c r="I123" s="15">
        <v>3</v>
      </c>
      <c r="J123" s="15" t="s">
        <v>23</v>
      </c>
      <c r="K123" s="15"/>
      <c r="L123" s="21" t="s">
        <v>18</v>
      </c>
      <c r="M123" s="22">
        <v>0</v>
      </c>
      <c r="N123" s="22">
        <v>-996</v>
      </c>
      <c r="O123" s="22">
        <v>23844</v>
      </c>
      <c r="P123" s="22">
        <v>23844</v>
      </c>
      <c r="Q123" t="str" cm="1">
        <f t="array" ref="Q123">_xlfn.TEXTJOIN("、",TRUE,IF('學員資料-三民高中'!$B$2:$B$454=$F123,'學員資料-三民高中'!$G$2:$G$454,""))</f>
        <v/>
      </c>
      <c r="R123" t="str" cm="1">
        <f t="array" ref="R123">_xlfn.TEXTJOIN("、",TRUE,IF('學員資料-新北高中'!$B$2:$B$583=$F123,'學員資料-新北高中'!$G$2:$G$583,""))</f>
        <v/>
      </c>
      <c r="S123" t="str" cm="1">
        <f t="array" ref="S123">_xlfn.TEXTJOIN("、",TRUE,IF('學員資料-三重商工'!$B$2:$B$472=$F123,'學員資料-三重商工'!$G$2:$G$472,""))</f>
        <v>0933037462</v>
      </c>
      <c r="T123">
        <f t="shared" si="1"/>
        <v>1</v>
      </c>
    </row>
    <row r="124" spans="1:20" ht="43.5" hidden="1" customHeight="1">
      <c r="A124" s="15">
        <v>123</v>
      </c>
      <c r="B124" s="16" t="s">
        <v>552</v>
      </c>
      <c r="C124" s="17">
        <v>46160</v>
      </c>
      <c r="D124" s="15" t="s">
        <v>553</v>
      </c>
      <c r="E124" s="18" t="s">
        <v>44</v>
      </c>
      <c r="F124" s="19" t="s">
        <v>554</v>
      </c>
      <c r="G124" s="18" t="s">
        <v>555</v>
      </c>
      <c r="H124" s="20" t="s">
        <v>556</v>
      </c>
      <c r="I124" s="15">
        <v>3</v>
      </c>
      <c r="J124" s="15" t="s">
        <v>24</v>
      </c>
      <c r="K124" s="21" t="s">
        <v>116</v>
      </c>
      <c r="L124" s="21" t="s">
        <v>16</v>
      </c>
      <c r="M124" s="22">
        <v>0</v>
      </c>
      <c r="N124" s="22">
        <v>0</v>
      </c>
      <c r="O124" s="22">
        <v>4200</v>
      </c>
      <c r="P124" s="22">
        <v>4200</v>
      </c>
      <c r="Q124" t="str" cm="1">
        <f t="array" ref="Q124">_xlfn.TEXTJOIN("、",TRUE,IF('學員資料-三民高中'!$B$2:$B$454=$F124,'學員資料-三民高中'!$G$2:$G$454,""))</f>
        <v/>
      </c>
      <c r="R124" t="str" cm="1">
        <f t="array" ref="R124">_xlfn.TEXTJOIN("、",TRUE,IF('學員資料-新北高中'!$B$2:$B$583=$F124,'學員資料-新北高中'!$G$2:$G$583,""))</f>
        <v>0958920567</v>
      </c>
      <c r="S124" t="str" cm="1">
        <f t="array" ref="S124">_xlfn.TEXTJOIN("、",TRUE,IF('學員資料-三重商工'!$B$2:$B$472=$F124,'學員資料-三重商工'!$G$2:$G$472,""))</f>
        <v/>
      </c>
      <c r="T124">
        <f t="shared" si="1"/>
        <v>1</v>
      </c>
    </row>
    <row r="125" spans="1:20" ht="28.5" hidden="1" customHeight="1">
      <c r="A125" s="15">
        <v>124</v>
      </c>
      <c r="B125" s="16" t="s">
        <v>557</v>
      </c>
      <c r="C125" s="17">
        <v>46159</v>
      </c>
      <c r="D125" s="15" t="s">
        <v>558</v>
      </c>
      <c r="E125" s="18" t="s">
        <v>170</v>
      </c>
      <c r="F125" s="19" t="s">
        <v>559</v>
      </c>
      <c r="G125" s="18" t="s">
        <v>560</v>
      </c>
      <c r="H125" s="20" t="s">
        <v>99</v>
      </c>
      <c r="I125" s="15">
        <v>2</v>
      </c>
      <c r="J125" s="15" t="s">
        <v>24</v>
      </c>
      <c r="K125" s="15"/>
      <c r="L125" s="21" t="s">
        <v>16</v>
      </c>
      <c r="M125" s="22">
        <v>0</v>
      </c>
      <c r="N125" s="22">
        <v>-300</v>
      </c>
      <c r="O125" s="22">
        <v>14700</v>
      </c>
      <c r="P125" s="22">
        <v>14700</v>
      </c>
      <c r="Q125" t="str" cm="1">
        <f t="array" ref="Q125">_xlfn.TEXTJOIN("、",TRUE,IF('學員資料-三民高中'!$B$2:$B$454=$F125,'學員資料-三民高中'!$G$2:$G$454,""))</f>
        <v/>
      </c>
      <c r="R125" t="str" cm="1">
        <f t="array" ref="R125">_xlfn.TEXTJOIN("、",TRUE,IF('學員資料-新北高中'!$B$2:$B$583=$F125,'學員資料-新北高中'!$G$2:$G$583,""))</f>
        <v/>
      </c>
      <c r="S125" t="str" cm="1">
        <f t="array" ref="S125">_xlfn.TEXTJOIN("、",TRUE,IF('學員資料-三重商工'!$B$2:$B$472=$F125,'學員資料-三重商工'!$G$2:$G$472,""))</f>
        <v>0976137092</v>
      </c>
      <c r="T125">
        <f t="shared" si="1"/>
        <v>1</v>
      </c>
    </row>
    <row r="126" spans="1:20" ht="14.25" hidden="1" customHeight="1">
      <c r="A126" s="15">
        <v>125</v>
      </c>
      <c r="B126" s="16" t="s">
        <v>561</v>
      </c>
      <c r="C126" s="17">
        <v>46159</v>
      </c>
      <c r="D126" s="15" t="s">
        <v>562</v>
      </c>
      <c r="E126" s="18" t="s">
        <v>78</v>
      </c>
      <c r="F126" s="19" t="s">
        <v>563</v>
      </c>
      <c r="G126" s="18" t="s">
        <v>564</v>
      </c>
      <c r="H126" s="20" t="s">
        <v>52</v>
      </c>
      <c r="I126" s="15">
        <v>1</v>
      </c>
      <c r="J126" s="15" t="s">
        <v>24</v>
      </c>
      <c r="K126" s="15"/>
      <c r="L126" s="21" t="s">
        <v>16</v>
      </c>
      <c r="M126" s="22">
        <v>0</v>
      </c>
      <c r="N126" s="22">
        <v>0</v>
      </c>
      <c r="O126" s="22">
        <v>7500</v>
      </c>
      <c r="P126" s="22">
        <v>7500</v>
      </c>
      <c r="Q126" t="str" cm="1">
        <f t="array" ref="Q126">_xlfn.TEXTJOIN("、",TRUE,IF('學員資料-三民高中'!$B$2:$B$454=$F126,'學員資料-三民高中'!$G$2:$G$454,""))</f>
        <v/>
      </c>
      <c r="R126" t="str" cm="1">
        <f t="array" ref="R126">_xlfn.TEXTJOIN("、",TRUE,IF('學員資料-新北高中'!$B$2:$B$583=$F126,'學員資料-新北高中'!$G$2:$G$583,""))</f>
        <v>0936852475</v>
      </c>
      <c r="S126" t="str" cm="1">
        <f t="array" ref="S126">_xlfn.TEXTJOIN("、",TRUE,IF('學員資料-三重商工'!$B$2:$B$472=$F126,'學員資料-三重商工'!$G$2:$G$472,""))</f>
        <v/>
      </c>
      <c r="T126">
        <f t="shared" si="1"/>
        <v>1</v>
      </c>
    </row>
    <row r="127" spans="1:20" ht="14.25" hidden="1" customHeight="1">
      <c r="A127" s="15">
        <v>126</v>
      </c>
      <c r="B127" s="16" t="s">
        <v>565</v>
      </c>
      <c r="C127" s="17">
        <v>46159</v>
      </c>
      <c r="D127" s="15" t="s">
        <v>566</v>
      </c>
      <c r="E127" s="18" t="s">
        <v>78</v>
      </c>
      <c r="F127" s="19" t="s">
        <v>563</v>
      </c>
      <c r="G127" s="18" t="s">
        <v>564</v>
      </c>
      <c r="H127" s="20" t="s">
        <v>52</v>
      </c>
      <c r="I127" s="15">
        <v>1</v>
      </c>
      <c r="J127" s="15" t="s">
        <v>24</v>
      </c>
      <c r="K127" s="15"/>
      <c r="L127" s="21" t="s">
        <v>16</v>
      </c>
      <c r="M127" s="22">
        <v>0</v>
      </c>
      <c r="N127" s="22">
        <v>-300</v>
      </c>
      <c r="O127" s="22">
        <v>7200</v>
      </c>
      <c r="P127" s="22">
        <v>7200</v>
      </c>
      <c r="Q127" t="str" cm="1">
        <f t="array" ref="Q127">_xlfn.TEXTJOIN("、",TRUE,IF('學員資料-三民高中'!$B$2:$B$454=$F127,'學員資料-三民高中'!$G$2:$G$454,""))</f>
        <v/>
      </c>
      <c r="R127" t="str" cm="1">
        <f t="array" ref="R127">_xlfn.TEXTJOIN("、",TRUE,IF('學員資料-新北高中'!$B$2:$B$583=$F127,'學員資料-新北高中'!$G$2:$G$583,""))</f>
        <v>0936852475</v>
      </c>
      <c r="S127" t="str" cm="1">
        <f t="array" ref="S127">_xlfn.TEXTJOIN("、",TRUE,IF('學員資料-三重商工'!$B$2:$B$472=$F127,'學員資料-三重商工'!$G$2:$G$472,""))</f>
        <v/>
      </c>
      <c r="T127">
        <f t="shared" si="1"/>
        <v>1</v>
      </c>
    </row>
    <row r="128" spans="1:20" ht="14.25" hidden="1" customHeight="1">
      <c r="A128" s="15">
        <v>127</v>
      </c>
      <c r="B128" s="16" t="s">
        <v>567</v>
      </c>
      <c r="C128" s="17">
        <v>46159</v>
      </c>
      <c r="D128" s="15" t="s">
        <v>568</v>
      </c>
      <c r="E128" s="18" t="s">
        <v>55</v>
      </c>
      <c r="F128" s="19" t="s">
        <v>569</v>
      </c>
      <c r="G128" s="18" t="s">
        <v>570</v>
      </c>
      <c r="H128" s="20" t="s">
        <v>52</v>
      </c>
      <c r="I128" s="15">
        <v>1</v>
      </c>
      <c r="J128" s="15" t="s">
        <v>24</v>
      </c>
      <c r="K128" s="15"/>
      <c r="L128" s="21" t="s">
        <v>18</v>
      </c>
      <c r="M128" s="22">
        <v>0</v>
      </c>
      <c r="N128" s="22">
        <v>0</v>
      </c>
      <c r="O128" s="22">
        <v>7500</v>
      </c>
      <c r="P128" s="22">
        <v>7500</v>
      </c>
      <c r="Q128" t="str" cm="1">
        <f t="array" ref="Q128">_xlfn.TEXTJOIN("、",TRUE,IF('學員資料-三民高中'!$B$2:$B$454=$F128,'學員資料-三民高中'!$G$2:$G$454,""))</f>
        <v/>
      </c>
      <c r="R128" t="str" cm="1">
        <f t="array" ref="R128">_xlfn.TEXTJOIN("、",TRUE,IF('學員資料-新北高中'!$B$2:$B$583=$F128,'學員資料-新北高中'!$G$2:$G$583,""))</f>
        <v>0963296308</v>
      </c>
      <c r="S128" t="str" cm="1">
        <f t="array" ref="S128">_xlfn.TEXTJOIN("、",TRUE,IF('學員資料-三重商工'!$B$2:$B$472=$F128,'學員資料-三重商工'!$G$2:$G$472,""))</f>
        <v/>
      </c>
      <c r="T128">
        <f t="shared" si="1"/>
        <v>1</v>
      </c>
    </row>
    <row r="129" spans="1:20" ht="14.25" hidden="1" customHeight="1">
      <c r="A129" s="15">
        <v>128</v>
      </c>
      <c r="B129" s="16" t="s">
        <v>571</v>
      </c>
      <c r="C129" s="17">
        <v>46159</v>
      </c>
      <c r="D129" s="15" t="s">
        <v>572</v>
      </c>
      <c r="E129" s="18" t="s">
        <v>44</v>
      </c>
      <c r="F129" s="19" t="s">
        <v>573</v>
      </c>
      <c r="G129" s="18" t="s">
        <v>574</v>
      </c>
      <c r="H129" s="20" t="s">
        <v>115</v>
      </c>
      <c r="I129" s="15">
        <v>1</v>
      </c>
      <c r="J129" s="15" t="s">
        <v>24</v>
      </c>
      <c r="K129" s="21" t="s">
        <v>116</v>
      </c>
      <c r="L129" s="21" t="s">
        <v>16</v>
      </c>
      <c r="M129" s="22">
        <v>0</v>
      </c>
      <c r="N129" s="22">
        <v>0</v>
      </c>
      <c r="O129" s="22">
        <v>1400</v>
      </c>
      <c r="P129" s="22">
        <v>1400</v>
      </c>
      <c r="Q129" t="str" cm="1">
        <f t="array" ref="Q129">_xlfn.TEXTJOIN("、",TRUE,IF('學員資料-三民高中'!$B$2:$B$454=$F129,'學員資料-三民高中'!$G$2:$G$454,""))</f>
        <v/>
      </c>
      <c r="R129" t="str" cm="1">
        <f t="array" ref="R129">_xlfn.TEXTJOIN("、",TRUE,IF('學員資料-新北高中'!$B$2:$B$583=$F129,'學員資料-新北高中'!$G$2:$G$583,""))</f>
        <v/>
      </c>
      <c r="S129" t="str" cm="1">
        <f t="array" ref="S129">_xlfn.TEXTJOIN("、",TRUE,IF('學員資料-三重商工'!$B$2:$B$472=$F129,'學員資料-三重商工'!$G$2:$G$472,""))</f>
        <v>0911395911</v>
      </c>
      <c r="T129">
        <f t="shared" si="1"/>
        <v>1</v>
      </c>
    </row>
    <row r="130" spans="1:20" ht="14.25" hidden="1" customHeight="1">
      <c r="A130" s="15">
        <v>129</v>
      </c>
      <c r="B130" s="16" t="s">
        <v>575</v>
      </c>
      <c r="C130" s="17">
        <v>46159</v>
      </c>
      <c r="D130" s="15" t="s">
        <v>576</v>
      </c>
      <c r="E130" s="18" t="s">
        <v>55</v>
      </c>
      <c r="F130" s="19" t="s">
        <v>577</v>
      </c>
      <c r="G130" s="18" t="s">
        <v>578</v>
      </c>
      <c r="H130" s="20" t="s">
        <v>130</v>
      </c>
      <c r="I130" s="15">
        <v>1</v>
      </c>
      <c r="J130" s="15" t="s">
        <v>25</v>
      </c>
      <c r="K130" s="15"/>
      <c r="L130" s="21" t="s">
        <v>16</v>
      </c>
      <c r="M130" s="22">
        <v>0</v>
      </c>
      <c r="N130" s="22">
        <v>-3960</v>
      </c>
      <c r="O130" s="22">
        <v>5940</v>
      </c>
      <c r="P130" s="22">
        <v>5940</v>
      </c>
      <c r="Q130" t="str" cm="1">
        <f t="array" ref="Q130">_xlfn.TEXTJOIN("、",TRUE,IF('學員資料-三民高中'!$B$2:$B$454=$F130,'學員資料-三民高中'!$G$2:$G$454,""))</f>
        <v/>
      </c>
      <c r="R130" t="str" cm="1">
        <f t="array" ref="R130">_xlfn.TEXTJOIN("、",TRUE,IF('學員資料-新北高中'!$B$2:$B$583=$F130,'學員資料-新北高中'!$G$2:$G$583,""))</f>
        <v>0920310727</v>
      </c>
      <c r="S130" t="str" cm="1">
        <f t="array" ref="S130">_xlfn.TEXTJOIN("、",TRUE,IF('學員資料-三重商工'!$B$2:$B$472=$F130,'學員資料-三重商工'!$G$2:$G$472,""))</f>
        <v/>
      </c>
      <c r="T130">
        <f t="shared" si="1"/>
        <v>1</v>
      </c>
    </row>
    <row r="131" spans="1:20" ht="14.25" customHeight="1">
      <c r="A131" s="15">
        <v>130</v>
      </c>
      <c r="B131" s="16" t="s">
        <v>579</v>
      </c>
      <c r="C131" s="17">
        <v>46158</v>
      </c>
      <c r="D131" s="15" t="s">
        <v>580</v>
      </c>
      <c r="E131" s="18" t="s">
        <v>78</v>
      </c>
      <c r="F131" s="19" t="s">
        <v>581</v>
      </c>
      <c r="G131" s="18" t="s">
        <v>582</v>
      </c>
      <c r="H131" s="20" t="s">
        <v>130</v>
      </c>
      <c r="I131" s="15">
        <v>1</v>
      </c>
      <c r="J131" s="15" t="s">
        <v>25</v>
      </c>
      <c r="K131" s="15"/>
      <c r="L131" s="21" t="s">
        <v>16</v>
      </c>
      <c r="M131" s="22">
        <v>0</v>
      </c>
      <c r="N131" s="22">
        <v>-990</v>
      </c>
      <c r="O131" s="22">
        <v>8910</v>
      </c>
      <c r="P131" s="22">
        <v>8910</v>
      </c>
      <c r="Q131" t="str" cm="1">
        <f t="array" ref="Q131">_xlfn.TEXTJOIN("、",TRUE,IF('學員資料-三民高中'!$B$2:$B$454=$F131,'學員資料-三民高中'!$G$2:$G$454,""))</f>
        <v/>
      </c>
      <c r="R131" t="str" cm="1">
        <f t="array" ref="R131">_xlfn.TEXTJOIN("、",TRUE,IF('學員資料-新北高中'!$B$2:$B$583=$F131,'學員資料-新北高中'!$G$2:$G$583,""))</f>
        <v/>
      </c>
      <c r="S131" t="str" cm="1">
        <f t="array" ref="S131">_xlfn.TEXTJOIN("、",TRUE,IF('學員資料-三重商工'!$B$2:$B$472=$F131,'學員資料-三重商工'!$G$2:$G$472,""))</f>
        <v/>
      </c>
      <c r="T131">
        <f t="shared" ref="T131:T194" si="2">3-COUNTBLANK(Q131:S131)</f>
        <v>0</v>
      </c>
    </row>
    <row r="132" spans="1:20" ht="14.25" hidden="1" customHeight="1">
      <c r="A132" s="15">
        <v>131</v>
      </c>
      <c r="B132" s="16" t="s">
        <v>583</v>
      </c>
      <c r="C132" s="17">
        <v>46158</v>
      </c>
      <c r="D132" s="15" t="s">
        <v>584</v>
      </c>
      <c r="E132" s="18" t="s">
        <v>402</v>
      </c>
      <c r="F132" s="19" t="s">
        <v>585</v>
      </c>
      <c r="G132" s="18" t="s">
        <v>586</v>
      </c>
      <c r="H132" s="20" t="s">
        <v>587</v>
      </c>
      <c r="I132" s="15">
        <v>1</v>
      </c>
      <c r="J132" s="15" t="s">
        <v>25</v>
      </c>
      <c r="K132" s="21" t="s">
        <v>116</v>
      </c>
      <c r="L132" s="21" t="s">
        <v>16</v>
      </c>
      <c r="M132" s="22">
        <v>0</v>
      </c>
      <c r="N132" s="22">
        <v>0</v>
      </c>
      <c r="O132" s="22">
        <v>1650</v>
      </c>
      <c r="P132" s="22">
        <v>1650</v>
      </c>
      <c r="Q132" t="str" cm="1">
        <f t="array" ref="Q132">_xlfn.TEXTJOIN("、",TRUE,IF('學員資料-三民高中'!$B$2:$B$454=$F132,'學員資料-三民高中'!$G$2:$G$454,""))</f>
        <v/>
      </c>
      <c r="R132" t="str" cm="1">
        <f t="array" ref="R132">_xlfn.TEXTJOIN("、",TRUE,IF('學員資料-新北高中'!$B$2:$B$583=$F132,'學員資料-新北高中'!$G$2:$G$583,""))</f>
        <v>0983048732</v>
      </c>
      <c r="S132" t="str" cm="1">
        <f t="array" ref="S132">_xlfn.TEXTJOIN("、",TRUE,IF('學員資料-三重商工'!$B$2:$B$472=$F132,'學員資料-三重商工'!$G$2:$G$472,""))</f>
        <v/>
      </c>
      <c r="T132">
        <f t="shared" si="2"/>
        <v>1</v>
      </c>
    </row>
    <row r="133" spans="1:20" ht="14.25" hidden="1" customHeight="1">
      <c r="A133" s="15">
        <v>132</v>
      </c>
      <c r="B133" s="16" t="s">
        <v>588</v>
      </c>
      <c r="C133" s="17">
        <v>46158</v>
      </c>
      <c r="D133" s="15" t="s">
        <v>589</v>
      </c>
      <c r="E133" s="18" t="s">
        <v>78</v>
      </c>
      <c r="F133" s="19" t="s">
        <v>590</v>
      </c>
      <c r="G133" s="18" t="s">
        <v>591</v>
      </c>
      <c r="H133" s="20" t="s">
        <v>52</v>
      </c>
      <c r="I133" s="15">
        <v>1</v>
      </c>
      <c r="J133" s="15" t="s">
        <v>24</v>
      </c>
      <c r="K133" s="15"/>
      <c r="L133" s="21" t="s">
        <v>16</v>
      </c>
      <c r="M133" s="22">
        <v>0</v>
      </c>
      <c r="N133" s="22">
        <v>-900</v>
      </c>
      <c r="O133" s="22">
        <v>6600</v>
      </c>
      <c r="P133" s="22">
        <v>6600</v>
      </c>
      <c r="Q133" t="str" cm="1">
        <f t="array" ref="Q133">_xlfn.TEXTJOIN("、",TRUE,IF('學員資料-三民高中'!$B$2:$B$454=$F133,'學員資料-三民高中'!$G$2:$G$454,""))</f>
        <v/>
      </c>
      <c r="R133" t="str" cm="1">
        <f t="array" ref="R133">_xlfn.TEXTJOIN("、",TRUE,IF('學員資料-新北高中'!$B$2:$B$583=$F133,'學員資料-新北高中'!$G$2:$G$583,""))</f>
        <v>0912231255</v>
      </c>
      <c r="S133" t="str" cm="1">
        <f t="array" ref="S133">_xlfn.TEXTJOIN("、",TRUE,IF('學員資料-三重商工'!$B$2:$B$472=$F133,'學員資料-三重商工'!$G$2:$G$472,""))</f>
        <v/>
      </c>
      <c r="T133">
        <f t="shared" si="2"/>
        <v>1</v>
      </c>
    </row>
    <row r="134" spans="1:20" ht="14.25" hidden="1" customHeight="1">
      <c r="A134" s="15">
        <v>133</v>
      </c>
      <c r="B134" s="16" t="s">
        <v>592</v>
      </c>
      <c r="C134" s="17">
        <v>46158</v>
      </c>
      <c r="D134" s="15" t="s">
        <v>593</v>
      </c>
      <c r="E134" s="18" t="s">
        <v>78</v>
      </c>
      <c r="F134" s="19" t="s">
        <v>590</v>
      </c>
      <c r="G134" s="18" t="s">
        <v>591</v>
      </c>
      <c r="H134" s="20" t="s">
        <v>52</v>
      </c>
      <c r="I134" s="15">
        <v>1</v>
      </c>
      <c r="J134" s="15" t="s">
        <v>24</v>
      </c>
      <c r="K134" s="15"/>
      <c r="L134" s="21" t="s">
        <v>16</v>
      </c>
      <c r="M134" s="22">
        <v>0</v>
      </c>
      <c r="N134" s="22">
        <v>0</v>
      </c>
      <c r="O134" s="22">
        <v>7500</v>
      </c>
      <c r="P134" s="22">
        <v>7500</v>
      </c>
      <c r="Q134" t="str" cm="1">
        <f t="array" ref="Q134">_xlfn.TEXTJOIN("、",TRUE,IF('學員資料-三民高中'!$B$2:$B$454=$F134,'學員資料-三民高中'!$G$2:$G$454,""))</f>
        <v/>
      </c>
      <c r="R134" t="str" cm="1">
        <f t="array" ref="R134">_xlfn.TEXTJOIN("、",TRUE,IF('學員資料-新北高中'!$B$2:$B$583=$F134,'學員資料-新北高中'!$G$2:$G$583,""))</f>
        <v>0912231255</v>
      </c>
      <c r="S134" t="str" cm="1">
        <f t="array" ref="S134">_xlfn.TEXTJOIN("、",TRUE,IF('學員資料-三重商工'!$B$2:$B$472=$F134,'學員資料-三重商工'!$G$2:$G$472,""))</f>
        <v/>
      </c>
      <c r="T134">
        <f t="shared" si="2"/>
        <v>1</v>
      </c>
    </row>
    <row r="135" spans="1:20" ht="14.25" hidden="1" customHeight="1">
      <c r="A135" s="15">
        <v>134</v>
      </c>
      <c r="B135" s="16" t="s">
        <v>594</v>
      </c>
      <c r="C135" s="17">
        <v>46158</v>
      </c>
      <c r="D135" s="15" t="s">
        <v>595</v>
      </c>
      <c r="E135" s="18" t="s">
        <v>78</v>
      </c>
      <c r="F135" s="19" t="s">
        <v>590</v>
      </c>
      <c r="G135" s="18" t="s">
        <v>591</v>
      </c>
      <c r="H135" s="20" t="s">
        <v>52</v>
      </c>
      <c r="I135" s="15">
        <v>1</v>
      </c>
      <c r="J135" s="15" t="s">
        <v>24</v>
      </c>
      <c r="K135" s="15"/>
      <c r="L135" s="21" t="s">
        <v>16</v>
      </c>
      <c r="M135" s="22">
        <v>0</v>
      </c>
      <c r="N135" s="22">
        <v>0</v>
      </c>
      <c r="O135" s="22">
        <v>7500</v>
      </c>
      <c r="P135" s="22">
        <v>7500</v>
      </c>
      <c r="Q135" t="str" cm="1">
        <f t="array" ref="Q135">_xlfn.TEXTJOIN("、",TRUE,IF('學員資料-三民高中'!$B$2:$B$454=$F135,'學員資料-三民高中'!$G$2:$G$454,""))</f>
        <v/>
      </c>
      <c r="R135" t="str" cm="1">
        <f t="array" ref="R135">_xlfn.TEXTJOIN("、",TRUE,IF('學員資料-新北高中'!$B$2:$B$583=$F135,'學員資料-新北高中'!$G$2:$G$583,""))</f>
        <v>0912231255</v>
      </c>
      <c r="S135" t="str" cm="1">
        <f t="array" ref="S135">_xlfn.TEXTJOIN("、",TRUE,IF('學員資料-三重商工'!$B$2:$B$472=$F135,'學員資料-三重商工'!$G$2:$G$472,""))</f>
        <v/>
      </c>
      <c r="T135">
        <f t="shared" si="2"/>
        <v>1</v>
      </c>
    </row>
    <row r="136" spans="1:20" ht="14.25" hidden="1" customHeight="1">
      <c r="A136" s="15">
        <v>135</v>
      </c>
      <c r="B136" s="16" t="s">
        <v>596</v>
      </c>
      <c r="C136" s="17">
        <v>46158</v>
      </c>
      <c r="D136" s="15" t="s">
        <v>597</v>
      </c>
      <c r="E136" s="18" t="s">
        <v>44</v>
      </c>
      <c r="F136" s="19" t="s">
        <v>598</v>
      </c>
      <c r="G136" s="18" t="s">
        <v>599</v>
      </c>
      <c r="H136" s="20" t="s">
        <v>47</v>
      </c>
      <c r="I136" s="15">
        <v>1</v>
      </c>
      <c r="J136" s="15" t="s">
        <v>24</v>
      </c>
      <c r="K136" s="15"/>
      <c r="L136" s="21" t="s">
        <v>16</v>
      </c>
      <c r="M136" s="22">
        <v>0</v>
      </c>
      <c r="N136" s="22">
        <v>-180</v>
      </c>
      <c r="O136" s="22">
        <v>8820</v>
      </c>
      <c r="P136" s="22">
        <v>8820</v>
      </c>
      <c r="Q136" t="str" cm="1">
        <f t="array" ref="Q136">_xlfn.TEXTJOIN("、",TRUE,IF('學員資料-三民高中'!$B$2:$B$454=$F136,'學員資料-三民高中'!$G$2:$G$454,""))</f>
        <v>0926821102</v>
      </c>
      <c r="R136" t="str" cm="1">
        <f t="array" ref="R136">_xlfn.TEXTJOIN("、",TRUE,IF('學員資料-新北高中'!$B$2:$B$583=$F136,'學員資料-新北高中'!$G$2:$G$583,""))</f>
        <v/>
      </c>
      <c r="S136" t="str" cm="1">
        <f t="array" ref="S136">_xlfn.TEXTJOIN("、",TRUE,IF('學員資料-三重商工'!$B$2:$B$472=$F136,'學員資料-三重商工'!$G$2:$G$472,""))</f>
        <v/>
      </c>
      <c r="T136">
        <f t="shared" si="2"/>
        <v>1</v>
      </c>
    </row>
    <row r="137" spans="1:20" ht="28.5" hidden="1" customHeight="1">
      <c r="A137" s="15">
        <v>136</v>
      </c>
      <c r="B137" s="16" t="s">
        <v>600</v>
      </c>
      <c r="C137" s="17">
        <v>46157</v>
      </c>
      <c r="D137" s="15" t="s">
        <v>601</v>
      </c>
      <c r="E137" s="18" t="s">
        <v>170</v>
      </c>
      <c r="F137" s="19" t="s">
        <v>602</v>
      </c>
      <c r="G137" s="18" t="s">
        <v>603</v>
      </c>
      <c r="H137" s="20" t="s">
        <v>219</v>
      </c>
      <c r="I137" s="15">
        <v>2</v>
      </c>
      <c r="J137" s="15" t="s">
        <v>25</v>
      </c>
      <c r="K137" s="15"/>
      <c r="L137" s="21" t="s">
        <v>16</v>
      </c>
      <c r="M137" s="22">
        <v>0</v>
      </c>
      <c r="N137" s="22">
        <v>-594</v>
      </c>
      <c r="O137" s="22">
        <v>19206</v>
      </c>
      <c r="P137" s="22">
        <v>19206</v>
      </c>
      <c r="Q137" t="str" cm="1">
        <f t="array" ref="Q137">_xlfn.TEXTJOIN("、",TRUE,IF('學員資料-三民高中'!$B$2:$B$454=$F137,'學員資料-三民高中'!$G$2:$G$454,""))</f>
        <v/>
      </c>
      <c r="R137" t="str" cm="1">
        <f t="array" ref="R137">_xlfn.TEXTJOIN("、",TRUE,IF('學員資料-新北高中'!$B$2:$B$583=$F137,'學員資料-新北高中'!$G$2:$G$583,""))</f>
        <v>0928424722</v>
      </c>
      <c r="S137" t="str" cm="1">
        <f t="array" ref="S137">_xlfn.TEXTJOIN("、",TRUE,IF('學員資料-三重商工'!$B$2:$B$472=$F137,'學員資料-三重商工'!$G$2:$G$472,""))</f>
        <v/>
      </c>
      <c r="T137">
        <f t="shared" si="2"/>
        <v>1</v>
      </c>
    </row>
    <row r="138" spans="1:20" ht="14.25" hidden="1" customHeight="1">
      <c r="A138" s="15">
        <v>137</v>
      </c>
      <c r="B138" s="16" t="s">
        <v>604</v>
      </c>
      <c r="C138" s="17">
        <v>46157</v>
      </c>
      <c r="D138" s="15" t="s">
        <v>605</v>
      </c>
      <c r="E138" s="18" t="s">
        <v>170</v>
      </c>
      <c r="F138" s="19" t="s">
        <v>606</v>
      </c>
      <c r="G138" s="18" t="s">
        <v>607</v>
      </c>
      <c r="H138" s="20" t="s">
        <v>210</v>
      </c>
      <c r="I138" s="15">
        <v>1</v>
      </c>
      <c r="J138" s="15" t="s">
        <v>26</v>
      </c>
      <c r="K138" s="15"/>
      <c r="L138" s="21" t="s">
        <v>16</v>
      </c>
      <c r="M138" s="22">
        <v>0</v>
      </c>
      <c r="N138" s="22">
        <v>-240</v>
      </c>
      <c r="O138" s="22">
        <v>11760</v>
      </c>
      <c r="P138" s="22">
        <v>11760</v>
      </c>
      <c r="Q138" t="str" cm="1">
        <f t="array" ref="Q138">_xlfn.TEXTJOIN("、",TRUE,IF('學員資料-三民高中'!$B$2:$B$454=$F138,'學員資料-三民高中'!$G$2:$G$454,""))</f>
        <v/>
      </c>
      <c r="R138" t="str" cm="1">
        <f t="array" ref="R138">_xlfn.TEXTJOIN("、",TRUE,IF('學員資料-新北高中'!$B$2:$B$583=$F138,'學員資料-新北高中'!$G$2:$G$583,""))</f>
        <v>0972384546</v>
      </c>
      <c r="S138" t="str" cm="1">
        <f t="array" ref="S138">_xlfn.TEXTJOIN("、",TRUE,IF('學員資料-三重商工'!$B$2:$B$472=$F138,'學員資料-三重商工'!$G$2:$G$472,""))</f>
        <v/>
      </c>
      <c r="T138">
        <f t="shared" si="2"/>
        <v>1</v>
      </c>
    </row>
    <row r="139" spans="1:20" ht="14.25" hidden="1" customHeight="1">
      <c r="A139" s="15">
        <v>138</v>
      </c>
      <c r="B139" s="16" t="s">
        <v>608</v>
      </c>
      <c r="C139" s="17">
        <v>46157</v>
      </c>
      <c r="D139" s="15" t="s">
        <v>609</v>
      </c>
      <c r="E139" s="18" t="s">
        <v>83</v>
      </c>
      <c r="F139" s="19" t="s">
        <v>610</v>
      </c>
      <c r="G139" s="18" t="s">
        <v>611</v>
      </c>
      <c r="H139" s="20" t="s">
        <v>47</v>
      </c>
      <c r="I139" s="15">
        <v>1</v>
      </c>
      <c r="J139" s="15" t="s">
        <v>24</v>
      </c>
      <c r="K139" s="15"/>
      <c r="L139" s="21" t="s">
        <v>18</v>
      </c>
      <c r="M139" s="22">
        <v>0</v>
      </c>
      <c r="N139" s="22">
        <v>-180</v>
      </c>
      <c r="O139" s="22">
        <v>8820</v>
      </c>
      <c r="P139" s="22">
        <v>8820</v>
      </c>
      <c r="Q139" t="str" cm="1">
        <f t="array" ref="Q139">_xlfn.TEXTJOIN("、",TRUE,IF('學員資料-三民高中'!$B$2:$B$454=$F139,'學員資料-三民高中'!$G$2:$G$454,""))</f>
        <v/>
      </c>
      <c r="R139" t="str" cm="1">
        <f t="array" ref="R139">_xlfn.TEXTJOIN("、",TRUE,IF('學員資料-新北高中'!$B$2:$B$583=$F139,'學員資料-新北高中'!$G$2:$G$583,""))</f>
        <v/>
      </c>
      <c r="S139" t="str" cm="1">
        <f t="array" ref="S139">_xlfn.TEXTJOIN("、",TRUE,IF('學員資料-三重商工'!$B$2:$B$472=$F139,'學員資料-三重商工'!$G$2:$G$472,""))</f>
        <v>0970170082</v>
      </c>
      <c r="T139">
        <f t="shared" si="2"/>
        <v>1</v>
      </c>
    </row>
    <row r="140" spans="1:20" ht="14.25" hidden="1" customHeight="1">
      <c r="A140" s="15">
        <v>139</v>
      </c>
      <c r="B140" s="16" t="s">
        <v>612</v>
      </c>
      <c r="C140" s="17">
        <v>46157</v>
      </c>
      <c r="D140" s="15" t="s">
        <v>461</v>
      </c>
      <c r="E140" s="18" t="s">
        <v>83</v>
      </c>
      <c r="F140" s="19" t="s">
        <v>613</v>
      </c>
      <c r="G140" s="18" t="s">
        <v>614</v>
      </c>
      <c r="H140" s="20" t="s">
        <v>52</v>
      </c>
      <c r="I140" s="15">
        <v>1</v>
      </c>
      <c r="J140" s="15" t="s">
        <v>24</v>
      </c>
      <c r="K140" s="15"/>
      <c r="L140" s="21" t="s">
        <v>16</v>
      </c>
      <c r="M140" s="22">
        <v>0</v>
      </c>
      <c r="N140" s="22">
        <v>-150</v>
      </c>
      <c r="O140" s="22">
        <v>7350</v>
      </c>
      <c r="P140" s="22">
        <v>7350</v>
      </c>
      <c r="Q140" t="str" cm="1">
        <f t="array" ref="Q140">_xlfn.TEXTJOIN("、",TRUE,IF('學員資料-三民高中'!$B$2:$B$454=$F140,'學員資料-三民高中'!$G$2:$G$454,""))</f>
        <v/>
      </c>
      <c r="R140" t="str" cm="1">
        <f t="array" ref="R140">_xlfn.TEXTJOIN("、",TRUE,IF('學員資料-新北高中'!$B$2:$B$583=$F140,'學員資料-新北高中'!$G$2:$G$583,""))</f>
        <v/>
      </c>
      <c r="S140" t="str" cm="1">
        <f t="array" ref="S140">_xlfn.TEXTJOIN("、",TRUE,IF('學員資料-三重商工'!$B$2:$B$472=$F140,'學員資料-三重商工'!$G$2:$G$472,""))</f>
        <v>0921810618</v>
      </c>
      <c r="T140">
        <f t="shared" si="2"/>
        <v>1</v>
      </c>
    </row>
    <row r="141" spans="1:20" ht="43.5" hidden="1" customHeight="1">
      <c r="A141" s="15">
        <v>140</v>
      </c>
      <c r="B141" s="16" t="s">
        <v>615</v>
      </c>
      <c r="C141" s="17">
        <v>46157</v>
      </c>
      <c r="D141" s="15" t="s">
        <v>616</v>
      </c>
      <c r="E141" s="18" t="s">
        <v>55</v>
      </c>
      <c r="F141" s="19" t="s">
        <v>617</v>
      </c>
      <c r="G141" s="18" t="s">
        <v>618</v>
      </c>
      <c r="H141" s="20" t="s">
        <v>619</v>
      </c>
      <c r="I141" s="15">
        <v>3</v>
      </c>
      <c r="J141" s="15" t="s">
        <v>24</v>
      </c>
      <c r="K141" s="21" t="s">
        <v>116</v>
      </c>
      <c r="L141" s="21" t="s">
        <v>18</v>
      </c>
      <c r="M141" s="22">
        <v>0</v>
      </c>
      <c r="N141" s="22">
        <v>-150</v>
      </c>
      <c r="O141" s="22">
        <v>10150</v>
      </c>
      <c r="P141" s="22">
        <v>10150</v>
      </c>
      <c r="Q141" t="str" cm="1">
        <f t="array" ref="Q141">_xlfn.TEXTJOIN("、",TRUE,IF('學員資料-三民高中'!$B$2:$B$454=$F141,'學員資料-三民高中'!$G$2:$G$454,""))</f>
        <v/>
      </c>
      <c r="R141" t="str" cm="1">
        <f t="array" ref="R141">_xlfn.TEXTJOIN("、",TRUE,IF('學員資料-新北高中'!$B$2:$B$583=$F141,'學員資料-新北高中'!$G$2:$G$583,""))</f>
        <v>0956100596</v>
      </c>
      <c r="S141" t="str" cm="1">
        <f t="array" ref="S141">_xlfn.TEXTJOIN("、",TRUE,IF('學員資料-三重商工'!$B$2:$B$472=$F141,'學員資料-三重商工'!$G$2:$G$472,""))</f>
        <v/>
      </c>
      <c r="T141">
        <f t="shared" si="2"/>
        <v>1</v>
      </c>
    </row>
    <row r="142" spans="1:20" ht="43.5" hidden="1" customHeight="1">
      <c r="A142" s="15">
        <v>141</v>
      </c>
      <c r="B142" s="16" t="s">
        <v>620</v>
      </c>
      <c r="C142" s="17">
        <v>46157</v>
      </c>
      <c r="D142" s="15" t="s">
        <v>621</v>
      </c>
      <c r="E142" s="18" t="s">
        <v>83</v>
      </c>
      <c r="F142" s="19" t="s">
        <v>622</v>
      </c>
      <c r="G142" s="18" t="s">
        <v>623</v>
      </c>
      <c r="H142" s="20" t="s">
        <v>624</v>
      </c>
      <c r="I142" s="15">
        <v>3</v>
      </c>
      <c r="J142" s="15" t="s">
        <v>24</v>
      </c>
      <c r="K142" s="15"/>
      <c r="L142" s="21" t="s">
        <v>16</v>
      </c>
      <c r="M142" s="22">
        <v>0</v>
      </c>
      <c r="N142" s="22">
        <v>-1080</v>
      </c>
      <c r="O142" s="22">
        <v>25920</v>
      </c>
      <c r="P142" s="22">
        <v>25920</v>
      </c>
      <c r="Q142" t="str" cm="1">
        <f t="array" ref="Q142">_xlfn.TEXTJOIN("、",TRUE,IF('學員資料-三民高中'!$B$2:$B$454=$F142,'學員資料-三民高中'!$G$2:$G$454,""))</f>
        <v/>
      </c>
      <c r="R142" t="str" cm="1">
        <f t="array" ref="R142">_xlfn.TEXTJOIN("、",TRUE,IF('學員資料-新北高中'!$B$2:$B$583=$F142,'學員資料-新北高中'!$G$2:$G$583,""))</f>
        <v/>
      </c>
      <c r="S142" t="str" cm="1">
        <f t="array" ref="S142">_xlfn.TEXTJOIN("、",TRUE,IF('學員資料-三重商工'!$B$2:$B$472=$F142,'學員資料-三重商工'!$G$2:$G$472,""))</f>
        <v>0989564153</v>
      </c>
      <c r="T142">
        <f t="shared" si="2"/>
        <v>1</v>
      </c>
    </row>
    <row r="143" spans="1:20" ht="14.25" hidden="1" customHeight="1">
      <c r="A143" s="15">
        <v>142</v>
      </c>
      <c r="B143" s="16" t="s">
        <v>625</v>
      </c>
      <c r="C143" s="17">
        <v>46157</v>
      </c>
      <c r="D143" s="15" t="s">
        <v>626</v>
      </c>
      <c r="E143" s="18" t="s">
        <v>44</v>
      </c>
      <c r="F143" s="19" t="s">
        <v>627</v>
      </c>
      <c r="G143" s="18" t="s">
        <v>628</v>
      </c>
      <c r="H143" s="20" t="s">
        <v>52</v>
      </c>
      <c r="I143" s="15">
        <v>1</v>
      </c>
      <c r="J143" s="15" t="s">
        <v>24</v>
      </c>
      <c r="K143" s="15"/>
      <c r="L143" s="21" t="s">
        <v>16</v>
      </c>
      <c r="M143" s="22">
        <v>0</v>
      </c>
      <c r="N143" s="22">
        <v>-750</v>
      </c>
      <c r="O143" s="22">
        <v>6750</v>
      </c>
      <c r="P143" s="22">
        <v>6750</v>
      </c>
      <c r="Q143" t="str" cm="1">
        <f t="array" ref="Q143">_xlfn.TEXTJOIN("、",TRUE,IF('學員資料-三民高中'!$B$2:$B$454=$F143,'學員資料-三民高中'!$G$2:$G$454,""))</f>
        <v>0921777655-1</v>
      </c>
      <c r="R143" t="str" cm="1">
        <f t="array" ref="R143">_xlfn.TEXTJOIN("、",TRUE,IF('學員資料-新北高中'!$B$2:$B$583=$F143,'學員資料-新北高中'!$G$2:$G$583,""))</f>
        <v/>
      </c>
      <c r="S143" t="str" cm="1">
        <f t="array" ref="S143">_xlfn.TEXTJOIN("、",TRUE,IF('學員資料-三重商工'!$B$2:$B$472=$F143,'學員資料-三重商工'!$G$2:$G$472,""))</f>
        <v/>
      </c>
      <c r="T143">
        <f t="shared" si="2"/>
        <v>1</v>
      </c>
    </row>
    <row r="144" spans="1:20" ht="28.5" hidden="1" customHeight="1">
      <c r="A144" s="15">
        <v>143</v>
      </c>
      <c r="B144" s="16" t="s">
        <v>629</v>
      </c>
      <c r="C144" s="17">
        <v>46156</v>
      </c>
      <c r="D144" s="15" t="s">
        <v>630</v>
      </c>
      <c r="E144" s="18" t="s">
        <v>83</v>
      </c>
      <c r="F144" s="19" t="s">
        <v>631</v>
      </c>
      <c r="G144" s="18" t="s">
        <v>632</v>
      </c>
      <c r="H144" s="20" t="s">
        <v>99</v>
      </c>
      <c r="I144" s="15">
        <v>2</v>
      </c>
      <c r="J144" s="15" t="s">
        <v>24</v>
      </c>
      <c r="K144" s="15"/>
      <c r="L144" s="21" t="s">
        <v>16</v>
      </c>
      <c r="M144" s="22">
        <v>0</v>
      </c>
      <c r="N144" s="22">
        <v>-300</v>
      </c>
      <c r="O144" s="22">
        <v>14700</v>
      </c>
      <c r="P144" s="22">
        <v>14700</v>
      </c>
      <c r="Q144" t="str" cm="1">
        <f t="array" ref="Q144">_xlfn.TEXTJOIN("、",TRUE,IF('學員資料-三民高中'!$B$2:$B$454=$F144,'學員資料-三民高中'!$G$2:$G$454,""))</f>
        <v/>
      </c>
      <c r="R144" t="str" cm="1">
        <f t="array" ref="R144">_xlfn.TEXTJOIN("、",TRUE,IF('學員資料-新北高中'!$B$2:$B$583=$F144,'學員資料-新北高中'!$G$2:$G$583,""))</f>
        <v/>
      </c>
      <c r="S144" t="str" cm="1">
        <f t="array" ref="S144">_xlfn.TEXTJOIN("、",TRUE,IF('學員資料-三重商工'!$B$2:$B$472=$F144,'學員資料-三重商工'!$G$2:$G$472,""))</f>
        <v>0939272316</v>
      </c>
      <c r="T144">
        <f t="shared" si="2"/>
        <v>1</v>
      </c>
    </row>
    <row r="145" spans="1:20" ht="14.25" hidden="1" customHeight="1">
      <c r="A145" s="15">
        <v>144</v>
      </c>
      <c r="B145" s="16" t="s">
        <v>633</v>
      </c>
      <c r="C145" s="17">
        <v>46156</v>
      </c>
      <c r="D145" s="15" t="s">
        <v>634</v>
      </c>
      <c r="E145" s="18" t="s">
        <v>55</v>
      </c>
      <c r="F145" s="19" t="s">
        <v>635</v>
      </c>
      <c r="G145" s="18" t="s">
        <v>636</v>
      </c>
      <c r="H145" s="20" t="s">
        <v>66</v>
      </c>
      <c r="I145" s="15">
        <v>1</v>
      </c>
      <c r="J145" s="15" t="s">
        <v>23</v>
      </c>
      <c r="K145" s="15"/>
      <c r="L145" s="21" t="s">
        <v>18</v>
      </c>
      <c r="M145" s="22">
        <v>0</v>
      </c>
      <c r="N145" s="22">
        <v>0</v>
      </c>
      <c r="O145" s="22">
        <v>6900</v>
      </c>
      <c r="P145" s="22">
        <v>6900</v>
      </c>
      <c r="Q145" t="str" cm="1">
        <f t="array" ref="Q145">_xlfn.TEXTJOIN("、",TRUE,IF('學員資料-三民高中'!$B$2:$B$454=$F145,'學員資料-三民高中'!$G$2:$G$454,""))</f>
        <v/>
      </c>
      <c r="R145" t="str" cm="1">
        <f t="array" ref="R145">_xlfn.TEXTJOIN("、",TRUE,IF('學員資料-新北高中'!$B$2:$B$583=$F145,'學員資料-新北高中'!$G$2:$G$583,""))</f>
        <v>0960719183</v>
      </c>
      <c r="S145" t="str" cm="1">
        <f t="array" ref="S145">_xlfn.TEXTJOIN("、",TRUE,IF('學員資料-三重商工'!$B$2:$B$472=$F145,'學員資料-三重商工'!$G$2:$G$472,""))</f>
        <v/>
      </c>
      <c r="T145">
        <f t="shared" si="2"/>
        <v>1</v>
      </c>
    </row>
    <row r="146" spans="1:20" ht="14.25" hidden="1" customHeight="1">
      <c r="A146" s="15">
        <v>145</v>
      </c>
      <c r="B146" s="16" t="s">
        <v>637</v>
      </c>
      <c r="C146" s="17">
        <v>46156</v>
      </c>
      <c r="D146" s="15" t="s">
        <v>638</v>
      </c>
      <c r="E146" s="18" t="s">
        <v>398</v>
      </c>
      <c r="F146" s="19" t="s">
        <v>639</v>
      </c>
      <c r="G146" s="18" t="s">
        <v>640</v>
      </c>
      <c r="H146" s="20" t="s">
        <v>52</v>
      </c>
      <c r="I146" s="15">
        <v>1</v>
      </c>
      <c r="J146" s="15" t="s">
        <v>24</v>
      </c>
      <c r="K146" s="15"/>
      <c r="L146" s="21" t="s">
        <v>17</v>
      </c>
      <c r="M146" s="22">
        <v>0</v>
      </c>
      <c r="N146" s="22">
        <v>-150</v>
      </c>
      <c r="O146" s="22">
        <v>7350</v>
      </c>
      <c r="P146" s="22">
        <v>7350</v>
      </c>
      <c r="Q146" t="str" cm="1">
        <f t="array" ref="Q146">_xlfn.TEXTJOIN("、",TRUE,IF('學員資料-三民高中'!$B$2:$B$454=$F146,'學員資料-三民高中'!$G$2:$G$454,""))</f>
        <v>0937504107</v>
      </c>
      <c r="R146" t="str" cm="1">
        <f t="array" ref="R146">_xlfn.TEXTJOIN("、",TRUE,IF('學員資料-新北高中'!$B$2:$B$583=$F146,'學員資料-新北高中'!$G$2:$G$583,""))</f>
        <v/>
      </c>
      <c r="S146" t="str" cm="1">
        <f t="array" ref="S146">_xlfn.TEXTJOIN("、",TRUE,IF('學員資料-三重商工'!$B$2:$B$472=$F146,'學員資料-三重商工'!$G$2:$G$472,""))</f>
        <v/>
      </c>
      <c r="T146">
        <f t="shared" si="2"/>
        <v>1</v>
      </c>
    </row>
    <row r="147" spans="1:20" ht="14.25" hidden="1" customHeight="1">
      <c r="A147" s="15">
        <v>146</v>
      </c>
      <c r="B147" s="16" t="s">
        <v>641</v>
      </c>
      <c r="C147" s="17">
        <v>46156</v>
      </c>
      <c r="D147" s="15" t="s">
        <v>642</v>
      </c>
      <c r="E147" s="18" t="s">
        <v>83</v>
      </c>
      <c r="F147" s="19" t="s">
        <v>643</v>
      </c>
      <c r="G147" s="18" t="s">
        <v>644</v>
      </c>
      <c r="H147" s="20" t="s">
        <v>130</v>
      </c>
      <c r="I147" s="15">
        <v>1</v>
      </c>
      <c r="J147" s="15" t="s">
        <v>25</v>
      </c>
      <c r="K147" s="15"/>
      <c r="L147" s="21" t="s">
        <v>18</v>
      </c>
      <c r="M147" s="22">
        <v>0</v>
      </c>
      <c r="N147" s="22">
        <v>-198</v>
      </c>
      <c r="O147" s="22">
        <v>9702</v>
      </c>
      <c r="P147" s="22">
        <v>9702</v>
      </c>
      <c r="Q147" t="str" cm="1">
        <f t="array" ref="Q147">_xlfn.TEXTJOIN("、",TRUE,IF('學員資料-三民高中'!$B$2:$B$454=$F147,'學員資料-三民高中'!$G$2:$G$454,""))</f>
        <v/>
      </c>
      <c r="R147" t="str" cm="1">
        <f t="array" ref="R147">_xlfn.TEXTJOIN("、",TRUE,IF('學員資料-新北高中'!$B$2:$B$583=$F147,'學員資料-新北高中'!$G$2:$G$583,""))</f>
        <v/>
      </c>
      <c r="S147" t="str" cm="1">
        <f t="array" ref="S147">_xlfn.TEXTJOIN("、",TRUE,IF('學員資料-三重商工'!$B$2:$B$472=$F147,'學員資料-三重商工'!$G$2:$G$472,""))</f>
        <v>0961020262</v>
      </c>
      <c r="T147">
        <f t="shared" si="2"/>
        <v>1</v>
      </c>
    </row>
    <row r="148" spans="1:20" ht="14.25" hidden="1" customHeight="1">
      <c r="A148" s="15">
        <v>147</v>
      </c>
      <c r="B148" s="16" t="s">
        <v>645</v>
      </c>
      <c r="C148" s="17">
        <v>46155</v>
      </c>
      <c r="D148" s="15" t="s">
        <v>646</v>
      </c>
      <c r="E148" s="18" t="s">
        <v>83</v>
      </c>
      <c r="F148" s="19" t="s">
        <v>647</v>
      </c>
      <c r="G148" s="18" t="s">
        <v>648</v>
      </c>
      <c r="H148" s="20" t="s">
        <v>112</v>
      </c>
      <c r="I148" s="15">
        <v>1</v>
      </c>
      <c r="J148" s="15" t="s">
        <v>23</v>
      </c>
      <c r="K148" s="15"/>
      <c r="L148" s="21" t="s">
        <v>16</v>
      </c>
      <c r="M148" s="22">
        <v>0</v>
      </c>
      <c r="N148" s="22">
        <v>0</v>
      </c>
      <c r="O148" s="22">
        <v>8280</v>
      </c>
      <c r="P148" s="22">
        <v>8280</v>
      </c>
      <c r="Q148" t="str" cm="1">
        <f t="array" ref="Q148">_xlfn.TEXTJOIN("、",TRUE,IF('學員資料-三民高中'!$B$2:$B$454=$F148,'學員資料-三民高中'!$G$2:$G$454,""))</f>
        <v/>
      </c>
      <c r="R148" t="str" cm="1">
        <f t="array" ref="R148">_xlfn.TEXTJOIN("、",TRUE,IF('學員資料-新北高中'!$B$2:$B$583=$F148,'學員資料-新北高中'!$G$2:$G$583,""))</f>
        <v/>
      </c>
      <c r="S148" t="str" cm="1">
        <f t="array" ref="S148">_xlfn.TEXTJOIN("、",TRUE,IF('學員資料-三重商工'!$B$2:$B$472=$F148,'學員資料-三重商工'!$G$2:$G$472,""))</f>
        <v>0925126718</v>
      </c>
      <c r="T148">
        <f t="shared" si="2"/>
        <v>1</v>
      </c>
    </row>
    <row r="149" spans="1:20" ht="14.25" hidden="1" customHeight="1">
      <c r="A149" s="15">
        <v>148</v>
      </c>
      <c r="B149" s="16" t="s">
        <v>649</v>
      </c>
      <c r="C149" s="17">
        <v>46155</v>
      </c>
      <c r="D149" s="15" t="s">
        <v>650</v>
      </c>
      <c r="E149" s="18" t="s">
        <v>83</v>
      </c>
      <c r="F149" s="19" t="s">
        <v>651</v>
      </c>
      <c r="G149" s="18" t="s">
        <v>652</v>
      </c>
      <c r="H149" s="20" t="s">
        <v>52</v>
      </c>
      <c r="I149" s="15">
        <v>1</v>
      </c>
      <c r="J149" s="15" t="s">
        <v>24</v>
      </c>
      <c r="K149" s="15"/>
      <c r="L149" s="21" t="s">
        <v>18</v>
      </c>
      <c r="M149" s="22">
        <v>0</v>
      </c>
      <c r="N149" s="22">
        <v>-150</v>
      </c>
      <c r="O149" s="22">
        <v>7350</v>
      </c>
      <c r="P149" s="22">
        <v>7350</v>
      </c>
      <c r="Q149" t="str" cm="1">
        <f t="array" ref="Q149">_xlfn.TEXTJOIN("、",TRUE,IF('學員資料-三民高中'!$B$2:$B$454=$F149,'學員資料-三民高中'!$G$2:$G$454,""))</f>
        <v/>
      </c>
      <c r="R149" t="str" cm="1">
        <f t="array" ref="R149">_xlfn.TEXTJOIN("、",TRUE,IF('學員資料-新北高中'!$B$2:$B$583=$F149,'學員資料-新北高中'!$G$2:$G$583,""))</f>
        <v/>
      </c>
      <c r="S149" t="str" cm="1">
        <f t="array" ref="S149">_xlfn.TEXTJOIN("、",TRUE,IF('學員資料-三重商工'!$B$2:$B$472=$F149,'學員資料-三重商工'!$G$2:$G$472,""))</f>
        <v>0916688755.3</v>
      </c>
      <c r="T149">
        <f t="shared" si="2"/>
        <v>1</v>
      </c>
    </row>
    <row r="150" spans="1:20" ht="14.25" hidden="1" customHeight="1">
      <c r="A150" s="15">
        <v>149</v>
      </c>
      <c r="B150" s="16" t="s">
        <v>653</v>
      </c>
      <c r="C150" s="17">
        <v>46155</v>
      </c>
      <c r="D150" s="15" t="s">
        <v>654</v>
      </c>
      <c r="E150" s="18" t="s">
        <v>83</v>
      </c>
      <c r="F150" s="19" t="s">
        <v>655</v>
      </c>
      <c r="G150" s="18" t="s">
        <v>656</v>
      </c>
      <c r="H150" s="20" t="s">
        <v>66</v>
      </c>
      <c r="I150" s="15">
        <v>1</v>
      </c>
      <c r="J150" s="15" t="s">
        <v>23</v>
      </c>
      <c r="K150" s="15"/>
      <c r="L150" s="21" t="s">
        <v>18</v>
      </c>
      <c r="M150" s="22">
        <v>0</v>
      </c>
      <c r="N150" s="22">
        <v>-2760</v>
      </c>
      <c r="O150" s="22">
        <v>4140</v>
      </c>
      <c r="P150" s="22">
        <v>4140</v>
      </c>
      <c r="Q150" t="str" cm="1">
        <f t="array" ref="Q150">_xlfn.TEXTJOIN("、",TRUE,IF('學員資料-三民高中'!$B$2:$B$454=$F150,'學員資料-三民高中'!$G$2:$G$454,""))</f>
        <v/>
      </c>
      <c r="R150" t="str" cm="1">
        <f t="array" ref="R150">_xlfn.TEXTJOIN("、",TRUE,IF('學員資料-新北高中'!$B$2:$B$583=$F150,'學員資料-新北高中'!$G$2:$G$583,""))</f>
        <v/>
      </c>
      <c r="S150" t="str" cm="1">
        <f t="array" ref="S150">_xlfn.TEXTJOIN("、",TRUE,IF('學員資料-三重商工'!$B$2:$B$472=$F150,'學員資料-三重商工'!$G$2:$G$472,""))</f>
        <v>0910581351</v>
      </c>
      <c r="T150">
        <f t="shared" si="2"/>
        <v>1</v>
      </c>
    </row>
    <row r="151" spans="1:20" ht="14.25" customHeight="1">
      <c r="A151" s="15">
        <v>150</v>
      </c>
      <c r="B151" s="16" t="s">
        <v>657</v>
      </c>
      <c r="C151" s="17">
        <v>46155</v>
      </c>
      <c r="D151" s="15" t="s">
        <v>658</v>
      </c>
      <c r="E151" s="18" t="s">
        <v>55</v>
      </c>
      <c r="F151" s="19" t="s">
        <v>659</v>
      </c>
      <c r="G151" s="18" t="s">
        <v>660</v>
      </c>
      <c r="H151" s="20" t="s">
        <v>66</v>
      </c>
      <c r="I151" s="15">
        <v>1</v>
      </c>
      <c r="J151" s="15" t="s">
        <v>23</v>
      </c>
      <c r="K151" s="15"/>
      <c r="L151" s="21" t="s">
        <v>18</v>
      </c>
      <c r="M151" s="22">
        <v>0</v>
      </c>
      <c r="N151" s="22">
        <v>0</v>
      </c>
      <c r="O151" s="22">
        <v>6900</v>
      </c>
      <c r="P151" s="22">
        <v>6900</v>
      </c>
      <c r="Q151" t="str" cm="1">
        <f t="array" ref="Q151">_xlfn.TEXTJOIN("、",TRUE,IF('學員資料-三民高中'!$B$2:$B$454=$F151,'學員資料-三民高中'!$G$2:$G$454,""))</f>
        <v/>
      </c>
      <c r="R151" t="str" cm="1">
        <f t="array" ref="R151">_xlfn.TEXTJOIN("、",TRUE,IF('學員資料-新北高中'!$B$2:$B$583=$F151,'學員資料-新北高中'!$G$2:$G$583,""))</f>
        <v/>
      </c>
      <c r="S151" t="str" cm="1">
        <f t="array" ref="S151">_xlfn.TEXTJOIN("、",TRUE,IF('學員資料-三重商工'!$B$2:$B$472=$F151,'學員資料-三重商工'!$G$2:$G$472,""))</f>
        <v/>
      </c>
      <c r="T151">
        <f t="shared" si="2"/>
        <v>0</v>
      </c>
    </row>
    <row r="152" spans="1:20" ht="14.25" hidden="1" customHeight="1">
      <c r="A152" s="15">
        <v>151</v>
      </c>
      <c r="B152" s="16" t="s">
        <v>661</v>
      </c>
      <c r="C152" s="17">
        <v>46153</v>
      </c>
      <c r="D152" s="15" t="s">
        <v>662</v>
      </c>
      <c r="E152" s="18" t="s">
        <v>161</v>
      </c>
      <c r="F152" s="19" t="s">
        <v>663</v>
      </c>
      <c r="G152" s="18" t="s">
        <v>664</v>
      </c>
      <c r="H152" s="20" t="s">
        <v>66</v>
      </c>
      <c r="I152" s="15">
        <v>1</v>
      </c>
      <c r="J152" s="15" t="s">
        <v>23</v>
      </c>
      <c r="K152" s="15"/>
      <c r="L152" s="21" t="s">
        <v>16</v>
      </c>
      <c r="M152" s="22">
        <v>0</v>
      </c>
      <c r="N152" s="22">
        <v>0</v>
      </c>
      <c r="O152" s="22">
        <v>6900</v>
      </c>
      <c r="P152" s="22">
        <v>6900</v>
      </c>
      <c r="Q152" t="str" cm="1">
        <f t="array" ref="Q152">_xlfn.TEXTJOIN("、",TRUE,IF('學員資料-三民高中'!$B$2:$B$454=$F152,'學員資料-三民高中'!$G$2:$G$454,""))</f>
        <v/>
      </c>
      <c r="R152" t="str" cm="1">
        <f t="array" ref="R152">_xlfn.TEXTJOIN("、",TRUE,IF('學員資料-新北高中'!$B$2:$B$583=$F152,'學員資料-新北高中'!$G$2:$G$583,""))</f>
        <v>0981688883</v>
      </c>
      <c r="S152" t="str" cm="1">
        <f t="array" ref="S152">_xlfn.TEXTJOIN("、",TRUE,IF('學員資料-三重商工'!$B$2:$B$472=$F152,'學員資料-三重商工'!$G$2:$G$472,""))</f>
        <v/>
      </c>
      <c r="T152">
        <f t="shared" si="2"/>
        <v>1</v>
      </c>
    </row>
    <row r="153" spans="1:20" ht="43.5" hidden="1" customHeight="1">
      <c r="A153" s="15">
        <v>152</v>
      </c>
      <c r="B153" s="16" t="s">
        <v>665</v>
      </c>
      <c r="C153" s="17">
        <v>46153</v>
      </c>
      <c r="D153" s="15" t="s">
        <v>666</v>
      </c>
      <c r="E153" s="18" t="s">
        <v>44</v>
      </c>
      <c r="F153" s="19" t="s">
        <v>667</v>
      </c>
      <c r="G153" s="18" t="s">
        <v>668</v>
      </c>
      <c r="H153" s="20" t="s">
        <v>261</v>
      </c>
      <c r="I153" s="15">
        <v>3</v>
      </c>
      <c r="J153" s="15" t="s">
        <v>23</v>
      </c>
      <c r="K153" s="15"/>
      <c r="L153" s="21" t="s">
        <v>16</v>
      </c>
      <c r="M153" s="22">
        <v>0</v>
      </c>
      <c r="N153" s="22">
        <v>0</v>
      </c>
      <c r="O153" s="22">
        <v>20700</v>
      </c>
      <c r="P153" s="22">
        <v>20700</v>
      </c>
      <c r="Q153" t="str" cm="1">
        <f t="array" ref="Q153">_xlfn.TEXTJOIN("、",TRUE,IF('學員資料-三民高中'!$B$2:$B$454=$F153,'學員資料-三民高中'!$G$2:$G$454,""))</f>
        <v/>
      </c>
      <c r="R153" t="str" cm="1">
        <f t="array" ref="R153">_xlfn.TEXTJOIN("、",TRUE,IF('學員資料-新北高中'!$B$2:$B$583=$F153,'學員資料-新北高中'!$G$2:$G$583,""))</f>
        <v>0928827113(1)</v>
      </c>
      <c r="S153" t="str" cm="1">
        <f t="array" ref="S153">_xlfn.TEXTJOIN("、",TRUE,IF('學員資料-三重商工'!$B$2:$B$472=$F153,'學員資料-三重商工'!$G$2:$G$472,""))</f>
        <v/>
      </c>
      <c r="T153">
        <f t="shared" si="2"/>
        <v>1</v>
      </c>
    </row>
    <row r="154" spans="1:20" ht="28.5" hidden="1" customHeight="1">
      <c r="A154" s="15">
        <v>153</v>
      </c>
      <c r="B154" s="16" t="s">
        <v>669</v>
      </c>
      <c r="C154" s="17">
        <v>46153</v>
      </c>
      <c r="D154" s="15" t="s">
        <v>670</v>
      </c>
      <c r="E154" s="18" t="s">
        <v>44</v>
      </c>
      <c r="F154" s="19" t="s">
        <v>671</v>
      </c>
      <c r="G154" s="18" t="s">
        <v>672</v>
      </c>
      <c r="H154" s="20" t="s">
        <v>75</v>
      </c>
      <c r="I154" s="15">
        <v>2</v>
      </c>
      <c r="J154" s="15" t="s">
        <v>23</v>
      </c>
      <c r="K154" s="15"/>
      <c r="L154" s="21" t="s">
        <v>18</v>
      </c>
      <c r="M154" s="22">
        <v>0</v>
      </c>
      <c r="N154" s="22">
        <v>0</v>
      </c>
      <c r="O154" s="22">
        <v>13800</v>
      </c>
      <c r="P154" s="22">
        <v>13800</v>
      </c>
      <c r="Q154" t="str" cm="1">
        <f t="array" ref="Q154">_xlfn.TEXTJOIN("、",TRUE,IF('學員資料-三民高中'!$B$2:$B$454=$F154,'學員資料-三民高中'!$G$2:$G$454,""))</f>
        <v/>
      </c>
      <c r="R154" t="str" cm="1">
        <f t="array" ref="R154">_xlfn.TEXTJOIN("、",TRUE,IF('學員資料-新北高中'!$B$2:$B$583=$F154,'學員資料-新北高中'!$G$2:$G$583,""))</f>
        <v>0953037197</v>
      </c>
      <c r="S154" t="str" cm="1">
        <f t="array" ref="S154">_xlfn.TEXTJOIN("、",TRUE,IF('學員資料-三重商工'!$B$2:$B$472=$F154,'學員資料-三重商工'!$G$2:$G$472,""))</f>
        <v/>
      </c>
      <c r="T154">
        <f t="shared" si="2"/>
        <v>1</v>
      </c>
    </row>
    <row r="155" spans="1:20" ht="14.25" hidden="1" customHeight="1">
      <c r="A155" s="15">
        <v>154</v>
      </c>
      <c r="B155" s="16" t="s">
        <v>673</v>
      </c>
      <c r="C155" s="17">
        <v>46153</v>
      </c>
      <c r="D155" s="15" t="s">
        <v>674</v>
      </c>
      <c r="E155" s="18" t="s">
        <v>44</v>
      </c>
      <c r="F155" s="19" t="s">
        <v>675</v>
      </c>
      <c r="G155" s="18" t="s">
        <v>676</v>
      </c>
      <c r="H155" s="20" t="s">
        <v>66</v>
      </c>
      <c r="I155" s="15">
        <v>1</v>
      </c>
      <c r="J155" s="15" t="s">
        <v>23</v>
      </c>
      <c r="K155" s="15"/>
      <c r="L155" s="21" t="s">
        <v>16</v>
      </c>
      <c r="M155" s="22">
        <v>0</v>
      </c>
      <c r="N155" s="22">
        <v>0</v>
      </c>
      <c r="O155" s="22">
        <v>6900</v>
      </c>
      <c r="P155" s="22">
        <v>6900</v>
      </c>
      <c r="Q155" t="str" cm="1">
        <f t="array" ref="Q155">_xlfn.TEXTJOIN("、",TRUE,IF('學員資料-三民高中'!$B$2:$B$454=$F155,'學員資料-三民高中'!$G$2:$G$454,""))</f>
        <v/>
      </c>
      <c r="R155" t="str" cm="1">
        <f t="array" ref="R155">_xlfn.TEXTJOIN("、",TRUE,IF('學員資料-新北高中'!$B$2:$B$583=$F155,'學員資料-新北高中'!$G$2:$G$583,""))</f>
        <v>0953272736</v>
      </c>
      <c r="S155" t="str" cm="1">
        <f t="array" ref="S155">_xlfn.TEXTJOIN("、",TRUE,IF('學員資料-三重商工'!$B$2:$B$472=$F155,'學員資料-三重商工'!$G$2:$G$472,""))</f>
        <v/>
      </c>
      <c r="T155">
        <f t="shared" si="2"/>
        <v>1</v>
      </c>
    </row>
    <row r="156" spans="1:20" ht="14.25" hidden="1" customHeight="1">
      <c r="A156" s="15">
        <v>155</v>
      </c>
      <c r="B156" s="16" t="s">
        <v>677</v>
      </c>
      <c r="C156" s="17">
        <v>46152</v>
      </c>
      <c r="D156" s="15" t="s">
        <v>678</v>
      </c>
      <c r="E156" s="18" t="s">
        <v>44</v>
      </c>
      <c r="F156" s="19" t="s">
        <v>137</v>
      </c>
      <c r="G156" s="18" t="s">
        <v>138</v>
      </c>
      <c r="H156" s="20" t="s">
        <v>112</v>
      </c>
      <c r="I156" s="15">
        <v>1</v>
      </c>
      <c r="J156" s="15" t="s">
        <v>23</v>
      </c>
      <c r="K156" s="15"/>
      <c r="L156" s="21" t="s">
        <v>16</v>
      </c>
      <c r="M156" s="22">
        <v>0</v>
      </c>
      <c r="N156" s="22">
        <v>0</v>
      </c>
      <c r="O156" s="22">
        <v>8280</v>
      </c>
      <c r="P156" s="22">
        <v>8280</v>
      </c>
      <c r="Q156" t="str" cm="1">
        <f t="array" ref="Q156">_xlfn.TEXTJOIN("、",TRUE,IF('學員資料-三民高中'!$B$2:$B$454=$F156,'學員資料-三民高中'!$G$2:$G$454,""))</f>
        <v/>
      </c>
      <c r="R156" t="str" cm="1">
        <f t="array" ref="R156">_xlfn.TEXTJOIN("、",TRUE,IF('學員資料-新北高中'!$B$2:$B$583=$F156,'學員資料-新北高中'!$G$2:$G$583,""))</f>
        <v/>
      </c>
      <c r="S156" t="str" cm="1">
        <f t="array" ref="S156">_xlfn.TEXTJOIN("、",TRUE,IF('學員資料-三重商工'!$B$2:$B$472=$F156,'學員資料-三重商工'!$G$2:$G$472,""))</f>
        <v>0910859275</v>
      </c>
      <c r="T156">
        <f t="shared" si="2"/>
        <v>1</v>
      </c>
    </row>
    <row r="157" spans="1:20" ht="14.25" hidden="1" customHeight="1">
      <c r="A157" s="15">
        <v>156</v>
      </c>
      <c r="B157" s="16" t="s">
        <v>679</v>
      </c>
      <c r="C157" s="17">
        <v>46151</v>
      </c>
      <c r="D157" s="15" t="s">
        <v>680</v>
      </c>
      <c r="E157" s="18" t="s">
        <v>78</v>
      </c>
      <c r="F157" s="19" t="s">
        <v>681</v>
      </c>
      <c r="G157" s="18" t="s">
        <v>682</v>
      </c>
      <c r="H157" s="20" t="s">
        <v>683</v>
      </c>
      <c r="I157" s="15">
        <v>1</v>
      </c>
      <c r="J157" s="15" t="s">
        <v>23</v>
      </c>
      <c r="K157" s="15"/>
      <c r="L157" s="21" t="s">
        <v>16</v>
      </c>
      <c r="M157" s="22">
        <v>0</v>
      </c>
      <c r="N157" s="22">
        <v>-3600</v>
      </c>
      <c r="O157" s="22">
        <v>5400</v>
      </c>
      <c r="P157" s="22">
        <v>5400</v>
      </c>
      <c r="Q157" t="str" cm="1">
        <f t="array" ref="Q157">_xlfn.TEXTJOIN("、",TRUE,IF('學員資料-三民高中'!$B$2:$B$454=$F157,'學員資料-三民高中'!$G$2:$G$454,""))</f>
        <v/>
      </c>
      <c r="R157" t="str" cm="1">
        <f t="array" ref="R157">_xlfn.TEXTJOIN("、",TRUE,IF('學員資料-新北高中'!$B$2:$B$583=$F157,'學員資料-新北高中'!$G$2:$G$583,""))</f>
        <v>0956888791</v>
      </c>
      <c r="S157" t="str" cm="1">
        <f t="array" ref="S157">_xlfn.TEXTJOIN("、",TRUE,IF('學員資料-三重商工'!$B$2:$B$472=$F157,'學員資料-三重商工'!$G$2:$G$472,""))</f>
        <v/>
      </c>
      <c r="T157">
        <f t="shared" si="2"/>
        <v>1</v>
      </c>
    </row>
    <row r="158" spans="1:20" ht="28.5" hidden="1" customHeight="1">
      <c r="A158" s="15">
        <v>157</v>
      </c>
      <c r="B158" s="16" t="s">
        <v>684</v>
      </c>
      <c r="C158" s="17">
        <v>46151</v>
      </c>
      <c r="D158" s="15" t="s">
        <v>685</v>
      </c>
      <c r="E158" s="18" t="s">
        <v>78</v>
      </c>
      <c r="F158" s="19" t="s">
        <v>686</v>
      </c>
      <c r="G158" s="18" t="s">
        <v>687</v>
      </c>
      <c r="H158" s="20" t="s">
        <v>219</v>
      </c>
      <c r="I158" s="15">
        <v>2</v>
      </c>
      <c r="J158" s="15" t="s">
        <v>25</v>
      </c>
      <c r="K158" s="15"/>
      <c r="L158" s="21" t="s">
        <v>16</v>
      </c>
      <c r="M158" s="22">
        <v>0</v>
      </c>
      <c r="N158" s="22">
        <v>-1980</v>
      </c>
      <c r="O158" s="22">
        <v>17820</v>
      </c>
      <c r="P158" s="22">
        <v>17820</v>
      </c>
      <c r="Q158" t="str" cm="1">
        <f t="array" ref="Q158">_xlfn.TEXTJOIN("、",TRUE,IF('學員資料-三民高中'!$B$2:$B$454=$F158,'學員資料-三民高中'!$G$2:$G$454,""))</f>
        <v/>
      </c>
      <c r="R158" t="str" cm="1">
        <f t="array" ref="R158">_xlfn.TEXTJOIN("、",TRUE,IF('學員資料-新北高中'!$B$2:$B$583=$F158,'學員資料-新北高中'!$G$2:$G$583,""))</f>
        <v>0911281961</v>
      </c>
      <c r="S158" t="str" cm="1">
        <f t="array" ref="S158">_xlfn.TEXTJOIN("、",TRUE,IF('學員資料-三重商工'!$B$2:$B$472=$F158,'學員資料-三重商工'!$G$2:$G$472,""))</f>
        <v/>
      </c>
      <c r="T158">
        <f t="shared" si="2"/>
        <v>1</v>
      </c>
    </row>
    <row r="159" spans="1:20" ht="14.25" hidden="1" customHeight="1">
      <c r="A159" s="15">
        <v>158</v>
      </c>
      <c r="B159" s="16" t="s">
        <v>688</v>
      </c>
      <c r="C159" s="17">
        <v>46151</v>
      </c>
      <c r="D159" s="15" t="s">
        <v>689</v>
      </c>
      <c r="E159" s="18" t="s">
        <v>161</v>
      </c>
      <c r="F159" s="19" t="s">
        <v>690</v>
      </c>
      <c r="G159" s="18" t="s">
        <v>691</v>
      </c>
      <c r="H159" s="20" t="s">
        <v>66</v>
      </c>
      <c r="I159" s="15">
        <v>1</v>
      </c>
      <c r="J159" s="15" t="s">
        <v>23</v>
      </c>
      <c r="K159" s="15"/>
      <c r="L159" s="21" t="s">
        <v>16</v>
      </c>
      <c r="M159" s="22">
        <v>0</v>
      </c>
      <c r="N159" s="22">
        <v>0</v>
      </c>
      <c r="O159" s="22">
        <v>6900</v>
      </c>
      <c r="P159" s="22">
        <v>6900</v>
      </c>
      <c r="Q159" t="str" cm="1">
        <f t="array" ref="Q159">_xlfn.TEXTJOIN("、",TRUE,IF('學員資料-三民高中'!$B$2:$B$454=$F159,'學員資料-三民高中'!$G$2:$G$454,""))</f>
        <v/>
      </c>
      <c r="R159" t="str" cm="1">
        <f t="array" ref="R159">_xlfn.TEXTJOIN("、",TRUE,IF('學員資料-新北高中'!$B$2:$B$583=$F159,'學員資料-新北高中'!$G$2:$G$583,""))</f>
        <v>0987575668</v>
      </c>
      <c r="S159" t="str" cm="1">
        <f t="array" ref="S159">_xlfn.TEXTJOIN("、",TRUE,IF('學員資料-三重商工'!$B$2:$B$472=$F159,'學員資料-三重商工'!$G$2:$G$472,""))</f>
        <v/>
      </c>
      <c r="T159">
        <f t="shared" si="2"/>
        <v>1</v>
      </c>
    </row>
    <row r="160" spans="1:20" ht="14.25" hidden="1" customHeight="1">
      <c r="A160" s="15">
        <v>159</v>
      </c>
      <c r="B160" s="16" t="s">
        <v>692</v>
      </c>
      <c r="C160" s="17">
        <v>46151</v>
      </c>
      <c r="D160" s="15" t="s">
        <v>693</v>
      </c>
      <c r="E160" s="18" t="s">
        <v>161</v>
      </c>
      <c r="F160" s="19" t="s">
        <v>694</v>
      </c>
      <c r="G160" s="18" t="s">
        <v>695</v>
      </c>
      <c r="H160" s="20" t="s">
        <v>130</v>
      </c>
      <c r="I160" s="15">
        <v>1</v>
      </c>
      <c r="J160" s="15" t="s">
        <v>25</v>
      </c>
      <c r="K160" s="15"/>
      <c r="L160" s="21" t="s">
        <v>16</v>
      </c>
      <c r="M160" s="22">
        <v>0</v>
      </c>
      <c r="N160" s="22">
        <v>-3960</v>
      </c>
      <c r="O160" s="22">
        <v>5940</v>
      </c>
      <c r="P160" s="22">
        <v>5940</v>
      </c>
      <c r="Q160" t="str" cm="1">
        <f t="array" ref="Q160">_xlfn.TEXTJOIN("、",TRUE,IF('學員資料-三民高中'!$B$2:$B$454=$F160,'學員資料-三民高中'!$G$2:$G$454,""))</f>
        <v/>
      </c>
      <c r="R160" t="str" cm="1">
        <f t="array" ref="R160">_xlfn.TEXTJOIN("、",TRUE,IF('學員資料-新北高中'!$B$2:$B$583=$F160,'學員資料-新北高中'!$G$2:$G$583,""))</f>
        <v>0913521852</v>
      </c>
      <c r="S160" t="str" cm="1">
        <f t="array" ref="S160">_xlfn.TEXTJOIN("、",TRUE,IF('學員資料-三重商工'!$B$2:$B$472=$F160,'學員資料-三重商工'!$G$2:$G$472,""))</f>
        <v/>
      </c>
      <c r="T160">
        <f t="shared" si="2"/>
        <v>1</v>
      </c>
    </row>
    <row r="161" spans="1:20" ht="28.5" customHeight="1">
      <c r="A161" s="15">
        <v>160</v>
      </c>
      <c r="B161" s="16" t="s">
        <v>696</v>
      </c>
      <c r="C161" s="17">
        <v>46151</v>
      </c>
      <c r="D161" s="15" t="s">
        <v>697</v>
      </c>
      <c r="E161" s="18" t="s">
        <v>44</v>
      </c>
      <c r="F161" s="19" t="s">
        <v>698</v>
      </c>
      <c r="G161" s="18" t="s">
        <v>699</v>
      </c>
      <c r="H161" s="20" t="s">
        <v>75</v>
      </c>
      <c r="I161" s="15">
        <v>2</v>
      </c>
      <c r="J161" s="15" t="s">
        <v>23</v>
      </c>
      <c r="K161" s="15"/>
      <c r="L161" s="21" t="s">
        <v>16</v>
      </c>
      <c r="M161" s="22">
        <v>0</v>
      </c>
      <c r="N161" s="22">
        <v>0</v>
      </c>
      <c r="O161" s="22">
        <v>13800</v>
      </c>
      <c r="P161" s="22">
        <v>13800</v>
      </c>
      <c r="Q161" t="str" cm="1">
        <f t="array" ref="Q161">_xlfn.TEXTJOIN("、",TRUE,IF('學員資料-三民高中'!$B$2:$B$454=$F161,'學員資料-三民高中'!$G$2:$G$454,""))</f>
        <v/>
      </c>
      <c r="R161" t="str" cm="1">
        <f t="array" ref="R161">_xlfn.TEXTJOIN("、",TRUE,IF('學員資料-新北高中'!$B$2:$B$583=$F161,'學員資料-新北高中'!$G$2:$G$583,""))</f>
        <v/>
      </c>
      <c r="S161" t="str" cm="1">
        <f t="array" ref="S161">_xlfn.TEXTJOIN("、",TRUE,IF('學員資料-三重商工'!$B$2:$B$472=$F161,'學員資料-三重商工'!$G$2:$G$472,""))</f>
        <v/>
      </c>
      <c r="T161">
        <f t="shared" si="2"/>
        <v>0</v>
      </c>
    </row>
    <row r="162" spans="1:20" ht="14.25" hidden="1" customHeight="1">
      <c r="A162" s="15">
        <v>161</v>
      </c>
      <c r="B162" s="16" t="s">
        <v>700</v>
      </c>
      <c r="C162" s="17">
        <v>46151</v>
      </c>
      <c r="D162" s="15" t="s">
        <v>701</v>
      </c>
      <c r="E162" s="18" t="s">
        <v>44</v>
      </c>
      <c r="F162" s="19" t="s">
        <v>702</v>
      </c>
      <c r="G162" s="18" t="s">
        <v>703</v>
      </c>
      <c r="H162" s="20" t="s">
        <v>115</v>
      </c>
      <c r="I162" s="15">
        <v>1</v>
      </c>
      <c r="J162" s="15" t="s">
        <v>24</v>
      </c>
      <c r="K162" s="21" t="s">
        <v>116</v>
      </c>
      <c r="L162" s="21" t="s">
        <v>16</v>
      </c>
      <c r="M162" s="22">
        <v>0</v>
      </c>
      <c r="N162" s="22">
        <v>0</v>
      </c>
      <c r="O162" s="22">
        <v>1400</v>
      </c>
      <c r="P162" s="22">
        <v>1400</v>
      </c>
      <c r="Q162" t="str" cm="1">
        <f t="array" ref="Q162">_xlfn.TEXTJOIN("、",TRUE,IF('學員資料-三民高中'!$B$2:$B$454=$F162,'學員資料-三民高中'!$G$2:$G$454,""))</f>
        <v/>
      </c>
      <c r="R162" t="str" cm="1">
        <f t="array" ref="R162">_xlfn.TEXTJOIN("、",TRUE,IF('學員資料-新北高中'!$B$2:$B$583=$F162,'學員資料-新北高中'!$G$2:$G$583,""))</f>
        <v>0987560315</v>
      </c>
      <c r="S162" t="str" cm="1">
        <f t="array" ref="S162">_xlfn.TEXTJOIN("、",TRUE,IF('學員資料-三重商工'!$B$2:$B$472=$F162,'學員資料-三重商工'!$G$2:$G$472,""))</f>
        <v/>
      </c>
      <c r="T162">
        <f t="shared" si="2"/>
        <v>1</v>
      </c>
    </row>
    <row r="163" spans="1:20" ht="14.25" customHeight="1">
      <c r="A163" s="15">
        <v>162</v>
      </c>
      <c r="B163" s="16" t="s">
        <v>704</v>
      </c>
      <c r="C163" s="17">
        <v>46151</v>
      </c>
      <c r="D163" s="15" t="s">
        <v>705</v>
      </c>
      <c r="E163" s="18" t="s">
        <v>170</v>
      </c>
      <c r="F163" s="19" t="s">
        <v>706</v>
      </c>
      <c r="G163" s="18" t="s">
        <v>707</v>
      </c>
      <c r="H163" s="20" t="s">
        <v>66</v>
      </c>
      <c r="I163" s="15">
        <v>1</v>
      </c>
      <c r="J163" s="15" t="s">
        <v>23</v>
      </c>
      <c r="K163" s="15"/>
      <c r="L163" s="21" t="s">
        <v>16</v>
      </c>
      <c r="M163" s="22">
        <v>0</v>
      </c>
      <c r="N163" s="22">
        <v>0</v>
      </c>
      <c r="O163" s="22">
        <v>6900</v>
      </c>
      <c r="P163" s="22">
        <v>6900</v>
      </c>
      <c r="Q163" t="str" cm="1">
        <f t="array" ref="Q163">_xlfn.TEXTJOIN("、",TRUE,IF('學員資料-三民高中'!$B$2:$B$454=$F163,'學員資料-三民高中'!$G$2:$G$454,""))</f>
        <v/>
      </c>
      <c r="R163" t="str" cm="1">
        <f t="array" ref="R163">_xlfn.TEXTJOIN("、",TRUE,IF('學員資料-新北高中'!$B$2:$B$583=$F163,'學員資料-新北高中'!$G$2:$G$583,""))</f>
        <v/>
      </c>
      <c r="S163" t="str" cm="1">
        <f t="array" ref="S163">_xlfn.TEXTJOIN("、",TRUE,IF('學員資料-三重商工'!$B$2:$B$472=$F163,'學員資料-三重商工'!$G$2:$G$472,""))</f>
        <v/>
      </c>
      <c r="T163">
        <f t="shared" si="2"/>
        <v>0</v>
      </c>
    </row>
    <row r="164" spans="1:20" ht="14.25" hidden="1" customHeight="1">
      <c r="A164" s="15">
        <v>163</v>
      </c>
      <c r="B164" s="16" t="s">
        <v>708</v>
      </c>
      <c r="C164" s="17">
        <v>46151</v>
      </c>
      <c r="D164" s="15" t="s">
        <v>709</v>
      </c>
      <c r="E164" s="18" t="s">
        <v>44</v>
      </c>
      <c r="F164" s="19" t="s">
        <v>514</v>
      </c>
      <c r="G164" s="18" t="s">
        <v>515</v>
      </c>
      <c r="H164" s="20" t="s">
        <v>52</v>
      </c>
      <c r="I164" s="15">
        <v>1</v>
      </c>
      <c r="J164" s="15" t="s">
        <v>24</v>
      </c>
      <c r="K164" s="15"/>
      <c r="L164" s="21" t="s">
        <v>16</v>
      </c>
      <c r="M164" s="22">
        <v>0</v>
      </c>
      <c r="N164" s="22">
        <v>0</v>
      </c>
      <c r="O164" s="22">
        <v>7500</v>
      </c>
      <c r="P164" s="22">
        <v>7500</v>
      </c>
      <c r="Q164" t="str" cm="1">
        <f t="array" ref="Q164">_xlfn.TEXTJOIN("、",TRUE,IF('學員資料-三民高中'!$B$2:$B$454=$F164,'學員資料-三民高中'!$G$2:$G$454,""))</f>
        <v/>
      </c>
      <c r="R164" t="str" cm="1">
        <f t="array" ref="R164">_xlfn.TEXTJOIN("、",TRUE,IF('學員資料-新北高中'!$B$2:$B$583=$F164,'學員資料-新北高中'!$G$2:$G$583,""))</f>
        <v/>
      </c>
      <c r="S164" t="str" cm="1">
        <f t="array" ref="S164">_xlfn.TEXTJOIN("、",TRUE,IF('學員資料-三重商工'!$B$2:$B$472=$F164,'學員資料-三重商工'!$G$2:$G$472,""))</f>
        <v>0988135080</v>
      </c>
      <c r="T164">
        <f t="shared" si="2"/>
        <v>1</v>
      </c>
    </row>
    <row r="165" spans="1:20" ht="14.25" hidden="1" customHeight="1">
      <c r="A165" s="15">
        <v>164</v>
      </c>
      <c r="B165" s="16" t="s">
        <v>710</v>
      </c>
      <c r="C165" s="17">
        <v>46150</v>
      </c>
      <c r="D165" s="15" t="s">
        <v>711</v>
      </c>
      <c r="E165" s="18" t="s">
        <v>78</v>
      </c>
      <c r="F165" s="19" t="s">
        <v>712</v>
      </c>
      <c r="G165" s="18" t="s">
        <v>713</v>
      </c>
      <c r="H165" s="20" t="s">
        <v>130</v>
      </c>
      <c r="I165" s="15">
        <v>1</v>
      </c>
      <c r="J165" s="15" t="s">
        <v>25</v>
      </c>
      <c r="K165" s="15"/>
      <c r="L165" s="21" t="s">
        <v>16</v>
      </c>
      <c r="M165" s="22">
        <v>0</v>
      </c>
      <c r="N165" s="22">
        <v>-990</v>
      </c>
      <c r="O165" s="22">
        <v>8910</v>
      </c>
      <c r="P165" s="22">
        <v>8910</v>
      </c>
      <c r="Q165" t="str" cm="1">
        <f t="array" ref="Q165">_xlfn.TEXTJOIN("、",TRUE,IF('學員資料-三民高中'!$B$2:$B$454=$F165,'學員資料-三民高中'!$G$2:$G$454,""))</f>
        <v/>
      </c>
      <c r="R165" t="str" cm="1">
        <f t="array" ref="R165">_xlfn.TEXTJOIN("、",TRUE,IF('學員資料-新北高中'!$B$2:$B$583=$F165,'學員資料-新北高中'!$G$2:$G$583,""))</f>
        <v>0952668021-1</v>
      </c>
      <c r="S165" t="str" cm="1">
        <f t="array" ref="S165">_xlfn.TEXTJOIN("、",TRUE,IF('學員資料-三重商工'!$B$2:$B$472=$F165,'學員資料-三重商工'!$G$2:$G$472,""))</f>
        <v/>
      </c>
      <c r="T165">
        <f t="shared" si="2"/>
        <v>1</v>
      </c>
    </row>
    <row r="166" spans="1:20" ht="14.25" hidden="1" customHeight="1">
      <c r="A166" s="15">
        <v>165</v>
      </c>
      <c r="B166" s="16" t="s">
        <v>714</v>
      </c>
      <c r="C166" s="17">
        <v>46150</v>
      </c>
      <c r="D166" s="15" t="s">
        <v>715</v>
      </c>
      <c r="E166" s="18" t="s">
        <v>83</v>
      </c>
      <c r="F166" s="19" t="s">
        <v>716</v>
      </c>
      <c r="G166" s="18" t="s">
        <v>717</v>
      </c>
      <c r="H166" s="20" t="s">
        <v>130</v>
      </c>
      <c r="I166" s="15">
        <v>1</v>
      </c>
      <c r="J166" s="15" t="s">
        <v>25</v>
      </c>
      <c r="K166" s="15"/>
      <c r="L166" s="21" t="s">
        <v>16</v>
      </c>
      <c r="M166" s="22">
        <v>0</v>
      </c>
      <c r="N166" s="22">
        <v>-1980</v>
      </c>
      <c r="O166" s="22">
        <v>7920</v>
      </c>
      <c r="P166" s="22">
        <v>7920</v>
      </c>
      <c r="Q166" t="str" cm="1">
        <f t="array" ref="Q166">_xlfn.TEXTJOIN("、",TRUE,IF('學員資料-三民高中'!$B$2:$B$454=$F166,'學員資料-三民高中'!$G$2:$G$454,""))</f>
        <v/>
      </c>
      <c r="R166" t="str" cm="1">
        <f t="array" ref="R166">_xlfn.TEXTJOIN("、",TRUE,IF('學員資料-新北高中'!$B$2:$B$583=$F166,'學員資料-新北高中'!$G$2:$G$583,""))</f>
        <v/>
      </c>
      <c r="S166" t="str" cm="1">
        <f t="array" ref="S166">_xlfn.TEXTJOIN("、",TRUE,IF('學員資料-三重商工'!$B$2:$B$472=$F166,'學員資料-三重商工'!$G$2:$G$472,""))</f>
        <v>0928573701</v>
      </c>
      <c r="T166">
        <f t="shared" si="2"/>
        <v>1</v>
      </c>
    </row>
    <row r="167" spans="1:20" ht="14.25" customHeight="1">
      <c r="A167" s="15">
        <v>166</v>
      </c>
      <c r="B167" s="16" t="s">
        <v>718</v>
      </c>
      <c r="C167" s="17">
        <v>46149</v>
      </c>
      <c r="D167" s="15" t="s">
        <v>719</v>
      </c>
      <c r="E167" s="18" t="s">
        <v>55</v>
      </c>
      <c r="F167" s="19" t="s">
        <v>720</v>
      </c>
      <c r="G167" s="18" t="s">
        <v>721</v>
      </c>
      <c r="H167" s="20" t="s">
        <v>52</v>
      </c>
      <c r="I167" s="15">
        <v>1</v>
      </c>
      <c r="J167" s="15" t="s">
        <v>24</v>
      </c>
      <c r="K167" s="15"/>
      <c r="L167" s="21" t="s">
        <v>18</v>
      </c>
      <c r="M167" s="22">
        <v>0</v>
      </c>
      <c r="N167" s="22">
        <v>0</v>
      </c>
      <c r="O167" s="22">
        <v>7500</v>
      </c>
      <c r="P167" s="22">
        <v>7500</v>
      </c>
      <c r="Q167" t="str" cm="1">
        <f t="array" ref="Q167">_xlfn.TEXTJOIN("、",TRUE,IF('學員資料-三民高中'!$B$2:$B$454=$F167,'學員資料-三民高中'!$G$2:$G$454,""))</f>
        <v/>
      </c>
      <c r="R167" t="str" cm="1">
        <f t="array" ref="R167">_xlfn.TEXTJOIN("、",TRUE,IF('學員資料-新北高中'!$B$2:$B$583=$F167,'學員資料-新北高中'!$G$2:$G$583,""))</f>
        <v/>
      </c>
      <c r="S167" t="str" cm="1">
        <f t="array" ref="S167">_xlfn.TEXTJOIN("、",TRUE,IF('學員資料-三重商工'!$B$2:$B$472=$F167,'學員資料-三重商工'!$G$2:$G$472,""))</f>
        <v/>
      </c>
      <c r="T167">
        <f t="shared" si="2"/>
        <v>0</v>
      </c>
    </row>
    <row r="168" spans="1:20" ht="28.5" hidden="1" customHeight="1">
      <c r="A168" s="15">
        <v>167</v>
      </c>
      <c r="B168" s="16" t="s">
        <v>722</v>
      </c>
      <c r="C168" s="17">
        <v>46148</v>
      </c>
      <c r="D168" s="15" t="s">
        <v>723</v>
      </c>
      <c r="E168" s="18" t="s">
        <v>170</v>
      </c>
      <c r="F168" s="19" t="s">
        <v>724</v>
      </c>
      <c r="G168" s="18" t="s">
        <v>725</v>
      </c>
      <c r="H168" s="20" t="s">
        <v>726</v>
      </c>
      <c r="I168" s="15">
        <v>2</v>
      </c>
      <c r="J168" s="15" t="s">
        <v>24</v>
      </c>
      <c r="K168" s="15"/>
      <c r="L168" s="21" t="s">
        <v>16</v>
      </c>
      <c r="M168" s="22">
        <v>0</v>
      </c>
      <c r="N168" s="22">
        <v>0</v>
      </c>
      <c r="O168" s="22">
        <v>18000</v>
      </c>
      <c r="P168" s="22">
        <v>18000</v>
      </c>
      <c r="Q168" t="str" cm="1">
        <f t="array" ref="Q168">_xlfn.TEXTJOIN("、",TRUE,IF('學員資料-三民高中'!$B$2:$B$454=$F168,'學員資料-三民高中'!$G$2:$G$454,""))</f>
        <v/>
      </c>
      <c r="R168" t="str" cm="1">
        <f t="array" ref="R168">_xlfn.TEXTJOIN("、",TRUE,IF('學員資料-新北高中'!$B$2:$B$583=$F168,'學員資料-新北高中'!$G$2:$G$583,""))</f>
        <v>0918677822</v>
      </c>
      <c r="S168" t="str" cm="1">
        <f t="array" ref="S168">_xlfn.TEXTJOIN("、",TRUE,IF('學員資料-三重商工'!$B$2:$B$472=$F168,'學員資料-三重商工'!$G$2:$G$472,""))</f>
        <v/>
      </c>
      <c r="T168">
        <f t="shared" si="2"/>
        <v>1</v>
      </c>
    </row>
    <row r="169" spans="1:20" ht="14.25" hidden="1" customHeight="1">
      <c r="A169" s="15">
        <v>168</v>
      </c>
      <c r="B169" s="16" t="s">
        <v>727</v>
      </c>
      <c r="C169" s="17">
        <v>46148</v>
      </c>
      <c r="D169" s="15" t="s">
        <v>728</v>
      </c>
      <c r="E169" s="18" t="s">
        <v>170</v>
      </c>
      <c r="F169" s="19" t="s">
        <v>729</v>
      </c>
      <c r="G169" s="18" t="s">
        <v>730</v>
      </c>
      <c r="H169" s="20" t="s">
        <v>52</v>
      </c>
      <c r="I169" s="15">
        <v>1</v>
      </c>
      <c r="J169" s="15" t="s">
        <v>24</v>
      </c>
      <c r="K169" s="15"/>
      <c r="L169" s="21" t="s">
        <v>16</v>
      </c>
      <c r="M169" s="22">
        <v>0</v>
      </c>
      <c r="N169" s="22">
        <v>-1400</v>
      </c>
      <c r="O169" s="22">
        <v>6100</v>
      </c>
      <c r="P169" s="22">
        <v>6100</v>
      </c>
      <c r="Q169" t="str" cm="1">
        <f t="array" ref="Q169">_xlfn.TEXTJOIN("、",TRUE,IF('學員資料-三民高中'!$B$2:$B$454=$F169,'學員資料-三民高中'!$G$2:$G$454,""))</f>
        <v/>
      </c>
      <c r="R169" t="str" cm="1">
        <f t="array" ref="R169">_xlfn.TEXTJOIN("、",TRUE,IF('學員資料-新北高中'!$B$2:$B$583=$F169,'學員資料-新北高中'!$G$2:$G$583,""))</f>
        <v>0926338939</v>
      </c>
      <c r="S169" t="str" cm="1">
        <f t="array" ref="S169">_xlfn.TEXTJOIN("、",TRUE,IF('學員資料-三重商工'!$B$2:$B$472=$F169,'學員資料-三重商工'!$G$2:$G$472,""))</f>
        <v/>
      </c>
      <c r="T169">
        <f t="shared" si="2"/>
        <v>1</v>
      </c>
    </row>
    <row r="170" spans="1:20" ht="14.25" hidden="1" customHeight="1">
      <c r="A170" s="15">
        <v>169</v>
      </c>
      <c r="B170" s="16" t="s">
        <v>731</v>
      </c>
      <c r="C170" s="17">
        <v>46147</v>
      </c>
      <c r="D170" s="15" t="s">
        <v>732</v>
      </c>
      <c r="E170" s="18" t="s">
        <v>402</v>
      </c>
      <c r="F170" s="19" t="s">
        <v>733</v>
      </c>
      <c r="G170" s="18" t="s">
        <v>734</v>
      </c>
      <c r="H170" s="20" t="s">
        <v>210</v>
      </c>
      <c r="I170" s="15">
        <v>1</v>
      </c>
      <c r="J170" s="15" t="s">
        <v>26</v>
      </c>
      <c r="K170" s="15"/>
      <c r="L170" s="21" t="s">
        <v>16</v>
      </c>
      <c r="M170" s="22">
        <v>0</v>
      </c>
      <c r="N170" s="22">
        <v>0</v>
      </c>
      <c r="O170" s="22">
        <v>12000</v>
      </c>
      <c r="P170" s="22">
        <v>12000</v>
      </c>
      <c r="Q170" t="str" cm="1">
        <f t="array" ref="Q170">_xlfn.TEXTJOIN("、",TRUE,IF('學員資料-三民高中'!$B$2:$B$454=$F170,'學員資料-三民高中'!$G$2:$G$454,""))</f>
        <v/>
      </c>
      <c r="R170" t="str" cm="1">
        <f t="array" ref="R170">_xlfn.TEXTJOIN("、",TRUE,IF('學員資料-新北高中'!$B$2:$B$583=$F170,'學員資料-新北高中'!$G$2:$G$583,""))</f>
        <v>0908123188</v>
      </c>
      <c r="S170" t="str" cm="1">
        <f t="array" ref="S170">_xlfn.TEXTJOIN("、",TRUE,IF('學員資料-三重商工'!$B$2:$B$472=$F170,'學員資料-三重商工'!$G$2:$G$472,""))</f>
        <v/>
      </c>
      <c r="T170">
        <f t="shared" si="2"/>
        <v>1</v>
      </c>
    </row>
    <row r="171" spans="1:20" ht="14.25" hidden="1" customHeight="1">
      <c r="A171" s="15">
        <v>170</v>
      </c>
      <c r="B171" s="16" t="s">
        <v>735</v>
      </c>
      <c r="C171" s="17">
        <v>46146</v>
      </c>
      <c r="D171" s="15" t="s">
        <v>736</v>
      </c>
      <c r="E171" s="18" t="s">
        <v>78</v>
      </c>
      <c r="F171" s="19" t="s">
        <v>724</v>
      </c>
      <c r="G171" s="18" t="s">
        <v>725</v>
      </c>
      <c r="H171" s="20" t="s">
        <v>119</v>
      </c>
      <c r="I171" s="15">
        <v>1</v>
      </c>
      <c r="J171" s="15" t="s">
        <v>24</v>
      </c>
      <c r="K171" s="21" t="s">
        <v>116</v>
      </c>
      <c r="L171" s="21" t="s">
        <v>16</v>
      </c>
      <c r="M171" s="22">
        <v>0</v>
      </c>
      <c r="N171" s="22">
        <v>0</v>
      </c>
      <c r="O171" s="22">
        <v>1680</v>
      </c>
      <c r="P171" s="22">
        <v>1680</v>
      </c>
      <c r="Q171" t="str" cm="1">
        <f t="array" ref="Q171">_xlfn.TEXTJOIN("、",TRUE,IF('學員資料-三民高中'!$B$2:$B$454=$F171,'學員資料-三民高中'!$G$2:$G$454,""))</f>
        <v/>
      </c>
      <c r="R171" t="str" cm="1">
        <f t="array" ref="R171">_xlfn.TEXTJOIN("、",TRUE,IF('學員資料-新北高中'!$B$2:$B$583=$F171,'學員資料-新北高中'!$G$2:$G$583,""))</f>
        <v>0918677822</v>
      </c>
      <c r="S171" t="str" cm="1">
        <f t="array" ref="S171">_xlfn.TEXTJOIN("、",TRUE,IF('學員資料-三重商工'!$B$2:$B$472=$F171,'學員資料-三重商工'!$G$2:$G$472,""))</f>
        <v/>
      </c>
      <c r="T171">
        <f t="shared" si="2"/>
        <v>1</v>
      </c>
    </row>
    <row r="172" spans="1:20" ht="14.25" hidden="1" customHeight="1">
      <c r="A172" s="15">
        <v>171</v>
      </c>
      <c r="B172" s="16" t="s">
        <v>737</v>
      </c>
      <c r="C172" s="17">
        <v>46146</v>
      </c>
      <c r="D172" s="15" t="s">
        <v>738</v>
      </c>
      <c r="E172" s="18" t="s">
        <v>44</v>
      </c>
      <c r="F172" s="19" t="s">
        <v>739</v>
      </c>
      <c r="G172" s="18" t="s">
        <v>740</v>
      </c>
      <c r="H172" s="20" t="s">
        <v>52</v>
      </c>
      <c r="I172" s="15">
        <v>1</v>
      </c>
      <c r="J172" s="15" t="s">
        <v>24</v>
      </c>
      <c r="K172" s="15"/>
      <c r="L172" s="21" t="s">
        <v>18</v>
      </c>
      <c r="M172" s="22">
        <v>0</v>
      </c>
      <c r="N172" s="22">
        <v>0</v>
      </c>
      <c r="O172" s="22">
        <v>7500</v>
      </c>
      <c r="P172" s="22">
        <v>7500</v>
      </c>
      <c r="Q172" t="str" cm="1">
        <f t="array" ref="Q172">_xlfn.TEXTJOIN("、",TRUE,IF('學員資料-三民高中'!$B$2:$B$454=$F172,'學員資料-三民高中'!$G$2:$G$454,""))</f>
        <v/>
      </c>
      <c r="R172" t="str" cm="1">
        <f t="array" ref="R172">_xlfn.TEXTJOIN("、",TRUE,IF('學員資料-新北高中'!$B$2:$B$583=$F172,'學員資料-新北高中'!$G$2:$G$583,""))</f>
        <v/>
      </c>
      <c r="S172" t="str" cm="1">
        <f t="array" ref="S172">_xlfn.TEXTJOIN("、",TRUE,IF('學員資料-三重商工'!$B$2:$B$472=$F172,'學員資料-三重商工'!$G$2:$G$472,""))</f>
        <v>0989839321</v>
      </c>
      <c r="T172">
        <f t="shared" si="2"/>
        <v>1</v>
      </c>
    </row>
    <row r="173" spans="1:20" ht="14.25" hidden="1" customHeight="1">
      <c r="A173" s="15">
        <v>172</v>
      </c>
      <c r="B173" s="16" t="s">
        <v>741</v>
      </c>
      <c r="C173" s="17">
        <v>46146</v>
      </c>
      <c r="D173" s="15" t="s">
        <v>742</v>
      </c>
      <c r="E173" s="18" t="s">
        <v>44</v>
      </c>
      <c r="F173" s="19" t="s">
        <v>743</v>
      </c>
      <c r="G173" s="18" t="s">
        <v>744</v>
      </c>
      <c r="H173" s="20" t="s">
        <v>66</v>
      </c>
      <c r="I173" s="15">
        <v>1</v>
      </c>
      <c r="J173" s="15" t="s">
        <v>23</v>
      </c>
      <c r="K173" s="15"/>
      <c r="L173" s="21" t="s">
        <v>18</v>
      </c>
      <c r="M173" s="22">
        <v>0</v>
      </c>
      <c r="N173" s="22">
        <v>0</v>
      </c>
      <c r="O173" s="22">
        <v>6900</v>
      </c>
      <c r="P173" s="22">
        <v>6900</v>
      </c>
      <c r="Q173" t="str" cm="1">
        <f t="array" ref="Q173">_xlfn.TEXTJOIN("、",TRUE,IF('學員資料-三民高中'!$B$2:$B$454=$F173,'學員資料-三民高中'!$G$2:$G$454,""))</f>
        <v/>
      </c>
      <c r="R173" t="str" cm="1">
        <f t="array" ref="R173">_xlfn.TEXTJOIN("、",TRUE,IF('學員資料-新北高中'!$B$2:$B$583=$F173,'學員資料-新北高中'!$G$2:$G$583,""))</f>
        <v/>
      </c>
      <c r="S173" t="str" cm="1">
        <f t="array" ref="S173">_xlfn.TEXTJOIN("、",TRUE,IF('學員資料-三重商工'!$B$2:$B$472=$F173,'學員資料-三重商工'!$G$2:$G$472,""))</f>
        <v>0926556590</v>
      </c>
      <c r="T173">
        <f t="shared" si="2"/>
        <v>1</v>
      </c>
    </row>
    <row r="174" spans="1:20" ht="14.25" hidden="1" customHeight="1">
      <c r="A174" s="15">
        <v>173</v>
      </c>
      <c r="B174" s="16" t="s">
        <v>745</v>
      </c>
      <c r="C174" s="17">
        <v>46145</v>
      </c>
      <c r="D174" s="15" t="s">
        <v>746</v>
      </c>
      <c r="E174" s="18" t="s">
        <v>78</v>
      </c>
      <c r="F174" s="19" t="s">
        <v>747</v>
      </c>
      <c r="G174" s="18" t="s">
        <v>748</v>
      </c>
      <c r="H174" s="20" t="s">
        <v>52</v>
      </c>
      <c r="I174" s="15">
        <v>1</v>
      </c>
      <c r="J174" s="15" t="s">
        <v>24</v>
      </c>
      <c r="K174" s="15"/>
      <c r="L174" s="21" t="s">
        <v>16</v>
      </c>
      <c r="M174" s="22">
        <v>0</v>
      </c>
      <c r="N174" s="22">
        <v>0</v>
      </c>
      <c r="O174" s="22">
        <v>7500</v>
      </c>
      <c r="P174" s="22">
        <v>7500</v>
      </c>
      <c r="Q174" t="str" cm="1">
        <f t="array" ref="Q174">_xlfn.TEXTJOIN("、",TRUE,IF('學員資料-三民高中'!$B$2:$B$454=$F174,'學員資料-三民高中'!$G$2:$G$454,""))</f>
        <v/>
      </c>
      <c r="R174" t="str" cm="1">
        <f t="array" ref="R174">_xlfn.TEXTJOIN("、",TRUE,IF('學員資料-新北高中'!$B$2:$B$583=$F174,'學員資料-新北高中'!$G$2:$G$583,""))</f>
        <v>0926366288</v>
      </c>
      <c r="S174" t="str" cm="1">
        <f t="array" ref="S174">_xlfn.TEXTJOIN("、",TRUE,IF('學員資料-三重商工'!$B$2:$B$472=$F174,'學員資料-三重商工'!$G$2:$G$472,""))</f>
        <v/>
      </c>
      <c r="T174">
        <f t="shared" si="2"/>
        <v>1</v>
      </c>
    </row>
    <row r="175" spans="1:20" ht="14.25" hidden="1" customHeight="1">
      <c r="A175" s="15">
        <v>174</v>
      </c>
      <c r="B175" s="16" t="s">
        <v>749</v>
      </c>
      <c r="C175" s="17">
        <v>46145</v>
      </c>
      <c r="D175" s="15" t="s">
        <v>750</v>
      </c>
      <c r="E175" s="18" t="s">
        <v>78</v>
      </c>
      <c r="F175" s="19" t="s">
        <v>751</v>
      </c>
      <c r="G175" s="18" t="s">
        <v>752</v>
      </c>
      <c r="H175" s="20" t="s">
        <v>66</v>
      </c>
      <c r="I175" s="15">
        <v>1</v>
      </c>
      <c r="J175" s="15" t="s">
        <v>23</v>
      </c>
      <c r="K175" s="15"/>
      <c r="L175" s="21" t="s">
        <v>16</v>
      </c>
      <c r="M175" s="22">
        <v>0</v>
      </c>
      <c r="N175" s="22">
        <v>0</v>
      </c>
      <c r="O175" s="22">
        <v>6900</v>
      </c>
      <c r="P175" s="22">
        <v>6900</v>
      </c>
      <c r="Q175" t="str" cm="1">
        <f t="array" ref="Q175">_xlfn.TEXTJOIN("、",TRUE,IF('學員資料-三民高中'!$B$2:$B$454=$F175,'學員資料-三民高中'!$G$2:$G$454,""))</f>
        <v/>
      </c>
      <c r="R175" t="str" cm="1">
        <f t="array" ref="R175">_xlfn.TEXTJOIN("、",TRUE,IF('學員資料-新北高中'!$B$2:$B$583=$F175,'學員資料-新北高中'!$G$2:$G$583,""))</f>
        <v>0987169385</v>
      </c>
      <c r="S175" t="str" cm="1">
        <f t="array" ref="S175">_xlfn.TEXTJOIN("、",TRUE,IF('學員資料-三重商工'!$B$2:$B$472=$F175,'學員資料-三重商工'!$G$2:$G$472,""))</f>
        <v/>
      </c>
      <c r="T175">
        <f t="shared" si="2"/>
        <v>1</v>
      </c>
    </row>
    <row r="176" spans="1:20" ht="28.5" hidden="1" customHeight="1">
      <c r="A176" s="15">
        <v>175</v>
      </c>
      <c r="B176" s="16" t="s">
        <v>753</v>
      </c>
      <c r="C176" s="17">
        <v>46145</v>
      </c>
      <c r="D176" s="15" t="s">
        <v>754</v>
      </c>
      <c r="E176" s="18" t="s">
        <v>78</v>
      </c>
      <c r="F176" s="19" t="s">
        <v>755</v>
      </c>
      <c r="G176" s="18" t="s">
        <v>756</v>
      </c>
      <c r="H176" s="20" t="s">
        <v>75</v>
      </c>
      <c r="I176" s="15">
        <v>2</v>
      </c>
      <c r="J176" s="15" t="s">
        <v>23</v>
      </c>
      <c r="K176" s="15"/>
      <c r="L176" s="21" t="s">
        <v>16</v>
      </c>
      <c r="M176" s="22">
        <v>0</v>
      </c>
      <c r="N176" s="22">
        <v>0</v>
      </c>
      <c r="O176" s="22">
        <v>13800</v>
      </c>
      <c r="P176" s="22">
        <v>13800</v>
      </c>
      <c r="Q176" t="str" cm="1">
        <f t="array" ref="Q176">_xlfn.TEXTJOIN("、",TRUE,IF('學員資料-三民高中'!$B$2:$B$454=$F176,'學員資料-三民高中'!$G$2:$G$454,""))</f>
        <v/>
      </c>
      <c r="R176" t="str" cm="1">
        <f t="array" ref="R176">_xlfn.TEXTJOIN("、",TRUE,IF('學員資料-新北高中'!$B$2:$B$583=$F176,'學員資料-新北高中'!$G$2:$G$583,""))</f>
        <v>0955881908</v>
      </c>
      <c r="S176" t="str" cm="1">
        <f t="array" ref="S176">_xlfn.TEXTJOIN("、",TRUE,IF('學員資料-三重商工'!$B$2:$B$472=$F176,'學員資料-三重商工'!$G$2:$G$472,""))</f>
        <v/>
      </c>
      <c r="T176">
        <f t="shared" si="2"/>
        <v>1</v>
      </c>
    </row>
    <row r="177" spans="1:20" ht="14.25" hidden="1" customHeight="1">
      <c r="A177" s="15">
        <v>176</v>
      </c>
      <c r="B177" s="16" t="s">
        <v>757</v>
      </c>
      <c r="C177" s="17">
        <v>46144</v>
      </c>
      <c r="D177" s="15" t="s">
        <v>758</v>
      </c>
      <c r="E177" s="18" t="s">
        <v>78</v>
      </c>
      <c r="F177" s="19" t="s">
        <v>759</v>
      </c>
      <c r="G177" s="18" t="s">
        <v>760</v>
      </c>
      <c r="H177" s="20" t="s">
        <v>52</v>
      </c>
      <c r="I177" s="15">
        <v>1</v>
      </c>
      <c r="J177" s="15" t="s">
        <v>24</v>
      </c>
      <c r="K177" s="15"/>
      <c r="L177" s="21" t="s">
        <v>16</v>
      </c>
      <c r="M177" s="22">
        <v>0</v>
      </c>
      <c r="N177" s="22">
        <v>0</v>
      </c>
      <c r="O177" s="22">
        <v>7500</v>
      </c>
      <c r="P177" s="22">
        <v>7500</v>
      </c>
      <c r="Q177" t="str" cm="1">
        <f t="array" ref="Q177">_xlfn.TEXTJOIN("、",TRUE,IF('學員資料-三民高中'!$B$2:$B$454=$F177,'學員資料-三民高中'!$G$2:$G$454,""))</f>
        <v/>
      </c>
      <c r="R177" t="str" cm="1">
        <f t="array" ref="R177">_xlfn.TEXTJOIN("、",TRUE,IF('學員資料-新北高中'!$B$2:$B$583=$F177,'學員資料-新北高中'!$G$2:$G$583,""))</f>
        <v/>
      </c>
      <c r="S177" t="str" cm="1">
        <f t="array" ref="S177">_xlfn.TEXTJOIN("、",TRUE,IF('學員資料-三重商工'!$B$2:$B$472=$F177,'學員資料-三重商工'!$G$2:$G$472,""))</f>
        <v>0913561677</v>
      </c>
      <c r="T177">
        <f t="shared" si="2"/>
        <v>1</v>
      </c>
    </row>
    <row r="178" spans="1:20" ht="14.25" hidden="1" customHeight="1">
      <c r="A178" s="15">
        <v>177</v>
      </c>
      <c r="B178" s="16" t="s">
        <v>761</v>
      </c>
      <c r="C178" s="17">
        <v>46144</v>
      </c>
      <c r="D178" s="15" t="s">
        <v>762</v>
      </c>
      <c r="E178" s="18" t="s">
        <v>763</v>
      </c>
      <c r="F178" s="19" t="s">
        <v>764</v>
      </c>
      <c r="G178" s="18" t="s">
        <v>765</v>
      </c>
      <c r="H178" s="20" t="s">
        <v>130</v>
      </c>
      <c r="I178" s="15">
        <v>1</v>
      </c>
      <c r="J178" s="15" t="s">
        <v>25</v>
      </c>
      <c r="K178" s="15"/>
      <c r="L178" s="21" t="s">
        <v>16</v>
      </c>
      <c r="M178" s="22">
        <v>0</v>
      </c>
      <c r="N178" s="22">
        <v>-990</v>
      </c>
      <c r="O178" s="22">
        <v>8910</v>
      </c>
      <c r="P178" s="22">
        <v>8910</v>
      </c>
      <c r="Q178" t="str" cm="1">
        <f t="array" ref="Q178">_xlfn.TEXTJOIN("、",TRUE,IF('學員資料-三民高中'!$B$2:$B$454=$F178,'學員資料-三民高中'!$G$2:$G$454,""))</f>
        <v>0926088169-1</v>
      </c>
      <c r="R178" t="str" cm="1">
        <f t="array" ref="R178">_xlfn.TEXTJOIN("、",TRUE,IF('學員資料-新北高中'!$B$2:$B$583=$F178,'學員資料-新北高中'!$G$2:$G$583,""))</f>
        <v/>
      </c>
      <c r="S178" t="str" cm="1">
        <f t="array" ref="S178">_xlfn.TEXTJOIN("、",TRUE,IF('學員資料-三重商工'!$B$2:$B$472=$F178,'學員資料-三重商工'!$G$2:$G$472,""))</f>
        <v/>
      </c>
      <c r="T178">
        <f t="shared" si="2"/>
        <v>1</v>
      </c>
    </row>
    <row r="179" spans="1:20" ht="14.25" hidden="1" customHeight="1">
      <c r="A179" s="15">
        <v>178</v>
      </c>
      <c r="B179" s="16" t="s">
        <v>766</v>
      </c>
      <c r="C179" s="17">
        <v>46144</v>
      </c>
      <c r="D179" s="15" t="s">
        <v>767</v>
      </c>
      <c r="E179" s="18" t="s">
        <v>402</v>
      </c>
      <c r="F179" s="19" t="s">
        <v>747</v>
      </c>
      <c r="G179" s="18" t="s">
        <v>748</v>
      </c>
      <c r="H179" s="20" t="s">
        <v>52</v>
      </c>
      <c r="I179" s="15">
        <v>1</v>
      </c>
      <c r="J179" s="15" t="s">
        <v>24</v>
      </c>
      <c r="K179" s="15"/>
      <c r="L179" s="21" t="s">
        <v>16</v>
      </c>
      <c r="M179" s="22">
        <v>0</v>
      </c>
      <c r="N179" s="22">
        <v>0</v>
      </c>
      <c r="O179" s="22">
        <v>7500</v>
      </c>
      <c r="P179" s="22">
        <v>7500</v>
      </c>
      <c r="Q179" t="str" cm="1">
        <f t="array" ref="Q179">_xlfn.TEXTJOIN("、",TRUE,IF('學員資料-三民高中'!$B$2:$B$454=$F179,'學員資料-三民高中'!$G$2:$G$454,""))</f>
        <v/>
      </c>
      <c r="R179" t="str" cm="1">
        <f t="array" ref="R179">_xlfn.TEXTJOIN("、",TRUE,IF('學員資料-新北高中'!$B$2:$B$583=$F179,'學員資料-新北高中'!$G$2:$G$583,""))</f>
        <v>0926366288</v>
      </c>
      <c r="S179" t="str" cm="1">
        <f t="array" ref="S179">_xlfn.TEXTJOIN("、",TRUE,IF('學員資料-三重商工'!$B$2:$B$472=$F179,'學員資料-三重商工'!$G$2:$G$472,""))</f>
        <v/>
      </c>
      <c r="T179">
        <f t="shared" si="2"/>
        <v>1</v>
      </c>
    </row>
    <row r="180" spans="1:20" ht="14.25" hidden="1" customHeight="1">
      <c r="A180" s="15">
        <v>179</v>
      </c>
      <c r="B180" s="16" t="s">
        <v>768</v>
      </c>
      <c r="C180" s="17">
        <v>46144</v>
      </c>
      <c r="D180" s="15" t="s">
        <v>769</v>
      </c>
      <c r="E180" s="18" t="s">
        <v>402</v>
      </c>
      <c r="F180" s="19" t="s">
        <v>770</v>
      </c>
      <c r="G180" s="18" t="s">
        <v>771</v>
      </c>
      <c r="H180" s="20" t="s">
        <v>130</v>
      </c>
      <c r="I180" s="15">
        <v>1</v>
      </c>
      <c r="J180" s="15" t="s">
        <v>25</v>
      </c>
      <c r="K180" s="15"/>
      <c r="L180" s="21" t="s">
        <v>16</v>
      </c>
      <c r="M180" s="22">
        <v>0</v>
      </c>
      <c r="N180" s="22">
        <v>-990</v>
      </c>
      <c r="O180" s="22">
        <v>8910</v>
      </c>
      <c r="P180" s="22">
        <v>8910</v>
      </c>
      <c r="Q180" t="str" cm="1">
        <f t="array" ref="Q180">_xlfn.TEXTJOIN("、",TRUE,IF('學員資料-三民高中'!$B$2:$B$454=$F180,'學員資料-三民高中'!$G$2:$G$454,""))</f>
        <v/>
      </c>
      <c r="R180" t="str" cm="1">
        <f t="array" ref="R180">_xlfn.TEXTJOIN("、",TRUE,IF('學員資料-新北高中'!$B$2:$B$583=$F180,'學員資料-新北高中'!$G$2:$G$583,""))</f>
        <v>0918884177</v>
      </c>
      <c r="S180" t="str" cm="1">
        <f t="array" ref="S180">_xlfn.TEXTJOIN("、",TRUE,IF('學員資料-三重商工'!$B$2:$B$472=$F180,'學員資料-三重商工'!$G$2:$G$472,""))</f>
        <v/>
      </c>
      <c r="T180">
        <f t="shared" si="2"/>
        <v>1</v>
      </c>
    </row>
    <row r="181" spans="1:20" ht="14.25" hidden="1" customHeight="1">
      <c r="A181" s="15">
        <v>180</v>
      </c>
      <c r="B181" s="16" t="s">
        <v>772</v>
      </c>
      <c r="C181" s="17">
        <v>46144</v>
      </c>
      <c r="D181" s="15" t="s">
        <v>773</v>
      </c>
      <c r="E181" s="18" t="s">
        <v>78</v>
      </c>
      <c r="F181" s="19" t="s">
        <v>774</v>
      </c>
      <c r="G181" s="18" t="s">
        <v>775</v>
      </c>
      <c r="H181" s="20" t="s">
        <v>399</v>
      </c>
      <c r="I181" s="15">
        <v>1</v>
      </c>
      <c r="J181" s="15" t="s">
        <v>23</v>
      </c>
      <c r="K181" s="21" t="s">
        <v>116</v>
      </c>
      <c r="L181" s="21" t="s">
        <v>16</v>
      </c>
      <c r="M181" s="22">
        <v>0</v>
      </c>
      <c r="N181" s="22">
        <v>0</v>
      </c>
      <c r="O181" s="22">
        <v>1200</v>
      </c>
      <c r="P181" s="22">
        <v>1200</v>
      </c>
      <c r="Q181" t="str" cm="1">
        <f t="array" ref="Q181">_xlfn.TEXTJOIN("、",TRUE,IF('學員資料-三民高中'!$B$2:$B$454=$F181,'學員資料-三民高中'!$G$2:$G$454,""))</f>
        <v/>
      </c>
      <c r="R181" t="str" cm="1">
        <f t="array" ref="R181">_xlfn.TEXTJOIN("、",TRUE,IF('學員資料-新北高中'!$B$2:$B$583=$F181,'學員資料-新北高中'!$G$2:$G$583,""))</f>
        <v/>
      </c>
      <c r="S181" t="str" cm="1">
        <f t="array" ref="S181">_xlfn.TEXTJOIN("、",TRUE,IF('學員資料-三重商工'!$B$2:$B$472=$F181,'學員資料-三重商工'!$G$2:$G$472,""))</f>
        <v>0910104837</v>
      </c>
      <c r="T181">
        <f t="shared" si="2"/>
        <v>1</v>
      </c>
    </row>
    <row r="182" spans="1:20" ht="14.25" hidden="1" customHeight="1">
      <c r="A182" s="15">
        <v>181</v>
      </c>
      <c r="B182" s="16" t="s">
        <v>776</v>
      </c>
      <c r="C182" s="17">
        <v>46144</v>
      </c>
      <c r="D182" s="15" t="s">
        <v>777</v>
      </c>
      <c r="E182" s="18" t="s">
        <v>55</v>
      </c>
      <c r="F182" s="19" t="s">
        <v>778</v>
      </c>
      <c r="G182" s="18" t="s">
        <v>779</v>
      </c>
      <c r="H182" s="20" t="s">
        <v>52</v>
      </c>
      <c r="I182" s="15">
        <v>1</v>
      </c>
      <c r="J182" s="15" t="s">
        <v>24</v>
      </c>
      <c r="K182" s="15"/>
      <c r="L182" s="21" t="s">
        <v>18</v>
      </c>
      <c r="M182" s="22">
        <v>0</v>
      </c>
      <c r="N182" s="22">
        <v>0</v>
      </c>
      <c r="O182" s="22">
        <v>7500</v>
      </c>
      <c r="P182" s="22">
        <v>7500</v>
      </c>
      <c r="Q182" t="str" cm="1">
        <f t="array" ref="Q182">_xlfn.TEXTJOIN("、",TRUE,IF('學員資料-三民高中'!$B$2:$B$454=$F182,'學員資料-三民高中'!$G$2:$G$454,""))</f>
        <v/>
      </c>
      <c r="R182" t="str" cm="1">
        <f t="array" ref="R182">_xlfn.TEXTJOIN("、",TRUE,IF('學員資料-新北高中'!$B$2:$B$583=$F182,'學員資料-新北高中'!$G$2:$G$583,""))</f>
        <v>0972103256</v>
      </c>
      <c r="S182" t="str" cm="1">
        <f t="array" ref="S182">_xlfn.TEXTJOIN("、",TRUE,IF('學員資料-三重商工'!$B$2:$B$472=$F182,'學員資料-三重商工'!$G$2:$G$472,""))</f>
        <v/>
      </c>
      <c r="T182">
        <f t="shared" si="2"/>
        <v>1</v>
      </c>
    </row>
    <row r="183" spans="1:20" ht="14.25" hidden="1" customHeight="1">
      <c r="A183" s="15">
        <v>182</v>
      </c>
      <c r="B183" s="16" t="s">
        <v>780</v>
      </c>
      <c r="C183" s="17">
        <v>46141</v>
      </c>
      <c r="D183" s="15" t="s">
        <v>781</v>
      </c>
      <c r="E183" s="18" t="s">
        <v>83</v>
      </c>
      <c r="F183" s="19" t="s">
        <v>191</v>
      </c>
      <c r="G183" s="18" t="s">
        <v>192</v>
      </c>
      <c r="H183" s="20" t="s">
        <v>112</v>
      </c>
      <c r="I183" s="15">
        <v>1</v>
      </c>
      <c r="J183" s="15" t="s">
        <v>23</v>
      </c>
      <c r="K183" s="15"/>
      <c r="L183" s="21" t="s">
        <v>18</v>
      </c>
      <c r="M183" s="22">
        <v>0</v>
      </c>
      <c r="N183" s="22">
        <v>0</v>
      </c>
      <c r="O183" s="22">
        <v>8280</v>
      </c>
      <c r="P183" s="22">
        <v>8280</v>
      </c>
      <c r="Q183" t="str" cm="1">
        <f t="array" ref="Q183">_xlfn.TEXTJOIN("、",TRUE,IF('學員資料-三民高中'!$B$2:$B$454=$F183,'學員資料-三民高中'!$G$2:$G$454,""))</f>
        <v/>
      </c>
      <c r="R183" t="str" cm="1">
        <f t="array" ref="R183">_xlfn.TEXTJOIN("、",TRUE,IF('學員資料-新北高中'!$B$2:$B$583=$F183,'學員資料-新北高中'!$G$2:$G$583,""))</f>
        <v/>
      </c>
      <c r="S183" t="str" cm="1">
        <f t="array" ref="S183">_xlfn.TEXTJOIN("、",TRUE,IF('學員資料-三重商工'!$B$2:$B$472=$F183,'學員資料-三重商工'!$G$2:$G$472,""))</f>
        <v>0919450143</v>
      </c>
      <c r="T183">
        <f t="shared" si="2"/>
        <v>1</v>
      </c>
    </row>
    <row r="184" spans="1:20" ht="43.5" hidden="1" customHeight="1">
      <c r="A184" s="15">
        <v>183</v>
      </c>
      <c r="B184" s="16" t="s">
        <v>782</v>
      </c>
      <c r="C184" s="17">
        <v>46140</v>
      </c>
      <c r="D184" s="15" t="s">
        <v>783</v>
      </c>
      <c r="E184" s="18" t="s">
        <v>170</v>
      </c>
      <c r="F184" s="19" t="s">
        <v>784</v>
      </c>
      <c r="G184" s="18" t="s">
        <v>785</v>
      </c>
      <c r="H184" s="20" t="s">
        <v>436</v>
      </c>
      <c r="I184" s="15">
        <v>3</v>
      </c>
      <c r="J184" s="15" t="s">
        <v>24</v>
      </c>
      <c r="K184" s="15"/>
      <c r="L184" s="21" t="s">
        <v>16</v>
      </c>
      <c r="M184" s="22">
        <v>0</v>
      </c>
      <c r="N184" s="22">
        <v>-2250</v>
      </c>
      <c r="O184" s="22">
        <v>20250</v>
      </c>
      <c r="P184" s="22">
        <v>20250</v>
      </c>
      <c r="Q184" t="str" cm="1">
        <f t="array" ref="Q184">_xlfn.TEXTJOIN("、",TRUE,IF('學員資料-三民高中'!$B$2:$B$454=$F184,'學員資料-三民高中'!$G$2:$G$454,""))</f>
        <v>0934200004</v>
      </c>
      <c r="R184" t="str" cm="1">
        <f t="array" ref="R184">_xlfn.TEXTJOIN("、",TRUE,IF('學員資料-新北高中'!$B$2:$B$583=$F184,'學員資料-新北高中'!$G$2:$G$583,""))</f>
        <v/>
      </c>
      <c r="S184" t="str" cm="1">
        <f t="array" ref="S184">_xlfn.TEXTJOIN("、",TRUE,IF('學員資料-三重商工'!$B$2:$B$472=$F184,'學員資料-三重商工'!$G$2:$G$472,""))</f>
        <v/>
      </c>
      <c r="T184">
        <f t="shared" si="2"/>
        <v>1</v>
      </c>
    </row>
    <row r="185" spans="1:20" ht="14.25" hidden="1" customHeight="1">
      <c r="A185" s="15">
        <v>184</v>
      </c>
      <c r="B185" s="16" t="s">
        <v>786</v>
      </c>
      <c r="C185" s="17">
        <v>46140</v>
      </c>
      <c r="D185" s="15" t="s">
        <v>787</v>
      </c>
      <c r="E185" s="18" t="s">
        <v>402</v>
      </c>
      <c r="F185" s="19" t="s">
        <v>788</v>
      </c>
      <c r="G185" s="18" t="s">
        <v>789</v>
      </c>
      <c r="H185" s="20" t="s">
        <v>115</v>
      </c>
      <c r="I185" s="15">
        <v>1</v>
      </c>
      <c r="J185" s="15" t="s">
        <v>24</v>
      </c>
      <c r="K185" s="21" t="s">
        <v>116</v>
      </c>
      <c r="L185" s="21" t="s">
        <v>16</v>
      </c>
      <c r="M185" s="22">
        <v>0</v>
      </c>
      <c r="N185" s="22">
        <v>0</v>
      </c>
      <c r="O185" s="22">
        <v>1400</v>
      </c>
      <c r="P185" s="22">
        <v>1400</v>
      </c>
      <c r="Q185" t="str" cm="1">
        <f t="array" ref="Q185">_xlfn.TEXTJOIN("、",TRUE,IF('學員資料-三民高中'!$B$2:$B$454=$F185,'學員資料-三民高中'!$G$2:$G$454,""))</f>
        <v/>
      </c>
      <c r="R185" t="str" cm="1">
        <f t="array" ref="R185">_xlfn.TEXTJOIN("、",TRUE,IF('學員資料-新北高中'!$B$2:$B$583=$F185,'學員資料-新北高中'!$G$2:$G$583,""))</f>
        <v>0921972657</v>
      </c>
      <c r="S185" t="str" cm="1">
        <f t="array" ref="S185">_xlfn.TEXTJOIN("、",TRUE,IF('學員資料-三重商工'!$B$2:$B$472=$F185,'學員資料-三重商工'!$G$2:$G$472,""))</f>
        <v/>
      </c>
      <c r="T185">
        <f t="shared" si="2"/>
        <v>1</v>
      </c>
    </row>
    <row r="186" spans="1:20" ht="14.25" hidden="1" customHeight="1">
      <c r="A186" s="15">
        <v>185</v>
      </c>
      <c r="B186" s="16" t="s">
        <v>790</v>
      </c>
      <c r="C186" s="17">
        <v>46139</v>
      </c>
      <c r="D186" s="15" t="s">
        <v>791</v>
      </c>
      <c r="E186" s="18" t="s">
        <v>83</v>
      </c>
      <c r="F186" s="19" t="s">
        <v>792</v>
      </c>
      <c r="G186" s="18" t="s">
        <v>793</v>
      </c>
      <c r="H186" s="20" t="s">
        <v>52</v>
      </c>
      <c r="I186" s="15">
        <v>1</v>
      </c>
      <c r="J186" s="15" t="s">
        <v>24</v>
      </c>
      <c r="K186" s="15"/>
      <c r="L186" s="21" t="s">
        <v>18</v>
      </c>
      <c r="M186" s="22">
        <v>0</v>
      </c>
      <c r="N186" s="22">
        <v>0</v>
      </c>
      <c r="O186" s="22">
        <v>7500</v>
      </c>
      <c r="P186" s="22">
        <v>7500</v>
      </c>
      <c r="Q186" t="str" cm="1">
        <f t="array" ref="Q186">_xlfn.TEXTJOIN("、",TRUE,IF('學員資料-三民高中'!$B$2:$B$454=$F186,'學員資料-三民高中'!$G$2:$G$454,""))</f>
        <v/>
      </c>
      <c r="R186" t="str" cm="1">
        <f t="array" ref="R186">_xlfn.TEXTJOIN("、",TRUE,IF('學員資料-新北高中'!$B$2:$B$583=$F186,'學員資料-新北高中'!$G$2:$G$583,""))</f>
        <v/>
      </c>
      <c r="S186" t="str" cm="1">
        <f t="array" ref="S186">_xlfn.TEXTJOIN("、",TRUE,IF('學員資料-三重商工'!$B$2:$B$472=$F186,'學員資料-三重商工'!$G$2:$G$472,""))</f>
        <v>0953623959</v>
      </c>
      <c r="T186">
        <f t="shared" si="2"/>
        <v>1</v>
      </c>
    </row>
    <row r="187" spans="1:20" ht="14.25" hidden="1" customHeight="1">
      <c r="A187" s="15">
        <v>186</v>
      </c>
      <c r="B187" s="16" t="s">
        <v>794</v>
      </c>
      <c r="C187" s="17">
        <v>46138</v>
      </c>
      <c r="D187" s="15" t="s">
        <v>795</v>
      </c>
      <c r="E187" s="18" t="s">
        <v>170</v>
      </c>
      <c r="F187" s="19" t="s">
        <v>796</v>
      </c>
      <c r="G187" s="18" t="s">
        <v>797</v>
      </c>
      <c r="H187" s="20" t="s">
        <v>47</v>
      </c>
      <c r="I187" s="15">
        <v>1</v>
      </c>
      <c r="J187" s="15" t="s">
        <v>24</v>
      </c>
      <c r="K187" s="15"/>
      <c r="L187" s="21" t="s">
        <v>16</v>
      </c>
      <c r="M187" s="22">
        <v>0</v>
      </c>
      <c r="N187" s="22">
        <v>0</v>
      </c>
      <c r="O187" s="22">
        <v>9000</v>
      </c>
      <c r="P187" s="22">
        <v>9000</v>
      </c>
      <c r="Q187" t="str" cm="1">
        <f t="array" ref="Q187">_xlfn.TEXTJOIN("、",TRUE,IF('學員資料-三民高中'!$B$2:$B$454=$F187,'學員資料-三民高中'!$G$2:$G$454,""))</f>
        <v>0939628621</v>
      </c>
      <c r="R187" t="str" cm="1">
        <f t="array" ref="R187">_xlfn.TEXTJOIN("、",TRUE,IF('學員資料-新北高中'!$B$2:$B$583=$F187,'學員資料-新北高中'!$G$2:$G$583,""))</f>
        <v/>
      </c>
      <c r="S187" t="str" cm="1">
        <f t="array" ref="S187">_xlfn.TEXTJOIN("、",TRUE,IF('學員資料-三重商工'!$B$2:$B$472=$F187,'學員資料-三重商工'!$G$2:$G$472,""))</f>
        <v/>
      </c>
      <c r="T187">
        <f t="shared" si="2"/>
        <v>1</v>
      </c>
    </row>
    <row r="188" spans="1:20" ht="14.25" hidden="1" customHeight="1">
      <c r="A188" s="15">
        <v>187</v>
      </c>
      <c r="B188" s="16" t="s">
        <v>798</v>
      </c>
      <c r="C188" s="17">
        <v>46137</v>
      </c>
      <c r="D188" s="15" t="s">
        <v>799</v>
      </c>
      <c r="E188" s="18" t="s">
        <v>127</v>
      </c>
      <c r="F188" s="19" t="s">
        <v>191</v>
      </c>
      <c r="G188" s="18" t="s">
        <v>192</v>
      </c>
      <c r="H188" s="20" t="s">
        <v>800</v>
      </c>
      <c r="I188" s="15">
        <v>1</v>
      </c>
      <c r="J188" s="15" t="s">
        <v>23</v>
      </c>
      <c r="K188" s="21" t="s">
        <v>116</v>
      </c>
      <c r="L188" s="21" t="s">
        <v>16</v>
      </c>
      <c r="M188" s="22">
        <v>0</v>
      </c>
      <c r="N188" s="22">
        <v>0</v>
      </c>
      <c r="O188" s="22">
        <v>1440</v>
      </c>
      <c r="P188" s="22">
        <v>1440</v>
      </c>
      <c r="Q188" t="str" cm="1">
        <f t="array" ref="Q188">_xlfn.TEXTJOIN("、",TRUE,IF('學員資料-三民高中'!$B$2:$B$454=$F188,'學員資料-三民高中'!$G$2:$G$454,""))</f>
        <v/>
      </c>
      <c r="R188" t="str" cm="1">
        <f t="array" ref="R188">_xlfn.TEXTJOIN("、",TRUE,IF('學員資料-新北高中'!$B$2:$B$583=$F188,'學員資料-新北高中'!$G$2:$G$583,""))</f>
        <v/>
      </c>
      <c r="S188" t="str" cm="1">
        <f t="array" ref="S188">_xlfn.TEXTJOIN("、",TRUE,IF('學員資料-三重商工'!$B$2:$B$472=$F188,'學員資料-三重商工'!$G$2:$G$472,""))</f>
        <v>0919450143</v>
      </c>
      <c r="T188">
        <f t="shared" si="2"/>
        <v>1</v>
      </c>
    </row>
    <row r="189" spans="1:20" ht="14.25" hidden="1" customHeight="1">
      <c r="A189" s="15">
        <v>188</v>
      </c>
      <c r="B189" s="16" t="s">
        <v>801</v>
      </c>
      <c r="C189" s="17">
        <v>46137</v>
      </c>
      <c r="D189" s="15" t="s">
        <v>802</v>
      </c>
      <c r="E189" s="18" t="s">
        <v>398</v>
      </c>
      <c r="F189" s="19" t="s">
        <v>803</v>
      </c>
      <c r="G189" s="18" t="s">
        <v>804</v>
      </c>
      <c r="H189" s="20" t="s">
        <v>66</v>
      </c>
      <c r="I189" s="15">
        <v>1</v>
      </c>
      <c r="J189" s="15" t="s">
        <v>23</v>
      </c>
      <c r="K189" s="15"/>
      <c r="L189" s="21" t="s">
        <v>16</v>
      </c>
      <c r="M189" s="22">
        <v>0</v>
      </c>
      <c r="N189" s="22">
        <v>0</v>
      </c>
      <c r="O189" s="22">
        <v>6900</v>
      </c>
      <c r="P189" s="22">
        <v>6900</v>
      </c>
      <c r="Q189" t="str" cm="1">
        <f t="array" ref="Q189">_xlfn.TEXTJOIN("、",TRUE,IF('學員資料-三民高中'!$B$2:$B$454=$F189,'學員資料-三民高中'!$G$2:$G$454,""))</f>
        <v>0932022220-1</v>
      </c>
      <c r="R189" t="str" cm="1">
        <f t="array" ref="R189">_xlfn.TEXTJOIN("、",TRUE,IF('學員資料-新北高中'!$B$2:$B$583=$F189,'學員資料-新北高中'!$G$2:$G$583,""))</f>
        <v/>
      </c>
      <c r="S189" t="str" cm="1">
        <f t="array" ref="S189">_xlfn.TEXTJOIN("、",TRUE,IF('學員資料-三重商工'!$B$2:$B$472=$F189,'學員資料-三重商工'!$G$2:$G$472,""))</f>
        <v/>
      </c>
      <c r="T189">
        <f t="shared" si="2"/>
        <v>1</v>
      </c>
    </row>
    <row r="190" spans="1:20" ht="14.25" hidden="1" customHeight="1">
      <c r="A190" s="15">
        <v>189</v>
      </c>
      <c r="B190" s="16" t="s">
        <v>805</v>
      </c>
      <c r="C190" s="17">
        <v>46137</v>
      </c>
      <c r="D190" s="15" t="s">
        <v>806</v>
      </c>
      <c r="E190" s="18" t="s">
        <v>398</v>
      </c>
      <c r="F190" s="19" t="s">
        <v>807</v>
      </c>
      <c r="G190" s="18" t="s">
        <v>808</v>
      </c>
      <c r="H190" s="20" t="s">
        <v>52</v>
      </c>
      <c r="I190" s="15">
        <v>1</v>
      </c>
      <c r="J190" s="15" t="s">
        <v>24</v>
      </c>
      <c r="K190" s="15"/>
      <c r="L190" s="21" t="s">
        <v>16</v>
      </c>
      <c r="M190" s="22">
        <v>0</v>
      </c>
      <c r="N190" s="22">
        <v>0</v>
      </c>
      <c r="O190" s="22">
        <v>7500</v>
      </c>
      <c r="P190" s="22">
        <v>7500</v>
      </c>
      <c r="Q190" t="str" cm="1">
        <f t="array" ref="Q190">_xlfn.TEXTJOIN("、",TRUE,IF('學員資料-三民高中'!$B$2:$B$454=$F190,'學員資料-三民高中'!$G$2:$G$454,""))</f>
        <v>0912588250</v>
      </c>
      <c r="R190" t="str" cm="1">
        <f t="array" ref="R190">_xlfn.TEXTJOIN("、",TRUE,IF('學員資料-新北高中'!$B$2:$B$583=$F190,'學員資料-新北高中'!$G$2:$G$583,""))</f>
        <v/>
      </c>
      <c r="S190" t="str" cm="1">
        <f t="array" ref="S190">_xlfn.TEXTJOIN("、",TRUE,IF('學員資料-三重商工'!$B$2:$B$472=$F190,'學員資料-三重商工'!$G$2:$G$472,""))</f>
        <v/>
      </c>
      <c r="T190">
        <f t="shared" si="2"/>
        <v>1</v>
      </c>
    </row>
    <row r="191" spans="1:20" ht="28.5" hidden="1" customHeight="1">
      <c r="A191" s="15">
        <v>190</v>
      </c>
      <c r="B191" s="16" t="s">
        <v>809</v>
      </c>
      <c r="C191" s="17">
        <v>46137</v>
      </c>
      <c r="D191" s="15" t="s">
        <v>810</v>
      </c>
      <c r="E191" s="18" t="s">
        <v>127</v>
      </c>
      <c r="F191" s="19" t="s">
        <v>811</v>
      </c>
      <c r="G191" s="18" t="s">
        <v>812</v>
      </c>
      <c r="H191" s="20" t="s">
        <v>244</v>
      </c>
      <c r="I191" s="15">
        <v>2</v>
      </c>
      <c r="J191" s="15" t="s">
        <v>23</v>
      </c>
      <c r="K191" s="15"/>
      <c r="L191" s="21" t="s">
        <v>18</v>
      </c>
      <c r="M191" s="22">
        <v>0</v>
      </c>
      <c r="N191" s="22">
        <v>-828</v>
      </c>
      <c r="O191" s="22">
        <v>15732</v>
      </c>
      <c r="P191" s="22">
        <v>15732</v>
      </c>
      <c r="Q191" t="str" cm="1">
        <f t="array" ref="Q191">_xlfn.TEXTJOIN("、",TRUE,IF('學員資料-三民高中'!$B$2:$B$454=$F191,'學員資料-三民高中'!$G$2:$G$454,""))</f>
        <v>0919671239</v>
      </c>
      <c r="R191" t="str" cm="1">
        <f t="array" ref="R191">_xlfn.TEXTJOIN("、",TRUE,IF('學員資料-新北高中'!$B$2:$B$583=$F191,'學員資料-新北高中'!$G$2:$G$583,""))</f>
        <v/>
      </c>
      <c r="S191" t="str" cm="1">
        <f t="array" ref="S191">_xlfn.TEXTJOIN("、",TRUE,IF('學員資料-三重商工'!$B$2:$B$472=$F191,'學員資料-三重商工'!$G$2:$G$472,""))</f>
        <v/>
      </c>
      <c r="T191">
        <f t="shared" si="2"/>
        <v>1</v>
      </c>
    </row>
    <row r="192" spans="1:20" ht="14.25" hidden="1" customHeight="1">
      <c r="A192" s="15">
        <v>191</v>
      </c>
      <c r="B192" s="16" t="s">
        <v>813</v>
      </c>
      <c r="C192" s="17">
        <v>46137</v>
      </c>
      <c r="D192" s="15" t="s">
        <v>814</v>
      </c>
      <c r="E192" s="18" t="s">
        <v>161</v>
      </c>
      <c r="F192" s="19" t="s">
        <v>815</v>
      </c>
      <c r="G192" s="18" t="s">
        <v>816</v>
      </c>
      <c r="H192" s="20" t="s">
        <v>130</v>
      </c>
      <c r="I192" s="15">
        <v>1</v>
      </c>
      <c r="J192" s="15" t="s">
        <v>25</v>
      </c>
      <c r="K192" s="15"/>
      <c r="L192" s="21" t="s">
        <v>16</v>
      </c>
      <c r="M192" s="22">
        <v>0</v>
      </c>
      <c r="N192" s="22">
        <v>-990</v>
      </c>
      <c r="O192" s="22">
        <v>8910</v>
      </c>
      <c r="P192" s="22">
        <v>8910</v>
      </c>
      <c r="Q192" t="str" cm="1">
        <f t="array" ref="Q192">_xlfn.TEXTJOIN("、",TRUE,IF('學員資料-三民高中'!$B$2:$B$454=$F192,'學員資料-三民高中'!$G$2:$G$454,""))</f>
        <v/>
      </c>
      <c r="R192" t="str" cm="1">
        <f t="array" ref="R192">_xlfn.TEXTJOIN("、",TRUE,IF('學員資料-新北高中'!$B$2:$B$583=$F192,'學員資料-新北高中'!$G$2:$G$583,""))</f>
        <v>0972912531</v>
      </c>
      <c r="S192" t="str" cm="1">
        <f t="array" ref="S192">_xlfn.TEXTJOIN("、",TRUE,IF('學員資料-三重商工'!$B$2:$B$472=$F192,'學員資料-三重商工'!$G$2:$G$472,""))</f>
        <v/>
      </c>
      <c r="T192">
        <f t="shared" si="2"/>
        <v>1</v>
      </c>
    </row>
    <row r="193" spans="1:20" ht="28.5" hidden="1" customHeight="1">
      <c r="A193" s="15">
        <v>192</v>
      </c>
      <c r="B193" s="16" t="s">
        <v>817</v>
      </c>
      <c r="C193" s="17">
        <v>46136</v>
      </c>
      <c r="D193" s="15" t="s">
        <v>818</v>
      </c>
      <c r="E193" s="18" t="s">
        <v>78</v>
      </c>
      <c r="F193" s="19" t="s">
        <v>819</v>
      </c>
      <c r="G193" s="18" t="s">
        <v>820</v>
      </c>
      <c r="H193" s="20" t="s">
        <v>821</v>
      </c>
      <c r="I193" s="15">
        <v>2</v>
      </c>
      <c r="J193" s="15" t="s">
        <v>26</v>
      </c>
      <c r="K193" s="15"/>
      <c r="L193" s="21" t="s">
        <v>16</v>
      </c>
      <c r="M193" s="22">
        <v>0</v>
      </c>
      <c r="N193" s="22">
        <v>-2400</v>
      </c>
      <c r="O193" s="22">
        <v>21600</v>
      </c>
      <c r="P193" s="22">
        <v>21600</v>
      </c>
      <c r="Q193" t="str" cm="1">
        <f t="array" ref="Q193">_xlfn.TEXTJOIN("、",TRUE,IF('學員資料-三民高中'!$B$2:$B$454=$F193,'學員資料-三民高中'!$G$2:$G$454,""))</f>
        <v/>
      </c>
      <c r="R193" t="str" cm="1">
        <f t="array" ref="R193">_xlfn.TEXTJOIN("、",TRUE,IF('學員資料-新北高中'!$B$2:$B$583=$F193,'學員資料-新北高中'!$G$2:$G$583,""))</f>
        <v>0933100629</v>
      </c>
      <c r="S193" t="str" cm="1">
        <f t="array" ref="S193">_xlfn.TEXTJOIN("、",TRUE,IF('學員資料-三重商工'!$B$2:$B$472=$F193,'學員資料-三重商工'!$G$2:$G$472,""))</f>
        <v/>
      </c>
      <c r="T193">
        <f t="shared" si="2"/>
        <v>1</v>
      </c>
    </row>
    <row r="194" spans="1:20" ht="14.25" hidden="1" customHeight="1">
      <c r="A194" s="15">
        <v>193</v>
      </c>
      <c r="B194" s="16" t="s">
        <v>822</v>
      </c>
      <c r="C194" s="17">
        <v>46135</v>
      </c>
      <c r="D194" s="15" t="s">
        <v>823</v>
      </c>
      <c r="E194" s="18" t="s">
        <v>537</v>
      </c>
      <c r="F194" s="19" t="s">
        <v>824</v>
      </c>
      <c r="G194" s="18" t="s">
        <v>825</v>
      </c>
      <c r="H194" s="20" t="s">
        <v>210</v>
      </c>
      <c r="I194" s="15">
        <v>1</v>
      </c>
      <c r="J194" s="15" t="s">
        <v>26</v>
      </c>
      <c r="K194" s="15"/>
      <c r="L194" s="21" t="s">
        <v>16</v>
      </c>
      <c r="M194" s="22">
        <v>0</v>
      </c>
      <c r="N194" s="22">
        <v>0</v>
      </c>
      <c r="O194" s="22">
        <v>12000</v>
      </c>
      <c r="P194" s="22">
        <v>12000</v>
      </c>
      <c r="Q194" t="str" cm="1">
        <f t="array" ref="Q194">_xlfn.TEXTJOIN("、",TRUE,IF('學員資料-三民高中'!$B$2:$B$454=$F194,'學員資料-三民高中'!$G$2:$G$454,""))</f>
        <v/>
      </c>
      <c r="R194" t="str" cm="1">
        <f t="array" ref="R194">_xlfn.TEXTJOIN("、",TRUE,IF('學員資料-新北高中'!$B$2:$B$583=$F194,'學員資料-新北高中'!$G$2:$G$583,""))</f>
        <v>0960534655</v>
      </c>
      <c r="S194" t="str" cm="1">
        <f t="array" ref="S194">_xlfn.TEXTJOIN("、",TRUE,IF('學員資料-三重商工'!$B$2:$B$472=$F194,'學員資料-三重商工'!$G$2:$G$472,""))</f>
        <v/>
      </c>
      <c r="T194">
        <f t="shared" si="2"/>
        <v>1</v>
      </c>
    </row>
    <row r="195" spans="1:20" ht="43.5" hidden="1" customHeight="1">
      <c r="A195" s="15">
        <v>194</v>
      </c>
      <c r="B195" s="16" t="s">
        <v>826</v>
      </c>
      <c r="C195" s="17">
        <v>46135</v>
      </c>
      <c r="D195" s="15" t="s">
        <v>827</v>
      </c>
      <c r="E195" s="18" t="s">
        <v>83</v>
      </c>
      <c r="F195" s="19" t="s">
        <v>828</v>
      </c>
      <c r="G195" s="18" t="s">
        <v>829</v>
      </c>
      <c r="H195" s="20" t="s">
        <v>436</v>
      </c>
      <c r="I195" s="15">
        <v>3</v>
      </c>
      <c r="J195" s="15" t="s">
        <v>24</v>
      </c>
      <c r="K195" s="15"/>
      <c r="L195" s="21" t="s">
        <v>18</v>
      </c>
      <c r="M195" s="22">
        <v>0</v>
      </c>
      <c r="N195" s="22">
        <v>0</v>
      </c>
      <c r="O195" s="22">
        <v>22500</v>
      </c>
      <c r="P195" s="22">
        <v>22500</v>
      </c>
      <c r="Q195" t="str" cm="1">
        <f t="array" ref="Q195">_xlfn.TEXTJOIN("、",TRUE,IF('學員資料-三民高中'!$B$2:$B$454=$F195,'學員資料-三民高中'!$G$2:$G$454,""))</f>
        <v/>
      </c>
      <c r="R195" t="str" cm="1">
        <f t="array" ref="R195">_xlfn.TEXTJOIN("、",TRUE,IF('學員資料-新北高中'!$B$2:$B$583=$F195,'學員資料-新北高中'!$G$2:$G$583,""))</f>
        <v/>
      </c>
      <c r="S195" t="str" cm="1">
        <f t="array" ref="S195">_xlfn.TEXTJOIN("、",TRUE,IF('學員資料-三重商工'!$B$2:$B$472=$F195,'學員資料-三重商工'!$G$2:$G$472,""))</f>
        <v>0932343232</v>
      </c>
      <c r="T195">
        <f t="shared" ref="T195:T258" si="3">3-COUNTBLANK(Q195:S195)</f>
        <v>1</v>
      </c>
    </row>
    <row r="196" spans="1:20" ht="14.25" hidden="1" customHeight="1">
      <c r="A196" s="15">
        <v>195</v>
      </c>
      <c r="B196" s="16" t="s">
        <v>830</v>
      </c>
      <c r="C196" s="17">
        <v>46135</v>
      </c>
      <c r="D196" s="15" t="s">
        <v>831</v>
      </c>
      <c r="E196" s="18" t="s">
        <v>83</v>
      </c>
      <c r="F196" s="19" t="s">
        <v>832</v>
      </c>
      <c r="G196" s="18" t="s">
        <v>833</v>
      </c>
      <c r="H196" s="20" t="s">
        <v>52</v>
      </c>
      <c r="I196" s="15">
        <v>1</v>
      </c>
      <c r="J196" s="15" t="s">
        <v>24</v>
      </c>
      <c r="K196" s="15"/>
      <c r="L196" s="21" t="s">
        <v>18</v>
      </c>
      <c r="M196" s="22">
        <v>0</v>
      </c>
      <c r="N196" s="22">
        <v>-750</v>
      </c>
      <c r="O196" s="22">
        <v>6750</v>
      </c>
      <c r="P196" s="22">
        <v>6750</v>
      </c>
      <c r="Q196" t="str" cm="1">
        <f t="array" ref="Q196">_xlfn.TEXTJOIN("、",TRUE,IF('學員資料-三民高中'!$B$2:$B$454=$F196,'學員資料-三民高中'!$G$2:$G$454,""))</f>
        <v/>
      </c>
      <c r="R196" t="str" cm="1">
        <f t="array" ref="R196">_xlfn.TEXTJOIN("、",TRUE,IF('學員資料-新北高中'!$B$2:$B$583=$F196,'學員資料-新北高中'!$G$2:$G$583,""))</f>
        <v/>
      </c>
      <c r="S196" t="str" cm="1">
        <f t="array" ref="S196">_xlfn.TEXTJOIN("、",TRUE,IF('學員資料-三重商工'!$B$2:$B$472=$F196,'學員資料-三重商工'!$G$2:$G$472,""))</f>
        <v>0926897992</v>
      </c>
      <c r="T196">
        <f t="shared" si="3"/>
        <v>1</v>
      </c>
    </row>
    <row r="197" spans="1:20" ht="14.25" hidden="1" customHeight="1">
      <c r="A197" s="15">
        <v>196</v>
      </c>
      <c r="B197" s="16" t="s">
        <v>834</v>
      </c>
      <c r="C197" s="17">
        <v>46133</v>
      </c>
      <c r="D197" s="15" t="s">
        <v>835</v>
      </c>
      <c r="E197" s="18" t="s">
        <v>83</v>
      </c>
      <c r="F197" s="19" t="s">
        <v>514</v>
      </c>
      <c r="G197" s="18" t="s">
        <v>515</v>
      </c>
      <c r="H197" s="20" t="s">
        <v>115</v>
      </c>
      <c r="I197" s="15">
        <v>1</v>
      </c>
      <c r="J197" s="15" t="s">
        <v>24</v>
      </c>
      <c r="K197" s="21" t="s">
        <v>116</v>
      </c>
      <c r="L197" s="21" t="s">
        <v>16</v>
      </c>
      <c r="M197" s="22">
        <v>0</v>
      </c>
      <c r="N197" s="22">
        <v>0</v>
      </c>
      <c r="O197" s="22">
        <v>1400</v>
      </c>
      <c r="P197" s="22">
        <v>1400</v>
      </c>
      <c r="Q197" t="str" cm="1">
        <f t="array" ref="Q197">_xlfn.TEXTJOIN("、",TRUE,IF('學員資料-三民高中'!$B$2:$B$454=$F197,'學員資料-三民高中'!$G$2:$G$454,""))</f>
        <v/>
      </c>
      <c r="R197" t="str" cm="1">
        <f t="array" ref="R197">_xlfn.TEXTJOIN("、",TRUE,IF('學員資料-新北高中'!$B$2:$B$583=$F197,'學員資料-新北高中'!$G$2:$G$583,""))</f>
        <v/>
      </c>
      <c r="S197" t="str" cm="1">
        <f t="array" ref="S197">_xlfn.TEXTJOIN("、",TRUE,IF('學員資料-三重商工'!$B$2:$B$472=$F197,'學員資料-三重商工'!$G$2:$G$472,""))</f>
        <v>0988135080</v>
      </c>
      <c r="T197">
        <f t="shared" si="3"/>
        <v>1</v>
      </c>
    </row>
    <row r="198" spans="1:20" ht="14.25" hidden="1" customHeight="1">
      <c r="A198" s="15">
        <v>197</v>
      </c>
      <c r="B198" s="16" t="s">
        <v>836</v>
      </c>
      <c r="C198" s="17">
        <v>46132</v>
      </c>
      <c r="D198" s="15" t="s">
        <v>837</v>
      </c>
      <c r="E198" s="18" t="s">
        <v>83</v>
      </c>
      <c r="F198" s="19" t="s">
        <v>838</v>
      </c>
      <c r="G198" s="18" t="s">
        <v>839</v>
      </c>
      <c r="H198" s="20" t="s">
        <v>130</v>
      </c>
      <c r="I198" s="15">
        <v>1</v>
      </c>
      <c r="J198" s="15" t="s">
        <v>25</v>
      </c>
      <c r="K198" s="15"/>
      <c r="L198" s="21" t="s">
        <v>18</v>
      </c>
      <c r="M198" s="22">
        <v>0</v>
      </c>
      <c r="N198" s="22">
        <v>-990</v>
      </c>
      <c r="O198" s="22">
        <v>8910</v>
      </c>
      <c r="P198" s="22">
        <v>8910</v>
      </c>
      <c r="Q198" t="str" cm="1">
        <f t="array" ref="Q198">_xlfn.TEXTJOIN("、",TRUE,IF('學員資料-三民高中'!$B$2:$B$454=$F198,'學員資料-三民高中'!$G$2:$G$454,""))</f>
        <v/>
      </c>
      <c r="R198" t="str" cm="1">
        <f t="array" ref="R198">_xlfn.TEXTJOIN("、",TRUE,IF('學員資料-新北高中'!$B$2:$B$583=$F198,'學員資料-新北高中'!$G$2:$G$583,""))</f>
        <v/>
      </c>
      <c r="S198" t="str" cm="1">
        <f t="array" ref="S198">_xlfn.TEXTJOIN("、",TRUE,IF('學員資料-三重商工'!$B$2:$B$472=$F198,'學員資料-三重商工'!$G$2:$G$472,""))</f>
        <v>0926952553</v>
      </c>
      <c r="T198">
        <f t="shared" si="3"/>
        <v>1</v>
      </c>
    </row>
    <row r="199" spans="1:20" ht="28.5" hidden="1" customHeight="1">
      <c r="A199" s="15">
        <v>198</v>
      </c>
      <c r="B199" s="16" t="s">
        <v>840</v>
      </c>
      <c r="C199" s="17">
        <v>46132</v>
      </c>
      <c r="D199" s="15" t="s">
        <v>841</v>
      </c>
      <c r="E199" s="18" t="s">
        <v>83</v>
      </c>
      <c r="F199" s="19" t="s">
        <v>842</v>
      </c>
      <c r="G199" s="18" t="s">
        <v>843</v>
      </c>
      <c r="H199" s="20" t="s">
        <v>726</v>
      </c>
      <c r="I199" s="15">
        <v>2</v>
      </c>
      <c r="J199" s="15" t="s">
        <v>24</v>
      </c>
      <c r="K199" s="15"/>
      <c r="L199" s="21" t="s">
        <v>16</v>
      </c>
      <c r="M199" s="22">
        <v>0</v>
      </c>
      <c r="N199" s="22">
        <v>-1800</v>
      </c>
      <c r="O199" s="22">
        <v>16200</v>
      </c>
      <c r="P199" s="22">
        <v>16200</v>
      </c>
      <c r="Q199" t="str" cm="1">
        <f t="array" ref="Q199">_xlfn.TEXTJOIN("、",TRUE,IF('學員資料-三民高中'!$B$2:$B$454=$F199,'學員資料-三民高中'!$G$2:$G$454,""))</f>
        <v/>
      </c>
      <c r="R199" t="str" cm="1">
        <f t="array" ref="R199">_xlfn.TEXTJOIN("、",TRUE,IF('學員資料-新北高中'!$B$2:$B$583=$F199,'學員資料-新北高中'!$G$2:$G$583,""))</f>
        <v/>
      </c>
      <c r="S199" t="str" cm="1">
        <f t="array" ref="S199">_xlfn.TEXTJOIN("、",TRUE,IF('學員資料-三重商工'!$B$2:$B$472=$F199,'學員資料-三重商工'!$G$2:$G$472,""))</f>
        <v>0988760735</v>
      </c>
      <c r="T199">
        <f t="shared" si="3"/>
        <v>1</v>
      </c>
    </row>
    <row r="200" spans="1:20" ht="28.5" hidden="1" customHeight="1">
      <c r="A200" s="15">
        <v>199</v>
      </c>
      <c r="B200" s="16" t="s">
        <v>844</v>
      </c>
      <c r="C200" s="17">
        <v>46132</v>
      </c>
      <c r="D200" s="15" t="s">
        <v>845</v>
      </c>
      <c r="E200" s="18" t="s">
        <v>83</v>
      </c>
      <c r="F200" s="19" t="s">
        <v>846</v>
      </c>
      <c r="G200" s="18" t="s">
        <v>847</v>
      </c>
      <c r="H200" s="20" t="s">
        <v>821</v>
      </c>
      <c r="I200" s="15">
        <v>2</v>
      </c>
      <c r="J200" s="15" t="s">
        <v>26</v>
      </c>
      <c r="K200" s="15"/>
      <c r="L200" s="21" t="s">
        <v>16</v>
      </c>
      <c r="M200" s="22">
        <v>0</v>
      </c>
      <c r="N200" s="22">
        <v>-2400</v>
      </c>
      <c r="O200" s="22">
        <v>21600</v>
      </c>
      <c r="P200" s="22">
        <v>21600</v>
      </c>
      <c r="Q200" t="str" cm="1">
        <f t="array" ref="Q200">_xlfn.TEXTJOIN("、",TRUE,IF('學員資料-三民高中'!$B$2:$B$454=$F200,'學員資料-三民高中'!$G$2:$G$454,""))</f>
        <v/>
      </c>
      <c r="R200" t="str" cm="1">
        <f t="array" ref="R200">_xlfn.TEXTJOIN("、",TRUE,IF('學員資料-新北高中'!$B$2:$B$583=$F200,'學員資料-新北高中'!$G$2:$G$583,""))</f>
        <v/>
      </c>
      <c r="S200" t="str" cm="1">
        <f t="array" ref="S200">_xlfn.TEXTJOIN("、",TRUE,IF('學員資料-三重商工'!$B$2:$B$472=$F200,'學員資料-三重商工'!$G$2:$G$472,""))</f>
        <v>0928579181</v>
      </c>
      <c r="T200">
        <f t="shared" si="3"/>
        <v>1</v>
      </c>
    </row>
    <row r="201" spans="1:20" ht="14.25" hidden="1" customHeight="1">
      <c r="A201" s="15">
        <v>200</v>
      </c>
      <c r="B201" s="16" t="s">
        <v>848</v>
      </c>
      <c r="C201" s="17">
        <v>46132</v>
      </c>
      <c r="D201" s="15" t="s">
        <v>849</v>
      </c>
      <c r="E201" s="18" t="s">
        <v>83</v>
      </c>
      <c r="F201" s="19" t="s">
        <v>490</v>
      </c>
      <c r="G201" s="18" t="s">
        <v>491</v>
      </c>
      <c r="H201" s="20" t="s">
        <v>112</v>
      </c>
      <c r="I201" s="15">
        <v>1</v>
      </c>
      <c r="J201" s="15" t="s">
        <v>23</v>
      </c>
      <c r="K201" s="15"/>
      <c r="L201" s="21" t="s">
        <v>16</v>
      </c>
      <c r="M201" s="22">
        <v>0</v>
      </c>
      <c r="N201" s="22">
        <v>-414</v>
      </c>
      <c r="O201" s="22">
        <v>7866</v>
      </c>
      <c r="P201" s="22">
        <v>7866</v>
      </c>
      <c r="Q201" t="str" cm="1">
        <f t="array" ref="Q201">_xlfn.TEXTJOIN("、",TRUE,IF('學員資料-三民高中'!$B$2:$B$454=$F201,'學員資料-三民高中'!$G$2:$G$454,""))</f>
        <v/>
      </c>
      <c r="R201" t="str" cm="1">
        <f t="array" ref="R201">_xlfn.TEXTJOIN("、",TRUE,IF('學員資料-新北高中'!$B$2:$B$583=$F201,'學員資料-新北高中'!$G$2:$G$583,""))</f>
        <v/>
      </c>
      <c r="S201" t="str" cm="1">
        <f t="array" ref="S201">_xlfn.TEXTJOIN("、",TRUE,IF('學員資料-三重商工'!$B$2:$B$472=$F201,'學員資料-三重商工'!$G$2:$G$472,""))</f>
        <v>0912562136</v>
      </c>
      <c r="T201">
        <f t="shared" si="3"/>
        <v>1</v>
      </c>
    </row>
    <row r="202" spans="1:20" ht="28.5" hidden="1" customHeight="1">
      <c r="A202" s="15">
        <v>201</v>
      </c>
      <c r="B202" s="16" t="s">
        <v>850</v>
      </c>
      <c r="C202" s="17">
        <v>46131</v>
      </c>
      <c r="D202" s="15" t="s">
        <v>851</v>
      </c>
      <c r="E202" s="18" t="s">
        <v>78</v>
      </c>
      <c r="F202" s="19" t="s">
        <v>852</v>
      </c>
      <c r="G202" s="18" t="s">
        <v>853</v>
      </c>
      <c r="H202" s="20" t="s">
        <v>219</v>
      </c>
      <c r="I202" s="15">
        <v>2</v>
      </c>
      <c r="J202" s="15" t="s">
        <v>25</v>
      </c>
      <c r="K202" s="15"/>
      <c r="L202" s="21" t="s">
        <v>16</v>
      </c>
      <c r="M202" s="22">
        <v>0</v>
      </c>
      <c r="N202" s="22">
        <v>-1980</v>
      </c>
      <c r="O202" s="22">
        <v>17820</v>
      </c>
      <c r="P202" s="22">
        <v>17820</v>
      </c>
      <c r="Q202" t="str" cm="1">
        <f t="array" ref="Q202">_xlfn.TEXTJOIN("、",TRUE,IF('學員資料-三民高中'!$B$2:$B$454=$F202,'學員資料-三民高中'!$G$2:$G$454,""))</f>
        <v/>
      </c>
      <c r="R202" t="str" cm="1">
        <f t="array" ref="R202">_xlfn.TEXTJOIN("、",TRUE,IF('學員資料-新北高中'!$B$2:$B$583=$F202,'學員資料-新北高中'!$G$2:$G$583,""))</f>
        <v>0928516113</v>
      </c>
      <c r="S202" t="str" cm="1">
        <f t="array" ref="S202">_xlfn.TEXTJOIN("、",TRUE,IF('學員資料-三重商工'!$B$2:$B$472=$F202,'學員資料-三重商工'!$G$2:$G$472,""))</f>
        <v/>
      </c>
      <c r="T202">
        <f t="shared" si="3"/>
        <v>1</v>
      </c>
    </row>
    <row r="203" spans="1:20" ht="14.25" hidden="1" customHeight="1">
      <c r="A203" s="15">
        <v>202</v>
      </c>
      <c r="B203" s="16" t="s">
        <v>854</v>
      </c>
      <c r="C203" s="17">
        <v>46131</v>
      </c>
      <c r="D203" s="15" t="s">
        <v>855</v>
      </c>
      <c r="E203" s="18" t="s">
        <v>78</v>
      </c>
      <c r="F203" s="19" t="s">
        <v>282</v>
      </c>
      <c r="G203" s="18" t="s">
        <v>283</v>
      </c>
      <c r="H203" s="20" t="s">
        <v>52</v>
      </c>
      <c r="I203" s="15">
        <v>1</v>
      </c>
      <c r="J203" s="15" t="s">
        <v>24</v>
      </c>
      <c r="K203" s="15"/>
      <c r="L203" s="21" t="s">
        <v>16</v>
      </c>
      <c r="M203" s="22">
        <v>0</v>
      </c>
      <c r="N203" s="22">
        <v>-750</v>
      </c>
      <c r="O203" s="22">
        <v>6750</v>
      </c>
      <c r="P203" s="22">
        <v>6750</v>
      </c>
      <c r="Q203" t="str" cm="1">
        <f t="array" ref="Q203">_xlfn.TEXTJOIN("、",TRUE,IF('學員資料-三民高中'!$B$2:$B$454=$F203,'學員資料-三民高中'!$G$2:$G$454,""))</f>
        <v/>
      </c>
      <c r="R203" t="str" cm="1">
        <f t="array" ref="R203">_xlfn.TEXTJOIN("、",TRUE,IF('學員資料-新北高中'!$B$2:$B$583=$F203,'學員資料-新北高中'!$G$2:$G$583,""))</f>
        <v>0920199953</v>
      </c>
      <c r="S203" t="str" cm="1">
        <f t="array" ref="S203">_xlfn.TEXTJOIN("、",TRUE,IF('學員資料-三重商工'!$B$2:$B$472=$F203,'學員資料-三重商工'!$G$2:$G$472,""))</f>
        <v/>
      </c>
      <c r="T203">
        <f t="shared" si="3"/>
        <v>1</v>
      </c>
    </row>
    <row r="204" spans="1:20" ht="14.25" hidden="1" customHeight="1">
      <c r="A204" s="15">
        <v>203</v>
      </c>
      <c r="B204" s="16" t="s">
        <v>856</v>
      </c>
      <c r="C204" s="17">
        <v>46131</v>
      </c>
      <c r="D204" s="15" t="s">
        <v>857</v>
      </c>
      <c r="E204" s="18" t="s">
        <v>78</v>
      </c>
      <c r="F204" s="19" t="s">
        <v>858</v>
      </c>
      <c r="G204" s="18" t="s">
        <v>859</v>
      </c>
      <c r="H204" s="20" t="s">
        <v>66</v>
      </c>
      <c r="I204" s="15">
        <v>1</v>
      </c>
      <c r="J204" s="15" t="s">
        <v>23</v>
      </c>
      <c r="K204" s="15"/>
      <c r="L204" s="21" t="s">
        <v>16</v>
      </c>
      <c r="M204" s="22">
        <v>0</v>
      </c>
      <c r="N204" s="22">
        <v>-345</v>
      </c>
      <c r="O204" s="22">
        <v>6555</v>
      </c>
      <c r="P204" s="22">
        <v>6555</v>
      </c>
      <c r="Q204" t="str" cm="1">
        <f t="array" ref="Q204">_xlfn.TEXTJOIN("、",TRUE,IF('學員資料-三民高中'!$B$2:$B$454=$F204,'學員資料-三民高中'!$G$2:$G$454,""))</f>
        <v/>
      </c>
      <c r="R204" t="str" cm="1">
        <f t="array" ref="R204">_xlfn.TEXTJOIN("、",TRUE,IF('學員資料-新北高中'!$B$2:$B$583=$F204,'學員資料-新北高中'!$G$2:$G$583,""))</f>
        <v>0975759723</v>
      </c>
      <c r="S204" t="str" cm="1">
        <f t="array" ref="S204">_xlfn.TEXTJOIN("、",TRUE,IF('學員資料-三重商工'!$B$2:$B$472=$F204,'學員資料-三重商工'!$G$2:$G$472,""))</f>
        <v/>
      </c>
      <c r="T204">
        <f t="shared" si="3"/>
        <v>1</v>
      </c>
    </row>
    <row r="205" spans="1:20" ht="14.25" hidden="1" customHeight="1">
      <c r="A205" s="15">
        <v>204</v>
      </c>
      <c r="B205" s="16" t="s">
        <v>860</v>
      </c>
      <c r="C205" s="17">
        <v>46131</v>
      </c>
      <c r="D205" s="15" t="s">
        <v>861</v>
      </c>
      <c r="E205" s="18" t="s">
        <v>127</v>
      </c>
      <c r="F205" s="19" t="s">
        <v>862</v>
      </c>
      <c r="G205" s="18" t="s">
        <v>863</v>
      </c>
      <c r="H205" s="20" t="s">
        <v>66</v>
      </c>
      <c r="I205" s="15">
        <v>1</v>
      </c>
      <c r="J205" s="15" t="s">
        <v>23</v>
      </c>
      <c r="K205" s="15"/>
      <c r="L205" s="21" t="s">
        <v>18</v>
      </c>
      <c r="M205" s="22">
        <v>0</v>
      </c>
      <c r="N205" s="22">
        <v>-345</v>
      </c>
      <c r="O205" s="22">
        <v>6555</v>
      </c>
      <c r="P205" s="22">
        <v>6555</v>
      </c>
      <c r="Q205" t="str" cm="1">
        <f t="array" ref="Q205">_xlfn.TEXTJOIN("、",TRUE,IF('學員資料-三民高中'!$B$2:$B$454=$F205,'學員資料-三民高中'!$G$2:$G$454,""))</f>
        <v>0921162985</v>
      </c>
      <c r="R205" t="str" cm="1">
        <f t="array" ref="R205">_xlfn.TEXTJOIN("、",TRUE,IF('學員資料-新北高中'!$B$2:$B$583=$F205,'學員資料-新北高中'!$G$2:$G$583,""))</f>
        <v/>
      </c>
      <c r="S205" t="str" cm="1">
        <f t="array" ref="S205">_xlfn.TEXTJOIN("、",TRUE,IF('學員資料-三重商工'!$B$2:$B$472=$F205,'學員資料-三重商工'!$G$2:$G$472,""))</f>
        <v/>
      </c>
      <c r="T205">
        <f t="shared" si="3"/>
        <v>1</v>
      </c>
    </row>
    <row r="206" spans="1:20" ht="28.5" customHeight="1">
      <c r="A206" s="15">
        <v>205</v>
      </c>
      <c r="B206" s="16" t="s">
        <v>864</v>
      </c>
      <c r="C206" s="17">
        <v>46130</v>
      </c>
      <c r="D206" s="15" t="s">
        <v>865</v>
      </c>
      <c r="E206" s="18" t="s">
        <v>78</v>
      </c>
      <c r="F206" s="19" t="s">
        <v>866</v>
      </c>
      <c r="G206" s="18" t="s">
        <v>867</v>
      </c>
      <c r="H206" s="20" t="s">
        <v>75</v>
      </c>
      <c r="I206" s="15">
        <v>2</v>
      </c>
      <c r="J206" s="15" t="s">
        <v>23</v>
      </c>
      <c r="K206" s="15"/>
      <c r="L206" s="21" t="s">
        <v>16</v>
      </c>
      <c r="M206" s="22">
        <v>0</v>
      </c>
      <c r="N206" s="22">
        <v>-690</v>
      </c>
      <c r="O206" s="22">
        <v>13110</v>
      </c>
      <c r="P206" s="22">
        <v>13110</v>
      </c>
      <c r="Q206" t="str" cm="1">
        <f t="array" ref="Q206">_xlfn.TEXTJOIN("、",TRUE,IF('學員資料-三民高中'!$B$2:$B$454=$F206,'學員資料-三民高中'!$G$2:$G$454,""))</f>
        <v/>
      </c>
      <c r="R206" t="str" cm="1">
        <f t="array" ref="R206">_xlfn.TEXTJOIN("、",TRUE,IF('學員資料-新北高中'!$B$2:$B$583=$F206,'學員資料-新北高中'!$G$2:$G$583,""))</f>
        <v/>
      </c>
      <c r="S206" t="str" cm="1">
        <f t="array" ref="S206">_xlfn.TEXTJOIN("、",TRUE,IF('學員資料-三重商工'!$B$2:$B$472=$F206,'學員資料-三重商工'!$G$2:$G$472,""))</f>
        <v/>
      </c>
      <c r="T206">
        <f t="shared" si="3"/>
        <v>0</v>
      </c>
    </row>
    <row r="207" spans="1:20" ht="14.25" hidden="1" customHeight="1">
      <c r="A207" s="15">
        <v>206</v>
      </c>
      <c r="B207" s="16" t="s">
        <v>868</v>
      </c>
      <c r="C207" s="17">
        <v>46130</v>
      </c>
      <c r="D207" s="15" t="s">
        <v>869</v>
      </c>
      <c r="E207" s="18" t="s">
        <v>44</v>
      </c>
      <c r="F207" s="19" t="s">
        <v>870</v>
      </c>
      <c r="G207" s="18" t="s">
        <v>871</v>
      </c>
      <c r="H207" s="20" t="s">
        <v>66</v>
      </c>
      <c r="I207" s="15">
        <v>1</v>
      </c>
      <c r="J207" s="15" t="s">
        <v>23</v>
      </c>
      <c r="K207" s="15"/>
      <c r="L207" s="21" t="s">
        <v>16</v>
      </c>
      <c r="M207" s="22">
        <v>0</v>
      </c>
      <c r="N207" s="22">
        <v>-345</v>
      </c>
      <c r="O207" s="22">
        <v>6555</v>
      </c>
      <c r="P207" s="22">
        <v>6555</v>
      </c>
      <c r="Q207" t="str" cm="1">
        <f t="array" ref="Q207">_xlfn.TEXTJOIN("、",TRUE,IF('學員資料-三民高中'!$B$2:$B$454=$F207,'學員資料-三民高中'!$G$2:$G$454,""))</f>
        <v/>
      </c>
      <c r="R207" t="str" cm="1">
        <f t="array" ref="R207">_xlfn.TEXTJOIN("、",TRUE,IF('學員資料-新北高中'!$B$2:$B$583=$F207,'學員資料-新北高中'!$G$2:$G$583,""))</f>
        <v/>
      </c>
      <c r="S207" t="str" cm="1">
        <f t="array" ref="S207">_xlfn.TEXTJOIN("、",TRUE,IF('學員資料-三重商工'!$B$2:$B$472=$F207,'學員資料-三重商工'!$G$2:$G$472,""))</f>
        <v>0917645697</v>
      </c>
      <c r="T207">
        <f t="shared" si="3"/>
        <v>1</v>
      </c>
    </row>
    <row r="208" spans="1:20" ht="14.25" hidden="1" customHeight="1">
      <c r="A208" s="15">
        <v>207</v>
      </c>
      <c r="B208" s="16" t="s">
        <v>872</v>
      </c>
      <c r="C208" s="17">
        <v>46130</v>
      </c>
      <c r="D208" s="15" t="s">
        <v>873</v>
      </c>
      <c r="E208" s="18" t="s">
        <v>402</v>
      </c>
      <c r="F208" s="19" t="s">
        <v>874</v>
      </c>
      <c r="G208" s="18" t="s">
        <v>875</v>
      </c>
      <c r="H208" s="20" t="s">
        <v>52</v>
      </c>
      <c r="I208" s="15">
        <v>1</v>
      </c>
      <c r="J208" s="15" t="s">
        <v>24</v>
      </c>
      <c r="K208" s="15"/>
      <c r="L208" s="21" t="s">
        <v>16</v>
      </c>
      <c r="M208" s="22">
        <v>0</v>
      </c>
      <c r="N208" s="22">
        <v>-750</v>
      </c>
      <c r="O208" s="22">
        <v>6750</v>
      </c>
      <c r="P208" s="22">
        <v>6750</v>
      </c>
      <c r="Q208" t="str" cm="1">
        <f t="array" ref="Q208">_xlfn.TEXTJOIN("、",TRUE,IF('學員資料-三民高中'!$B$2:$B$454=$F208,'學員資料-三民高中'!$G$2:$G$454,""))</f>
        <v/>
      </c>
      <c r="R208" t="str" cm="1">
        <f t="array" ref="R208">_xlfn.TEXTJOIN("、",TRUE,IF('學員資料-新北高中'!$B$2:$B$583=$F208,'學員資料-新北高中'!$G$2:$G$583,""))</f>
        <v>0980674730</v>
      </c>
      <c r="S208" t="str" cm="1">
        <f t="array" ref="S208">_xlfn.TEXTJOIN("、",TRUE,IF('學員資料-三重商工'!$B$2:$B$472=$F208,'學員資料-三重商工'!$G$2:$G$472,""))</f>
        <v/>
      </c>
      <c r="T208">
        <f t="shared" si="3"/>
        <v>1</v>
      </c>
    </row>
    <row r="209" spans="1:20" ht="14.25" hidden="1" customHeight="1">
      <c r="A209" s="15">
        <v>208</v>
      </c>
      <c r="B209" s="16" t="s">
        <v>876</v>
      </c>
      <c r="C209" s="17">
        <v>46130</v>
      </c>
      <c r="D209" s="15" t="s">
        <v>877</v>
      </c>
      <c r="E209" s="18" t="s">
        <v>402</v>
      </c>
      <c r="F209" s="19" t="s">
        <v>878</v>
      </c>
      <c r="G209" s="18" t="s">
        <v>879</v>
      </c>
      <c r="H209" s="20" t="s">
        <v>130</v>
      </c>
      <c r="I209" s="15">
        <v>1</v>
      </c>
      <c r="J209" s="15" t="s">
        <v>25</v>
      </c>
      <c r="K209" s="15"/>
      <c r="L209" s="21" t="s">
        <v>16</v>
      </c>
      <c r="M209" s="22">
        <v>0</v>
      </c>
      <c r="N209" s="22">
        <v>-990</v>
      </c>
      <c r="O209" s="22">
        <v>8910</v>
      </c>
      <c r="P209" s="22">
        <v>8910</v>
      </c>
      <c r="Q209" t="str" cm="1">
        <f t="array" ref="Q209">_xlfn.TEXTJOIN("、",TRUE,IF('學員資料-三民高中'!$B$2:$B$454=$F209,'學員資料-三民高中'!$G$2:$G$454,""))</f>
        <v>0922073003</v>
      </c>
      <c r="R209" t="str" cm="1">
        <f t="array" ref="R209">_xlfn.TEXTJOIN("、",TRUE,IF('學員資料-新北高中'!$B$2:$B$583=$F209,'學員資料-新北高中'!$G$2:$G$583,""))</f>
        <v/>
      </c>
      <c r="S209" t="str" cm="1">
        <f t="array" ref="S209">_xlfn.TEXTJOIN("、",TRUE,IF('學員資料-三重商工'!$B$2:$B$472=$F209,'學員資料-三重商工'!$G$2:$G$472,""))</f>
        <v/>
      </c>
      <c r="T209">
        <f t="shared" si="3"/>
        <v>1</v>
      </c>
    </row>
    <row r="210" spans="1:20" ht="14.25" hidden="1" customHeight="1">
      <c r="A210" s="15">
        <v>209</v>
      </c>
      <c r="B210" s="16" t="s">
        <v>880</v>
      </c>
      <c r="C210" s="17">
        <v>46130</v>
      </c>
      <c r="D210" s="15" t="s">
        <v>881</v>
      </c>
      <c r="E210" s="18" t="s">
        <v>127</v>
      </c>
      <c r="F210" s="19" t="s">
        <v>882</v>
      </c>
      <c r="G210" s="18" t="s">
        <v>883</v>
      </c>
      <c r="H210" s="20" t="s">
        <v>52</v>
      </c>
      <c r="I210" s="15">
        <v>1</v>
      </c>
      <c r="J210" s="15" t="s">
        <v>24</v>
      </c>
      <c r="K210" s="15"/>
      <c r="L210" s="21" t="s">
        <v>18</v>
      </c>
      <c r="M210" s="22">
        <v>0</v>
      </c>
      <c r="N210" s="22">
        <v>-750</v>
      </c>
      <c r="O210" s="22">
        <v>6750</v>
      </c>
      <c r="P210" s="22">
        <v>6750</v>
      </c>
      <c r="Q210" t="str" cm="1">
        <f t="array" ref="Q210">_xlfn.TEXTJOIN("、",TRUE,IF('學員資料-三民高中'!$B$2:$B$454=$F210,'學員資料-三民高中'!$G$2:$G$454,""))</f>
        <v>0972380184</v>
      </c>
      <c r="R210" t="str" cm="1">
        <f t="array" ref="R210">_xlfn.TEXTJOIN("、",TRUE,IF('學員資料-新北高中'!$B$2:$B$583=$F210,'學員資料-新北高中'!$G$2:$G$583,""))</f>
        <v/>
      </c>
      <c r="S210" t="str" cm="1">
        <f t="array" ref="S210">_xlfn.TEXTJOIN("、",TRUE,IF('學員資料-三重商工'!$B$2:$B$472=$F210,'學員資料-三重商工'!$G$2:$G$472,""))</f>
        <v/>
      </c>
      <c r="T210">
        <f t="shared" si="3"/>
        <v>1</v>
      </c>
    </row>
    <row r="211" spans="1:20" ht="14.25" hidden="1" customHeight="1">
      <c r="A211" s="15">
        <v>210</v>
      </c>
      <c r="B211" s="16" t="s">
        <v>884</v>
      </c>
      <c r="C211" s="17">
        <v>46130</v>
      </c>
      <c r="D211" s="15" t="s">
        <v>885</v>
      </c>
      <c r="E211" s="18" t="s">
        <v>44</v>
      </c>
      <c r="F211" s="19" t="s">
        <v>490</v>
      </c>
      <c r="G211" s="18" t="s">
        <v>491</v>
      </c>
      <c r="H211" s="20" t="s">
        <v>800</v>
      </c>
      <c r="I211" s="15">
        <v>1</v>
      </c>
      <c r="J211" s="15" t="s">
        <v>23</v>
      </c>
      <c r="K211" s="21" t="s">
        <v>116</v>
      </c>
      <c r="L211" s="21" t="s">
        <v>16</v>
      </c>
      <c r="M211" s="22">
        <v>0</v>
      </c>
      <c r="N211" s="22">
        <v>0</v>
      </c>
      <c r="O211" s="22">
        <v>1440</v>
      </c>
      <c r="P211" s="22">
        <v>1440</v>
      </c>
      <c r="Q211" t="str" cm="1">
        <f t="array" ref="Q211">_xlfn.TEXTJOIN("、",TRUE,IF('學員資料-三民高中'!$B$2:$B$454=$F211,'學員資料-三民高中'!$G$2:$G$454,""))</f>
        <v/>
      </c>
      <c r="R211" t="str" cm="1">
        <f t="array" ref="R211">_xlfn.TEXTJOIN("、",TRUE,IF('學員資料-新北高中'!$B$2:$B$583=$F211,'學員資料-新北高中'!$G$2:$G$583,""))</f>
        <v/>
      </c>
      <c r="S211" t="str" cm="1">
        <f t="array" ref="S211">_xlfn.TEXTJOIN("、",TRUE,IF('學員資料-三重商工'!$B$2:$B$472=$F211,'學員資料-三重商工'!$G$2:$G$472,""))</f>
        <v>0912562136</v>
      </c>
      <c r="T211">
        <f t="shared" si="3"/>
        <v>1</v>
      </c>
    </row>
    <row r="212" spans="1:20" ht="28.5" hidden="1" customHeight="1">
      <c r="A212" s="15">
        <v>211</v>
      </c>
      <c r="B212" s="16" t="s">
        <v>886</v>
      </c>
      <c r="C212" s="17">
        <v>46129</v>
      </c>
      <c r="D212" s="15" t="s">
        <v>887</v>
      </c>
      <c r="E212" s="18" t="s">
        <v>44</v>
      </c>
      <c r="F212" s="19" t="s">
        <v>888</v>
      </c>
      <c r="G212" s="18" t="s">
        <v>889</v>
      </c>
      <c r="H212" s="20" t="s">
        <v>75</v>
      </c>
      <c r="I212" s="15">
        <v>2</v>
      </c>
      <c r="J212" s="15" t="s">
        <v>23</v>
      </c>
      <c r="K212" s="15"/>
      <c r="L212" s="21" t="s">
        <v>16</v>
      </c>
      <c r="M212" s="22">
        <v>0</v>
      </c>
      <c r="N212" s="22">
        <v>-690</v>
      </c>
      <c r="O212" s="22">
        <v>13110</v>
      </c>
      <c r="P212" s="22">
        <v>13110</v>
      </c>
      <c r="Q212" t="str" cm="1">
        <f t="array" ref="Q212">_xlfn.TEXTJOIN("、",TRUE,IF('學員資料-三民高中'!$B$2:$B$454=$F212,'學員資料-三民高中'!$G$2:$G$454,""))</f>
        <v/>
      </c>
      <c r="R212" t="str" cm="1">
        <f t="array" ref="R212">_xlfn.TEXTJOIN("、",TRUE,IF('學員資料-新北高中'!$B$2:$B$583=$F212,'學員資料-新北高中'!$G$2:$G$583,""))</f>
        <v>0900099919</v>
      </c>
      <c r="S212" t="str" cm="1">
        <f t="array" ref="S212">_xlfn.TEXTJOIN("、",TRUE,IF('學員資料-三重商工'!$B$2:$B$472=$F212,'學員資料-三重商工'!$G$2:$G$472,""))</f>
        <v/>
      </c>
      <c r="T212">
        <f t="shared" si="3"/>
        <v>1</v>
      </c>
    </row>
    <row r="213" spans="1:20" ht="14.25" hidden="1" customHeight="1">
      <c r="A213" s="15">
        <v>212</v>
      </c>
      <c r="B213" s="16" t="s">
        <v>890</v>
      </c>
      <c r="C213" s="17">
        <v>46129</v>
      </c>
      <c r="D213" s="15" t="s">
        <v>891</v>
      </c>
      <c r="E213" s="18" t="s">
        <v>44</v>
      </c>
      <c r="F213" s="19" t="s">
        <v>426</v>
      </c>
      <c r="G213" s="18" t="s">
        <v>427</v>
      </c>
      <c r="H213" s="20" t="s">
        <v>52</v>
      </c>
      <c r="I213" s="15">
        <v>1</v>
      </c>
      <c r="J213" s="15" t="s">
        <v>24</v>
      </c>
      <c r="K213" s="15"/>
      <c r="L213" s="21" t="s">
        <v>16</v>
      </c>
      <c r="M213" s="22">
        <v>0</v>
      </c>
      <c r="N213" s="22">
        <v>-750</v>
      </c>
      <c r="O213" s="22">
        <v>6750</v>
      </c>
      <c r="P213" s="22">
        <v>6750</v>
      </c>
      <c r="Q213" t="str" cm="1">
        <f t="array" ref="Q213">_xlfn.TEXTJOIN("、",TRUE,IF('學員資料-三民高中'!$B$2:$B$454=$F213,'學員資料-三民高中'!$G$2:$G$454,""))</f>
        <v>0921745830</v>
      </c>
      <c r="R213" t="str" cm="1">
        <f t="array" ref="R213">_xlfn.TEXTJOIN("、",TRUE,IF('學員資料-新北高中'!$B$2:$B$583=$F213,'學員資料-新北高中'!$G$2:$G$583,""))</f>
        <v/>
      </c>
      <c r="S213" t="str" cm="1">
        <f t="array" ref="S213">_xlfn.TEXTJOIN("、",TRUE,IF('學員資料-三重商工'!$B$2:$B$472=$F213,'學員資料-三重商工'!$G$2:$G$472,""))</f>
        <v/>
      </c>
      <c r="T213">
        <f t="shared" si="3"/>
        <v>1</v>
      </c>
    </row>
    <row r="214" spans="1:20" ht="14.25" hidden="1" customHeight="1">
      <c r="A214" s="15">
        <v>213</v>
      </c>
      <c r="B214" s="16" t="s">
        <v>892</v>
      </c>
      <c r="C214" s="17">
        <v>46129</v>
      </c>
      <c r="D214" s="15" t="s">
        <v>893</v>
      </c>
      <c r="E214" s="18" t="s">
        <v>44</v>
      </c>
      <c r="F214" s="19" t="s">
        <v>894</v>
      </c>
      <c r="G214" s="18" t="s">
        <v>895</v>
      </c>
      <c r="H214" s="20" t="s">
        <v>66</v>
      </c>
      <c r="I214" s="15">
        <v>1</v>
      </c>
      <c r="J214" s="15" t="s">
        <v>23</v>
      </c>
      <c r="K214" s="15"/>
      <c r="L214" s="21" t="s">
        <v>16</v>
      </c>
      <c r="M214" s="22">
        <v>0</v>
      </c>
      <c r="N214" s="22">
        <v>-345</v>
      </c>
      <c r="O214" s="22">
        <v>6555</v>
      </c>
      <c r="P214" s="22">
        <v>6555</v>
      </c>
      <c r="Q214" t="str" cm="1">
        <f t="array" ref="Q214">_xlfn.TEXTJOIN("、",TRUE,IF('學員資料-三民高中'!$B$2:$B$454=$F214,'學員資料-三民高中'!$G$2:$G$454,""))</f>
        <v>0937883593</v>
      </c>
      <c r="R214" t="str" cm="1">
        <f t="array" ref="R214">_xlfn.TEXTJOIN("、",TRUE,IF('學員資料-新北高中'!$B$2:$B$583=$F214,'學員資料-新北高中'!$G$2:$G$583,""))</f>
        <v/>
      </c>
      <c r="S214" t="str" cm="1">
        <f t="array" ref="S214">_xlfn.TEXTJOIN("、",TRUE,IF('學員資料-三重商工'!$B$2:$B$472=$F214,'學員資料-三重商工'!$G$2:$G$472,""))</f>
        <v/>
      </c>
      <c r="T214">
        <f t="shared" si="3"/>
        <v>1</v>
      </c>
    </row>
    <row r="215" spans="1:20" ht="43.5" hidden="1" customHeight="1">
      <c r="A215" s="15">
        <v>214</v>
      </c>
      <c r="B215" s="16" t="s">
        <v>896</v>
      </c>
      <c r="C215" s="17">
        <v>46129</v>
      </c>
      <c r="D215" s="15" t="s">
        <v>897</v>
      </c>
      <c r="E215" s="18" t="s">
        <v>44</v>
      </c>
      <c r="F215" s="19" t="s">
        <v>898</v>
      </c>
      <c r="G215" s="18" t="s">
        <v>899</v>
      </c>
      <c r="H215" s="20" t="s">
        <v>261</v>
      </c>
      <c r="I215" s="15">
        <v>3</v>
      </c>
      <c r="J215" s="15" t="s">
        <v>23</v>
      </c>
      <c r="K215" s="15"/>
      <c r="L215" s="21" t="s">
        <v>16</v>
      </c>
      <c r="M215" s="22">
        <v>0</v>
      </c>
      <c r="N215" s="22">
        <v>-1035</v>
      </c>
      <c r="O215" s="22">
        <v>19665</v>
      </c>
      <c r="P215" s="22">
        <v>19665</v>
      </c>
      <c r="Q215" t="str" cm="1">
        <f t="array" ref="Q215">_xlfn.TEXTJOIN("、",TRUE,IF('學員資料-三民高中'!$B$2:$B$454=$F215,'學員資料-三民高中'!$G$2:$G$454,""))</f>
        <v>0988663636-1</v>
      </c>
      <c r="R215" t="str" cm="1">
        <f t="array" ref="R215">_xlfn.TEXTJOIN("、",TRUE,IF('學員資料-新北高中'!$B$2:$B$583=$F215,'學員資料-新北高中'!$G$2:$G$583,""))</f>
        <v/>
      </c>
      <c r="S215" t="str" cm="1">
        <f t="array" ref="S215">_xlfn.TEXTJOIN("、",TRUE,IF('學員資料-三重商工'!$B$2:$B$472=$F215,'學員資料-三重商工'!$G$2:$G$472,""))</f>
        <v/>
      </c>
      <c r="T215">
        <f t="shared" si="3"/>
        <v>1</v>
      </c>
    </row>
    <row r="216" spans="1:20" ht="14.25" customHeight="1">
      <c r="A216" s="15">
        <v>215</v>
      </c>
      <c r="B216" s="16" t="s">
        <v>900</v>
      </c>
      <c r="C216" s="17">
        <v>46129</v>
      </c>
      <c r="D216" s="15" t="s">
        <v>901</v>
      </c>
      <c r="E216" s="18" t="s">
        <v>44</v>
      </c>
      <c r="F216" s="19" t="s">
        <v>581</v>
      </c>
      <c r="G216" s="18" t="s">
        <v>582</v>
      </c>
      <c r="H216" s="20" t="s">
        <v>130</v>
      </c>
      <c r="I216" s="15">
        <v>1</v>
      </c>
      <c r="J216" s="15" t="s">
        <v>25</v>
      </c>
      <c r="K216" s="15"/>
      <c r="L216" s="21" t="s">
        <v>16</v>
      </c>
      <c r="M216" s="22">
        <v>0</v>
      </c>
      <c r="N216" s="22">
        <v>-990</v>
      </c>
      <c r="O216" s="22">
        <v>8910</v>
      </c>
      <c r="P216" s="22">
        <v>8910</v>
      </c>
      <c r="Q216" t="str" cm="1">
        <f t="array" ref="Q216">_xlfn.TEXTJOIN("、",TRUE,IF('學員資料-三民高中'!$B$2:$B$454=$F216,'學員資料-三民高中'!$G$2:$G$454,""))</f>
        <v/>
      </c>
      <c r="R216" t="str" cm="1">
        <f t="array" ref="R216">_xlfn.TEXTJOIN("、",TRUE,IF('學員資料-新北高中'!$B$2:$B$583=$F216,'學員資料-新北高中'!$G$2:$G$583,""))</f>
        <v/>
      </c>
      <c r="S216" t="str" cm="1">
        <f t="array" ref="S216">_xlfn.TEXTJOIN("、",TRUE,IF('學員資料-三重商工'!$B$2:$B$472=$F216,'學員資料-三重商工'!$G$2:$G$472,""))</f>
        <v/>
      </c>
      <c r="T216">
        <f t="shared" si="3"/>
        <v>0</v>
      </c>
    </row>
    <row r="217" spans="1:20" ht="14.25" hidden="1" customHeight="1">
      <c r="A217" s="15">
        <v>216</v>
      </c>
      <c r="B217" s="16" t="s">
        <v>902</v>
      </c>
      <c r="C217" s="17">
        <v>46129</v>
      </c>
      <c r="D217" s="15" t="s">
        <v>903</v>
      </c>
      <c r="E217" s="18" t="s">
        <v>44</v>
      </c>
      <c r="F217" s="19" t="s">
        <v>904</v>
      </c>
      <c r="G217" s="18" t="s">
        <v>905</v>
      </c>
      <c r="H217" s="20" t="s">
        <v>210</v>
      </c>
      <c r="I217" s="15">
        <v>1</v>
      </c>
      <c r="J217" s="15" t="s">
        <v>26</v>
      </c>
      <c r="K217" s="15"/>
      <c r="L217" s="21" t="s">
        <v>16</v>
      </c>
      <c r="M217" s="22">
        <v>0</v>
      </c>
      <c r="N217" s="22">
        <v>-1200</v>
      </c>
      <c r="O217" s="22">
        <v>10800</v>
      </c>
      <c r="P217" s="22">
        <v>10800</v>
      </c>
      <c r="Q217" t="str" cm="1">
        <f t="array" ref="Q217">_xlfn.TEXTJOIN("、",TRUE,IF('學員資料-三民高中'!$B$2:$B$454=$F217,'學員資料-三民高中'!$G$2:$G$454,""))</f>
        <v/>
      </c>
      <c r="R217" t="str" cm="1">
        <f t="array" ref="R217">_xlfn.TEXTJOIN("、",TRUE,IF('學員資料-新北高中'!$B$2:$B$583=$F217,'學員資料-新北高中'!$G$2:$G$583,""))</f>
        <v>0952709408</v>
      </c>
      <c r="S217" t="str" cm="1">
        <f t="array" ref="S217">_xlfn.TEXTJOIN("、",TRUE,IF('學員資料-三重商工'!$B$2:$B$472=$F217,'學員資料-三重商工'!$G$2:$G$472,""))</f>
        <v/>
      </c>
      <c r="T217">
        <f t="shared" si="3"/>
        <v>1</v>
      </c>
    </row>
    <row r="218" spans="1:20" ht="28.5" hidden="1" customHeight="1">
      <c r="A218" s="15">
        <v>217</v>
      </c>
      <c r="B218" s="16" t="s">
        <v>906</v>
      </c>
      <c r="C218" s="17">
        <v>46129</v>
      </c>
      <c r="D218" s="15" t="s">
        <v>907</v>
      </c>
      <c r="E218" s="18" t="s">
        <v>44</v>
      </c>
      <c r="F218" s="19" t="s">
        <v>908</v>
      </c>
      <c r="G218" s="18" t="s">
        <v>909</v>
      </c>
      <c r="H218" s="20" t="s">
        <v>219</v>
      </c>
      <c r="I218" s="15">
        <v>2</v>
      </c>
      <c r="J218" s="15" t="s">
        <v>25</v>
      </c>
      <c r="K218" s="15"/>
      <c r="L218" s="21" t="s">
        <v>16</v>
      </c>
      <c r="M218" s="22">
        <v>0</v>
      </c>
      <c r="N218" s="22">
        <v>-1980</v>
      </c>
      <c r="O218" s="22">
        <v>17820</v>
      </c>
      <c r="P218" s="22">
        <v>17820</v>
      </c>
      <c r="Q218" t="str" cm="1">
        <f t="array" ref="Q218">_xlfn.TEXTJOIN("、",TRUE,IF('學員資料-三民高中'!$B$2:$B$454=$F218,'學員資料-三民高中'!$G$2:$G$454,""))</f>
        <v>0952978038</v>
      </c>
      <c r="R218" t="str" cm="1">
        <f t="array" ref="R218">_xlfn.TEXTJOIN("、",TRUE,IF('學員資料-新北高中'!$B$2:$B$583=$F218,'學員資料-新北高中'!$G$2:$G$583,""))</f>
        <v/>
      </c>
      <c r="S218" t="str" cm="1">
        <f t="array" ref="S218">_xlfn.TEXTJOIN("、",TRUE,IF('學員資料-三重商工'!$B$2:$B$472=$F218,'學員資料-三重商工'!$G$2:$G$472,""))</f>
        <v/>
      </c>
      <c r="T218">
        <f t="shared" si="3"/>
        <v>1</v>
      </c>
    </row>
    <row r="219" spans="1:20" ht="14.25" hidden="1" customHeight="1">
      <c r="A219" s="15">
        <v>218</v>
      </c>
      <c r="B219" s="16" t="s">
        <v>910</v>
      </c>
      <c r="C219" s="17">
        <v>46129</v>
      </c>
      <c r="D219" s="15" t="s">
        <v>911</v>
      </c>
      <c r="E219" s="18" t="s">
        <v>44</v>
      </c>
      <c r="F219" s="19" t="s">
        <v>175</v>
      </c>
      <c r="G219" s="18" t="s">
        <v>176</v>
      </c>
      <c r="H219" s="20" t="s">
        <v>130</v>
      </c>
      <c r="I219" s="15">
        <v>1</v>
      </c>
      <c r="J219" s="15" t="s">
        <v>25</v>
      </c>
      <c r="K219" s="15"/>
      <c r="L219" s="21" t="s">
        <v>16</v>
      </c>
      <c r="M219" s="22">
        <v>0</v>
      </c>
      <c r="N219" s="22">
        <v>-990</v>
      </c>
      <c r="O219" s="22">
        <v>8910</v>
      </c>
      <c r="P219" s="22">
        <v>8910</v>
      </c>
      <c r="Q219" t="str" cm="1">
        <f t="array" ref="Q219">_xlfn.TEXTJOIN("、",TRUE,IF('學員資料-三民高中'!$B$2:$B$454=$F219,'學員資料-三民高中'!$G$2:$G$454,""))</f>
        <v>0919360553</v>
      </c>
      <c r="R219" t="str" cm="1">
        <f t="array" ref="R219">_xlfn.TEXTJOIN("、",TRUE,IF('學員資料-新北高中'!$B$2:$B$583=$F219,'學員資料-新北高中'!$G$2:$G$583,""))</f>
        <v/>
      </c>
      <c r="S219" t="str" cm="1">
        <f t="array" ref="S219">_xlfn.TEXTJOIN("、",TRUE,IF('學員資料-三重商工'!$B$2:$B$472=$F219,'學員資料-三重商工'!$G$2:$G$472,""))</f>
        <v/>
      </c>
      <c r="T219">
        <f t="shared" si="3"/>
        <v>1</v>
      </c>
    </row>
    <row r="220" spans="1:20" ht="14.25" hidden="1" customHeight="1">
      <c r="A220" s="15">
        <v>219</v>
      </c>
      <c r="B220" s="16" t="s">
        <v>912</v>
      </c>
      <c r="C220" s="17">
        <v>46129</v>
      </c>
      <c r="D220" s="15" t="s">
        <v>913</v>
      </c>
      <c r="E220" s="18" t="s">
        <v>44</v>
      </c>
      <c r="F220" s="19" t="s">
        <v>346</v>
      </c>
      <c r="G220" s="18" t="s">
        <v>347</v>
      </c>
      <c r="H220" s="20" t="s">
        <v>66</v>
      </c>
      <c r="I220" s="15">
        <v>1</v>
      </c>
      <c r="J220" s="15" t="s">
        <v>23</v>
      </c>
      <c r="K220" s="15"/>
      <c r="L220" s="21" t="s">
        <v>16</v>
      </c>
      <c r="M220" s="22">
        <v>0</v>
      </c>
      <c r="N220" s="22">
        <v>-345</v>
      </c>
      <c r="O220" s="22">
        <v>6555</v>
      </c>
      <c r="P220" s="22">
        <v>6555</v>
      </c>
      <c r="Q220" t="str" cm="1">
        <f t="array" ref="Q220">_xlfn.TEXTJOIN("、",TRUE,IF('學員資料-三民高中'!$B$2:$B$454=$F220,'學員資料-三民高中'!$G$2:$G$454,""))</f>
        <v>0979042645</v>
      </c>
      <c r="R220" t="str" cm="1">
        <f t="array" ref="R220">_xlfn.TEXTJOIN("、",TRUE,IF('學員資料-新北高中'!$B$2:$B$583=$F220,'學員資料-新北高中'!$G$2:$G$583,""))</f>
        <v/>
      </c>
      <c r="S220" t="str" cm="1">
        <f t="array" ref="S220">_xlfn.TEXTJOIN("、",TRUE,IF('學員資料-三重商工'!$B$2:$B$472=$F220,'學員資料-三重商工'!$G$2:$G$472,""))</f>
        <v/>
      </c>
      <c r="T220">
        <f t="shared" si="3"/>
        <v>1</v>
      </c>
    </row>
    <row r="221" spans="1:20" ht="14.25" hidden="1" customHeight="1">
      <c r="A221" s="15">
        <v>220</v>
      </c>
      <c r="B221" s="16" t="s">
        <v>914</v>
      </c>
      <c r="C221" s="17">
        <v>46129</v>
      </c>
      <c r="D221" s="15" t="s">
        <v>915</v>
      </c>
      <c r="E221" s="18" t="s">
        <v>44</v>
      </c>
      <c r="F221" s="19" t="s">
        <v>916</v>
      </c>
      <c r="G221" s="18" t="s">
        <v>917</v>
      </c>
      <c r="H221" s="20" t="s">
        <v>52</v>
      </c>
      <c r="I221" s="15">
        <v>1</v>
      </c>
      <c r="J221" s="15" t="s">
        <v>24</v>
      </c>
      <c r="K221" s="15"/>
      <c r="L221" s="21" t="s">
        <v>16</v>
      </c>
      <c r="M221" s="22">
        <v>0</v>
      </c>
      <c r="N221" s="22">
        <v>-750</v>
      </c>
      <c r="O221" s="22">
        <v>6750</v>
      </c>
      <c r="P221" s="22">
        <v>6750</v>
      </c>
      <c r="Q221" t="str" cm="1">
        <f t="array" ref="Q221">_xlfn.TEXTJOIN("、",TRUE,IF('學員資料-三民高中'!$B$2:$B$454=$F221,'學員資料-三民高中'!$G$2:$G$454,""))</f>
        <v/>
      </c>
      <c r="R221" t="str" cm="1">
        <f t="array" ref="R221">_xlfn.TEXTJOIN("、",TRUE,IF('學員資料-新北高中'!$B$2:$B$583=$F221,'學員資料-新北高中'!$G$2:$G$583,""))</f>
        <v>0910137086</v>
      </c>
      <c r="S221" t="str" cm="1">
        <f t="array" ref="S221">_xlfn.TEXTJOIN("、",TRUE,IF('學員資料-三重商工'!$B$2:$B$472=$F221,'學員資料-三重商工'!$G$2:$G$472,""))</f>
        <v/>
      </c>
      <c r="T221">
        <f t="shared" si="3"/>
        <v>1</v>
      </c>
    </row>
    <row r="222" spans="1:20" ht="14.25" hidden="1" customHeight="1">
      <c r="A222" s="15">
        <v>221</v>
      </c>
      <c r="B222" s="16" t="s">
        <v>918</v>
      </c>
      <c r="C222" s="17">
        <v>46128</v>
      </c>
      <c r="D222" s="15" t="s">
        <v>919</v>
      </c>
      <c r="E222" s="18" t="s">
        <v>83</v>
      </c>
      <c r="F222" s="19" t="s">
        <v>920</v>
      </c>
      <c r="G222" s="18" t="s">
        <v>921</v>
      </c>
      <c r="H222" s="20" t="s">
        <v>66</v>
      </c>
      <c r="I222" s="15">
        <v>1</v>
      </c>
      <c r="J222" s="15" t="s">
        <v>23</v>
      </c>
      <c r="K222" s="15"/>
      <c r="L222" s="21" t="s">
        <v>18</v>
      </c>
      <c r="M222" s="22">
        <v>0</v>
      </c>
      <c r="N222" s="22">
        <v>-345</v>
      </c>
      <c r="O222" s="22">
        <v>6555</v>
      </c>
      <c r="P222" s="22">
        <v>6555</v>
      </c>
      <c r="Q222" t="str" cm="1">
        <f t="array" ref="Q222">_xlfn.TEXTJOIN("、",TRUE,IF('學員資料-三民高中'!$B$2:$B$454=$F222,'學員資料-三民高中'!$G$2:$G$454,""))</f>
        <v/>
      </c>
      <c r="R222" t="str" cm="1">
        <f t="array" ref="R222">_xlfn.TEXTJOIN("、",TRUE,IF('學員資料-新北高中'!$B$2:$B$583=$F222,'學員資料-新北高中'!$G$2:$G$583,""))</f>
        <v/>
      </c>
      <c r="S222" t="str" cm="1">
        <f t="array" ref="S222">_xlfn.TEXTJOIN("、",TRUE,IF('學員資料-三重商工'!$B$2:$B$472=$F222,'學員資料-三重商工'!$G$2:$G$472,""))</f>
        <v>0921777686</v>
      </c>
      <c r="T222">
        <f t="shared" si="3"/>
        <v>1</v>
      </c>
    </row>
    <row r="223" spans="1:20" ht="14.25" hidden="1" customHeight="1">
      <c r="A223" s="15">
        <v>222</v>
      </c>
      <c r="B223" s="16" t="s">
        <v>922</v>
      </c>
      <c r="C223" s="17">
        <v>46128</v>
      </c>
      <c r="D223" s="15" t="s">
        <v>923</v>
      </c>
      <c r="E223" s="18" t="s">
        <v>537</v>
      </c>
      <c r="F223" s="19" t="s">
        <v>924</v>
      </c>
      <c r="G223" s="18" t="s">
        <v>925</v>
      </c>
      <c r="H223" s="20" t="s">
        <v>130</v>
      </c>
      <c r="I223" s="15">
        <v>1</v>
      </c>
      <c r="J223" s="15" t="s">
        <v>25</v>
      </c>
      <c r="K223" s="15"/>
      <c r="L223" s="21" t="s">
        <v>16</v>
      </c>
      <c r="M223" s="22">
        <v>0</v>
      </c>
      <c r="N223" s="22">
        <v>-990</v>
      </c>
      <c r="O223" s="22">
        <v>8910</v>
      </c>
      <c r="P223" s="22">
        <v>8910</v>
      </c>
      <c r="Q223" t="str" cm="1">
        <f t="array" ref="Q223">_xlfn.TEXTJOIN("、",TRUE,IF('學員資料-三民高中'!$B$2:$B$454=$F223,'學員資料-三民高中'!$G$2:$G$454,""))</f>
        <v>0971789870</v>
      </c>
      <c r="R223" t="str" cm="1">
        <f t="array" ref="R223">_xlfn.TEXTJOIN("、",TRUE,IF('學員資料-新北高中'!$B$2:$B$583=$F223,'學員資料-新北高中'!$G$2:$G$583,""))</f>
        <v/>
      </c>
      <c r="S223" t="str" cm="1">
        <f t="array" ref="S223">_xlfn.TEXTJOIN("、",TRUE,IF('學員資料-三重商工'!$B$2:$B$472=$F223,'學員資料-三重商工'!$G$2:$G$472,""))</f>
        <v/>
      </c>
      <c r="T223">
        <f t="shared" si="3"/>
        <v>1</v>
      </c>
    </row>
    <row r="224" spans="1:20" ht="14.25" hidden="1" customHeight="1">
      <c r="A224" s="15">
        <v>223</v>
      </c>
      <c r="B224" s="16" t="s">
        <v>926</v>
      </c>
      <c r="C224" s="17">
        <v>46128</v>
      </c>
      <c r="D224" s="15" t="s">
        <v>927</v>
      </c>
      <c r="E224" s="18" t="s">
        <v>537</v>
      </c>
      <c r="F224" s="19" t="s">
        <v>269</v>
      </c>
      <c r="G224" s="18" t="s">
        <v>270</v>
      </c>
      <c r="H224" s="20" t="s">
        <v>66</v>
      </c>
      <c r="I224" s="15">
        <v>1</v>
      </c>
      <c r="J224" s="15" t="s">
        <v>23</v>
      </c>
      <c r="K224" s="15"/>
      <c r="L224" s="21" t="s">
        <v>16</v>
      </c>
      <c r="M224" s="22">
        <v>0</v>
      </c>
      <c r="N224" s="22">
        <v>-345</v>
      </c>
      <c r="O224" s="22">
        <v>6555</v>
      </c>
      <c r="P224" s="22">
        <v>6555</v>
      </c>
      <c r="Q224" t="str" cm="1">
        <f t="array" ref="Q224">_xlfn.TEXTJOIN("、",TRUE,IF('學員資料-三民高中'!$B$2:$B$454=$F224,'學員資料-三民高中'!$G$2:$G$454,""))</f>
        <v>0913136776</v>
      </c>
      <c r="R224" t="str" cm="1">
        <f t="array" ref="R224">_xlfn.TEXTJOIN("、",TRUE,IF('學員資料-新北高中'!$B$2:$B$583=$F224,'學員資料-新北高中'!$G$2:$G$583,""))</f>
        <v/>
      </c>
      <c r="S224" t="str" cm="1">
        <f t="array" ref="S224">_xlfn.TEXTJOIN("、",TRUE,IF('學員資料-三重商工'!$B$2:$B$472=$F224,'學員資料-三重商工'!$G$2:$G$472,""))</f>
        <v/>
      </c>
      <c r="T224">
        <f t="shared" si="3"/>
        <v>1</v>
      </c>
    </row>
    <row r="225" spans="1:20" ht="14.25" hidden="1" customHeight="1">
      <c r="A225" s="15">
        <v>224</v>
      </c>
      <c r="B225" s="16" t="s">
        <v>928</v>
      </c>
      <c r="C225" s="17">
        <v>46128</v>
      </c>
      <c r="D225" s="15" t="s">
        <v>929</v>
      </c>
      <c r="E225" s="18" t="s">
        <v>537</v>
      </c>
      <c r="F225" s="19" t="s">
        <v>930</v>
      </c>
      <c r="G225" s="18" t="s">
        <v>931</v>
      </c>
      <c r="H225" s="20" t="s">
        <v>66</v>
      </c>
      <c r="I225" s="15">
        <v>1</v>
      </c>
      <c r="J225" s="15" t="s">
        <v>23</v>
      </c>
      <c r="K225" s="15"/>
      <c r="L225" s="21" t="s">
        <v>16</v>
      </c>
      <c r="M225" s="22">
        <v>0</v>
      </c>
      <c r="N225" s="22">
        <v>0</v>
      </c>
      <c r="O225" s="22">
        <v>6900</v>
      </c>
      <c r="P225" s="22">
        <v>6900</v>
      </c>
      <c r="Q225" t="str" cm="1">
        <f t="array" ref="Q225">_xlfn.TEXTJOIN("、",TRUE,IF('學員資料-三民高中'!$B$2:$B$454=$F225,'學員資料-三民高中'!$G$2:$G$454,""))</f>
        <v>0935836996</v>
      </c>
      <c r="R225" t="str" cm="1">
        <f t="array" ref="R225">_xlfn.TEXTJOIN("、",TRUE,IF('學員資料-新北高中'!$B$2:$B$583=$F225,'學員資料-新北高中'!$G$2:$G$583,""))</f>
        <v/>
      </c>
      <c r="S225" t="str" cm="1">
        <f t="array" ref="S225">_xlfn.TEXTJOIN("、",TRUE,IF('學員資料-三重商工'!$B$2:$B$472=$F225,'學員資料-三重商工'!$G$2:$G$472,""))</f>
        <v/>
      </c>
      <c r="T225">
        <f t="shared" si="3"/>
        <v>1</v>
      </c>
    </row>
    <row r="226" spans="1:20" ht="14.25" hidden="1" customHeight="1">
      <c r="A226" s="15">
        <v>225</v>
      </c>
      <c r="B226" s="16" t="s">
        <v>932</v>
      </c>
      <c r="C226" s="17">
        <v>46128</v>
      </c>
      <c r="D226" s="15" t="s">
        <v>933</v>
      </c>
      <c r="E226" s="18" t="s">
        <v>537</v>
      </c>
      <c r="F226" s="19" t="s">
        <v>930</v>
      </c>
      <c r="G226" s="18" t="s">
        <v>931</v>
      </c>
      <c r="H226" s="20" t="s">
        <v>66</v>
      </c>
      <c r="I226" s="15">
        <v>1</v>
      </c>
      <c r="J226" s="15" t="s">
        <v>23</v>
      </c>
      <c r="K226" s="15"/>
      <c r="L226" s="21" t="s">
        <v>16</v>
      </c>
      <c r="M226" s="22">
        <v>0</v>
      </c>
      <c r="N226" s="22">
        <v>0</v>
      </c>
      <c r="O226" s="22">
        <v>6900</v>
      </c>
      <c r="P226" s="22">
        <v>6900</v>
      </c>
      <c r="Q226" t="str" cm="1">
        <f t="array" ref="Q226">_xlfn.TEXTJOIN("、",TRUE,IF('學員資料-三民高中'!$B$2:$B$454=$F226,'學員資料-三民高中'!$G$2:$G$454,""))</f>
        <v>0935836996</v>
      </c>
      <c r="R226" t="str" cm="1">
        <f t="array" ref="R226">_xlfn.TEXTJOIN("、",TRUE,IF('學員資料-新北高中'!$B$2:$B$583=$F226,'學員資料-新北高中'!$G$2:$G$583,""))</f>
        <v/>
      </c>
      <c r="S226" t="str" cm="1">
        <f t="array" ref="S226">_xlfn.TEXTJOIN("、",TRUE,IF('學員資料-三重商工'!$B$2:$B$472=$F226,'學員資料-三重商工'!$G$2:$G$472,""))</f>
        <v/>
      </c>
      <c r="T226">
        <f t="shared" si="3"/>
        <v>1</v>
      </c>
    </row>
    <row r="227" spans="1:20" ht="14.25" hidden="1" customHeight="1">
      <c r="A227" s="15">
        <v>226</v>
      </c>
      <c r="B227" s="16" t="s">
        <v>934</v>
      </c>
      <c r="C227" s="17">
        <v>46128</v>
      </c>
      <c r="D227" s="15" t="s">
        <v>935</v>
      </c>
      <c r="E227" s="18" t="s">
        <v>537</v>
      </c>
      <c r="F227" s="19" t="s">
        <v>930</v>
      </c>
      <c r="G227" s="18" t="s">
        <v>931</v>
      </c>
      <c r="H227" s="20" t="s">
        <v>66</v>
      </c>
      <c r="I227" s="15">
        <v>1</v>
      </c>
      <c r="J227" s="15" t="s">
        <v>23</v>
      </c>
      <c r="K227" s="15"/>
      <c r="L227" s="21" t="s">
        <v>16</v>
      </c>
      <c r="M227" s="22">
        <v>0</v>
      </c>
      <c r="N227" s="22">
        <v>0</v>
      </c>
      <c r="O227" s="22">
        <v>6900</v>
      </c>
      <c r="P227" s="22">
        <v>6900</v>
      </c>
      <c r="Q227" t="str" cm="1">
        <f t="array" ref="Q227">_xlfn.TEXTJOIN("、",TRUE,IF('學員資料-三民高中'!$B$2:$B$454=$F227,'學員資料-三民高中'!$G$2:$G$454,""))</f>
        <v>0935836996</v>
      </c>
      <c r="R227" t="str" cm="1">
        <f t="array" ref="R227">_xlfn.TEXTJOIN("、",TRUE,IF('學員資料-新北高中'!$B$2:$B$583=$F227,'學員資料-新北高中'!$G$2:$G$583,""))</f>
        <v/>
      </c>
      <c r="S227" t="str" cm="1">
        <f t="array" ref="S227">_xlfn.TEXTJOIN("、",TRUE,IF('學員資料-三重商工'!$B$2:$B$472=$F227,'學員資料-三重商工'!$G$2:$G$472,""))</f>
        <v/>
      </c>
      <c r="T227">
        <f t="shared" si="3"/>
        <v>1</v>
      </c>
    </row>
    <row r="228" spans="1:20" ht="14.25" hidden="1" customHeight="1">
      <c r="A228" s="15">
        <v>227</v>
      </c>
      <c r="B228" s="16" t="s">
        <v>936</v>
      </c>
      <c r="C228" s="17">
        <v>46128</v>
      </c>
      <c r="D228" s="15" t="s">
        <v>937</v>
      </c>
      <c r="E228" s="18" t="s">
        <v>537</v>
      </c>
      <c r="F228" s="19" t="s">
        <v>930</v>
      </c>
      <c r="G228" s="18" t="s">
        <v>931</v>
      </c>
      <c r="H228" s="20" t="s">
        <v>66</v>
      </c>
      <c r="I228" s="15">
        <v>1</v>
      </c>
      <c r="J228" s="15" t="s">
        <v>23</v>
      </c>
      <c r="K228" s="15"/>
      <c r="L228" s="21" t="s">
        <v>16</v>
      </c>
      <c r="M228" s="22">
        <v>0</v>
      </c>
      <c r="N228" s="22">
        <v>0</v>
      </c>
      <c r="O228" s="22">
        <v>6900</v>
      </c>
      <c r="P228" s="22">
        <v>6900</v>
      </c>
      <c r="Q228" t="str" cm="1">
        <f t="array" ref="Q228">_xlfn.TEXTJOIN("、",TRUE,IF('學員資料-三民高中'!$B$2:$B$454=$F228,'學員資料-三民高中'!$G$2:$G$454,""))</f>
        <v>0935836996</v>
      </c>
      <c r="R228" t="str" cm="1">
        <f t="array" ref="R228">_xlfn.TEXTJOIN("、",TRUE,IF('學員資料-新北高中'!$B$2:$B$583=$F228,'學員資料-新北高中'!$G$2:$G$583,""))</f>
        <v/>
      </c>
      <c r="S228" t="str" cm="1">
        <f t="array" ref="S228">_xlfn.TEXTJOIN("、",TRUE,IF('學員資料-三重商工'!$B$2:$B$472=$F228,'學員資料-三重商工'!$G$2:$G$472,""))</f>
        <v/>
      </c>
      <c r="T228">
        <f t="shared" si="3"/>
        <v>1</v>
      </c>
    </row>
    <row r="229" spans="1:20" ht="14.25" hidden="1" customHeight="1">
      <c r="A229" s="15">
        <v>228</v>
      </c>
      <c r="B229" s="16" t="s">
        <v>938</v>
      </c>
      <c r="C229" s="17">
        <v>46128</v>
      </c>
      <c r="D229" s="15" t="s">
        <v>939</v>
      </c>
      <c r="E229" s="18" t="s">
        <v>537</v>
      </c>
      <c r="F229" s="19" t="s">
        <v>930</v>
      </c>
      <c r="G229" s="18" t="s">
        <v>931</v>
      </c>
      <c r="H229" s="20" t="s">
        <v>66</v>
      </c>
      <c r="I229" s="15">
        <v>1</v>
      </c>
      <c r="J229" s="15" t="s">
        <v>23</v>
      </c>
      <c r="K229" s="15"/>
      <c r="L229" s="21" t="s">
        <v>16</v>
      </c>
      <c r="M229" s="22">
        <v>0</v>
      </c>
      <c r="N229" s="22">
        <v>-1725</v>
      </c>
      <c r="O229" s="22">
        <v>5175</v>
      </c>
      <c r="P229" s="22">
        <v>5175</v>
      </c>
      <c r="Q229" t="str" cm="1">
        <f t="array" ref="Q229">_xlfn.TEXTJOIN("、",TRUE,IF('學員資料-三民高中'!$B$2:$B$454=$F229,'學員資料-三民高中'!$G$2:$G$454,""))</f>
        <v>0935836996</v>
      </c>
      <c r="R229" t="str" cm="1">
        <f t="array" ref="R229">_xlfn.TEXTJOIN("、",TRUE,IF('學員資料-新北高中'!$B$2:$B$583=$F229,'學員資料-新北高中'!$G$2:$G$583,""))</f>
        <v/>
      </c>
      <c r="S229" t="str" cm="1">
        <f t="array" ref="S229">_xlfn.TEXTJOIN("、",TRUE,IF('學員資料-三重商工'!$B$2:$B$472=$F229,'學員資料-三重商工'!$G$2:$G$472,""))</f>
        <v/>
      </c>
      <c r="T229">
        <f t="shared" si="3"/>
        <v>1</v>
      </c>
    </row>
    <row r="230" spans="1:20" ht="14.25" hidden="1" customHeight="1">
      <c r="A230" s="15">
        <v>229</v>
      </c>
      <c r="B230" s="16" t="s">
        <v>940</v>
      </c>
      <c r="C230" s="17">
        <v>46128</v>
      </c>
      <c r="D230" s="15" t="s">
        <v>941</v>
      </c>
      <c r="E230" s="18" t="s">
        <v>537</v>
      </c>
      <c r="F230" s="19" t="s">
        <v>942</v>
      </c>
      <c r="G230" s="18" t="s">
        <v>943</v>
      </c>
      <c r="H230" s="20" t="s">
        <v>210</v>
      </c>
      <c r="I230" s="15">
        <v>1</v>
      </c>
      <c r="J230" s="15" t="s">
        <v>26</v>
      </c>
      <c r="K230" s="15"/>
      <c r="L230" s="21" t="s">
        <v>16</v>
      </c>
      <c r="M230" s="22">
        <v>0</v>
      </c>
      <c r="N230" s="22">
        <v>0</v>
      </c>
      <c r="O230" s="22">
        <v>12000</v>
      </c>
      <c r="P230" s="22">
        <v>12000</v>
      </c>
      <c r="Q230" t="str" cm="1">
        <f t="array" ref="Q230">_xlfn.TEXTJOIN("、",TRUE,IF('學員資料-三民高中'!$B$2:$B$454=$F230,'學員資料-三民高中'!$G$2:$G$454,""))</f>
        <v>0952176277-1</v>
      </c>
      <c r="R230" t="str" cm="1">
        <f t="array" ref="R230">_xlfn.TEXTJOIN("、",TRUE,IF('學員資料-新北高中'!$B$2:$B$583=$F230,'學員資料-新北高中'!$G$2:$G$583,""))</f>
        <v/>
      </c>
      <c r="S230" t="str" cm="1">
        <f t="array" ref="S230">_xlfn.TEXTJOIN("、",TRUE,IF('學員資料-三重商工'!$B$2:$B$472=$F230,'學員資料-三重商工'!$G$2:$G$472,""))</f>
        <v/>
      </c>
      <c r="T230">
        <f t="shared" si="3"/>
        <v>1</v>
      </c>
    </row>
    <row r="231" spans="1:20" ht="14.25" hidden="1" customHeight="1">
      <c r="A231" s="15">
        <v>230</v>
      </c>
      <c r="B231" s="16" t="s">
        <v>944</v>
      </c>
      <c r="C231" s="17">
        <v>46128</v>
      </c>
      <c r="D231" s="15" t="s">
        <v>945</v>
      </c>
      <c r="E231" s="18" t="s">
        <v>537</v>
      </c>
      <c r="F231" s="19" t="s">
        <v>942</v>
      </c>
      <c r="G231" s="18" t="s">
        <v>943</v>
      </c>
      <c r="H231" s="20" t="s">
        <v>210</v>
      </c>
      <c r="I231" s="15">
        <v>1</v>
      </c>
      <c r="J231" s="15" t="s">
        <v>26</v>
      </c>
      <c r="K231" s="15"/>
      <c r="L231" s="21" t="s">
        <v>16</v>
      </c>
      <c r="M231" s="22">
        <v>0</v>
      </c>
      <c r="N231" s="22">
        <v>0</v>
      </c>
      <c r="O231" s="22">
        <v>12000</v>
      </c>
      <c r="P231" s="22">
        <v>12000</v>
      </c>
      <c r="Q231" t="str" cm="1">
        <f t="array" ref="Q231">_xlfn.TEXTJOIN("、",TRUE,IF('學員資料-三民高中'!$B$2:$B$454=$F231,'學員資料-三民高中'!$G$2:$G$454,""))</f>
        <v>0952176277-1</v>
      </c>
      <c r="R231" t="str" cm="1">
        <f t="array" ref="R231">_xlfn.TEXTJOIN("、",TRUE,IF('學員資料-新北高中'!$B$2:$B$583=$F231,'學員資料-新北高中'!$G$2:$G$583,""))</f>
        <v/>
      </c>
      <c r="S231" t="str" cm="1">
        <f t="array" ref="S231">_xlfn.TEXTJOIN("、",TRUE,IF('學員資料-三重商工'!$B$2:$B$472=$F231,'學員資料-三重商工'!$G$2:$G$472,""))</f>
        <v/>
      </c>
      <c r="T231">
        <f t="shared" si="3"/>
        <v>1</v>
      </c>
    </row>
    <row r="232" spans="1:20" ht="14.25" hidden="1" customHeight="1">
      <c r="A232" s="15">
        <v>231</v>
      </c>
      <c r="B232" s="16" t="s">
        <v>946</v>
      </c>
      <c r="C232" s="17">
        <v>46128</v>
      </c>
      <c r="D232" s="15" t="s">
        <v>947</v>
      </c>
      <c r="E232" s="18" t="s">
        <v>537</v>
      </c>
      <c r="F232" s="19" t="s">
        <v>942</v>
      </c>
      <c r="G232" s="18" t="s">
        <v>943</v>
      </c>
      <c r="H232" s="20" t="s">
        <v>210</v>
      </c>
      <c r="I232" s="15">
        <v>1</v>
      </c>
      <c r="J232" s="15" t="s">
        <v>26</v>
      </c>
      <c r="K232" s="15"/>
      <c r="L232" s="21" t="s">
        <v>16</v>
      </c>
      <c r="M232" s="22">
        <v>0</v>
      </c>
      <c r="N232" s="22">
        <v>-3600</v>
      </c>
      <c r="O232" s="22">
        <v>8400</v>
      </c>
      <c r="P232" s="22">
        <v>8400</v>
      </c>
      <c r="Q232" t="str" cm="1">
        <f t="array" ref="Q232">_xlfn.TEXTJOIN("、",TRUE,IF('學員資料-三民高中'!$B$2:$B$454=$F232,'學員資料-三民高中'!$G$2:$G$454,""))</f>
        <v>0952176277-1</v>
      </c>
      <c r="R232" t="str" cm="1">
        <f t="array" ref="R232">_xlfn.TEXTJOIN("、",TRUE,IF('學員資料-新北高中'!$B$2:$B$583=$F232,'學員資料-新北高中'!$G$2:$G$583,""))</f>
        <v/>
      </c>
      <c r="S232" t="str" cm="1">
        <f t="array" ref="S232">_xlfn.TEXTJOIN("、",TRUE,IF('學員資料-三重商工'!$B$2:$B$472=$F232,'學員資料-三重商工'!$G$2:$G$472,""))</f>
        <v/>
      </c>
      <c r="T232">
        <f t="shared" si="3"/>
        <v>1</v>
      </c>
    </row>
    <row r="233" spans="1:20" ht="14.25" hidden="1" customHeight="1">
      <c r="A233" s="15">
        <v>232</v>
      </c>
      <c r="B233" s="16" t="s">
        <v>948</v>
      </c>
      <c r="C233" s="17">
        <v>46128</v>
      </c>
      <c r="D233" s="15" t="s">
        <v>949</v>
      </c>
      <c r="E233" s="18" t="s">
        <v>537</v>
      </c>
      <c r="F233" s="19" t="s">
        <v>950</v>
      </c>
      <c r="G233" s="18" t="s">
        <v>951</v>
      </c>
      <c r="H233" s="20" t="s">
        <v>52</v>
      </c>
      <c r="I233" s="15">
        <v>1</v>
      </c>
      <c r="J233" s="15" t="s">
        <v>24</v>
      </c>
      <c r="K233" s="15"/>
      <c r="L233" s="21" t="s">
        <v>16</v>
      </c>
      <c r="M233" s="22">
        <v>0</v>
      </c>
      <c r="N233" s="22">
        <v>-750</v>
      </c>
      <c r="O233" s="22">
        <v>6750</v>
      </c>
      <c r="P233" s="22">
        <v>6750</v>
      </c>
      <c r="Q233" t="str" cm="1">
        <f t="array" ref="Q233">_xlfn.TEXTJOIN("、",TRUE,IF('學員資料-三民高中'!$B$2:$B$454=$F233,'學員資料-三民高中'!$G$2:$G$454,""))</f>
        <v/>
      </c>
      <c r="R233" t="str" cm="1">
        <f t="array" ref="R233">_xlfn.TEXTJOIN("、",TRUE,IF('學員資料-新北高中'!$B$2:$B$583=$F233,'學員資料-新北高中'!$G$2:$G$583,""))</f>
        <v>0975372886</v>
      </c>
      <c r="S233" t="str" cm="1">
        <f t="array" ref="S233">_xlfn.TEXTJOIN("、",TRUE,IF('學員資料-三重商工'!$B$2:$B$472=$F233,'學員資料-三重商工'!$G$2:$G$472,""))</f>
        <v/>
      </c>
      <c r="T233">
        <f t="shared" si="3"/>
        <v>1</v>
      </c>
    </row>
    <row r="234" spans="1:20" ht="14.25" hidden="1" customHeight="1">
      <c r="A234" s="15">
        <v>233</v>
      </c>
      <c r="B234" s="16" t="s">
        <v>952</v>
      </c>
      <c r="C234" s="17">
        <v>46127</v>
      </c>
      <c r="D234" s="15" t="s">
        <v>953</v>
      </c>
      <c r="E234" s="18" t="s">
        <v>954</v>
      </c>
      <c r="F234" s="19" t="s">
        <v>955</v>
      </c>
      <c r="G234" s="18" t="s">
        <v>956</v>
      </c>
      <c r="H234" s="20" t="s">
        <v>130</v>
      </c>
      <c r="I234" s="15">
        <v>1</v>
      </c>
      <c r="J234" s="15" t="s">
        <v>25</v>
      </c>
      <c r="K234" s="15"/>
      <c r="L234" s="21" t="s">
        <v>16</v>
      </c>
      <c r="M234" s="22">
        <v>0</v>
      </c>
      <c r="N234" s="22">
        <v>-990</v>
      </c>
      <c r="O234" s="22">
        <v>8910</v>
      </c>
      <c r="P234" s="22">
        <v>8910</v>
      </c>
      <c r="Q234" t="str" cm="1">
        <f t="array" ref="Q234">_xlfn.TEXTJOIN("、",TRUE,IF('學員資料-三民高中'!$B$2:$B$454=$F234,'學員資料-三民高中'!$G$2:$G$454,""))</f>
        <v>0920218813</v>
      </c>
      <c r="R234" t="str" cm="1">
        <f t="array" ref="R234">_xlfn.TEXTJOIN("、",TRUE,IF('學員資料-新北高中'!$B$2:$B$583=$F234,'學員資料-新北高中'!$G$2:$G$583,""))</f>
        <v/>
      </c>
      <c r="S234" t="str" cm="1">
        <f t="array" ref="S234">_xlfn.TEXTJOIN("、",TRUE,IF('學員資料-三重商工'!$B$2:$B$472=$F234,'學員資料-三重商工'!$G$2:$G$472,""))</f>
        <v/>
      </c>
      <c r="T234">
        <f t="shared" si="3"/>
        <v>1</v>
      </c>
    </row>
    <row r="235" spans="1:20" ht="14.25" hidden="1" customHeight="1">
      <c r="A235" s="15">
        <v>234</v>
      </c>
      <c r="B235" s="16" t="s">
        <v>957</v>
      </c>
      <c r="C235" s="17">
        <v>46126</v>
      </c>
      <c r="D235" s="15" t="s">
        <v>958</v>
      </c>
      <c r="E235" s="18" t="s">
        <v>83</v>
      </c>
      <c r="F235" s="19" t="s">
        <v>382</v>
      </c>
      <c r="G235" s="18" t="s">
        <v>383</v>
      </c>
      <c r="H235" s="20" t="s">
        <v>66</v>
      </c>
      <c r="I235" s="15">
        <v>1</v>
      </c>
      <c r="J235" s="15" t="s">
        <v>23</v>
      </c>
      <c r="K235" s="15"/>
      <c r="L235" s="21" t="s">
        <v>18</v>
      </c>
      <c r="M235" s="22">
        <v>0</v>
      </c>
      <c r="N235" s="22">
        <v>-345</v>
      </c>
      <c r="O235" s="22">
        <v>6555</v>
      </c>
      <c r="P235" s="22">
        <v>6555</v>
      </c>
      <c r="Q235" t="str" cm="1">
        <f t="array" ref="Q235">_xlfn.TEXTJOIN("、",TRUE,IF('學員資料-三民高中'!$B$2:$B$454=$F235,'學員資料-三民高中'!$G$2:$G$454,""))</f>
        <v/>
      </c>
      <c r="R235" t="str" cm="1">
        <f t="array" ref="R235">_xlfn.TEXTJOIN("、",TRUE,IF('學員資料-新北高中'!$B$2:$B$583=$F235,'學員資料-新北高中'!$G$2:$G$583,""))</f>
        <v/>
      </c>
      <c r="S235" t="str" cm="1">
        <f t="array" ref="S235">_xlfn.TEXTJOIN("、",TRUE,IF('學員資料-三重商工'!$B$2:$B$472=$F235,'學員資料-三重商工'!$G$2:$G$472,""))</f>
        <v>0960098837</v>
      </c>
      <c r="T235">
        <f t="shared" si="3"/>
        <v>1</v>
      </c>
    </row>
    <row r="236" spans="1:20" ht="14.25" hidden="1" customHeight="1">
      <c r="A236" s="15">
        <v>235</v>
      </c>
      <c r="B236" s="16" t="s">
        <v>959</v>
      </c>
      <c r="C236" s="17">
        <v>46126</v>
      </c>
      <c r="D236" s="15" t="s">
        <v>960</v>
      </c>
      <c r="E236" s="18" t="s">
        <v>83</v>
      </c>
      <c r="F236" s="19" t="s">
        <v>382</v>
      </c>
      <c r="G236" s="18" t="s">
        <v>383</v>
      </c>
      <c r="H236" s="20" t="s">
        <v>399</v>
      </c>
      <c r="I236" s="15">
        <v>1</v>
      </c>
      <c r="J236" s="15" t="s">
        <v>23</v>
      </c>
      <c r="K236" s="21" t="s">
        <v>116</v>
      </c>
      <c r="L236" s="21" t="s">
        <v>16</v>
      </c>
      <c r="M236" s="22">
        <v>0</v>
      </c>
      <c r="N236" s="22">
        <v>0</v>
      </c>
      <c r="O236" s="22">
        <v>1200</v>
      </c>
      <c r="P236" s="22">
        <v>1200</v>
      </c>
      <c r="Q236" t="str" cm="1">
        <f t="array" ref="Q236">_xlfn.TEXTJOIN("、",TRUE,IF('學員資料-三民高中'!$B$2:$B$454=$F236,'學員資料-三民高中'!$G$2:$G$454,""))</f>
        <v/>
      </c>
      <c r="R236" t="str" cm="1">
        <f t="array" ref="R236">_xlfn.TEXTJOIN("、",TRUE,IF('學員資料-新北高中'!$B$2:$B$583=$F236,'學員資料-新北高中'!$G$2:$G$583,""))</f>
        <v/>
      </c>
      <c r="S236" t="str" cm="1">
        <f t="array" ref="S236">_xlfn.TEXTJOIN("、",TRUE,IF('學員資料-三重商工'!$B$2:$B$472=$F236,'學員資料-三重商工'!$G$2:$G$472,""))</f>
        <v>0960098837</v>
      </c>
      <c r="T236">
        <f t="shared" si="3"/>
        <v>1</v>
      </c>
    </row>
    <row r="237" spans="1:20" ht="14.25" hidden="1" customHeight="1">
      <c r="A237" s="15">
        <v>236</v>
      </c>
      <c r="B237" s="16" t="s">
        <v>961</v>
      </c>
      <c r="C237" s="17">
        <v>46126</v>
      </c>
      <c r="D237" s="15" t="s">
        <v>962</v>
      </c>
      <c r="E237" s="18" t="s">
        <v>83</v>
      </c>
      <c r="F237" s="19" t="s">
        <v>963</v>
      </c>
      <c r="G237" s="18" t="s">
        <v>964</v>
      </c>
      <c r="H237" s="20" t="s">
        <v>47</v>
      </c>
      <c r="I237" s="15">
        <v>1</v>
      </c>
      <c r="J237" s="15" t="s">
        <v>24</v>
      </c>
      <c r="K237" s="15"/>
      <c r="L237" s="21" t="s">
        <v>18</v>
      </c>
      <c r="M237" s="22">
        <v>0</v>
      </c>
      <c r="N237" s="22">
        <v>-900</v>
      </c>
      <c r="O237" s="22">
        <v>8100</v>
      </c>
      <c r="P237" s="22">
        <v>8100</v>
      </c>
      <c r="Q237" t="str" cm="1">
        <f t="array" ref="Q237">_xlfn.TEXTJOIN("、",TRUE,IF('學員資料-三民高中'!$B$2:$B$454=$F237,'學員資料-三民高中'!$G$2:$G$454,""))</f>
        <v/>
      </c>
      <c r="R237" t="str" cm="1">
        <f t="array" ref="R237">_xlfn.TEXTJOIN("、",TRUE,IF('學員資料-新北高中'!$B$2:$B$583=$F237,'學員資料-新北高中'!$G$2:$G$583,""))</f>
        <v/>
      </c>
      <c r="S237" t="str" cm="1">
        <f t="array" ref="S237">_xlfn.TEXTJOIN("、",TRUE,IF('學員資料-三重商工'!$B$2:$B$472=$F237,'學員資料-三重商工'!$G$2:$G$472,""))</f>
        <v>0961222201</v>
      </c>
      <c r="T237">
        <f t="shared" si="3"/>
        <v>1</v>
      </c>
    </row>
    <row r="238" spans="1:20" ht="14.25" hidden="1" customHeight="1">
      <c r="A238" s="15">
        <v>237</v>
      </c>
      <c r="B238" s="16" t="s">
        <v>965</v>
      </c>
      <c r="C238" s="17">
        <v>46126</v>
      </c>
      <c r="D238" s="15" t="s">
        <v>966</v>
      </c>
      <c r="E238" s="18" t="s">
        <v>83</v>
      </c>
      <c r="F238" s="19" t="s">
        <v>967</v>
      </c>
      <c r="G238" s="18" t="s">
        <v>968</v>
      </c>
      <c r="H238" s="20" t="s">
        <v>66</v>
      </c>
      <c r="I238" s="15">
        <v>1</v>
      </c>
      <c r="J238" s="15" t="s">
        <v>23</v>
      </c>
      <c r="K238" s="15"/>
      <c r="L238" s="21" t="s">
        <v>18</v>
      </c>
      <c r="M238" s="22">
        <v>0</v>
      </c>
      <c r="N238" s="22">
        <v>-345</v>
      </c>
      <c r="O238" s="22">
        <v>6555</v>
      </c>
      <c r="P238" s="22">
        <v>6555</v>
      </c>
      <c r="Q238" t="str" cm="1">
        <f t="array" ref="Q238">_xlfn.TEXTJOIN("、",TRUE,IF('學員資料-三民高中'!$B$2:$B$454=$F238,'學員資料-三民高中'!$G$2:$G$454,""))</f>
        <v/>
      </c>
      <c r="R238" t="str" cm="1">
        <f t="array" ref="R238">_xlfn.TEXTJOIN("、",TRUE,IF('學員資料-新北高中'!$B$2:$B$583=$F238,'學員資料-新北高中'!$G$2:$G$583,""))</f>
        <v/>
      </c>
      <c r="S238" t="str" cm="1">
        <f t="array" ref="S238">_xlfn.TEXTJOIN("、",TRUE,IF('學員資料-三重商工'!$B$2:$B$472=$F238,'學員資料-三重商工'!$G$2:$G$472,""))</f>
        <v>0910520090</v>
      </c>
      <c r="T238">
        <f t="shared" si="3"/>
        <v>1</v>
      </c>
    </row>
    <row r="239" spans="1:20" ht="14.25" hidden="1" customHeight="1">
      <c r="A239" s="15">
        <v>238</v>
      </c>
      <c r="B239" s="16" t="s">
        <v>969</v>
      </c>
      <c r="C239" s="17">
        <v>46126</v>
      </c>
      <c r="D239" s="15" t="s">
        <v>970</v>
      </c>
      <c r="E239" s="18" t="s">
        <v>83</v>
      </c>
      <c r="F239" s="19" t="s">
        <v>971</v>
      </c>
      <c r="G239" s="18" t="s">
        <v>972</v>
      </c>
      <c r="H239" s="20" t="s">
        <v>52</v>
      </c>
      <c r="I239" s="15">
        <v>1</v>
      </c>
      <c r="J239" s="15" t="s">
        <v>24</v>
      </c>
      <c r="K239" s="15"/>
      <c r="L239" s="21" t="s">
        <v>16</v>
      </c>
      <c r="M239" s="22">
        <v>0</v>
      </c>
      <c r="N239" s="22">
        <v>-750</v>
      </c>
      <c r="O239" s="22">
        <v>6750</v>
      </c>
      <c r="P239" s="22">
        <v>6750</v>
      </c>
      <c r="Q239" t="str" cm="1">
        <f t="array" ref="Q239">_xlfn.TEXTJOIN("、",TRUE,IF('學員資料-三民高中'!$B$2:$B$454=$F239,'學員資料-三民高中'!$G$2:$G$454,""))</f>
        <v/>
      </c>
      <c r="R239" t="str" cm="1">
        <f t="array" ref="R239">_xlfn.TEXTJOIN("、",TRUE,IF('學員資料-新北高中'!$B$2:$B$583=$F239,'學員資料-新北高中'!$G$2:$G$583,""))</f>
        <v/>
      </c>
      <c r="S239" t="str" cm="1">
        <f t="array" ref="S239">_xlfn.TEXTJOIN("、",TRUE,IF('學員資料-三重商工'!$B$2:$B$472=$F239,'學員資料-三重商工'!$G$2:$G$472,""))</f>
        <v>0928011989</v>
      </c>
      <c r="T239">
        <f t="shared" si="3"/>
        <v>1</v>
      </c>
    </row>
    <row r="240" spans="1:20" ht="43.5" hidden="1" customHeight="1">
      <c r="A240" s="15">
        <v>239</v>
      </c>
      <c r="B240" s="16" t="s">
        <v>973</v>
      </c>
      <c r="C240" s="17">
        <v>46126</v>
      </c>
      <c r="D240" s="15" t="s">
        <v>974</v>
      </c>
      <c r="E240" s="18" t="s">
        <v>83</v>
      </c>
      <c r="F240" s="19" t="s">
        <v>975</v>
      </c>
      <c r="G240" s="18" t="s">
        <v>976</v>
      </c>
      <c r="H240" s="20" t="s">
        <v>261</v>
      </c>
      <c r="I240" s="15">
        <v>3</v>
      </c>
      <c r="J240" s="15" t="s">
        <v>23</v>
      </c>
      <c r="K240" s="15"/>
      <c r="L240" s="21" t="s">
        <v>18</v>
      </c>
      <c r="M240" s="22">
        <v>0</v>
      </c>
      <c r="N240" s="22">
        <v>-1035</v>
      </c>
      <c r="O240" s="22">
        <v>19665</v>
      </c>
      <c r="P240" s="22">
        <v>19665</v>
      </c>
      <c r="Q240" t="str" cm="1">
        <f t="array" ref="Q240">_xlfn.TEXTJOIN("、",TRUE,IF('學員資料-三民高中'!$B$2:$B$454=$F240,'學員資料-三民高中'!$G$2:$G$454,""))</f>
        <v/>
      </c>
      <c r="R240" t="str" cm="1">
        <f t="array" ref="R240">_xlfn.TEXTJOIN("、",TRUE,IF('學員資料-新北高中'!$B$2:$B$583=$F240,'學員資料-新北高中'!$G$2:$G$583,""))</f>
        <v>0983818899</v>
      </c>
      <c r="S240" t="str" cm="1">
        <f t="array" ref="S240">_xlfn.TEXTJOIN("、",TRUE,IF('學員資料-三重商工'!$B$2:$B$472=$F240,'學員資料-三重商工'!$G$2:$G$472,""))</f>
        <v/>
      </c>
      <c r="T240">
        <f t="shared" si="3"/>
        <v>1</v>
      </c>
    </row>
    <row r="241" spans="1:20" ht="14.25" hidden="1" customHeight="1">
      <c r="A241" s="15">
        <v>240</v>
      </c>
      <c r="B241" s="16" t="s">
        <v>977</v>
      </c>
      <c r="C241" s="17">
        <v>46126</v>
      </c>
      <c r="D241" s="15" t="s">
        <v>978</v>
      </c>
      <c r="E241" s="18" t="s">
        <v>83</v>
      </c>
      <c r="F241" s="19" t="s">
        <v>979</v>
      </c>
      <c r="G241" s="18" t="s">
        <v>980</v>
      </c>
      <c r="H241" s="20" t="s">
        <v>66</v>
      </c>
      <c r="I241" s="15">
        <v>1</v>
      </c>
      <c r="J241" s="15" t="s">
        <v>23</v>
      </c>
      <c r="K241" s="15"/>
      <c r="L241" s="21" t="s">
        <v>18</v>
      </c>
      <c r="M241" s="22">
        <v>0</v>
      </c>
      <c r="N241" s="22">
        <v>-345</v>
      </c>
      <c r="O241" s="22">
        <v>6555</v>
      </c>
      <c r="P241" s="22">
        <v>6555</v>
      </c>
      <c r="Q241" t="str" cm="1">
        <f t="array" ref="Q241">_xlfn.TEXTJOIN("、",TRUE,IF('學員資料-三民高中'!$B$2:$B$454=$F241,'學員資料-三民高中'!$G$2:$G$454,""))</f>
        <v/>
      </c>
      <c r="R241" t="str" cm="1">
        <f t="array" ref="R241">_xlfn.TEXTJOIN("、",TRUE,IF('學員資料-新北高中'!$B$2:$B$583=$F241,'學員資料-新北高中'!$G$2:$G$583,""))</f>
        <v/>
      </c>
      <c r="S241" t="str" cm="1">
        <f t="array" ref="S241">_xlfn.TEXTJOIN("、",TRUE,IF('學員資料-三重商工'!$B$2:$B$472=$F241,'學員資料-三重商工'!$G$2:$G$472,""))</f>
        <v>0928948206</v>
      </c>
      <c r="T241">
        <f t="shared" si="3"/>
        <v>1</v>
      </c>
    </row>
    <row r="242" spans="1:20" ht="14.25" hidden="1" customHeight="1">
      <c r="A242" s="15">
        <v>241</v>
      </c>
      <c r="B242" s="16" t="s">
        <v>981</v>
      </c>
      <c r="C242" s="17">
        <v>46126</v>
      </c>
      <c r="D242" s="15" t="s">
        <v>982</v>
      </c>
      <c r="E242" s="18" t="s">
        <v>83</v>
      </c>
      <c r="F242" s="19" t="s">
        <v>983</v>
      </c>
      <c r="G242" s="18" t="s">
        <v>984</v>
      </c>
      <c r="H242" s="20" t="s">
        <v>112</v>
      </c>
      <c r="I242" s="15">
        <v>1</v>
      </c>
      <c r="J242" s="15" t="s">
        <v>23</v>
      </c>
      <c r="K242" s="15"/>
      <c r="L242" s="21" t="s">
        <v>18</v>
      </c>
      <c r="M242" s="22">
        <v>0</v>
      </c>
      <c r="N242" s="22">
        <v>-414</v>
      </c>
      <c r="O242" s="22">
        <v>7866</v>
      </c>
      <c r="P242" s="22">
        <v>7866</v>
      </c>
      <c r="Q242" t="str" cm="1">
        <f t="array" ref="Q242">_xlfn.TEXTJOIN("、",TRUE,IF('學員資料-三民高中'!$B$2:$B$454=$F242,'學員資料-三民高中'!$G$2:$G$454,""))</f>
        <v/>
      </c>
      <c r="R242" t="str" cm="1">
        <f t="array" ref="R242">_xlfn.TEXTJOIN("、",TRUE,IF('學員資料-新北高中'!$B$2:$B$583=$F242,'學員資料-新北高中'!$G$2:$G$583,""))</f>
        <v/>
      </c>
      <c r="S242" t="str" cm="1">
        <f t="array" ref="S242">_xlfn.TEXTJOIN("、",TRUE,IF('學員資料-三重商工'!$B$2:$B$472=$F242,'學員資料-三重商工'!$G$2:$G$472,""))</f>
        <v>0989133398</v>
      </c>
      <c r="T242">
        <f t="shared" si="3"/>
        <v>1</v>
      </c>
    </row>
    <row r="243" spans="1:20" ht="57.75" hidden="1" customHeight="1">
      <c r="A243" s="15">
        <v>242</v>
      </c>
      <c r="B243" s="16" t="s">
        <v>985</v>
      </c>
      <c r="C243" s="17">
        <v>46123</v>
      </c>
      <c r="D243" s="15" t="s">
        <v>986</v>
      </c>
      <c r="E243" s="18" t="s">
        <v>44</v>
      </c>
      <c r="F243" s="19" t="s">
        <v>987</v>
      </c>
      <c r="G243" s="18" t="s">
        <v>988</v>
      </c>
      <c r="H243" s="20" t="s">
        <v>989</v>
      </c>
      <c r="I243" s="15">
        <v>4</v>
      </c>
      <c r="J243" s="15" t="s">
        <v>24</v>
      </c>
      <c r="K243" s="15"/>
      <c r="L243" s="21" t="s">
        <v>16</v>
      </c>
      <c r="M243" s="22">
        <v>0</v>
      </c>
      <c r="N243" s="22">
        <v>0</v>
      </c>
      <c r="O243" s="22">
        <v>30000</v>
      </c>
      <c r="P243" s="22">
        <v>30000</v>
      </c>
      <c r="Q243" t="str" cm="1">
        <f t="array" ref="Q243">_xlfn.TEXTJOIN("、",TRUE,IF('學員資料-三民高中'!$B$2:$B$454=$F243,'學員資料-三民高中'!$G$2:$G$454,""))</f>
        <v/>
      </c>
      <c r="R243" t="str" cm="1">
        <f t="array" ref="R243">_xlfn.TEXTJOIN("、",TRUE,IF('學員資料-新北高中'!$B$2:$B$583=$F243,'學員資料-新北高中'!$G$2:$G$583,""))</f>
        <v>0926552248</v>
      </c>
      <c r="S243" t="str" cm="1">
        <f t="array" ref="S243">_xlfn.TEXTJOIN("、",TRUE,IF('學員資料-三重商工'!$B$2:$B$472=$F243,'學員資料-三重商工'!$G$2:$G$472,""))</f>
        <v/>
      </c>
      <c r="T243">
        <f t="shared" si="3"/>
        <v>1</v>
      </c>
    </row>
    <row r="244" spans="1:20" ht="43.5" hidden="1" customHeight="1">
      <c r="A244" s="15">
        <v>243</v>
      </c>
      <c r="B244" s="16" t="s">
        <v>990</v>
      </c>
      <c r="C244" s="17">
        <v>46123</v>
      </c>
      <c r="D244" s="15" t="s">
        <v>991</v>
      </c>
      <c r="E244" s="18" t="s">
        <v>44</v>
      </c>
      <c r="F244" s="19" t="s">
        <v>992</v>
      </c>
      <c r="G244" s="18" t="s">
        <v>993</v>
      </c>
      <c r="H244" s="20" t="s">
        <v>994</v>
      </c>
      <c r="I244" s="15">
        <v>3</v>
      </c>
      <c r="J244" s="15" t="s">
        <v>25</v>
      </c>
      <c r="K244" s="15"/>
      <c r="L244" s="21" t="s">
        <v>16</v>
      </c>
      <c r="M244" s="22">
        <v>0</v>
      </c>
      <c r="N244" s="22">
        <v>0</v>
      </c>
      <c r="O244" s="22">
        <v>40680</v>
      </c>
      <c r="P244" s="22">
        <v>40680</v>
      </c>
      <c r="Q244" t="str" cm="1">
        <f t="array" ref="Q244">_xlfn.TEXTJOIN("、",TRUE,IF('學員資料-三民高中'!$B$2:$B$454=$F244,'學員資料-三民高中'!$G$2:$G$454,""))</f>
        <v/>
      </c>
      <c r="R244" t="str" cm="1">
        <f t="array" ref="R244">_xlfn.TEXTJOIN("、",TRUE,IF('學員資料-新北高中'!$B$2:$B$583=$F244,'學員資料-新北高中'!$G$2:$G$583,""))</f>
        <v>0934153060</v>
      </c>
      <c r="S244" t="str" cm="1">
        <f t="array" ref="S244">_xlfn.TEXTJOIN("、",TRUE,IF('學員資料-三重商工'!$B$2:$B$472=$F244,'學員資料-三重商工'!$G$2:$G$472,""))</f>
        <v/>
      </c>
      <c r="T244">
        <f t="shared" si="3"/>
        <v>1</v>
      </c>
    </row>
    <row r="245" spans="1:20" ht="14.25" hidden="1" customHeight="1">
      <c r="A245" s="15">
        <v>244</v>
      </c>
      <c r="B245" s="16" t="s">
        <v>995</v>
      </c>
      <c r="C245" s="17">
        <v>46119</v>
      </c>
      <c r="D245" s="15" t="s">
        <v>996</v>
      </c>
      <c r="E245" s="18" t="s">
        <v>83</v>
      </c>
      <c r="F245" s="19" t="s">
        <v>997</v>
      </c>
      <c r="G245" s="18" t="s">
        <v>998</v>
      </c>
      <c r="H245" s="20" t="s">
        <v>210</v>
      </c>
      <c r="I245" s="15">
        <v>1</v>
      </c>
      <c r="J245" s="15" t="s">
        <v>26</v>
      </c>
      <c r="K245" s="15"/>
      <c r="L245" s="21" t="s">
        <v>18</v>
      </c>
      <c r="M245" s="22">
        <v>0</v>
      </c>
      <c r="N245" s="22">
        <v>-1200</v>
      </c>
      <c r="O245" s="22">
        <v>10800</v>
      </c>
      <c r="P245" s="22">
        <v>10800</v>
      </c>
      <c r="Q245" t="str" cm="1">
        <f t="array" ref="Q245">_xlfn.TEXTJOIN("、",TRUE,IF('學員資料-三民高中'!$B$2:$B$454=$F245,'學員資料-三民高中'!$G$2:$G$454,""))</f>
        <v/>
      </c>
      <c r="R245" t="str" cm="1">
        <f t="array" ref="R245">_xlfn.TEXTJOIN("、",TRUE,IF('學員資料-新北高中'!$B$2:$B$583=$F245,'學員資料-新北高中'!$G$2:$G$583,""))</f>
        <v/>
      </c>
      <c r="S245" t="str" cm="1">
        <f t="array" ref="S245">_xlfn.TEXTJOIN("、",TRUE,IF('學員資料-三重商工'!$B$2:$B$472=$F245,'學員資料-三重商工'!$G$2:$G$472,""))</f>
        <v>0970944931</v>
      </c>
      <c r="T245">
        <f t="shared" si="3"/>
        <v>1</v>
      </c>
    </row>
    <row r="246" spans="1:20" ht="14.25" hidden="1" customHeight="1">
      <c r="A246" s="15">
        <v>245</v>
      </c>
      <c r="B246" s="16" t="s">
        <v>999</v>
      </c>
      <c r="C246" s="17">
        <v>46118</v>
      </c>
      <c r="D246" s="15" t="s">
        <v>1000</v>
      </c>
      <c r="E246" s="18" t="s">
        <v>127</v>
      </c>
      <c r="F246" s="19" t="s">
        <v>1001</v>
      </c>
      <c r="G246" s="18" t="s">
        <v>1002</v>
      </c>
      <c r="H246" s="20" t="s">
        <v>52</v>
      </c>
      <c r="I246" s="15">
        <v>1</v>
      </c>
      <c r="J246" s="15" t="s">
        <v>24</v>
      </c>
      <c r="K246" s="15"/>
      <c r="L246" s="21" t="s">
        <v>18</v>
      </c>
      <c r="M246" s="22">
        <v>0</v>
      </c>
      <c r="N246" s="22">
        <v>-750</v>
      </c>
      <c r="O246" s="22">
        <v>6750</v>
      </c>
      <c r="P246" s="22">
        <v>6750</v>
      </c>
      <c r="Q246" t="str" cm="1">
        <f t="array" ref="Q246">_xlfn.TEXTJOIN("、",TRUE,IF('學員資料-三民高中'!$B$2:$B$454=$F246,'學員資料-三民高中'!$G$2:$G$454,""))</f>
        <v>0955554989</v>
      </c>
      <c r="R246" t="str" cm="1">
        <f t="array" ref="R246">_xlfn.TEXTJOIN("、",TRUE,IF('學員資料-新北高中'!$B$2:$B$583=$F246,'學員資料-新北高中'!$G$2:$G$583,""))</f>
        <v/>
      </c>
      <c r="S246" t="str" cm="1">
        <f t="array" ref="S246">_xlfn.TEXTJOIN("、",TRUE,IF('學員資料-三重商工'!$B$2:$B$472=$F246,'學員資料-三重商工'!$G$2:$G$472,""))</f>
        <v/>
      </c>
      <c r="T246">
        <f t="shared" si="3"/>
        <v>1</v>
      </c>
    </row>
    <row r="247" spans="1:20" ht="14.25" hidden="1" customHeight="1">
      <c r="A247" s="15">
        <v>246</v>
      </c>
      <c r="B247" s="16" t="s">
        <v>1003</v>
      </c>
      <c r="C247" s="17">
        <v>46118</v>
      </c>
      <c r="D247" s="15" t="s">
        <v>1004</v>
      </c>
      <c r="E247" s="18" t="s">
        <v>127</v>
      </c>
      <c r="F247" s="19" t="s">
        <v>1005</v>
      </c>
      <c r="G247" s="18" t="s">
        <v>1006</v>
      </c>
      <c r="H247" s="20" t="s">
        <v>52</v>
      </c>
      <c r="I247" s="15">
        <v>1</v>
      </c>
      <c r="J247" s="15" t="s">
        <v>24</v>
      </c>
      <c r="K247" s="15"/>
      <c r="L247" s="21" t="s">
        <v>18</v>
      </c>
      <c r="M247" s="22">
        <v>0</v>
      </c>
      <c r="N247" s="22">
        <v>-750</v>
      </c>
      <c r="O247" s="22">
        <v>6750</v>
      </c>
      <c r="P247" s="22">
        <v>6750</v>
      </c>
      <c r="Q247" t="str" cm="1">
        <f t="array" ref="Q247">_xlfn.TEXTJOIN("、",TRUE,IF('學員資料-三民高中'!$B$2:$B$454=$F247,'學員資料-三民高中'!$G$2:$G$454,""))</f>
        <v>0989954861</v>
      </c>
      <c r="R247" t="str" cm="1">
        <f t="array" ref="R247">_xlfn.TEXTJOIN("、",TRUE,IF('學員資料-新北高中'!$B$2:$B$583=$F247,'學員資料-新北高中'!$G$2:$G$583,""))</f>
        <v/>
      </c>
      <c r="S247" t="str" cm="1">
        <f t="array" ref="S247">_xlfn.TEXTJOIN("、",TRUE,IF('學員資料-三重商工'!$B$2:$B$472=$F247,'學員資料-三重商工'!$G$2:$G$472,""))</f>
        <v/>
      </c>
      <c r="T247">
        <f t="shared" si="3"/>
        <v>1</v>
      </c>
    </row>
    <row r="248" spans="1:20" ht="14.25" hidden="1" customHeight="1">
      <c r="A248" s="15">
        <v>247</v>
      </c>
      <c r="B248" s="16" t="s">
        <v>1007</v>
      </c>
      <c r="C248" s="17">
        <v>46118</v>
      </c>
      <c r="D248" s="15" t="s">
        <v>1008</v>
      </c>
      <c r="E248" s="18" t="s">
        <v>127</v>
      </c>
      <c r="F248" s="19" t="s">
        <v>1009</v>
      </c>
      <c r="G248" s="18" t="s">
        <v>1010</v>
      </c>
      <c r="H248" s="20" t="s">
        <v>52</v>
      </c>
      <c r="I248" s="15">
        <v>1</v>
      </c>
      <c r="J248" s="15" t="s">
        <v>24</v>
      </c>
      <c r="K248" s="15"/>
      <c r="L248" s="21" t="s">
        <v>18</v>
      </c>
      <c r="M248" s="22">
        <v>0</v>
      </c>
      <c r="N248" s="22">
        <v>0</v>
      </c>
      <c r="O248" s="22">
        <v>7500</v>
      </c>
      <c r="P248" s="22">
        <v>7500</v>
      </c>
      <c r="Q248" t="str" cm="1">
        <f t="array" ref="Q248">_xlfn.TEXTJOIN("、",TRUE,IF('學員資料-三民高中'!$B$2:$B$454=$F248,'學員資料-三民高中'!$G$2:$G$454,""))</f>
        <v>0939108859</v>
      </c>
      <c r="R248" t="str" cm="1">
        <f t="array" ref="R248">_xlfn.TEXTJOIN("、",TRUE,IF('學員資料-新北高中'!$B$2:$B$583=$F248,'學員資料-新北高中'!$G$2:$G$583,""))</f>
        <v/>
      </c>
      <c r="S248" t="str" cm="1">
        <f t="array" ref="S248">_xlfn.TEXTJOIN("、",TRUE,IF('學員資料-三重商工'!$B$2:$B$472=$F248,'學員資料-三重商工'!$G$2:$G$472,""))</f>
        <v/>
      </c>
      <c r="T248">
        <f t="shared" si="3"/>
        <v>1</v>
      </c>
    </row>
    <row r="249" spans="1:20" ht="14.25" hidden="1" customHeight="1">
      <c r="A249" s="15">
        <v>248</v>
      </c>
      <c r="B249" s="16" t="s">
        <v>1011</v>
      </c>
      <c r="C249" s="17">
        <v>46118</v>
      </c>
      <c r="D249" s="15" t="s">
        <v>1012</v>
      </c>
      <c r="E249" s="18" t="s">
        <v>127</v>
      </c>
      <c r="F249" s="19" t="s">
        <v>1013</v>
      </c>
      <c r="G249" s="18" t="s">
        <v>1014</v>
      </c>
      <c r="H249" s="20" t="s">
        <v>52</v>
      </c>
      <c r="I249" s="15">
        <v>1</v>
      </c>
      <c r="J249" s="15" t="s">
        <v>24</v>
      </c>
      <c r="K249" s="15"/>
      <c r="L249" s="21" t="s">
        <v>18</v>
      </c>
      <c r="M249" s="22">
        <v>0</v>
      </c>
      <c r="N249" s="22">
        <v>-750</v>
      </c>
      <c r="O249" s="22">
        <v>6750</v>
      </c>
      <c r="P249" s="22">
        <v>6750</v>
      </c>
      <c r="Q249" t="str" cm="1">
        <f t="array" ref="Q249">_xlfn.TEXTJOIN("、",TRUE,IF('學員資料-三民高中'!$B$2:$B$454=$F249,'學員資料-三民高中'!$G$2:$G$454,""))</f>
        <v>0958991897</v>
      </c>
      <c r="R249" t="str" cm="1">
        <f t="array" ref="R249">_xlfn.TEXTJOIN("、",TRUE,IF('學員資料-新北高中'!$B$2:$B$583=$F249,'學員資料-新北高中'!$G$2:$G$583,""))</f>
        <v/>
      </c>
      <c r="S249" t="str" cm="1">
        <f t="array" ref="S249">_xlfn.TEXTJOIN("、",TRUE,IF('學員資料-三重商工'!$B$2:$B$472=$F249,'學員資料-三重商工'!$G$2:$G$472,""))</f>
        <v/>
      </c>
      <c r="T249">
        <f t="shared" si="3"/>
        <v>1</v>
      </c>
    </row>
    <row r="250" spans="1:20" ht="14.25" hidden="1" customHeight="1">
      <c r="A250" s="15">
        <v>249</v>
      </c>
      <c r="B250" s="16" t="s">
        <v>1015</v>
      </c>
      <c r="C250" s="17">
        <v>46118</v>
      </c>
      <c r="D250" s="15" t="s">
        <v>1016</v>
      </c>
      <c r="E250" s="18" t="s">
        <v>127</v>
      </c>
      <c r="F250" s="19" t="s">
        <v>1013</v>
      </c>
      <c r="G250" s="18" t="s">
        <v>1014</v>
      </c>
      <c r="H250" s="20" t="s">
        <v>52</v>
      </c>
      <c r="I250" s="15">
        <v>1</v>
      </c>
      <c r="J250" s="15" t="s">
        <v>24</v>
      </c>
      <c r="K250" s="15"/>
      <c r="L250" s="21" t="s">
        <v>18</v>
      </c>
      <c r="M250" s="22">
        <v>0</v>
      </c>
      <c r="N250" s="22">
        <v>-750</v>
      </c>
      <c r="O250" s="22">
        <v>6750</v>
      </c>
      <c r="P250" s="22">
        <v>6750</v>
      </c>
      <c r="Q250" t="str" cm="1">
        <f t="array" ref="Q250">_xlfn.TEXTJOIN("、",TRUE,IF('學員資料-三民高中'!$B$2:$B$454=$F250,'學員資料-三民高中'!$G$2:$G$454,""))</f>
        <v>0958991897</v>
      </c>
      <c r="R250" t="str" cm="1">
        <f t="array" ref="R250">_xlfn.TEXTJOIN("、",TRUE,IF('學員資料-新北高中'!$B$2:$B$583=$F250,'學員資料-新北高中'!$G$2:$G$583,""))</f>
        <v/>
      </c>
      <c r="S250" t="str" cm="1">
        <f t="array" ref="S250">_xlfn.TEXTJOIN("、",TRUE,IF('學員資料-三重商工'!$B$2:$B$472=$F250,'學員資料-三重商工'!$G$2:$G$472,""))</f>
        <v/>
      </c>
      <c r="T250">
        <f t="shared" si="3"/>
        <v>1</v>
      </c>
    </row>
    <row r="251" spans="1:20" ht="14.25" hidden="1" customHeight="1">
      <c r="A251" s="15">
        <v>250</v>
      </c>
      <c r="B251" s="16" t="s">
        <v>1017</v>
      </c>
      <c r="C251" s="17">
        <v>46118</v>
      </c>
      <c r="D251" s="15" t="s">
        <v>1018</v>
      </c>
      <c r="E251" s="18" t="s">
        <v>127</v>
      </c>
      <c r="F251" s="19" t="s">
        <v>1019</v>
      </c>
      <c r="G251" s="18" t="s">
        <v>1020</v>
      </c>
      <c r="H251" s="20" t="s">
        <v>52</v>
      </c>
      <c r="I251" s="15">
        <v>1</v>
      </c>
      <c r="J251" s="15" t="s">
        <v>24</v>
      </c>
      <c r="K251" s="15"/>
      <c r="L251" s="21" t="s">
        <v>18</v>
      </c>
      <c r="M251" s="22">
        <v>0</v>
      </c>
      <c r="N251" s="22">
        <v>-750</v>
      </c>
      <c r="O251" s="22">
        <v>6750</v>
      </c>
      <c r="P251" s="22">
        <v>6750</v>
      </c>
      <c r="Q251" t="str" cm="1">
        <f t="array" ref="Q251">_xlfn.TEXTJOIN("、",TRUE,IF('學員資料-三民高中'!$B$2:$B$454=$F251,'學員資料-三民高中'!$G$2:$G$454,""))</f>
        <v>0905672678</v>
      </c>
      <c r="R251" t="str" cm="1">
        <f t="array" ref="R251">_xlfn.TEXTJOIN("、",TRUE,IF('學員資料-新北高中'!$B$2:$B$583=$F251,'學員資料-新北高中'!$G$2:$G$583,""))</f>
        <v/>
      </c>
      <c r="S251" t="str" cm="1">
        <f t="array" ref="S251">_xlfn.TEXTJOIN("、",TRUE,IF('學員資料-三重商工'!$B$2:$B$472=$F251,'學員資料-三重商工'!$G$2:$G$472,""))</f>
        <v/>
      </c>
      <c r="T251">
        <f t="shared" si="3"/>
        <v>1</v>
      </c>
    </row>
    <row r="252" spans="1:20" ht="14.25" hidden="1" customHeight="1">
      <c r="A252" s="15">
        <v>251</v>
      </c>
      <c r="B252" s="16" t="s">
        <v>1021</v>
      </c>
      <c r="C252" s="17">
        <v>46118</v>
      </c>
      <c r="D252" s="15" t="s">
        <v>1022</v>
      </c>
      <c r="E252" s="18" t="s">
        <v>127</v>
      </c>
      <c r="F252" s="19" t="s">
        <v>1023</v>
      </c>
      <c r="G252" s="18" t="s">
        <v>1024</v>
      </c>
      <c r="H252" s="20" t="s">
        <v>52</v>
      </c>
      <c r="I252" s="15">
        <v>1</v>
      </c>
      <c r="J252" s="15" t="s">
        <v>24</v>
      </c>
      <c r="K252" s="15"/>
      <c r="L252" s="21" t="s">
        <v>18</v>
      </c>
      <c r="M252" s="22">
        <v>0</v>
      </c>
      <c r="N252" s="22">
        <v>-1250</v>
      </c>
      <c r="O252" s="22">
        <v>6250</v>
      </c>
      <c r="P252" s="22">
        <v>6250</v>
      </c>
      <c r="Q252" t="str" cm="1">
        <f t="array" ref="Q252">_xlfn.TEXTJOIN("、",TRUE,IF('學員資料-三民高中'!$B$2:$B$454=$F252,'學員資料-三民高中'!$G$2:$G$454,""))</f>
        <v>0978360915</v>
      </c>
      <c r="R252" t="str" cm="1">
        <f t="array" ref="R252">_xlfn.TEXTJOIN("、",TRUE,IF('學員資料-新北高中'!$B$2:$B$583=$F252,'學員資料-新北高中'!$G$2:$G$583,""))</f>
        <v/>
      </c>
      <c r="S252" t="str" cm="1">
        <f t="array" ref="S252">_xlfn.TEXTJOIN("、",TRUE,IF('學員資料-三重商工'!$B$2:$B$472=$F252,'學員資料-三重商工'!$G$2:$G$472,""))</f>
        <v/>
      </c>
      <c r="T252">
        <f t="shared" si="3"/>
        <v>1</v>
      </c>
    </row>
    <row r="253" spans="1:20" ht="14.25" hidden="1" customHeight="1">
      <c r="A253" s="15">
        <v>252</v>
      </c>
      <c r="B253" s="16" t="s">
        <v>1025</v>
      </c>
      <c r="C253" s="17">
        <v>46118</v>
      </c>
      <c r="D253" s="15" t="s">
        <v>1026</v>
      </c>
      <c r="E253" s="18" t="s">
        <v>127</v>
      </c>
      <c r="F253" s="19" t="s">
        <v>1027</v>
      </c>
      <c r="G253" s="18" t="s">
        <v>1028</v>
      </c>
      <c r="H253" s="20" t="s">
        <v>52</v>
      </c>
      <c r="I253" s="15">
        <v>1</v>
      </c>
      <c r="J253" s="15" t="s">
        <v>24</v>
      </c>
      <c r="K253" s="15"/>
      <c r="L253" s="21" t="s">
        <v>18</v>
      </c>
      <c r="M253" s="22">
        <v>0</v>
      </c>
      <c r="N253" s="22">
        <v>-300</v>
      </c>
      <c r="O253" s="22">
        <v>7200</v>
      </c>
      <c r="P253" s="22">
        <v>7200</v>
      </c>
      <c r="Q253" t="str" cm="1">
        <f t="array" ref="Q253">_xlfn.TEXTJOIN("、",TRUE,IF('學員資料-三民高中'!$B$2:$B$454=$F253,'學員資料-三民高中'!$G$2:$G$454,""))</f>
        <v/>
      </c>
      <c r="R253" t="str" cm="1">
        <f t="array" ref="R253">_xlfn.TEXTJOIN("、",TRUE,IF('學員資料-新北高中'!$B$2:$B$583=$F253,'學員資料-新北高中'!$G$2:$G$583,""))</f>
        <v>0958657336</v>
      </c>
      <c r="S253" t="str" cm="1">
        <f t="array" ref="S253">_xlfn.TEXTJOIN("、",TRUE,IF('學員資料-三重商工'!$B$2:$B$472=$F253,'學員資料-三重商工'!$G$2:$G$472,""))</f>
        <v/>
      </c>
      <c r="T253">
        <f t="shared" si="3"/>
        <v>1</v>
      </c>
    </row>
    <row r="254" spans="1:20" ht="14.25" hidden="1" customHeight="1">
      <c r="A254" s="15">
        <v>253</v>
      </c>
      <c r="B254" s="16" t="s">
        <v>1029</v>
      </c>
      <c r="C254" s="17">
        <v>46118</v>
      </c>
      <c r="D254" s="15" t="s">
        <v>1030</v>
      </c>
      <c r="E254" s="18" t="s">
        <v>127</v>
      </c>
      <c r="F254" s="19" t="s">
        <v>1027</v>
      </c>
      <c r="G254" s="18" t="s">
        <v>1028</v>
      </c>
      <c r="H254" s="20" t="s">
        <v>52</v>
      </c>
      <c r="I254" s="15">
        <v>1</v>
      </c>
      <c r="J254" s="15" t="s">
        <v>24</v>
      </c>
      <c r="K254" s="15"/>
      <c r="L254" s="21" t="s">
        <v>18</v>
      </c>
      <c r="M254" s="22">
        <v>0</v>
      </c>
      <c r="N254" s="22">
        <v>-300</v>
      </c>
      <c r="O254" s="22">
        <v>7200</v>
      </c>
      <c r="P254" s="22">
        <v>7200</v>
      </c>
      <c r="Q254" t="str" cm="1">
        <f t="array" ref="Q254">_xlfn.TEXTJOIN("、",TRUE,IF('學員資料-三民高中'!$B$2:$B$454=$F254,'學員資料-三民高中'!$G$2:$G$454,""))</f>
        <v/>
      </c>
      <c r="R254" t="str" cm="1">
        <f t="array" ref="R254">_xlfn.TEXTJOIN("、",TRUE,IF('學員資料-新北高中'!$B$2:$B$583=$F254,'學員資料-新北高中'!$G$2:$G$583,""))</f>
        <v>0958657336</v>
      </c>
      <c r="S254" t="str" cm="1">
        <f t="array" ref="S254">_xlfn.TEXTJOIN("、",TRUE,IF('學員資料-三重商工'!$B$2:$B$472=$F254,'學員資料-三重商工'!$G$2:$G$472,""))</f>
        <v/>
      </c>
      <c r="T254">
        <f t="shared" si="3"/>
        <v>1</v>
      </c>
    </row>
    <row r="255" spans="1:20" ht="14.25" hidden="1" customHeight="1">
      <c r="A255" s="15">
        <v>254</v>
      </c>
      <c r="B255" s="16" t="s">
        <v>1031</v>
      </c>
      <c r="C255" s="17">
        <v>46118</v>
      </c>
      <c r="D255" s="15" t="s">
        <v>1032</v>
      </c>
      <c r="E255" s="18" t="s">
        <v>127</v>
      </c>
      <c r="F255" s="19" t="s">
        <v>1027</v>
      </c>
      <c r="G255" s="18" t="s">
        <v>1028</v>
      </c>
      <c r="H255" s="20" t="s">
        <v>52</v>
      </c>
      <c r="I255" s="15">
        <v>1</v>
      </c>
      <c r="J255" s="15" t="s">
        <v>24</v>
      </c>
      <c r="K255" s="15"/>
      <c r="L255" s="21" t="s">
        <v>18</v>
      </c>
      <c r="M255" s="22">
        <v>0</v>
      </c>
      <c r="N255" s="22">
        <v>-300</v>
      </c>
      <c r="O255" s="22">
        <v>7200</v>
      </c>
      <c r="P255" s="22">
        <v>7200</v>
      </c>
      <c r="Q255" t="str" cm="1">
        <f t="array" ref="Q255">_xlfn.TEXTJOIN("、",TRUE,IF('學員資料-三民高中'!$B$2:$B$454=$F255,'學員資料-三民高中'!$G$2:$G$454,""))</f>
        <v/>
      </c>
      <c r="R255" t="str" cm="1">
        <f t="array" ref="R255">_xlfn.TEXTJOIN("、",TRUE,IF('學員資料-新北高中'!$B$2:$B$583=$F255,'學員資料-新北高中'!$G$2:$G$583,""))</f>
        <v>0958657336</v>
      </c>
      <c r="S255" t="str" cm="1">
        <f t="array" ref="S255">_xlfn.TEXTJOIN("、",TRUE,IF('學員資料-三重商工'!$B$2:$B$472=$F255,'學員資料-三重商工'!$G$2:$G$472,""))</f>
        <v/>
      </c>
      <c r="T255">
        <f t="shared" si="3"/>
        <v>1</v>
      </c>
    </row>
    <row r="256" spans="1:20" ht="14.25" hidden="1" customHeight="1">
      <c r="A256" s="15">
        <v>255</v>
      </c>
      <c r="B256" s="16" t="s">
        <v>1033</v>
      </c>
      <c r="C256" s="17">
        <v>46118</v>
      </c>
      <c r="D256" s="15" t="s">
        <v>1034</v>
      </c>
      <c r="E256" s="18" t="s">
        <v>83</v>
      </c>
      <c r="F256" s="19" t="s">
        <v>1035</v>
      </c>
      <c r="G256" s="18" t="s">
        <v>1036</v>
      </c>
      <c r="H256" s="20" t="s">
        <v>52</v>
      </c>
      <c r="I256" s="15">
        <v>1</v>
      </c>
      <c r="J256" s="15" t="s">
        <v>24</v>
      </c>
      <c r="K256" s="15"/>
      <c r="L256" s="21" t="s">
        <v>18</v>
      </c>
      <c r="M256" s="22">
        <v>0</v>
      </c>
      <c r="N256" s="22">
        <v>-750</v>
      </c>
      <c r="O256" s="22">
        <v>6750</v>
      </c>
      <c r="P256" s="22">
        <v>6750</v>
      </c>
      <c r="Q256" t="str" cm="1">
        <f t="array" ref="Q256">_xlfn.TEXTJOIN("、",TRUE,IF('學員資料-三民高中'!$B$2:$B$454=$F256,'學員資料-三民高中'!$G$2:$G$454,""))</f>
        <v/>
      </c>
      <c r="R256" t="str" cm="1">
        <f t="array" ref="R256">_xlfn.TEXTJOIN("、",TRUE,IF('學員資料-新北高中'!$B$2:$B$583=$F256,'學員資料-新北高中'!$G$2:$G$583,""))</f>
        <v/>
      </c>
      <c r="S256" t="str" cm="1">
        <f t="array" ref="S256">_xlfn.TEXTJOIN("、",TRUE,IF('學員資料-三重商工'!$B$2:$B$472=$F256,'學員資料-三重商工'!$G$2:$G$472,""))</f>
        <v>0926550630</v>
      </c>
      <c r="T256">
        <f t="shared" si="3"/>
        <v>1</v>
      </c>
    </row>
    <row r="257" spans="1:20" ht="28.5" hidden="1" customHeight="1">
      <c r="A257" s="15">
        <v>256</v>
      </c>
      <c r="B257" s="16" t="s">
        <v>1037</v>
      </c>
      <c r="C257" s="17">
        <v>46118</v>
      </c>
      <c r="D257" s="15" t="s">
        <v>1038</v>
      </c>
      <c r="E257" s="18" t="s">
        <v>127</v>
      </c>
      <c r="F257" s="19" t="s">
        <v>1039</v>
      </c>
      <c r="G257" s="18" t="s">
        <v>1040</v>
      </c>
      <c r="H257" s="20" t="s">
        <v>99</v>
      </c>
      <c r="I257" s="15">
        <v>2</v>
      </c>
      <c r="J257" s="15" t="s">
        <v>24</v>
      </c>
      <c r="K257" s="15"/>
      <c r="L257" s="21" t="s">
        <v>18</v>
      </c>
      <c r="M257" s="22">
        <v>0</v>
      </c>
      <c r="N257" s="22">
        <v>-1500</v>
      </c>
      <c r="O257" s="22">
        <v>13500</v>
      </c>
      <c r="P257" s="22">
        <v>13500</v>
      </c>
      <c r="Q257" t="str" cm="1">
        <f t="array" ref="Q257">_xlfn.TEXTJOIN("、",TRUE,IF('學員資料-三民高中'!$B$2:$B$454=$F257,'學員資料-三民高中'!$G$2:$G$454,""))</f>
        <v>0919475518</v>
      </c>
      <c r="R257" t="str" cm="1">
        <f t="array" ref="R257">_xlfn.TEXTJOIN("、",TRUE,IF('學員資料-新北高中'!$B$2:$B$583=$F257,'學員資料-新北高中'!$G$2:$G$583,""))</f>
        <v/>
      </c>
      <c r="S257" t="str" cm="1">
        <f t="array" ref="S257">_xlfn.TEXTJOIN("、",TRUE,IF('學員資料-三重商工'!$B$2:$B$472=$F257,'學員資料-三重商工'!$G$2:$G$472,""))</f>
        <v/>
      </c>
      <c r="T257">
        <f t="shared" si="3"/>
        <v>1</v>
      </c>
    </row>
    <row r="258" spans="1:20" ht="14.25" hidden="1" customHeight="1">
      <c r="A258" s="15">
        <v>257</v>
      </c>
      <c r="B258" s="16" t="s">
        <v>1041</v>
      </c>
      <c r="C258" s="17">
        <v>46118</v>
      </c>
      <c r="D258" s="15" t="s">
        <v>1042</v>
      </c>
      <c r="E258" s="18" t="s">
        <v>763</v>
      </c>
      <c r="F258" s="19" t="s">
        <v>334</v>
      </c>
      <c r="G258" s="18" t="s">
        <v>335</v>
      </c>
      <c r="H258" s="20" t="s">
        <v>52</v>
      </c>
      <c r="I258" s="15">
        <v>1</v>
      </c>
      <c r="J258" s="15" t="s">
        <v>24</v>
      </c>
      <c r="K258" s="15"/>
      <c r="L258" s="21" t="s">
        <v>18</v>
      </c>
      <c r="M258" s="22">
        <v>0</v>
      </c>
      <c r="N258" s="22">
        <v>0</v>
      </c>
      <c r="O258" s="22">
        <v>7500</v>
      </c>
      <c r="P258" s="22">
        <v>7500</v>
      </c>
      <c r="Q258" t="str" cm="1">
        <f t="array" ref="Q258">_xlfn.TEXTJOIN("、",TRUE,IF('學員資料-三民高中'!$B$2:$B$454=$F258,'學員資料-三民高中'!$G$2:$G$454,""))</f>
        <v>0922250325</v>
      </c>
      <c r="R258" t="str" cm="1">
        <f t="array" ref="R258">_xlfn.TEXTJOIN("、",TRUE,IF('學員資料-新北高中'!$B$2:$B$583=$F258,'學員資料-新北高中'!$G$2:$G$583,""))</f>
        <v/>
      </c>
      <c r="S258" t="str" cm="1">
        <f t="array" ref="S258">_xlfn.TEXTJOIN("、",TRUE,IF('學員資料-三重商工'!$B$2:$B$472=$F258,'學員資料-三重商工'!$G$2:$G$472,""))</f>
        <v/>
      </c>
      <c r="T258">
        <f t="shared" si="3"/>
        <v>1</v>
      </c>
    </row>
    <row r="259" spans="1:20" ht="14.25" hidden="1" customHeight="1">
      <c r="A259" s="15">
        <v>258</v>
      </c>
      <c r="B259" s="16" t="s">
        <v>1043</v>
      </c>
      <c r="C259" s="17">
        <v>46118</v>
      </c>
      <c r="D259" s="15" t="s">
        <v>1044</v>
      </c>
      <c r="E259" s="18" t="s">
        <v>44</v>
      </c>
      <c r="F259" s="19" t="s">
        <v>1045</v>
      </c>
      <c r="G259" s="18" t="s">
        <v>1046</v>
      </c>
      <c r="H259" s="20" t="s">
        <v>66</v>
      </c>
      <c r="I259" s="15">
        <v>1</v>
      </c>
      <c r="J259" s="15" t="s">
        <v>23</v>
      </c>
      <c r="K259" s="15"/>
      <c r="L259" s="21" t="s">
        <v>16</v>
      </c>
      <c r="M259" s="22">
        <v>0</v>
      </c>
      <c r="N259" s="22">
        <v>-345</v>
      </c>
      <c r="O259" s="22">
        <v>6555</v>
      </c>
      <c r="P259" s="22">
        <v>6555</v>
      </c>
      <c r="Q259" t="str" cm="1">
        <f t="array" ref="Q259">_xlfn.TEXTJOIN("、",TRUE,IF('學員資料-三民高中'!$B$2:$B$454=$F259,'學員資料-三民高中'!$G$2:$G$454,""))</f>
        <v/>
      </c>
      <c r="R259" t="str" cm="1">
        <f t="array" ref="R259">_xlfn.TEXTJOIN("、",TRUE,IF('學員資料-新北高中'!$B$2:$B$583=$F259,'學員資料-新北高中'!$G$2:$G$583,""))</f>
        <v/>
      </c>
      <c r="S259" t="str" cm="1">
        <f t="array" ref="S259">_xlfn.TEXTJOIN("、",TRUE,IF('學員資料-三重商工'!$B$2:$B$472=$F259,'學員資料-三重商工'!$G$2:$G$472,""))</f>
        <v>0921866445</v>
      </c>
      <c r="T259">
        <f t="shared" ref="T259:T322" si="4">3-COUNTBLANK(Q259:S259)</f>
        <v>1</v>
      </c>
    </row>
    <row r="260" spans="1:20" ht="14.25" hidden="1" customHeight="1">
      <c r="A260" s="15">
        <v>259</v>
      </c>
      <c r="B260" s="16" t="s">
        <v>1047</v>
      </c>
      <c r="C260" s="17">
        <v>46118</v>
      </c>
      <c r="D260" s="15" t="s">
        <v>1048</v>
      </c>
      <c r="E260" s="18" t="s">
        <v>44</v>
      </c>
      <c r="F260" s="19" t="s">
        <v>1049</v>
      </c>
      <c r="G260" s="18" t="s">
        <v>1050</v>
      </c>
      <c r="H260" s="20" t="s">
        <v>399</v>
      </c>
      <c r="I260" s="15">
        <v>1</v>
      </c>
      <c r="J260" s="15" t="s">
        <v>23</v>
      </c>
      <c r="K260" s="21" t="s">
        <v>116</v>
      </c>
      <c r="L260" s="21" t="s">
        <v>16</v>
      </c>
      <c r="M260" s="22">
        <v>0</v>
      </c>
      <c r="N260" s="22">
        <v>0</v>
      </c>
      <c r="O260" s="22">
        <v>1200</v>
      </c>
      <c r="P260" s="22">
        <v>1200</v>
      </c>
      <c r="Q260" t="str" cm="1">
        <f t="array" ref="Q260">_xlfn.TEXTJOIN("、",TRUE,IF('學員資料-三民高中'!$B$2:$B$454=$F260,'學員資料-三民高中'!$G$2:$G$454,""))</f>
        <v/>
      </c>
      <c r="R260" t="str" cm="1">
        <f t="array" ref="R260">_xlfn.TEXTJOIN("、",TRUE,IF('學員資料-新北高中'!$B$2:$B$583=$F260,'學員資料-新北高中'!$G$2:$G$583,""))</f>
        <v/>
      </c>
      <c r="S260" t="str" cm="1">
        <f t="array" ref="S260">_xlfn.TEXTJOIN("、",TRUE,IF('學員資料-三重商工'!$B$2:$B$472=$F260,'學員資料-三重商工'!$G$2:$G$472,""))</f>
        <v>0919551105</v>
      </c>
      <c r="T260">
        <f t="shared" si="4"/>
        <v>1</v>
      </c>
    </row>
    <row r="261" spans="1:20" ht="14.25" hidden="1" customHeight="1">
      <c r="A261" s="15">
        <v>260</v>
      </c>
      <c r="B261" s="16" t="s">
        <v>1051</v>
      </c>
      <c r="C261" s="17">
        <v>46115</v>
      </c>
      <c r="D261" s="15" t="s">
        <v>1052</v>
      </c>
      <c r="E261" s="18" t="s">
        <v>78</v>
      </c>
      <c r="F261" s="19" t="s">
        <v>1053</v>
      </c>
      <c r="G261" s="18" t="s">
        <v>1054</v>
      </c>
      <c r="H261" s="20" t="s">
        <v>683</v>
      </c>
      <c r="I261" s="15">
        <v>1</v>
      </c>
      <c r="J261" s="15" t="s">
        <v>23</v>
      </c>
      <c r="K261" s="15"/>
      <c r="L261" s="21" t="s">
        <v>16</v>
      </c>
      <c r="M261" s="22">
        <v>0</v>
      </c>
      <c r="N261" s="22">
        <v>-1800</v>
      </c>
      <c r="O261" s="22">
        <v>7200</v>
      </c>
      <c r="P261" s="22">
        <v>7200</v>
      </c>
      <c r="Q261" t="str" cm="1">
        <f t="array" ref="Q261">_xlfn.TEXTJOIN("、",TRUE,IF('學員資料-三民高中'!$B$2:$B$454=$F261,'學員資料-三民高中'!$G$2:$G$454,""))</f>
        <v/>
      </c>
      <c r="R261" t="str" cm="1">
        <f t="array" ref="R261">_xlfn.TEXTJOIN("、",TRUE,IF('學員資料-新北高中'!$B$2:$B$583=$F261,'學員資料-新北高中'!$G$2:$G$583,""))</f>
        <v>0926874779</v>
      </c>
      <c r="S261" t="str" cm="1">
        <f t="array" ref="S261">_xlfn.TEXTJOIN("、",TRUE,IF('學員資料-三重商工'!$B$2:$B$472=$F261,'學員資料-三重商工'!$G$2:$G$472,""))</f>
        <v/>
      </c>
      <c r="T261">
        <f t="shared" si="4"/>
        <v>1</v>
      </c>
    </row>
    <row r="262" spans="1:20" ht="14.25" hidden="1" customHeight="1">
      <c r="A262" s="15">
        <v>261</v>
      </c>
      <c r="B262" s="16" t="s">
        <v>1055</v>
      </c>
      <c r="C262" s="17">
        <v>46115</v>
      </c>
      <c r="D262" s="15" t="s">
        <v>1056</v>
      </c>
      <c r="E262" s="18" t="s">
        <v>78</v>
      </c>
      <c r="F262" s="19" t="s">
        <v>1053</v>
      </c>
      <c r="G262" s="18" t="s">
        <v>1054</v>
      </c>
      <c r="H262" s="20" t="s">
        <v>683</v>
      </c>
      <c r="I262" s="15">
        <v>1</v>
      </c>
      <c r="J262" s="15" t="s">
        <v>23</v>
      </c>
      <c r="K262" s="15"/>
      <c r="L262" s="21" t="s">
        <v>16</v>
      </c>
      <c r="M262" s="22">
        <v>0</v>
      </c>
      <c r="N262" s="22">
        <v>0</v>
      </c>
      <c r="O262" s="22">
        <v>9000</v>
      </c>
      <c r="P262" s="22">
        <v>9000</v>
      </c>
      <c r="Q262" t="str" cm="1">
        <f t="array" ref="Q262">_xlfn.TEXTJOIN("、",TRUE,IF('學員資料-三民高中'!$B$2:$B$454=$F262,'學員資料-三民高中'!$G$2:$G$454,""))</f>
        <v/>
      </c>
      <c r="R262" t="str" cm="1">
        <f t="array" ref="R262">_xlfn.TEXTJOIN("、",TRUE,IF('學員資料-新北高中'!$B$2:$B$583=$F262,'學員資料-新北高中'!$G$2:$G$583,""))</f>
        <v>0926874779</v>
      </c>
      <c r="S262" t="str" cm="1">
        <f t="array" ref="S262">_xlfn.TEXTJOIN("、",TRUE,IF('學員資料-三重商工'!$B$2:$B$472=$F262,'學員資料-三重商工'!$G$2:$G$472,""))</f>
        <v/>
      </c>
      <c r="T262">
        <f t="shared" si="4"/>
        <v>1</v>
      </c>
    </row>
    <row r="263" spans="1:20" ht="14.25" hidden="1" customHeight="1">
      <c r="A263" s="15">
        <v>262</v>
      </c>
      <c r="B263" s="16" t="s">
        <v>1057</v>
      </c>
      <c r="C263" s="17">
        <v>46115</v>
      </c>
      <c r="D263" s="15" t="s">
        <v>1058</v>
      </c>
      <c r="E263" s="18" t="s">
        <v>44</v>
      </c>
      <c r="F263" s="19" t="s">
        <v>739</v>
      </c>
      <c r="G263" s="18" t="s">
        <v>740</v>
      </c>
      <c r="H263" s="20" t="s">
        <v>52</v>
      </c>
      <c r="I263" s="15">
        <v>1</v>
      </c>
      <c r="J263" s="15" t="s">
        <v>24</v>
      </c>
      <c r="K263" s="15"/>
      <c r="L263" s="21" t="s">
        <v>16</v>
      </c>
      <c r="M263" s="22">
        <v>0</v>
      </c>
      <c r="N263" s="22">
        <v>-750</v>
      </c>
      <c r="O263" s="22">
        <v>6750</v>
      </c>
      <c r="P263" s="22">
        <v>6750</v>
      </c>
      <c r="Q263" t="str" cm="1">
        <f t="array" ref="Q263">_xlfn.TEXTJOIN("、",TRUE,IF('學員資料-三民高中'!$B$2:$B$454=$F263,'學員資料-三民高中'!$G$2:$G$454,""))</f>
        <v/>
      </c>
      <c r="R263" t="str" cm="1">
        <f t="array" ref="R263">_xlfn.TEXTJOIN("、",TRUE,IF('學員資料-新北高中'!$B$2:$B$583=$F263,'學員資料-新北高中'!$G$2:$G$583,""))</f>
        <v/>
      </c>
      <c r="S263" t="str" cm="1">
        <f t="array" ref="S263">_xlfn.TEXTJOIN("、",TRUE,IF('學員資料-三重商工'!$B$2:$B$472=$F263,'學員資料-三重商工'!$G$2:$G$472,""))</f>
        <v>0989839321</v>
      </c>
      <c r="T263">
        <f t="shared" si="4"/>
        <v>1</v>
      </c>
    </row>
    <row r="264" spans="1:20" ht="14.25" hidden="1" customHeight="1">
      <c r="A264" s="15">
        <v>263</v>
      </c>
      <c r="B264" s="16" t="s">
        <v>1059</v>
      </c>
      <c r="C264" s="17">
        <v>46115</v>
      </c>
      <c r="D264" s="15" t="s">
        <v>1060</v>
      </c>
      <c r="E264" s="18" t="s">
        <v>161</v>
      </c>
      <c r="F264" s="19" t="s">
        <v>1061</v>
      </c>
      <c r="G264" s="18" t="s">
        <v>1062</v>
      </c>
      <c r="H264" s="20" t="s">
        <v>52</v>
      </c>
      <c r="I264" s="15">
        <v>1</v>
      </c>
      <c r="J264" s="15" t="s">
        <v>24</v>
      </c>
      <c r="K264" s="15"/>
      <c r="L264" s="21" t="s">
        <v>16</v>
      </c>
      <c r="M264" s="22">
        <v>0</v>
      </c>
      <c r="N264" s="22">
        <v>-750</v>
      </c>
      <c r="O264" s="22">
        <v>6750</v>
      </c>
      <c r="P264" s="22">
        <v>6750</v>
      </c>
      <c r="Q264" t="str" cm="1">
        <f t="array" ref="Q264">_xlfn.TEXTJOIN("、",TRUE,IF('學員資料-三民高中'!$B$2:$B$454=$F264,'學員資料-三民高中'!$G$2:$G$454,""))</f>
        <v>0939113914</v>
      </c>
      <c r="R264" t="str" cm="1">
        <f t="array" ref="R264">_xlfn.TEXTJOIN("、",TRUE,IF('學員資料-新北高中'!$B$2:$B$583=$F264,'學員資料-新北高中'!$G$2:$G$583,""))</f>
        <v/>
      </c>
      <c r="S264" t="str" cm="1">
        <f t="array" ref="S264">_xlfn.TEXTJOIN("、",TRUE,IF('學員資料-三重商工'!$B$2:$B$472=$F264,'學員資料-三重商工'!$G$2:$G$472,""))</f>
        <v/>
      </c>
      <c r="T264">
        <f t="shared" si="4"/>
        <v>1</v>
      </c>
    </row>
    <row r="265" spans="1:20" ht="28.5" hidden="1" customHeight="1">
      <c r="A265" s="15">
        <v>264</v>
      </c>
      <c r="B265" s="16" t="s">
        <v>1063</v>
      </c>
      <c r="C265" s="17">
        <v>46114</v>
      </c>
      <c r="D265" s="15" t="s">
        <v>1064</v>
      </c>
      <c r="E265" s="18" t="s">
        <v>78</v>
      </c>
      <c r="F265" s="19" t="s">
        <v>1065</v>
      </c>
      <c r="G265" s="18" t="s">
        <v>1066</v>
      </c>
      <c r="H265" s="20" t="s">
        <v>99</v>
      </c>
      <c r="I265" s="15">
        <v>2</v>
      </c>
      <c r="J265" s="15" t="s">
        <v>24</v>
      </c>
      <c r="K265" s="15"/>
      <c r="L265" s="21" t="s">
        <v>16</v>
      </c>
      <c r="M265" s="22">
        <v>0</v>
      </c>
      <c r="N265" s="22">
        <v>-2250</v>
      </c>
      <c r="O265" s="22">
        <v>12750</v>
      </c>
      <c r="P265" s="22">
        <v>12750</v>
      </c>
      <c r="Q265" t="str" cm="1">
        <f t="array" ref="Q265">_xlfn.TEXTJOIN("、",TRUE,IF('學員資料-三民高中'!$B$2:$B$454=$F265,'學員資料-三民高中'!$G$2:$G$454,""))</f>
        <v/>
      </c>
      <c r="R265" t="str" cm="1">
        <f t="array" ref="R265">_xlfn.TEXTJOIN("、",TRUE,IF('學員資料-新北高中'!$B$2:$B$583=$F265,'學員資料-新北高中'!$G$2:$G$583,""))</f>
        <v>0939702466</v>
      </c>
      <c r="S265" t="str" cm="1">
        <f t="array" ref="S265">_xlfn.TEXTJOIN("、",TRUE,IF('學員資料-三重商工'!$B$2:$B$472=$F265,'學員資料-三重商工'!$G$2:$G$472,""))</f>
        <v/>
      </c>
      <c r="T265">
        <f t="shared" si="4"/>
        <v>1</v>
      </c>
    </row>
    <row r="266" spans="1:20" ht="14.25" hidden="1" customHeight="1">
      <c r="A266" s="15">
        <v>265</v>
      </c>
      <c r="B266" s="16" t="s">
        <v>1067</v>
      </c>
      <c r="C266" s="17">
        <v>46113</v>
      </c>
      <c r="D266" s="15" t="s">
        <v>1068</v>
      </c>
      <c r="E266" s="18" t="s">
        <v>83</v>
      </c>
      <c r="F266" s="19" t="s">
        <v>64</v>
      </c>
      <c r="G266" s="18" t="s">
        <v>65</v>
      </c>
      <c r="H266" s="20" t="s">
        <v>66</v>
      </c>
      <c r="I266" s="15">
        <v>1</v>
      </c>
      <c r="J266" s="15" t="s">
        <v>23</v>
      </c>
      <c r="K266" s="15"/>
      <c r="L266" s="21" t="s">
        <v>18</v>
      </c>
      <c r="M266" s="22">
        <v>0</v>
      </c>
      <c r="N266" s="22">
        <v>-345</v>
      </c>
      <c r="O266" s="22">
        <v>6555</v>
      </c>
      <c r="P266" s="22">
        <v>6555</v>
      </c>
      <c r="Q266" t="str" cm="1">
        <f t="array" ref="Q266">_xlfn.TEXTJOIN("、",TRUE,IF('學員資料-三民高中'!$B$2:$B$454=$F266,'學員資料-三民高中'!$G$2:$G$454,""))</f>
        <v/>
      </c>
      <c r="R266" t="str" cm="1">
        <f t="array" ref="R266">_xlfn.TEXTJOIN("、",TRUE,IF('學員資料-新北高中'!$B$2:$B$583=$F266,'學員資料-新北高中'!$G$2:$G$583,""))</f>
        <v>0932148373</v>
      </c>
      <c r="S266" t="str" cm="1">
        <f t="array" ref="S266">_xlfn.TEXTJOIN("、",TRUE,IF('學員資料-三重商工'!$B$2:$B$472=$F266,'學員資料-三重商工'!$G$2:$G$472,""))</f>
        <v/>
      </c>
      <c r="T266">
        <f t="shared" si="4"/>
        <v>1</v>
      </c>
    </row>
    <row r="267" spans="1:20" ht="14.25" hidden="1" customHeight="1">
      <c r="A267" s="15">
        <v>266</v>
      </c>
      <c r="B267" s="16" t="s">
        <v>1069</v>
      </c>
      <c r="C267" s="17">
        <v>46113</v>
      </c>
      <c r="D267" s="15" t="s">
        <v>1070</v>
      </c>
      <c r="E267" s="18" t="s">
        <v>83</v>
      </c>
      <c r="F267" s="19" t="s">
        <v>559</v>
      </c>
      <c r="G267" s="18" t="s">
        <v>560</v>
      </c>
      <c r="H267" s="20" t="s">
        <v>52</v>
      </c>
      <c r="I267" s="15">
        <v>1</v>
      </c>
      <c r="J267" s="15" t="s">
        <v>24</v>
      </c>
      <c r="K267" s="15"/>
      <c r="L267" s="21" t="s">
        <v>18</v>
      </c>
      <c r="M267" s="22">
        <v>0</v>
      </c>
      <c r="N267" s="22">
        <v>-750</v>
      </c>
      <c r="O267" s="22">
        <v>6750</v>
      </c>
      <c r="P267" s="22">
        <v>6750</v>
      </c>
      <c r="Q267" t="str" cm="1">
        <f t="array" ref="Q267">_xlfn.TEXTJOIN("、",TRUE,IF('學員資料-三民高中'!$B$2:$B$454=$F267,'學員資料-三民高中'!$G$2:$G$454,""))</f>
        <v/>
      </c>
      <c r="R267" t="str" cm="1">
        <f t="array" ref="R267">_xlfn.TEXTJOIN("、",TRUE,IF('學員資料-新北高中'!$B$2:$B$583=$F267,'學員資料-新北高中'!$G$2:$G$583,""))</f>
        <v/>
      </c>
      <c r="S267" t="str" cm="1">
        <f t="array" ref="S267">_xlfn.TEXTJOIN("、",TRUE,IF('學員資料-三重商工'!$B$2:$B$472=$F267,'學員資料-三重商工'!$G$2:$G$472,""))</f>
        <v>0976137092</v>
      </c>
      <c r="T267">
        <f t="shared" si="4"/>
        <v>1</v>
      </c>
    </row>
    <row r="268" spans="1:20" ht="14.25" hidden="1" customHeight="1">
      <c r="A268" s="15">
        <v>267</v>
      </c>
      <c r="B268" s="16" t="s">
        <v>1071</v>
      </c>
      <c r="C268" s="17">
        <v>46113</v>
      </c>
      <c r="D268" s="15" t="s">
        <v>1072</v>
      </c>
      <c r="E268" s="18" t="s">
        <v>83</v>
      </c>
      <c r="F268" s="19" t="s">
        <v>1073</v>
      </c>
      <c r="G268" s="18" t="s">
        <v>1074</v>
      </c>
      <c r="H268" s="20" t="s">
        <v>52</v>
      </c>
      <c r="I268" s="15">
        <v>1</v>
      </c>
      <c r="J268" s="15" t="s">
        <v>24</v>
      </c>
      <c r="K268" s="15"/>
      <c r="L268" s="21" t="s">
        <v>18</v>
      </c>
      <c r="M268" s="22">
        <v>0</v>
      </c>
      <c r="N268" s="22">
        <v>-750</v>
      </c>
      <c r="O268" s="22">
        <v>6750</v>
      </c>
      <c r="P268" s="22">
        <v>6750</v>
      </c>
      <c r="Q268" t="str" cm="1">
        <f t="array" ref="Q268">_xlfn.TEXTJOIN("、",TRUE,IF('學員資料-三民高中'!$B$2:$B$454=$F268,'學員資料-三民高中'!$G$2:$G$454,""))</f>
        <v/>
      </c>
      <c r="R268" t="str" cm="1">
        <f t="array" ref="R268">_xlfn.TEXTJOIN("、",TRUE,IF('學員資料-新北高中'!$B$2:$B$583=$F268,'學員資料-新北高中'!$G$2:$G$583,""))</f>
        <v/>
      </c>
      <c r="S268" t="str" cm="1">
        <f t="array" ref="S268">_xlfn.TEXTJOIN("、",TRUE,IF('學員資料-三重商工'!$B$2:$B$472=$F268,'學員資料-三重商工'!$G$2:$G$472,""))</f>
        <v>0922711546.1</v>
      </c>
      <c r="T268">
        <f t="shared" si="4"/>
        <v>1</v>
      </c>
    </row>
    <row r="269" spans="1:20" ht="14.25" customHeight="1">
      <c r="A269" s="15">
        <v>268</v>
      </c>
      <c r="B269" s="16" t="s">
        <v>1075</v>
      </c>
      <c r="C269" s="17">
        <v>46113</v>
      </c>
      <c r="D269" s="15" t="s">
        <v>1076</v>
      </c>
      <c r="E269" s="18" t="s">
        <v>83</v>
      </c>
      <c r="F269" s="19" t="s">
        <v>1077</v>
      </c>
      <c r="G269" s="18" t="s">
        <v>1078</v>
      </c>
      <c r="H269" s="20" t="s">
        <v>52</v>
      </c>
      <c r="I269" s="15">
        <v>1</v>
      </c>
      <c r="J269" s="15" t="s">
        <v>24</v>
      </c>
      <c r="K269" s="15"/>
      <c r="L269" s="21" t="s">
        <v>18</v>
      </c>
      <c r="M269" s="22">
        <v>0</v>
      </c>
      <c r="N269" s="22">
        <v>-750</v>
      </c>
      <c r="O269" s="22">
        <v>6750</v>
      </c>
      <c r="P269" s="22">
        <v>6750</v>
      </c>
      <c r="Q269" t="str" cm="1">
        <f t="array" ref="Q269">_xlfn.TEXTJOIN("、",TRUE,IF('學員資料-三民高中'!$B$2:$B$454=$F269,'學員資料-三民高中'!$G$2:$G$454,""))</f>
        <v/>
      </c>
      <c r="R269" t="str" cm="1">
        <f t="array" ref="R269">_xlfn.TEXTJOIN("、",TRUE,IF('學員資料-新北高中'!$B$2:$B$583=$F269,'學員資料-新北高中'!$G$2:$G$583,""))</f>
        <v/>
      </c>
      <c r="S269" t="str" cm="1">
        <f t="array" ref="S269">_xlfn.TEXTJOIN("、",TRUE,IF('學員資料-三重商工'!$B$2:$B$472=$F269,'學員資料-三重商工'!$G$2:$G$472,""))</f>
        <v/>
      </c>
      <c r="T269">
        <f t="shared" si="4"/>
        <v>0</v>
      </c>
    </row>
    <row r="270" spans="1:20" ht="28.5" hidden="1" customHeight="1">
      <c r="A270" s="15">
        <v>269</v>
      </c>
      <c r="B270" s="16" t="s">
        <v>1079</v>
      </c>
      <c r="C270" s="17">
        <v>46113</v>
      </c>
      <c r="D270" s="15" t="s">
        <v>1080</v>
      </c>
      <c r="E270" s="18" t="s">
        <v>83</v>
      </c>
      <c r="F270" s="19" t="s">
        <v>1081</v>
      </c>
      <c r="G270" s="18" t="s">
        <v>1082</v>
      </c>
      <c r="H270" s="20" t="s">
        <v>99</v>
      </c>
      <c r="I270" s="15">
        <v>2</v>
      </c>
      <c r="J270" s="15" t="s">
        <v>24</v>
      </c>
      <c r="K270" s="15"/>
      <c r="L270" s="21" t="s">
        <v>18</v>
      </c>
      <c r="M270" s="22">
        <v>0</v>
      </c>
      <c r="N270" s="22">
        <v>-1500</v>
      </c>
      <c r="O270" s="22">
        <v>13500</v>
      </c>
      <c r="P270" s="22">
        <v>13500</v>
      </c>
      <c r="Q270" t="str" cm="1">
        <f t="array" ref="Q270">_xlfn.TEXTJOIN("、",TRUE,IF('學員資料-三民高中'!$B$2:$B$454=$F270,'學員資料-三民高中'!$G$2:$G$454,""))</f>
        <v/>
      </c>
      <c r="R270" t="str" cm="1">
        <f t="array" ref="R270">_xlfn.TEXTJOIN("、",TRUE,IF('學員資料-新北高中'!$B$2:$B$583=$F270,'學員資料-新北高中'!$G$2:$G$583,""))</f>
        <v/>
      </c>
      <c r="S270" t="str" cm="1">
        <f t="array" ref="S270">_xlfn.TEXTJOIN("、",TRUE,IF('學員資料-三重商工'!$B$2:$B$472=$F270,'學員資料-三重商工'!$G$2:$G$472,""))</f>
        <v>0911260592</v>
      </c>
      <c r="T270">
        <f t="shared" si="4"/>
        <v>1</v>
      </c>
    </row>
    <row r="271" spans="1:20" ht="14.25" hidden="1" customHeight="1">
      <c r="A271" s="15">
        <v>270</v>
      </c>
      <c r="B271" s="16" t="s">
        <v>1083</v>
      </c>
      <c r="C271" s="17">
        <v>46113</v>
      </c>
      <c r="D271" s="15" t="s">
        <v>1084</v>
      </c>
      <c r="E271" s="18" t="s">
        <v>83</v>
      </c>
      <c r="F271" s="19" t="s">
        <v>1085</v>
      </c>
      <c r="G271" s="18" t="s">
        <v>1086</v>
      </c>
      <c r="H271" s="20" t="s">
        <v>1087</v>
      </c>
      <c r="I271" s="15">
        <v>1</v>
      </c>
      <c r="J271" s="15" t="s">
        <v>27</v>
      </c>
      <c r="K271" s="15"/>
      <c r="L271" s="21" t="s">
        <v>18</v>
      </c>
      <c r="M271" s="22">
        <v>0</v>
      </c>
      <c r="N271" s="22">
        <v>-1500</v>
      </c>
      <c r="O271" s="22">
        <v>13500</v>
      </c>
      <c r="P271" s="22">
        <v>13500</v>
      </c>
      <c r="Q271" t="str" cm="1">
        <f t="array" ref="Q271">_xlfn.TEXTJOIN("、",TRUE,IF('學員資料-三民高中'!$B$2:$B$454=$F271,'學員資料-三民高中'!$G$2:$G$454,""))</f>
        <v/>
      </c>
      <c r="R271" t="str" cm="1">
        <f t="array" ref="R271">_xlfn.TEXTJOIN("、",TRUE,IF('學員資料-新北高中'!$B$2:$B$583=$F271,'學員資料-新北高中'!$G$2:$G$583,""))</f>
        <v/>
      </c>
      <c r="S271" t="str" cm="1">
        <f t="array" ref="S271">_xlfn.TEXTJOIN("、",TRUE,IF('學員資料-三重商工'!$B$2:$B$472=$F271,'學員資料-三重商工'!$G$2:$G$472,""))</f>
        <v>0933818815</v>
      </c>
      <c r="T271">
        <f t="shared" si="4"/>
        <v>1</v>
      </c>
    </row>
    <row r="272" spans="1:20" ht="14.25" hidden="1" customHeight="1">
      <c r="A272" s="15">
        <v>271</v>
      </c>
      <c r="B272" s="16" t="s">
        <v>1088</v>
      </c>
      <c r="C272" s="17">
        <v>46113</v>
      </c>
      <c r="D272" s="15" t="s">
        <v>1089</v>
      </c>
      <c r="E272" s="18" t="s">
        <v>83</v>
      </c>
      <c r="F272" s="19" t="s">
        <v>442</v>
      </c>
      <c r="G272" s="18" t="s">
        <v>443</v>
      </c>
      <c r="H272" s="20" t="s">
        <v>112</v>
      </c>
      <c r="I272" s="15">
        <v>1</v>
      </c>
      <c r="J272" s="15" t="s">
        <v>23</v>
      </c>
      <c r="K272" s="15"/>
      <c r="L272" s="21" t="s">
        <v>18</v>
      </c>
      <c r="M272" s="22">
        <v>0</v>
      </c>
      <c r="N272" s="22">
        <v>0</v>
      </c>
      <c r="O272" s="22">
        <v>8280</v>
      </c>
      <c r="P272" s="22">
        <v>8280</v>
      </c>
      <c r="Q272" t="str" cm="1">
        <f t="array" ref="Q272">_xlfn.TEXTJOIN("、",TRUE,IF('學員資料-三民高中'!$B$2:$B$454=$F272,'學員資料-三民高中'!$G$2:$G$454,""))</f>
        <v/>
      </c>
      <c r="R272" t="str" cm="1">
        <f t="array" ref="R272">_xlfn.TEXTJOIN("、",TRUE,IF('學員資料-新北高中'!$B$2:$B$583=$F272,'學員資料-新北高中'!$G$2:$G$583,""))</f>
        <v/>
      </c>
      <c r="S272" t="str" cm="1">
        <f t="array" ref="S272">_xlfn.TEXTJOIN("、",TRUE,IF('學員資料-三重商工'!$B$2:$B$472=$F272,'學員資料-三重商工'!$G$2:$G$472,""))</f>
        <v>0934053344</v>
      </c>
      <c r="T272">
        <f t="shared" si="4"/>
        <v>1</v>
      </c>
    </row>
    <row r="273" spans="1:20" ht="14.25" hidden="1" customHeight="1">
      <c r="A273" s="15">
        <v>272</v>
      </c>
      <c r="B273" s="16" t="s">
        <v>1090</v>
      </c>
      <c r="C273" s="17">
        <v>46113</v>
      </c>
      <c r="D273" s="15" t="s">
        <v>1091</v>
      </c>
      <c r="E273" s="18" t="s">
        <v>83</v>
      </c>
      <c r="F273" s="19" t="s">
        <v>1092</v>
      </c>
      <c r="G273" s="18" t="s">
        <v>1093</v>
      </c>
      <c r="H273" s="20" t="s">
        <v>52</v>
      </c>
      <c r="I273" s="15">
        <v>1</v>
      </c>
      <c r="J273" s="15" t="s">
        <v>24</v>
      </c>
      <c r="K273" s="15"/>
      <c r="L273" s="21" t="s">
        <v>16</v>
      </c>
      <c r="M273" s="22">
        <v>0</v>
      </c>
      <c r="N273" s="22">
        <v>-750</v>
      </c>
      <c r="O273" s="22">
        <v>6750</v>
      </c>
      <c r="P273" s="22">
        <v>6750</v>
      </c>
      <c r="Q273" t="str" cm="1">
        <f t="array" ref="Q273">_xlfn.TEXTJOIN("、",TRUE,IF('學員資料-三民高中'!$B$2:$B$454=$F273,'學員資料-三民高中'!$G$2:$G$454,""))</f>
        <v/>
      </c>
      <c r="R273" t="str" cm="1">
        <f t="array" ref="R273">_xlfn.TEXTJOIN("、",TRUE,IF('學員資料-新北高中'!$B$2:$B$583=$F273,'學員資料-新北高中'!$G$2:$G$583,""))</f>
        <v/>
      </c>
      <c r="S273" t="str" cm="1">
        <f t="array" ref="S273">_xlfn.TEXTJOIN("、",TRUE,IF('學員資料-三重商工'!$B$2:$B$472=$F273,'學員資料-三重商工'!$G$2:$G$472,""))</f>
        <v>0927601050</v>
      </c>
      <c r="T273">
        <f t="shared" si="4"/>
        <v>1</v>
      </c>
    </row>
    <row r="274" spans="1:20" ht="57.75" hidden="1" customHeight="1">
      <c r="A274" s="15">
        <v>273</v>
      </c>
      <c r="B274" s="16" t="s">
        <v>1094</v>
      </c>
      <c r="C274" s="17">
        <v>46113</v>
      </c>
      <c r="D274" s="15" t="s">
        <v>1095</v>
      </c>
      <c r="E274" s="18" t="s">
        <v>83</v>
      </c>
      <c r="F274" s="19" t="s">
        <v>832</v>
      </c>
      <c r="G274" s="18" t="s">
        <v>833</v>
      </c>
      <c r="H274" s="20" t="s">
        <v>989</v>
      </c>
      <c r="I274" s="15">
        <v>4</v>
      </c>
      <c r="J274" s="15" t="s">
        <v>24</v>
      </c>
      <c r="K274" s="15"/>
      <c r="L274" s="21" t="s">
        <v>18</v>
      </c>
      <c r="M274" s="22">
        <v>0</v>
      </c>
      <c r="N274" s="22">
        <v>-3000</v>
      </c>
      <c r="O274" s="22">
        <v>27000</v>
      </c>
      <c r="P274" s="22">
        <v>27000</v>
      </c>
      <c r="Q274" t="str" cm="1">
        <f t="array" ref="Q274">_xlfn.TEXTJOIN("、",TRUE,IF('學員資料-三民高中'!$B$2:$B$454=$F274,'學員資料-三民高中'!$G$2:$G$454,""))</f>
        <v/>
      </c>
      <c r="R274" t="str" cm="1">
        <f t="array" ref="R274">_xlfn.TEXTJOIN("、",TRUE,IF('學員資料-新北高中'!$B$2:$B$583=$F274,'學員資料-新北高中'!$G$2:$G$583,""))</f>
        <v/>
      </c>
      <c r="S274" t="str" cm="1">
        <f t="array" ref="S274">_xlfn.TEXTJOIN("、",TRUE,IF('學員資料-三重商工'!$B$2:$B$472=$F274,'學員資料-三重商工'!$G$2:$G$472,""))</f>
        <v>0926897992</v>
      </c>
      <c r="T274">
        <f t="shared" si="4"/>
        <v>1</v>
      </c>
    </row>
    <row r="275" spans="1:20" ht="43.5" hidden="1" customHeight="1">
      <c r="A275" s="15">
        <v>274</v>
      </c>
      <c r="B275" s="16" t="s">
        <v>1096</v>
      </c>
      <c r="C275" s="17">
        <v>46112</v>
      </c>
      <c r="D275" s="15" t="s">
        <v>1097</v>
      </c>
      <c r="E275" s="18" t="s">
        <v>402</v>
      </c>
      <c r="F275" s="19" t="s">
        <v>1098</v>
      </c>
      <c r="G275" s="18" t="s">
        <v>1099</v>
      </c>
      <c r="H275" s="20" t="s">
        <v>1100</v>
      </c>
      <c r="I275" s="15">
        <v>3</v>
      </c>
      <c r="J275" s="15" t="s">
        <v>26</v>
      </c>
      <c r="K275" s="15"/>
      <c r="L275" s="21" t="s">
        <v>16</v>
      </c>
      <c r="M275" s="22">
        <v>0</v>
      </c>
      <c r="N275" s="22">
        <v>-10800</v>
      </c>
      <c r="O275" s="22">
        <v>43200</v>
      </c>
      <c r="P275" s="22">
        <v>43200</v>
      </c>
      <c r="Q275" t="str" cm="1">
        <f t="array" ref="Q275">_xlfn.TEXTJOIN("、",TRUE,IF('學員資料-三民高中'!$B$2:$B$454=$F275,'學員資料-三民高中'!$G$2:$G$454,""))</f>
        <v/>
      </c>
      <c r="R275" t="str" cm="1">
        <f t="array" ref="R275">_xlfn.TEXTJOIN("、",TRUE,IF('學員資料-新北高中'!$B$2:$B$583=$F275,'學員資料-新北高中'!$G$2:$G$583,""))</f>
        <v>091127938</v>
      </c>
      <c r="S275" t="str" cm="1">
        <f t="array" ref="S275">_xlfn.TEXTJOIN("、",TRUE,IF('學員資料-三重商工'!$B$2:$B$472=$F275,'學員資料-三重商工'!$G$2:$G$472,""))</f>
        <v/>
      </c>
      <c r="T275">
        <f t="shared" si="4"/>
        <v>1</v>
      </c>
    </row>
    <row r="276" spans="1:20" ht="43.5" hidden="1" customHeight="1">
      <c r="A276" s="15">
        <v>275</v>
      </c>
      <c r="B276" s="16" t="s">
        <v>1101</v>
      </c>
      <c r="C276" s="17">
        <v>46111</v>
      </c>
      <c r="D276" s="15" t="s">
        <v>1102</v>
      </c>
      <c r="E276" s="18" t="s">
        <v>402</v>
      </c>
      <c r="F276" s="19" t="s">
        <v>1103</v>
      </c>
      <c r="G276" s="18" t="s">
        <v>1104</v>
      </c>
      <c r="H276" s="20" t="s">
        <v>624</v>
      </c>
      <c r="I276" s="15">
        <v>3</v>
      </c>
      <c r="J276" s="15" t="s">
        <v>24</v>
      </c>
      <c r="K276" s="15"/>
      <c r="L276" s="21" t="s">
        <v>16</v>
      </c>
      <c r="M276" s="22">
        <v>0</v>
      </c>
      <c r="N276" s="22">
        <v>0</v>
      </c>
      <c r="O276" s="22">
        <v>27000</v>
      </c>
      <c r="P276" s="22">
        <v>27000</v>
      </c>
      <c r="Q276" t="str" cm="1">
        <f t="array" ref="Q276">_xlfn.TEXTJOIN("、",TRUE,IF('學員資料-三民高中'!$B$2:$B$454=$F276,'學員資料-三民高中'!$G$2:$G$454,""))</f>
        <v>0922598986</v>
      </c>
      <c r="R276" t="str" cm="1">
        <f t="array" ref="R276">_xlfn.TEXTJOIN("、",TRUE,IF('學員資料-新北高中'!$B$2:$B$583=$F276,'學員資料-新北高中'!$G$2:$G$583,""))</f>
        <v/>
      </c>
      <c r="S276" t="str" cm="1">
        <f t="array" ref="S276">_xlfn.TEXTJOIN("、",TRUE,IF('學員資料-三重商工'!$B$2:$B$472=$F276,'學員資料-三重商工'!$G$2:$G$472,""))</f>
        <v/>
      </c>
      <c r="T276">
        <f t="shared" si="4"/>
        <v>1</v>
      </c>
    </row>
    <row r="277" spans="1:20" ht="28.5" hidden="1" customHeight="1">
      <c r="A277" s="15">
        <v>276</v>
      </c>
      <c r="B277" s="16" t="s">
        <v>1105</v>
      </c>
      <c r="C277" s="17">
        <v>46110</v>
      </c>
      <c r="D277" s="15" t="s">
        <v>1106</v>
      </c>
      <c r="E277" s="18" t="s">
        <v>78</v>
      </c>
      <c r="F277" s="19" t="s">
        <v>1107</v>
      </c>
      <c r="G277" s="18" t="s">
        <v>1108</v>
      </c>
      <c r="H277" s="20" t="s">
        <v>219</v>
      </c>
      <c r="I277" s="15">
        <v>2</v>
      </c>
      <c r="J277" s="15" t="s">
        <v>25</v>
      </c>
      <c r="K277" s="15"/>
      <c r="L277" s="21" t="s">
        <v>16</v>
      </c>
      <c r="M277" s="22">
        <v>0</v>
      </c>
      <c r="N277" s="22">
        <v>-14520</v>
      </c>
      <c r="O277" s="22">
        <v>5280</v>
      </c>
      <c r="P277" s="22">
        <v>5280</v>
      </c>
      <c r="Q277" t="str" cm="1">
        <f t="array" ref="Q277">_xlfn.TEXTJOIN("、",TRUE,IF('學員資料-三民高中'!$B$2:$B$454=$F277,'學員資料-三民高中'!$G$2:$G$454,""))</f>
        <v/>
      </c>
      <c r="R277" t="str" cm="1">
        <f t="array" ref="R277">_xlfn.TEXTJOIN("、",TRUE,IF('學員資料-新北高中'!$B$2:$B$583=$F277,'學員資料-新北高中'!$G$2:$G$583,""))</f>
        <v>0979117563</v>
      </c>
      <c r="S277" t="str" cm="1">
        <f t="array" ref="S277">_xlfn.TEXTJOIN("、",TRUE,IF('學員資料-三重商工'!$B$2:$B$472=$F277,'學員資料-三重商工'!$G$2:$G$472,""))</f>
        <v/>
      </c>
      <c r="T277">
        <f t="shared" si="4"/>
        <v>1</v>
      </c>
    </row>
    <row r="278" spans="1:20" ht="28.5" hidden="1" customHeight="1">
      <c r="A278" s="15">
        <v>277</v>
      </c>
      <c r="B278" s="16" t="s">
        <v>1109</v>
      </c>
      <c r="C278" s="17">
        <v>46110</v>
      </c>
      <c r="D278" s="15" t="s">
        <v>1110</v>
      </c>
      <c r="E278" s="18" t="s">
        <v>78</v>
      </c>
      <c r="F278" s="19" t="s">
        <v>1111</v>
      </c>
      <c r="G278" s="18" t="s">
        <v>1112</v>
      </c>
      <c r="H278" s="20" t="s">
        <v>75</v>
      </c>
      <c r="I278" s="15">
        <v>2</v>
      </c>
      <c r="J278" s="15" t="s">
        <v>23</v>
      </c>
      <c r="K278" s="15"/>
      <c r="L278" s="21" t="s">
        <v>16</v>
      </c>
      <c r="M278" s="22">
        <v>0</v>
      </c>
      <c r="N278" s="22">
        <v>-11940</v>
      </c>
      <c r="O278" s="22">
        <v>1860</v>
      </c>
      <c r="P278" s="22">
        <v>1860</v>
      </c>
      <c r="Q278" t="str" cm="1">
        <f t="array" ref="Q278">_xlfn.TEXTJOIN("、",TRUE,IF('學員資料-三民高中'!$B$2:$B$454=$F278,'學員資料-三民高中'!$G$2:$G$454,""))</f>
        <v/>
      </c>
      <c r="R278" t="str" cm="1">
        <f t="array" ref="R278">_xlfn.TEXTJOIN("、",TRUE,IF('學員資料-新北高中'!$B$2:$B$583=$F278,'學員資料-新北高中'!$G$2:$G$583,""))</f>
        <v>0935697263</v>
      </c>
      <c r="S278" t="str" cm="1">
        <f t="array" ref="S278">_xlfn.TEXTJOIN("、",TRUE,IF('學員資料-三重商工'!$B$2:$B$472=$F278,'學員資料-三重商工'!$G$2:$G$472,""))</f>
        <v/>
      </c>
      <c r="T278">
        <f t="shared" si="4"/>
        <v>1</v>
      </c>
    </row>
    <row r="279" spans="1:20" ht="14.25" hidden="1" customHeight="1">
      <c r="A279" s="15">
        <v>278</v>
      </c>
      <c r="B279" s="16" t="s">
        <v>1113</v>
      </c>
      <c r="C279" s="17">
        <v>46110</v>
      </c>
      <c r="D279" s="15" t="s">
        <v>1114</v>
      </c>
      <c r="E279" s="18" t="s">
        <v>78</v>
      </c>
      <c r="F279" s="19" t="s">
        <v>1065</v>
      </c>
      <c r="G279" s="18" t="s">
        <v>1066</v>
      </c>
      <c r="H279" s="20" t="s">
        <v>52</v>
      </c>
      <c r="I279" s="15">
        <v>1</v>
      </c>
      <c r="J279" s="15" t="s">
        <v>24</v>
      </c>
      <c r="K279" s="15"/>
      <c r="L279" s="21" t="s">
        <v>16</v>
      </c>
      <c r="M279" s="22">
        <v>0</v>
      </c>
      <c r="N279" s="22">
        <v>0</v>
      </c>
      <c r="O279" s="22">
        <v>7500</v>
      </c>
      <c r="P279" s="22">
        <v>7500</v>
      </c>
      <c r="Q279" t="str" cm="1">
        <f t="array" ref="Q279">_xlfn.TEXTJOIN("、",TRUE,IF('學員資料-三民高中'!$B$2:$B$454=$F279,'學員資料-三民高中'!$G$2:$G$454,""))</f>
        <v/>
      </c>
      <c r="R279" t="str" cm="1">
        <f t="array" ref="R279">_xlfn.TEXTJOIN("、",TRUE,IF('學員資料-新北高中'!$B$2:$B$583=$F279,'學員資料-新北高中'!$G$2:$G$583,""))</f>
        <v>0939702466</v>
      </c>
      <c r="S279" t="str" cm="1">
        <f t="array" ref="S279">_xlfn.TEXTJOIN("、",TRUE,IF('學員資料-三重商工'!$B$2:$B$472=$F279,'學員資料-三重商工'!$G$2:$G$472,""))</f>
        <v/>
      </c>
      <c r="T279">
        <f t="shared" si="4"/>
        <v>1</v>
      </c>
    </row>
    <row r="280" spans="1:20" ht="57.75" hidden="1" customHeight="1">
      <c r="A280" s="15">
        <v>279</v>
      </c>
      <c r="B280" s="16" t="s">
        <v>1115</v>
      </c>
      <c r="C280" s="17">
        <v>46110</v>
      </c>
      <c r="D280" s="15" t="s">
        <v>1116</v>
      </c>
      <c r="E280" s="18" t="s">
        <v>127</v>
      </c>
      <c r="F280" s="19" t="s">
        <v>716</v>
      </c>
      <c r="G280" s="18" t="s">
        <v>717</v>
      </c>
      <c r="H280" s="20" t="s">
        <v>1117</v>
      </c>
      <c r="I280" s="15">
        <v>4</v>
      </c>
      <c r="J280" s="15" t="s">
        <v>25</v>
      </c>
      <c r="K280" s="15"/>
      <c r="L280" s="21" t="s">
        <v>16</v>
      </c>
      <c r="M280" s="22">
        <v>0</v>
      </c>
      <c r="N280" s="22">
        <v>0</v>
      </c>
      <c r="O280" s="22">
        <v>39600</v>
      </c>
      <c r="P280" s="22">
        <v>39600</v>
      </c>
      <c r="Q280" t="str" cm="1">
        <f t="array" ref="Q280">_xlfn.TEXTJOIN("、",TRUE,IF('學員資料-三民高中'!$B$2:$B$454=$F280,'學員資料-三民高中'!$G$2:$G$454,""))</f>
        <v/>
      </c>
      <c r="R280" t="str" cm="1">
        <f t="array" ref="R280">_xlfn.TEXTJOIN("、",TRUE,IF('學員資料-新北高中'!$B$2:$B$583=$F280,'學員資料-新北高中'!$G$2:$G$583,""))</f>
        <v/>
      </c>
      <c r="S280" t="str" cm="1">
        <f t="array" ref="S280">_xlfn.TEXTJOIN("、",TRUE,IF('學員資料-三重商工'!$B$2:$B$472=$F280,'學員資料-三重商工'!$G$2:$G$472,""))</f>
        <v>0928573701</v>
      </c>
      <c r="T280">
        <f t="shared" si="4"/>
        <v>1</v>
      </c>
    </row>
    <row r="281" spans="1:20" ht="14.25" hidden="1" customHeight="1">
      <c r="A281" s="15">
        <v>280</v>
      </c>
      <c r="B281" s="16" t="s">
        <v>1118</v>
      </c>
      <c r="C281" s="17">
        <v>46109</v>
      </c>
      <c r="D281" s="15" t="s">
        <v>1119</v>
      </c>
      <c r="E281" s="18" t="s">
        <v>78</v>
      </c>
      <c r="F281" s="19" t="s">
        <v>422</v>
      </c>
      <c r="G281" s="18" t="s">
        <v>423</v>
      </c>
      <c r="H281" s="20" t="s">
        <v>66</v>
      </c>
      <c r="I281" s="15">
        <v>1</v>
      </c>
      <c r="J281" s="15" t="s">
        <v>23</v>
      </c>
      <c r="K281" s="15"/>
      <c r="L281" s="21" t="s">
        <v>16</v>
      </c>
      <c r="M281" s="22">
        <v>0</v>
      </c>
      <c r="N281" s="22">
        <v>0</v>
      </c>
      <c r="O281" s="22">
        <v>6900</v>
      </c>
      <c r="P281" s="22">
        <v>6900</v>
      </c>
      <c r="Q281" t="str" cm="1">
        <f t="array" ref="Q281">_xlfn.TEXTJOIN("、",TRUE,IF('學員資料-三民高中'!$B$2:$B$454=$F281,'學員資料-三民高中'!$G$2:$G$454,""))</f>
        <v>0975763360</v>
      </c>
      <c r="R281" t="str" cm="1">
        <f t="array" ref="R281">_xlfn.TEXTJOIN("、",TRUE,IF('學員資料-新北高中'!$B$2:$B$583=$F281,'學員資料-新北高中'!$G$2:$G$583,""))</f>
        <v/>
      </c>
      <c r="S281" t="str" cm="1">
        <f t="array" ref="S281">_xlfn.TEXTJOIN("、",TRUE,IF('學員資料-三重商工'!$B$2:$B$472=$F281,'學員資料-三重商工'!$G$2:$G$472,""))</f>
        <v/>
      </c>
      <c r="T281">
        <f t="shared" si="4"/>
        <v>1</v>
      </c>
    </row>
    <row r="282" spans="1:20" ht="14.25" hidden="1" customHeight="1">
      <c r="A282" s="15">
        <v>281</v>
      </c>
      <c r="B282" s="16" t="s">
        <v>1120</v>
      </c>
      <c r="C282" s="17">
        <v>46109</v>
      </c>
      <c r="D282" s="15" t="s">
        <v>1121</v>
      </c>
      <c r="E282" s="18" t="s">
        <v>78</v>
      </c>
      <c r="F282" s="19" t="s">
        <v>1005</v>
      </c>
      <c r="G282" s="18" t="s">
        <v>1006</v>
      </c>
      <c r="H282" s="20" t="s">
        <v>52</v>
      </c>
      <c r="I282" s="15">
        <v>1</v>
      </c>
      <c r="J282" s="15" t="s">
        <v>24</v>
      </c>
      <c r="K282" s="15"/>
      <c r="L282" s="21" t="s">
        <v>16</v>
      </c>
      <c r="M282" s="22">
        <v>0</v>
      </c>
      <c r="N282" s="22">
        <v>0</v>
      </c>
      <c r="O282" s="22">
        <v>7500</v>
      </c>
      <c r="P282" s="22">
        <v>7500</v>
      </c>
      <c r="Q282" t="str" cm="1">
        <f t="array" ref="Q282">_xlfn.TEXTJOIN("、",TRUE,IF('學員資料-三民高中'!$B$2:$B$454=$F282,'學員資料-三民高中'!$G$2:$G$454,""))</f>
        <v>0989954861</v>
      </c>
      <c r="R282" t="str" cm="1">
        <f t="array" ref="R282">_xlfn.TEXTJOIN("、",TRUE,IF('學員資料-新北高中'!$B$2:$B$583=$F282,'學員資料-新北高中'!$G$2:$G$583,""))</f>
        <v/>
      </c>
      <c r="S282" t="str" cm="1">
        <f t="array" ref="S282">_xlfn.TEXTJOIN("、",TRUE,IF('學員資料-三重商工'!$B$2:$B$472=$F282,'學員資料-三重商工'!$G$2:$G$472,""))</f>
        <v/>
      </c>
      <c r="T282">
        <f t="shared" si="4"/>
        <v>1</v>
      </c>
    </row>
    <row r="283" spans="1:20" ht="14.25" hidden="1" customHeight="1">
      <c r="A283" s="15">
        <v>282</v>
      </c>
      <c r="B283" s="16" t="s">
        <v>1122</v>
      </c>
      <c r="C283" s="17">
        <v>46107</v>
      </c>
      <c r="D283" s="15" t="s">
        <v>1123</v>
      </c>
      <c r="E283" s="18" t="s">
        <v>83</v>
      </c>
      <c r="F283" s="19" t="s">
        <v>651</v>
      </c>
      <c r="G283" s="18" t="s">
        <v>652</v>
      </c>
      <c r="H283" s="20" t="s">
        <v>47</v>
      </c>
      <c r="I283" s="15">
        <v>1</v>
      </c>
      <c r="J283" s="15" t="s">
        <v>24</v>
      </c>
      <c r="K283" s="15"/>
      <c r="L283" s="21" t="s">
        <v>18</v>
      </c>
      <c r="M283" s="22">
        <v>0</v>
      </c>
      <c r="N283" s="22">
        <v>0</v>
      </c>
      <c r="O283" s="22">
        <v>9000</v>
      </c>
      <c r="P283" s="22">
        <v>9000</v>
      </c>
      <c r="Q283" t="str" cm="1">
        <f t="array" ref="Q283">_xlfn.TEXTJOIN("、",TRUE,IF('學員資料-三民高中'!$B$2:$B$454=$F283,'學員資料-三民高中'!$G$2:$G$454,""))</f>
        <v/>
      </c>
      <c r="R283" t="str" cm="1">
        <f t="array" ref="R283">_xlfn.TEXTJOIN("、",TRUE,IF('學員資料-新北高中'!$B$2:$B$583=$F283,'學員資料-新北高中'!$G$2:$G$583,""))</f>
        <v/>
      </c>
      <c r="S283" t="str" cm="1">
        <f t="array" ref="S283">_xlfn.TEXTJOIN("、",TRUE,IF('學員資料-三重商工'!$B$2:$B$472=$F283,'學員資料-三重商工'!$G$2:$G$472,""))</f>
        <v>0916688755.3</v>
      </c>
      <c r="T283">
        <f t="shared" si="4"/>
        <v>1</v>
      </c>
    </row>
    <row r="284" spans="1:20" ht="14.25" hidden="1" customHeight="1">
      <c r="A284" s="15">
        <v>283</v>
      </c>
      <c r="B284" s="16" t="s">
        <v>1124</v>
      </c>
      <c r="C284" s="17">
        <v>46106</v>
      </c>
      <c r="D284" s="15" t="s">
        <v>1125</v>
      </c>
      <c r="E284" s="18" t="s">
        <v>83</v>
      </c>
      <c r="F284" s="19" t="s">
        <v>622</v>
      </c>
      <c r="G284" s="18" t="s">
        <v>623</v>
      </c>
      <c r="H284" s="20" t="s">
        <v>47</v>
      </c>
      <c r="I284" s="15">
        <v>1</v>
      </c>
      <c r="J284" s="15" t="s">
        <v>24</v>
      </c>
      <c r="K284" s="15"/>
      <c r="L284" s="21" t="s">
        <v>16</v>
      </c>
      <c r="M284" s="22">
        <v>0</v>
      </c>
      <c r="N284" s="22">
        <v>-1080</v>
      </c>
      <c r="O284" s="22">
        <v>7920</v>
      </c>
      <c r="P284" s="22">
        <v>7920</v>
      </c>
      <c r="Q284" t="str" cm="1">
        <f t="array" ref="Q284">_xlfn.TEXTJOIN("、",TRUE,IF('學員資料-三民高中'!$B$2:$B$454=$F284,'學員資料-三民高中'!$G$2:$G$454,""))</f>
        <v/>
      </c>
      <c r="R284" t="str" cm="1">
        <f t="array" ref="R284">_xlfn.TEXTJOIN("、",TRUE,IF('學員資料-新北高中'!$B$2:$B$583=$F284,'學員資料-新北高中'!$G$2:$G$583,""))</f>
        <v/>
      </c>
      <c r="S284" t="str" cm="1">
        <f t="array" ref="S284">_xlfn.TEXTJOIN("、",TRUE,IF('學員資料-三重商工'!$B$2:$B$472=$F284,'學員資料-三重商工'!$G$2:$G$472,""))</f>
        <v>0989564153</v>
      </c>
      <c r="T284">
        <f t="shared" si="4"/>
        <v>1</v>
      </c>
    </row>
    <row r="285" spans="1:20" ht="28.5" hidden="1" customHeight="1">
      <c r="A285" s="15">
        <v>284</v>
      </c>
      <c r="B285" s="16" t="s">
        <v>1126</v>
      </c>
      <c r="C285" s="17">
        <v>46105</v>
      </c>
      <c r="D285" s="15" t="s">
        <v>1127</v>
      </c>
      <c r="E285" s="18" t="s">
        <v>83</v>
      </c>
      <c r="F285" s="19" t="s">
        <v>1128</v>
      </c>
      <c r="G285" s="18" t="s">
        <v>1129</v>
      </c>
      <c r="H285" s="20" t="s">
        <v>99</v>
      </c>
      <c r="I285" s="15">
        <v>2</v>
      </c>
      <c r="J285" s="15" t="s">
        <v>24</v>
      </c>
      <c r="K285" s="15"/>
      <c r="L285" s="21" t="s">
        <v>18</v>
      </c>
      <c r="M285" s="22">
        <v>0</v>
      </c>
      <c r="N285" s="22">
        <v>0</v>
      </c>
      <c r="O285" s="22">
        <v>15000</v>
      </c>
      <c r="P285" s="22">
        <v>15000</v>
      </c>
      <c r="Q285" t="str" cm="1">
        <f t="array" ref="Q285">_xlfn.TEXTJOIN("、",TRUE,IF('學員資料-三民高中'!$B$2:$B$454=$F285,'學員資料-三民高中'!$G$2:$G$454,""))</f>
        <v/>
      </c>
      <c r="R285" t="str" cm="1">
        <f t="array" ref="R285">_xlfn.TEXTJOIN("、",TRUE,IF('學員資料-新北高中'!$B$2:$B$583=$F285,'學員資料-新北高中'!$G$2:$G$583,""))</f>
        <v/>
      </c>
      <c r="S285" t="str" cm="1">
        <f t="array" ref="S285">_xlfn.TEXTJOIN("、",TRUE,IF('學員資料-三重商工'!$B$2:$B$472=$F285,'學員資料-三重商工'!$G$2:$G$472,""))</f>
        <v>0910844225</v>
      </c>
      <c r="T285">
        <f t="shared" si="4"/>
        <v>1</v>
      </c>
    </row>
    <row r="286" spans="1:20" ht="14.25" hidden="1" customHeight="1">
      <c r="A286" s="15">
        <v>285</v>
      </c>
      <c r="B286" s="16" t="s">
        <v>1130</v>
      </c>
      <c r="C286" s="17">
        <v>46104</v>
      </c>
      <c r="D286" s="15" t="s">
        <v>1131</v>
      </c>
      <c r="E286" s="18" t="s">
        <v>83</v>
      </c>
      <c r="F286" s="19" t="s">
        <v>975</v>
      </c>
      <c r="G286" s="18" t="s">
        <v>976</v>
      </c>
      <c r="H286" s="20" t="s">
        <v>66</v>
      </c>
      <c r="I286" s="15">
        <v>1</v>
      </c>
      <c r="J286" s="15" t="s">
        <v>23</v>
      </c>
      <c r="K286" s="15"/>
      <c r="L286" s="21" t="s">
        <v>16</v>
      </c>
      <c r="M286" s="22">
        <v>0</v>
      </c>
      <c r="N286" s="22">
        <v>0</v>
      </c>
      <c r="O286" s="22">
        <v>6900</v>
      </c>
      <c r="P286" s="22">
        <v>6900</v>
      </c>
      <c r="Q286" t="str" cm="1">
        <f t="array" ref="Q286">_xlfn.TEXTJOIN("、",TRUE,IF('學員資料-三民高中'!$B$2:$B$454=$F286,'學員資料-三民高中'!$G$2:$G$454,""))</f>
        <v/>
      </c>
      <c r="R286" t="str" cm="1">
        <f t="array" ref="R286">_xlfn.TEXTJOIN("、",TRUE,IF('學員資料-新北高中'!$B$2:$B$583=$F286,'學員資料-新北高中'!$G$2:$G$583,""))</f>
        <v>0983818899</v>
      </c>
      <c r="S286" t="str" cm="1">
        <f t="array" ref="S286">_xlfn.TEXTJOIN("、",TRUE,IF('學員資料-三重商工'!$B$2:$B$472=$F286,'學員資料-三重商工'!$G$2:$G$472,""))</f>
        <v/>
      </c>
      <c r="T286">
        <f t="shared" si="4"/>
        <v>1</v>
      </c>
    </row>
    <row r="287" spans="1:20" ht="43.5" hidden="1" customHeight="1">
      <c r="A287" s="15">
        <v>286</v>
      </c>
      <c r="B287" s="16" t="s">
        <v>1132</v>
      </c>
      <c r="C287" s="17">
        <v>46104</v>
      </c>
      <c r="D287" s="15" t="s">
        <v>1133</v>
      </c>
      <c r="E287" s="18" t="s">
        <v>83</v>
      </c>
      <c r="F287" s="19" t="s">
        <v>1134</v>
      </c>
      <c r="G287" s="18" t="s">
        <v>1135</v>
      </c>
      <c r="H287" s="20" t="s">
        <v>436</v>
      </c>
      <c r="I287" s="15">
        <v>3</v>
      </c>
      <c r="J287" s="15" t="s">
        <v>24</v>
      </c>
      <c r="K287" s="15"/>
      <c r="L287" s="21" t="s">
        <v>18</v>
      </c>
      <c r="M287" s="22">
        <v>0</v>
      </c>
      <c r="N287" s="22">
        <v>-4500</v>
      </c>
      <c r="O287" s="22">
        <v>18000</v>
      </c>
      <c r="P287" s="22">
        <v>18000</v>
      </c>
      <c r="Q287" t="str" cm="1">
        <f t="array" ref="Q287">_xlfn.TEXTJOIN("、",TRUE,IF('學員資料-三民高中'!$B$2:$B$454=$F287,'學員資料-三民高中'!$G$2:$G$454,""))</f>
        <v/>
      </c>
      <c r="R287" t="str" cm="1">
        <f t="array" ref="R287">_xlfn.TEXTJOIN("、",TRUE,IF('學員資料-新北高中'!$B$2:$B$583=$F287,'學員資料-新北高中'!$G$2:$G$583,""))</f>
        <v/>
      </c>
      <c r="S287" t="str" cm="1">
        <f t="array" ref="S287">_xlfn.TEXTJOIN("、",TRUE,IF('學員資料-三重商工'!$B$2:$B$472=$F287,'學員資料-三重商工'!$G$2:$G$472,""))</f>
        <v>0910317925</v>
      </c>
      <c r="T287">
        <f t="shared" si="4"/>
        <v>1</v>
      </c>
    </row>
    <row r="288" spans="1:20" ht="14.25" hidden="1" customHeight="1">
      <c r="A288" s="15">
        <v>287</v>
      </c>
      <c r="B288" s="16" t="s">
        <v>1136</v>
      </c>
      <c r="C288" s="17">
        <v>46103</v>
      </c>
      <c r="D288" s="15" t="s">
        <v>1137</v>
      </c>
      <c r="E288" s="18" t="s">
        <v>44</v>
      </c>
      <c r="F288" s="19" t="s">
        <v>1027</v>
      </c>
      <c r="G288" s="18" t="s">
        <v>1028</v>
      </c>
      <c r="H288" s="20" t="s">
        <v>115</v>
      </c>
      <c r="I288" s="15">
        <v>1</v>
      </c>
      <c r="J288" s="15" t="s">
        <v>24</v>
      </c>
      <c r="K288" s="21" t="s">
        <v>116</v>
      </c>
      <c r="L288" s="21" t="s">
        <v>16</v>
      </c>
      <c r="M288" s="22">
        <v>0</v>
      </c>
      <c r="N288" s="22">
        <v>-1399</v>
      </c>
      <c r="O288" s="22">
        <v>1</v>
      </c>
      <c r="P288" s="22">
        <v>1</v>
      </c>
      <c r="Q288" t="str" cm="1">
        <f t="array" ref="Q288">_xlfn.TEXTJOIN("、",TRUE,IF('學員資料-三民高中'!$B$2:$B$454=$F288,'學員資料-三民高中'!$G$2:$G$454,""))</f>
        <v/>
      </c>
      <c r="R288" t="str" cm="1">
        <f t="array" ref="R288">_xlfn.TEXTJOIN("、",TRUE,IF('學員資料-新北高中'!$B$2:$B$583=$F288,'學員資料-新北高中'!$G$2:$G$583,""))</f>
        <v>0958657336</v>
      </c>
      <c r="S288" t="str" cm="1">
        <f t="array" ref="S288">_xlfn.TEXTJOIN("、",TRUE,IF('學員資料-三重商工'!$B$2:$B$472=$F288,'學員資料-三重商工'!$G$2:$G$472,""))</f>
        <v/>
      </c>
      <c r="T288">
        <f t="shared" si="4"/>
        <v>1</v>
      </c>
    </row>
    <row r="289" spans="1:20" ht="14.25" hidden="1" customHeight="1">
      <c r="A289" s="15">
        <v>288</v>
      </c>
      <c r="B289" s="16" t="s">
        <v>1138</v>
      </c>
      <c r="C289" s="17">
        <v>46102</v>
      </c>
      <c r="D289" s="15" t="s">
        <v>1139</v>
      </c>
      <c r="E289" s="18" t="s">
        <v>44</v>
      </c>
      <c r="F289" s="19" t="s">
        <v>1140</v>
      </c>
      <c r="G289" s="18" t="s">
        <v>1141</v>
      </c>
      <c r="H289" s="20" t="s">
        <v>1142</v>
      </c>
      <c r="I289" s="15">
        <v>1</v>
      </c>
      <c r="J289" s="15" t="s">
        <v>25</v>
      </c>
      <c r="K289" s="15"/>
      <c r="L289" s="21" t="s">
        <v>16</v>
      </c>
      <c r="M289" s="22">
        <v>0</v>
      </c>
      <c r="N289" s="22">
        <v>0</v>
      </c>
      <c r="O289" s="22">
        <v>11880</v>
      </c>
      <c r="P289" s="22">
        <v>11880</v>
      </c>
      <c r="Q289" t="str" cm="1">
        <f t="array" ref="Q289">_xlfn.TEXTJOIN("、",TRUE,IF('學員資料-三民高中'!$B$2:$B$454=$F289,'學員資料-三民高中'!$G$2:$G$454,""))</f>
        <v/>
      </c>
      <c r="R289" t="str" cm="1">
        <f t="array" ref="R289">_xlfn.TEXTJOIN("、",TRUE,IF('學員資料-新北高中'!$B$2:$B$583=$F289,'學員資料-新北高中'!$G$2:$G$583,""))</f>
        <v/>
      </c>
      <c r="S289" t="str" cm="1">
        <f t="array" ref="S289">_xlfn.TEXTJOIN("、",TRUE,IF('學員資料-三重商工'!$B$2:$B$472=$F289,'學員資料-三重商工'!$G$2:$G$472,""))</f>
        <v>0912094878</v>
      </c>
      <c r="T289">
        <f t="shared" si="4"/>
        <v>1</v>
      </c>
    </row>
    <row r="290" spans="1:20" ht="14.25" hidden="1" customHeight="1">
      <c r="A290" s="15">
        <v>289</v>
      </c>
      <c r="B290" s="16" t="s">
        <v>1143</v>
      </c>
      <c r="C290" s="17">
        <v>46102</v>
      </c>
      <c r="D290" s="15" t="s">
        <v>1144</v>
      </c>
      <c r="E290" s="18" t="s">
        <v>44</v>
      </c>
      <c r="F290" s="19" t="s">
        <v>1145</v>
      </c>
      <c r="G290" s="18" t="s">
        <v>1146</v>
      </c>
      <c r="H290" s="20" t="s">
        <v>210</v>
      </c>
      <c r="I290" s="15">
        <v>1</v>
      </c>
      <c r="J290" s="15" t="s">
        <v>26</v>
      </c>
      <c r="K290" s="15"/>
      <c r="L290" s="21" t="s">
        <v>16</v>
      </c>
      <c r="M290" s="22">
        <v>0</v>
      </c>
      <c r="N290" s="22">
        <v>0</v>
      </c>
      <c r="O290" s="22">
        <v>12000</v>
      </c>
      <c r="P290" s="22">
        <v>12000</v>
      </c>
      <c r="Q290" t="str" cm="1">
        <f t="array" ref="Q290">_xlfn.TEXTJOIN("、",TRUE,IF('學員資料-三民高中'!$B$2:$B$454=$F290,'學員資料-三民高中'!$G$2:$G$454,""))</f>
        <v/>
      </c>
      <c r="R290" t="str" cm="1">
        <f t="array" ref="R290">_xlfn.TEXTJOIN("、",TRUE,IF('學員資料-新北高中'!$B$2:$B$583=$F290,'學員資料-新北高中'!$G$2:$G$583,""))</f>
        <v/>
      </c>
      <c r="S290" t="str" cm="1">
        <f t="array" ref="S290">_xlfn.TEXTJOIN("、",TRUE,IF('學員資料-三重商工'!$B$2:$B$472=$F290,'學員資料-三重商工'!$G$2:$G$472,""))</f>
        <v>0975127077</v>
      </c>
      <c r="T290">
        <f t="shared" si="4"/>
        <v>1</v>
      </c>
    </row>
    <row r="291" spans="1:20" ht="14.25" hidden="1" customHeight="1">
      <c r="A291" s="15">
        <v>290</v>
      </c>
      <c r="B291" s="16" t="s">
        <v>1147</v>
      </c>
      <c r="C291" s="17">
        <v>46102</v>
      </c>
      <c r="D291" s="15" t="s">
        <v>1148</v>
      </c>
      <c r="E291" s="18" t="s">
        <v>161</v>
      </c>
      <c r="F291" s="19" t="s">
        <v>1149</v>
      </c>
      <c r="G291" s="18" t="s">
        <v>1150</v>
      </c>
      <c r="H291" s="20" t="s">
        <v>112</v>
      </c>
      <c r="I291" s="15">
        <v>1</v>
      </c>
      <c r="J291" s="15" t="s">
        <v>23</v>
      </c>
      <c r="K291" s="15"/>
      <c r="L291" s="21" t="s">
        <v>16</v>
      </c>
      <c r="M291" s="22">
        <v>0</v>
      </c>
      <c r="N291" s="22">
        <v>0</v>
      </c>
      <c r="O291" s="22">
        <v>8280</v>
      </c>
      <c r="P291" s="22">
        <v>8280</v>
      </c>
      <c r="Q291" t="str" cm="1">
        <f t="array" ref="Q291">_xlfn.TEXTJOIN("、",TRUE,IF('學員資料-三民高中'!$B$2:$B$454=$F291,'學員資料-三民高中'!$G$2:$G$454,""))</f>
        <v/>
      </c>
      <c r="R291" t="str" cm="1">
        <f t="array" ref="R291">_xlfn.TEXTJOIN("、",TRUE,IF('學員資料-新北高中'!$B$2:$B$583=$F291,'學員資料-新北高中'!$G$2:$G$583,""))</f>
        <v>0921812164</v>
      </c>
      <c r="S291" t="str" cm="1">
        <f t="array" ref="S291">_xlfn.TEXTJOIN("、",TRUE,IF('學員資料-三重商工'!$B$2:$B$472=$F291,'學員資料-三重商工'!$G$2:$G$472,""))</f>
        <v/>
      </c>
      <c r="T291">
        <f t="shared" si="4"/>
        <v>1</v>
      </c>
    </row>
    <row r="292" spans="1:20" ht="14.25" hidden="1" customHeight="1">
      <c r="A292" s="15">
        <v>291</v>
      </c>
      <c r="B292" s="16" t="s">
        <v>1151</v>
      </c>
      <c r="C292" s="17">
        <v>46102</v>
      </c>
      <c r="D292" s="15" t="s">
        <v>1152</v>
      </c>
      <c r="E292" s="18" t="s">
        <v>161</v>
      </c>
      <c r="F292" s="19" t="s">
        <v>251</v>
      </c>
      <c r="G292" s="18" t="s">
        <v>252</v>
      </c>
      <c r="H292" s="20" t="s">
        <v>52</v>
      </c>
      <c r="I292" s="15">
        <v>1</v>
      </c>
      <c r="J292" s="15" t="s">
        <v>24</v>
      </c>
      <c r="K292" s="15"/>
      <c r="L292" s="21" t="s">
        <v>16</v>
      </c>
      <c r="M292" s="22">
        <v>0</v>
      </c>
      <c r="N292" s="22">
        <v>0</v>
      </c>
      <c r="O292" s="22">
        <v>7500</v>
      </c>
      <c r="P292" s="22">
        <v>7500</v>
      </c>
      <c r="Q292" t="str" cm="1">
        <f t="array" ref="Q292">_xlfn.TEXTJOIN("、",TRUE,IF('學員資料-三民高中'!$B$2:$B$454=$F292,'學員資料-三民高中'!$G$2:$G$454,""))</f>
        <v/>
      </c>
      <c r="R292" t="str" cm="1">
        <f t="array" ref="R292">_xlfn.TEXTJOIN("、",TRUE,IF('學員資料-新北高中'!$B$2:$B$583=$F292,'學員資料-新北高中'!$G$2:$G$583,""))</f>
        <v>0921929959</v>
      </c>
      <c r="S292" t="str" cm="1">
        <f t="array" ref="S292">_xlfn.TEXTJOIN("、",TRUE,IF('學員資料-三重商工'!$B$2:$B$472=$F292,'學員資料-三重商工'!$G$2:$G$472,""))</f>
        <v/>
      </c>
      <c r="T292">
        <f t="shared" si="4"/>
        <v>1</v>
      </c>
    </row>
    <row r="293" spans="1:20" ht="14.25" hidden="1" customHeight="1">
      <c r="A293" s="15">
        <v>292</v>
      </c>
      <c r="B293" s="16" t="s">
        <v>1153</v>
      </c>
      <c r="C293" s="17">
        <v>46102</v>
      </c>
      <c r="D293" s="15" t="s">
        <v>1154</v>
      </c>
      <c r="E293" s="18" t="s">
        <v>44</v>
      </c>
      <c r="F293" s="19" t="s">
        <v>743</v>
      </c>
      <c r="G293" s="18" t="s">
        <v>744</v>
      </c>
      <c r="H293" s="20" t="s">
        <v>66</v>
      </c>
      <c r="I293" s="15">
        <v>1</v>
      </c>
      <c r="J293" s="15" t="s">
        <v>23</v>
      </c>
      <c r="K293" s="15"/>
      <c r="L293" s="21" t="s">
        <v>16</v>
      </c>
      <c r="M293" s="22">
        <v>0</v>
      </c>
      <c r="N293" s="22">
        <v>0</v>
      </c>
      <c r="O293" s="22">
        <v>6900</v>
      </c>
      <c r="P293" s="22">
        <v>6900</v>
      </c>
      <c r="Q293" t="str" cm="1">
        <f t="array" ref="Q293">_xlfn.TEXTJOIN("、",TRUE,IF('學員資料-三民高中'!$B$2:$B$454=$F293,'學員資料-三民高中'!$G$2:$G$454,""))</f>
        <v/>
      </c>
      <c r="R293" t="str" cm="1">
        <f t="array" ref="R293">_xlfn.TEXTJOIN("、",TRUE,IF('學員資料-新北高中'!$B$2:$B$583=$F293,'學員資料-新北高中'!$G$2:$G$583,""))</f>
        <v/>
      </c>
      <c r="S293" t="str" cm="1">
        <f t="array" ref="S293">_xlfn.TEXTJOIN("、",TRUE,IF('學員資料-三重商工'!$B$2:$B$472=$F293,'學員資料-三重商工'!$G$2:$G$472,""))</f>
        <v>0926556590</v>
      </c>
      <c r="T293">
        <f t="shared" si="4"/>
        <v>1</v>
      </c>
    </row>
    <row r="294" spans="1:20" ht="14.25" hidden="1" customHeight="1">
      <c r="A294" s="15">
        <v>293</v>
      </c>
      <c r="B294" s="16" t="s">
        <v>1155</v>
      </c>
      <c r="C294" s="17">
        <v>46102</v>
      </c>
      <c r="D294" s="15" t="s">
        <v>1156</v>
      </c>
      <c r="E294" s="18" t="s">
        <v>44</v>
      </c>
      <c r="F294" s="19" t="s">
        <v>792</v>
      </c>
      <c r="G294" s="18" t="s">
        <v>793</v>
      </c>
      <c r="H294" s="20" t="s">
        <v>115</v>
      </c>
      <c r="I294" s="15">
        <v>1</v>
      </c>
      <c r="J294" s="15" t="s">
        <v>24</v>
      </c>
      <c r="K294" s="21" t="s">
        <v>116</v>
      </c>
      <c r="L294" s="21" t="s">
        <v>16</v>
      </c>
      <c r="M294" s="22">
        <v>0</v>
      </c>
      <c r="N294" s="22">
        <v>0</v>
      </c>
      <c r="O294" s="22">
        <v>1400</v>
      </c>
      <c r="P294" s="22">
        <v>1400</v>
      </c>
      <c r="Q294" t="str" cm="1">
        <f t="array" ref="Q294">_xlfn.TEXTJOIN("、",TRUE,IF('學員資料-三民高中'!$B$2:$B$454=$F294,'學員資料-三民高中'!$G$2:$G$454,""))</f>
        <v/>
      </c>
      <c r="R294" t="str" cm="1">
        <f t="array" ref="R294">_xlfn.TEXTJOIN("、",TRUE,IF('學員資料-新北高中'!$B$2:$B$583=$F294,'學員資料-新北高中'!$G$2:$G$583,""))</f>
        <v/>
      </c>
      <c r="S294" t="str" cm="1">
        <f t="array" ref="S294">_xlfn.TEXTJOIN("、",TRUE,IF('學員資料-三重商工'!$B$2:$B$472=$F294,'學員資料-三重商工'!$G$2:$G$472,""))</f>
        <v>0953623959</v>
      </c>
      <c r="T294">
        <f t="shared" si="4"/>
        <v>1</v>
      </c>
    </row>
    <row r="295" spans="1:20" ht="57.75" hidden="1" customHeight="1">
      <c r="A295" s="15">
        <v>294</v>
      </c>
      <c r="B295" s="16" t="s">
        <v>1157</v>
      </c>
      <c r="C295" s="17">
        <v>46101</v>
      </c>
      <c r="D295" s="15" t="s">
        <v>1158</v>
      </c>
      <c r="E295" s="18" t="s">
        <v>44</v>
      </c>
      <c r="F295" s="19" t="s">
        <v>1159</v>
      </c>
      <c r="G295" s="18" t="s">
        <v>1160</v>
      </c>
      <c r="H295" s="20" t="s">
        <v>989</v>
      </c>
      <c r="I295" s="15">
        <v>4</v>
      </c>
      <c r="J295" s="15" t="s">
        <v>24</v>
      </c>
      <c r="K295" s="15"/>
      <c r="L295" s="21" t="s">
        <v>16</v>
      </c>
      <c r="M295" s="22">
        <v>0</v>
      </c>
      <c r="N295" s="22">
        <v>-6000</v>
      </c>
      <c r="O295" s="22">
        <v>24000</v>
      </c>
      <c r="P295" s="22">
        <v>24000</v>
      </c>
      <c r="Q295" t="str" cm="1">
        <f t="array" ref="Q295">_xlfn.TEXTJOIN("、",TRUE,IF('學員資料-三民高中'!$B$2:$B$454=$F295,'學員資料-三民高中'!$G$2:$G$454,""))</f>
        <v>0912567346</v>
      </c>
      <c r="R295" t="str" cm="1">
        <f t="array" ref="R295">_xlfn.TEXTJOIN("、",TRUE,IF('學員資料-新北高中'!$B$2:$B$583=$F295,'學員資料-新北高中'!$G$2:$G$583,""))</f>
        <v/>
      </c>
      <c r="S295" t="str" cm="1">
        <f t="array" ref="S295">_xlfn.TEXTJOIN("、",TRUE,IF('學員資料-三重商工'!$B$2:$B$472=$F295,'學員資料-三重商工'!$G$2:$G$472,""))</f>
        <v/>
      </c>
      <c r="T295">
        <f t="shared" si="4"/>
        <v>1</v>
      </c>
    </row>
    <row r="296" spans="1:20" ht="14.25" hidden="1" customHeight="1">
      <c r="A296" s="15">
        <v>295</v>
      </c>
      <c r="B296" s="16" t="s">
        <v>1161</v>
      </c>
      <c r="C296" s="17">
        <v>46101</v>
      </c>
      <c r="D296" s="15" t="s">
        <v>1162</v>
      </c>
      <c r="E296" s="18" t="s">
        <v>44</v>
      </c>
      <c r="F296" s="19" t="s">
        <v>128</v>
      </c>
      <c r="G296" s="18" t="s">
        <v>129</v>
      </c>
      <c r="H296" s="20" t="s">
        <v>130</v>
      </c>
      <c r="I296" s="15">
        <v>1</v>
      </c>
      <c r="J296" s="15" t="s">
        <v>25</v>
      </c>
      <c r="K296" s="15"/>
      <c r="L296" s="21" t="s">
        <v>16</v>
      </c>
      <c r="M296" s="22">
        <v>0</v>
      </c>
      <c r="N296" s="22">
        <v>-1188</v>
      </c>
      <c r="O296" s="22">
        <v>8712</v>
      </c>
      <c r="P296" s="22">
        <v>8712</v>
      </c>
      <c r="Q296" t="str" cm="1">
        <f t="array" ref="Q296">_xlfn.TEXTJOIN("、",TRUE,IF('學員資料-三民高中'!$B$2:$B$454=$F296,'學員資料-三民高中'!$G$2:$G$454,""))</f>
        <v>0989648031</v>
      </c>
      <c r="R296" t="str" cm="1">
        <f t="array" ref="R296">_xlfn.TEXTJOIN("、",TRUE,IF('學員資料-新北高中'!$B$2:$B$583=$F296,'學員資料-新北高中'!$G$2:$G$583,""))</f>
        <v/>
      </c>
      <c r="S296" t="str" cm="1">
        <f t="array" ref="S296">_xlfn.TEXTJOIN("、",TRUE,IF('學員資料-三重商工'!$B$2:$B$472=$F296,'學員資料-三重商工'!$G$2:$G$472,""))</f>
        <v/>
      </c>
      <c r="T296">
        <f t="shared" si="4"/>
        <v>1</v>
      </c>
    </row>
    <row r="297" spans="1:20" ht="14.25" hidden="1" customHeight="1">
      <c r="A297" s="15">
        <v>296</v>
      </c>
      <c r="B297" s="16" t="s">
        <v>1163</v>
      </c>
      <c r="C297" s="17">
        <v>46100</v>
      </c>
      <c r="D297" s="15" t="s">
        <v>1164</v>
      </c>
      <c r="E297" s="18" t="s">
        <v>83</v>
      </c>
      <c r="F297" s="19" t="s">
        <v>743</v>
      </c>
      <c r="G297" s="18" t="s">
        <v>744</v>
      </c>
      <c r="H297" s="20" t="s">
        <v>399</v>
      </c>
      <c r="I297" s="15">
        <v>1</v>
      </c>
      <c r="J297" s="15" t="s">
        <v>23</v>
      </c>
      <c r="K297" s="21" t="s">
        <v>116</v>
      </c>
      <c r="L297" s="21" t="s">
        <v>16</v>
      </c>
      <c r="M297" s="22">
        <v>0</v>
      </c>
      <c r="N297" s="22">
        <v>0</v>
      </c>
      <c r="O297" s="22">
        <v>1200</v>
      </c>
      <c r="P297" s="22">
        <v>1200</v>
      </c>
      <c r="Q297" t="str" cm="1">
        <f t="array" ref="Q297">_xlfn.TEXTJOIN("、",TRUE,IF('學員資料-三民高中'!$B$2:$B$454=$F297,'學員資料-三民高中'!$G$2:$G$454,""))</f>
        <v/>
      </c>
      <c r="R297" t="str" cm="1">
        <f t="array" ref="R297">_xlfn.TEXTJOIN("、",TRUE,IF('學員資料-新北高中'!$B$2:$B$583=$F297,'學員資料-新北高中'!$G$2:$G$583,""))</f>
        <v/>
      </c>
      <c r="S297" t="str" cm="1">
        <f t="array" ref="S297">_xlfn.TEXTJOIN("、",TRUE,IF('學員資料-三重商工'!$B$2:$B$472=$F297,'學員資料-三重商工'!$G$2:$G$472,""))</f>
        <v>0926556590</v>
      </c>
      <c r="T297">
        <f t="shared" si="4"/>
        <v>1</v>
      </c>
    </row>
    <row r="298" spans="1:20" ht="14.25" hidden="1" customHeight="1">
      <c r="A298" s="15">
        <v>297</v>
      </c>
      <c r="B298" s="16" t="s">
        <v>1165</v>
      </c>
      <c r="C298" s="17">
        <v>46096</v>
      </c>
      <c r="D298" s="15" t="s">
        <v>1166</v>
      </c>
      <c r="E298" s="18" t="s">
        <v>44</v>
      </c>
      <c r="F298" s="19" t="s">
        <v>526</v>
      </c>
      <c r="G298" s="18" t="s">
        <v>527</v>
      </c>
      <c r="H298" s="20" t="s">
        <v>112</v>
      </c>
      <c r="I298" s="15">
        <v>1</v>
      </c>
      <c r="J298" s="15" t="s">
        <v>23</v>
      </c>
      <c r="K298" s="15"/>
      <c r="L298" s="21" t="s">
        <v>16</v>
      </c>
      <c r="M298" s="22">
        <v>0</v>
      </c>
      <c r="N298" s="22">
        <v>-414</v>
      </c>
      <c r="O298" s="22">
        <v>7866</v>
      </c>
      <c r="P298" s="22">
        <v>7866</v>
      </c>
      <c r="Q298" t="str" cm="1">
        <f t="array" ref="Q298">_xlfn.TEXTJOIN("、",TRUE,IF('學員資料-三民高中'!$B$2:$B$454=$F298,'學員資料-三民高中'!$G$2:$G$454,""))</f>
        <v/>
      </c>
      <c r="R298" t="str" cm="1">
        <f t="array" ref="R298">_xlfn.TEXTJOIN("、",TRUE,IF('學員資料-新北高中'!$B$2:$B$583=$F298,'學員資料-新北高中'!$G$2:$G$583,""))</f>
        <v/>
      </c>
      <c r="S298" t="str" cm="1">
        <f t="array" ref="S298">_xlfn.TEXTJOIN("、",TRUE,IF('學員資料-三重商工'!$B$2:$B$472=$F298,'學員資料-三重商工'!$G$2:$G$472,""))</f>
        <v>0925395167</v>
      </c>
      <c r="T298">
        <f t="shared" si="4"/>
        <v>1</v>
      </c>
    </row>
    <row r="299" spans="1:20" ht="43.5" hidden="1" customHeight="1">
      <c r="A299" s="15">
        <v>298</v>
      </c>
      <c r="B299" s="16" t="s">
        <v>1167</v>
      </c>
      <c r="C299" s="17">
        <v>46096</v>
      </c>
      <c r="D299" s="15" t="s">
        <v>1168</v>
      </c>
      <c r="E299" s="18" t="s">
        <v>44</v>
      </c>
      <c r="F299" s="19" t="s">
        <v>1169</v>
      </c>
      <c r="G299" s="18" t="s">
        <v>1170</v>
      </c>
      <c r="H299" s="20" t="s">
        <v>528</v>
      </c>
      <c r="I299" s="15">
        <v>3</v>
      </c>
      <c r="J299" s="15" t="s">
        <v>23</v>
      </c>
      <c r="K299" s="15"/>
      <c r="L299" s="21" t="s">
        <v>16</v>
      </c>
      <c r="M299" s="22">
        <v>0</v>
      </c>
      <c r="N299" s="22">
        <v>-2484</v>
      </c>
      <c r="O299" s="22">
        <v>22356</v>
      </c>
      <c r="P299" s="22">
        <v>22356</v>
      </c>
      <c r="Q299" t="str" cm="1">
        <f t="array" ref="Q299">_xlfn.TEXTJOIN("、",TRUE,IF('學員資料-三民高中'!$B$2:$B$454=$F299,'學員資料-三民高中'!$G$2:$G$454,""))</f>
        <v/>
      </c>
      <c r="R299" t="str" cm="1">
        <f t="array" ref="R299">_xlfn.TEXTJOIN("、",TRUE,IF('學員資料-新北高中'!$B$2:$B$583=$F299,'學員資料-新北高中'!$G$2:$G$583,""))</f>
        <v/>
      </c>
      <c r="S299" t="str" cm="1">
        <f t="array" ref="S299">_xlfn.TEXTJOIN("、",TRUE,IF('學員資料-三重商工'!$B$2:$B$472=$F299,'學員資料-三重商工'!$G$2:$G$472,""))</f>
        <v>0916803354</v>
      </c>
      <c r="T299">
        <f t="shared" si="4"/>
        <v>1</v>
      </c>
    </row>
    <row r="300" spans="1:20" ht="14.25" hidden="1" customHeight="1">
      <c r="A300" s="15">
        <v>299</v>
      </c>
      <c r="B300" s="16" t="s">
        <v>1171</v>
      </c>
      <c r="C300" s="17">
        <v>46096</v>
      </c>
      <c r="D300" s="15" t="s">
        <v>1172</v>
      </c>
      <c r="E300" s="18" t="s">
        <v>537</v>
      </c>
      <c r="F300" s="19" t="s">
        <v>79</v>
      </c>
      <c r="G300" s="18" t="s">
        <v>80</v>
      </c>
      <c r="H300" s="20" t="s">
        <v>66</v>
      </c>
      <c r="I300" s="15">
        <v>1</v>
      </c>
      <c r="J300" s="15" t="s">
        <v>23</v>
      </c>
      <c r="K300" s="15"/>
      <c r="L300" s="21" t="s">
        <v>16</v>
      </c>
      <c r="M300" s="22">
        <v>0</v>
      </c>
      <c r="N300" s="22">
        <v>0</v>
      </c>
      <c r="O300" s="22">
        <v>6900</v>
      </c>
      <c r="P300" s="22">
        <v>6900</v>
      </c>
      <c r="Q300" t="str" cm="1">
        <f t="array" ref="Q300">_xlfn.TEXTJOIN("、",TRUE,IF('學員資料-三民高中'!$B$2:$B$454=$F300,'學員資料-三民高中'!$G$2:$G$454,""))</f>
        <v>0926037987</v>
      </c>
      <c r="R300" t="str" cm="1">
        <f t="array" ref="R300">_xlfn.TEXTJOIN("、",TRUE,IF('學員資料-新北高中'!$B$2:$B$583=$F300,'學員資料-新北高中'!$G$2:$G$583,""))</f>
        <v/>
      </c>
      <c r="S300" t="str" cm="1">
        <f t="array" ref="S300">_xlfn.TEXTJOIN("、",TRUE,IF('學員資料-三重商工'!$B$2:$B$472=$F300,'學員資料-三重商工'!$G$2:$G$472,""))</f>
        <v/>
      </c>
      <c r="T300">
        <f t="shared" si="4"/>
        <v>1</v>
      </c>
    </row>
    <row r="301" spans="1:20" ht="14.25" hidden="1" customHeight="1">
      <c r="A301" s="15">
        <v>300</v>
      </c>
      <c r="B301" s="16" t="s">
        <v>1173</v>
      </c>
      <c r="C301" s="17">
        <v>46095</v>
      </c>
      <c r="D301" s="15" t="s">
        <v>1174</v>
      </c>
      <c r="E301" s="18" t="s">
        <v>78</v>
      </c>
      <c r="F301" s="19" t="s">
        <v>1175</v>
      </c>
      <c r="G301" s="18" t="s">
        <v>1176</v>
      </c>
      <c r="H301" s="20" t="s">
        <v>66</v>
      </c>
      <c r="I301" s="15">
        <v>1</v>
      </c>
      <c r="J301" s="15" t="s">
        <v>23</v>
      </c>
      <c r="K301" s="15"/>
      <c r="L301" s="21" t="s">
        <v>16</v>
      </c>
      <c r="M301" s="22">
        <v>0</v>
      </c>
      <c r="N301" s="22">
        <v>-4830</v>
      </c>
      <c r="O301" s="22">
        <v>2070</v>
      </c>
      <c r="P301" s="22">
        <v>2070</v>
      </c>
      <c r="Q301" t="str" cm="1">
        <f t="array" ref="Q301">_xlfn.TEXTJOIN("、",TRUE,IF('學員資料-三民高中'!$B$2:$B$454=$F301,'學員資料-三民高中'!$G$2:$G$454,""))</f>
        <v>0963008351</v>
      </c>
      <c r="R301" t="str" cm="1">
        <f t="array" ref="R301">_xlfn.TEXTJOIN("、",TRUE,IF('學員資料-新北高中'!$B$2:$B$583=$F301,'學員資料-新北高中'!$G$2:$G$583,""))</f>
        <v/>
      </c>
      <c r="S301" t="str" cm="1">
        <f t="array" ref="S301">_xlfn.TEXTJOIN("、",TRUE,IF('學員資料-三重商工'!$B$2:$B$472=$F301,'學員資料-三重商工'!$G$2:$G$472,""))</f>
        <v/>
      </c>
      <c r="T301">
        <f t="shared" si="4"/>
        <v>1</v>
      </c>
    </row>
    <row r="302" spans="1:20" ht="14.25" hidden="1" customHeight="1">
      <c r="A302" s="15">
        <v>301</v>
      </c>
      <c r="B302" s="16" t="s">
        <v>1177</v>
      </c>
      <c r="C302" s="17">
        <v>46095</v>
      </c>
      <c r="D302" s="15" t="s">
        <v>1178</v>
      </c>
      <c r="E302" s="18" t="s">
        <v>78</v>
      </c>
      <c r="F302" s="19" t="s">
        <v>1175</v>
      </c>
      <c r="G302" s="18" t="s">
        <v>1176</v>
      </c>
      <c r="H302" s="20" t="s">
        <v>66</v>
      </c>
      <c r="I302" s="15">
        <v>1</v>
      </c>
      <c r="J302" s="15" t="s">
        <v>23</v>
      </c>
      <c r="K302" s="15"/>
      <c r="L302" s="21" t="s">
        <v>16</v>
      </c>
      <c r="M302" s="22">
        <v>0</v>
      </c>
      <c r="N302" s="22">
        <v>0</v>
      </c>
      <c r="O302" s="22">
        <v>6900</v>
      </c>
      <c r="P302" s="22">
        <v>6900</v>
      </c>
      <c r="Q302" t="str" cm="1">
        <f t="array" ref="Q302">_xlfn.TEXTJOIN("、",TRUE,IF('學員資料-三民高中'!$B$2:$B$454=$F302,'學員資料-三民高中'!$G$2:$G$454,""))</f>
        <v>0963008351</v>
      </c>
      <c r="R302" t="str" cm="1">
        <f t="array" ref="R302">_xlfn.TEXTJOIN("、",TRUE,IF('學員資料-新北高中'!$B$2:$B$583=$F302,'學員資料-新北高中'!$G$2:$G$583,""))</f>
        <v/>
      </c>
      <c r="S302" t="str" cm="1">
        <f t="array" ref="S302">_xlfn.TEXTJOIN("、",TRUE,IF('學員資料-三重商工'!$B$2:$B$472=$F302,'學員資料-三重商工'!$G$2:$G$472,""))</f>
        <v/>
      </c>
      <c r="T302">
        <f t="shared" si="4"/>
        <v>1</v>
      </c>
    </row>
    <row r="303" spans="1:20" ht="14.25" hidden="1" customHeight="1">
      <c r="A303" s="15">
        <v>302</v>
      </c>
      <c r="B303" s="16" t="s">
        <v>1179</v>
      </c>
      <c r="C303" s="17">
        <v>46095</v>
      </c>
      <c r="D303" s="15" t="s">
        <v>1180</v>
      </c>
      <c r="E303" s="18" t="s">
        <v>78</v>
      </c>
      <c r="F303" s="19" t="s">
        <v>1175</v>
      </c>
      <c r="G303" s="18" t="s">
        <v>1176</v>
      </c>
      <c r="H303" s="20" t="s">
        <v>66</v>
      </c>
      <c r="I303" s="15">
        <v>1</v>
      </c>
      <c r="J303" s="15" t="s">
        <v>23</v>
      </c>
      <c r="K303" s="15"/>
      <c r="L303" s="21" t="s">
        <v>16</v>
      </c>
      <c r="M303" s="22">
        <v>0</v>
      </c>
      <c r="N303" s="22">
        <v>0</v>
      </c>
      <c r="O303" s="22">
        <v>6900</v>
      </c>
      <c r="P303" s="22">
        <v>6900</v>
      </c>
      <c r="Q303" t="str" cm="1">
        <f t="array" ref="Q303">_xlfn.TEXTJOIN("、",TRUE,IF('學員資料-三民高中'!$B$2:$B$454=$F303,'學員資料-三民高中'!$G$2:$G$454,""))</f>
        <v>0963008351</v>
      </c>
      <c r="R303" t="str" cm="1">
        <f t="array" ref="R303">_xlfn.TEXTJOIN("、",TRUE,IF('學員資料-新北高中'!$B$2:$B$583=$F303,'學員資料-新北高中'!$G$2:$G$583,""))</f>
        <v/>
      </c>
      <c r="S303" t="str" cm="1">
        <f t="array" ref="S303">_xlfn.TEXTJOIN("、",TRUE,IF('學員資料-三重商工'!$B$2:$B$472=$F303,'學員資料-三重商工'!$G$2:$G$472,""))</f>
        <v/>
      </c>
      <c r="T303">
        <f t="shared" si="4"/>
        <v>1</v>
      </c>
    </row>
    <row r="304" spans="1:20" ht="14.25" hidden="1" customHeight="1">
      <c r="A304" s="15">
        <v>303</v>
      </c>
      <c r="B304" s="16" t="s">
        <v>1181</v>
      </c>
      <c r="C304" s="17">
        <v>46095</v>
      </c>
      <c r="D304" s="15" t="s">
        <v>1182</v>
      </c>
      <c r="E304" s="18" t="s">
        <v>78</v>
      </c>
      <c r="F304" s="19" t="s">
        <v>1175</v>
      </c>
      <c r="G304" s="18" t="s">
        <v>1176</v>
      </c>
      <c r="H304" s="20" t="s">
        <v>66</v>
      </c>
      <c r="I304" s="15">
        <v>1</v>
      </c>
      <c r="J304" s="15" t="s">
        <v>23</v>
      </c>
      <c r="K304" s="15"/>
      <c r="L304" s="21" t="s">
        <v>16</v>
      </c>
      <c r="M304" s="22">
        <v>0</v>
      </c>
      <c r="N304" s="22">
        <v>0</v>
      </c>
      <c r="O304" s="22">
        <v>6900</v>
      </c>
      <c r="P304" s="22">
        <v>6900</v>
      </c>
      <c r="Q304" t="str" cm="1">
        <f t="array" ref="Q304">_xlfn.TEXTJOIN("、",TRUE,IF('學員資料-三民高中'!$B$2:$B$454=$F304,'學員資料-三民高中'!$G$2:$G$454,""))</f>
        <v>0963008351</v>
      </c>
      <c r="R304" t="str" cm="1">
        <f t="array" ref="R304">_xlfn.TEXTJOIN("、",TRUE,IF('學員資料-新北高中'!$B$2:$B$583=$F304,'學員資料-新北高中'!$G$2:$G$583,""))</f>
        <v/>
      </c>
      <c r="S304" t="str" cm="1">
        <f t="array" ref="S304">_xlfn.TEXTJOIN("、",TRUE,IF('學員資料-三重商工'!$B$2:$B$472=$F304,'學員資料-三重商工'!$G$2:$G$472,""))</f>
        <v/>
      </c>
      <c r="T304">
        <f t="shared" si="4"/>
        <v>1</v>
      </c>
    </row>
    <row r="305" spans="1:20" ht="14.25" hidden="1" customHeight="1">
      <c r="A305" s="15">
        <v>304</v>
      </c>
      <c r="B305" s="16" t="s">
        <v>1183</v>
      </c>
      <c r="C305" s="17">
        <v>46095</v>
      </c>
      <c r="D305" s="15" t="s">
        <v>1184</v>
      </c>
      <c r="E305" s="18" t="s">
        <v>78</v>
      </c>
      <c r="F305" s="19" t="s">
        <v>1175</v>
      </c>
      <c r="G305" s="18" t="s">
        <v>1176</v>
      </c>
      <c r="H305" s="20" t="s">
        <v>66</v>
      </c>
      <c r="I305" s="15">
        <v>1</v>
      </c>
      <c r="J305" s="15" t="s">
        <v>23</v>
      </c>
      <c r="K305" s="15"/>
      <c r="L305" s="21" t="s">
        <v>16</v>
      </c>
      <c r="M305" s="22">
        <v>0</v>
      </c>
      <c r="N305" s="22">
        <v>0</v>
      </c>
      <c r="O305" s="22">
        <v>6900</v>
      </c>
      <c r="P305" s="22">
        <v>6900</v>
      </c>
      <c r="Q305" t="str" cm="1">
        <f t="array" ref="Q305">_xlfn.TEXTJOIN("、",TRUE,IF('學員資料-三民高中'!$B$2:$B$454=$F305,'學員資料-三民高中'!$G$2:$G$454,""))</f>
        <v>0963008351</v>
      </c>
      <c r="R305" t="str" cm="1">
        <f t="array" ref="R305">_xlfn.TEXTJOIN("、",TRUE,IF('學員資料-新北高中'!$B$2:$B$583=$F305,'學員資料-新北高中'!$G$2:$G$583,""))</f>
        <v/>
      </c>
      <c r="S305" t="str" cm="1">
        <f t="array" ref="S305">_xlfn.TEXTJOIN("、",TRUE,IF('學員資料-三重商工'!$B$2:$B$472=$F305,'學員資料-三重商工'!$G$2:$G$472,""))</f>
        <v/>
      </c>
      <c r="T305">
        <f t="shared" si="4"/>
        <v>1</v>
      </c>
    </row>
    <row r="306" spans="1:20" ht="14.25" hidden="1" customHeight="1">
      <c r="A306" s="15">
        <v>305</v>
      </c>
      <c r="B306" s="16" t="s">
        <v>1185</v>
      </c>
      <c r="C306" s="17">
        <v>46095</v>
      </c>
      <c r="D306" s="15" t="s">
        <v>1186</v>
      </c>
      <c r="E306" s="18" t="s">
        <v>78</v>
      </c>
      <c r="F306" s="19" t="s">
        <v>1175</v>
      </c>
      <c r="G306" s="18" t="s">
        <v>1176</v>
      </c>
      <c r="H306" s="20" t="s">
        <v>66</v>
      </c>
      <c r="I306" s="15">
        <v>1</v>
      </c>
      <c r="J306" s="15" t="s">
        <v>23</v>
      </c>
      <c r="K306" s="15"/>
      <c r="L306" s="21" t="s">
        <v>16</v>
      </c>
      <c r="M306" s="22">
        <v>0</v>
      </c>
      <c r="N306" s="22">
        <v>0</v>
      </c>
      <c r="O306" s="22">
        <v>6900</v>
      </c>
      <c r="P306" s="22">
        <v>6900</v>
      </c>
      <c r="Q306" t="str" cm="1">
        <f t="array" ref="Q306">_xlfn.TEXTJOIN("、",TRUE,IF('學員資料-三民高中'!$B$2:$B$454=$F306,'學員資料-三民高中'!$G$2:$G$454,""))</f>
        <v>0963008351</v>
      </c>
      <c r="R306" t="str" cm="1">
        <f t="array" ref="R306">_xlfn.TEXTJOIN("、",TRUE,IF('學員資料-新北高中'!$B$2:$B$583=$F306,'學員資料-新北高中'!$G$2:$G$583,""))</f>
        <v/>
      </c>
      <c r="S306" t="str" cm="1">
        <f t="array" ref="S306">_xlfn.TEXTJOIN("、",TRUE,IF('學員資料-三重商工'!$B$2:$B$472=$F306,'學員資料-三重商工'!$G$2:$G$472,""))</f>
        <v/>
      </c>
      <c r="T306">
        <f t="shared" si="4"/>
        <v>1</v>
      </c>
    </row>
    <row r="307" spans="1:20" ht="14.25" hidden="1" customHeight="1">
      <c r="A307" s="15">
        <v>306</v>
      </c>
      <c r="B307" s="16" t="s">
        <v>1187</v>
      </c>
      <c r="C307" s="17">
        <v>46095</v>
      </c>
      <c r="D307" s="15" t="s">
        <v>1188</v>
      </c>
      <c r="E307" s="18" t="s">
        <v>78</v>
      </c>
      <c r="F307" s="19" t="s">
        <v>1175</v>
      </c>
      <c r="G307" s="18" t="s">
        <v>1176</v>
      </c>
      <c r="H307" s="20" t="s">
        <v>66</v>
      </c>
      <c r="I307" s="15">
        <v>1</v>
      </c>
      <c r="J307" s="15" t="s">
        <v>23</v>
      </c>
      <c r="K307" s="15"/>
      <c r="L307" s="21" t="s">
        <v>16</v>
      </c>
      <c r="M307" s="22">
        <v>0</v>
      </c>
      <c r="N307" s="22">
        <v>0</v>
      </c>
      <c r="O307" s="22">
        <v>6900</v>
      </c>
      <c r="P307" s="22">
        <v>6900</v>
      </c>
      <c r="Q307" t="str" cm="1">
        <f t="array" ref="Q307">_xlfn.TEXTJOIN("、",TRUE,IF('學員資料-三民高中'!$B$2:$B$454=$F307,'學員資料-三民高中'!$G$2:$G$454,""))</f>
        <v>0963008351</v>
      </c>
      <c r="R307" t="str" cm="1">
        <f t="array" ref="R307">_xlfn.TEXTJOIN("、",TRUE,IF('學員資料-新北高中'!$B$2:$B$583=$F307,'學員資料-新北高中'!$G$2:$G$583,""))</f>
        <v/>
      </c>
      <c r="S307" t="str" cm="1">
        <f t="array" ref="S307">_xlfn.TEXTJOIN("、",TRUE,IF('學員資料-三重商工'!$B$2:$B$472=$F307,'學員資料-三重商工'!$G$2:$G$472,""))</f>
        <v/>
      </c>
      <c r="T307">
        <f t="shared" si="4"/>
        <v>1</v>
      </c>
    </row>
    <row r="308" spans="1:20" ht="14.25" hidden="1" customHeight="1">
      <c r="A308" s="15">
        <v>307</v>
      </c>
      <c r="B308" s="16" t="s">
        <v>1189</v>
      </c>
      <c r="C308" s="17">
        <v>46095</v>
      </c>
      <c r="D308" s="15" t="s">
        <v>1190</v>
      </c>
      <c r="E308" s="18" t="s">
        <v>537</v>
      </c>
      <c r="F308" s="19" t="s">
        <v>1191</v>
      </c>
      <c r="G308" s="18" t="s">
        <v>1192</v>
      </c>
      <c r="H308" s="20" t="s">
        <v>52</v>
      </c>
      <c r="I308" s="15">
        <v>1</v>
      </c>
      <c r="J308" s="15" t="s">
        <v>24</v>
      </c>
      <c r="K308" s="15"/>
      <c r="L308" s="21" t="s">
        <v>16</v>
      </c>
      <c r="M308" s="22">
        <v>0</v>
      </c>
      <c r="N308" s="22">
        <v>-900</v>
      </c>
      <c r="O308" s="22">
        <v>6600</v>
      </c>
      <c r="P308" s="22">
        <v>6600</v>
      </c>
      <c r="Q308" t="str" cm="1">
        <f t="array" ref="Q308">_xlfn.TEXTJOIN("、",TRUE,IF('學員資料-三民高中'!$B$2:$B$454=$F308,'學員資料-三民高中'!$G$2:$G$454,""))</f>
        <v>0958889153-1</v>
      </c>
      <c r="R308" t="str" cm="1">
        <f t="array" ref="R308">_xlfn.TEXTJOIN("、",TRUE,IF('學員資料-新北高中'!$B$2:$B$583=$F308,'學員資料-新北高中'!$G$2:$G$583,""))</f>
        <v/>
      </c>
      <c r="S308" t="str" cm="1">
        <f t="array" ref="S308">_xlfn.TEXTJOIN("、",TRUE,IF('學員資料-三重商工'!$B$2:$B$472=$F308,'學員資料-三重商工'!$G$2:$G$472,""))</f>
        <v/>
      </c>
      <c r="T308">
        <f t="shared" si="4"/>
        <v>1</v>
      </c>
    </row>
    <row r="309" spans="1:20" ht="14.25" hidden="1" customHeight="1">
      <c r="A309" s="15">
        <v>308</v>
      </c>
      <c r="B309" s="16" t="s">
        <v>1193</v>
      </c>
      <c r="C309" s="17">
        <v>46095</v>
      </c>
      <c r="D309" s="15" t="s">
        <v>1194</v>
      </c>
      <c r="E309" s="18" t="s">
        <v>44</v>
      </c>
      <c r="F309" s="19" t="s">
        <v>647</v>
      </c>
      <c r="G309" s="18" t="s">
        <v>648</v>
      </c>
      <c r="H309" s="20" t="s">
        <v>112</v>
      </c>
      <c r="I309" s="15">
        <v>1</v>
      </c>
      <c r="J309" s="15" t="s">
        <v>23</v>
      </c>
      <c r="K309" s="15"/>
      <c r="L309" s="21" t="s">
        <v>16</v>
      </c>
      <c r="M309" s="22">
        <v>0</v>
      </c>
      <c r="N309" s="22">
        <v>-414</v>
      </c>
      <c r="O309" s="22">
        <v>7866</v>
      </c>
      <c r="P309" s="22">
        <v>7866</v>
      </c>
      <c r="Q309" t="str" cm="1">
        <f t="array" ref="Q309">_xlfn.TEXTJOIN("、",TRUE,IF('學員資料-三民高中'!$B$2:$B$454=$F309,'學員資料-三民高中'!$G$2:$G$454,""))</f>
        <v/>
      </c>
      <c r="R309" t="str" cm="1">
        <f t="array" ref="R309">_xlfn.TEXTJOIN("、",TRUE,IF('學員資料-新北高中'!$B$2:$B$583=$F309,'學員資料-新北高中'!$G$2:$G$583,""))</f>
        <v/>
      </c>
      <c r="S309" t="str" cm="1">
        <f t="array" ref="S309">_xlfn.TEXTJOIN("、",TRUE,IF('學員資料-三重商工'!$B$2:$B$472=$F309,'學員資料-三重商工'!$G$2:$G$472,""))</f>
        <v>0925126718</v>
      </c>
      <c r="T309">
        <f t="shared" si="4"/>
        <v>1</v>
      </c>
    </row>
    <row r="310" spans="1:20" ht="28.5" hidden="1" customHeight="1">
      <c r="A310" s="15">
        <v>309</v>
      </c>
      <c r="B310" s="16" t="s">
        <v>1195</v>
      </c>
      <c r="C310" s="17">
        <v>46094</v>
      </c>
      <c r="D310" s="15" t="s">
        <v>1196</v>
      </c>
      <c r="E310" s="18" t="s">
        <v>537</v>
      </c>
      <c r="F310" s="19" t="s">
        <v>1197</v>
      </c>
      <c r="G310" s="18" t="s">
        <v>1198</v>
      </c>
      <c r="H310" s="20" t="s">
        <v>219</v>
      </c>
      <c r="I310" s="15">
        <v>2</v>
      </c>
      <c r="J310" s="15" t="s">
        <v>25</v>
      </c>
      <c r="K310" s="15"/>
      <c r="L310" s="21" t="s">
        <v>16</v>
      </c>
      <c r="M310" s="22">
        <v>0</v>
      </c>
      <c r="N310" s="22">
        <v>-9240</v>
      </c>
      <c r="O310" s="22">
        <v>10560</v>
      </c>
      <c r="P310" s="22">
        <v>10560</v>
      </c>
      <c r="Q310" t="str" cm="1">
        <f t="array" ref="Q310">_xlfn.TEXTJOIN("、",TRUE,IF('學員資料-三民高中'!$B$2:$B$454=$F310,'學員資料-三民高中'!$G$2:$G$454,""))</f>
        <v/>
      </c>
      <c r="R310" t="str" cm="1">
        <f t="array" ref="R310">_xlfn.TEXTJOIN("、",TRUE,IF('學員資料-新北高中'!$B$2:$B$583=$F310,'學員資料-新北高中'!$G$2:$G$583,""))</f>
        <v>0955125822</v>
      </c>
      <c r="S310" t="str" cm="1">
        <f t="array" ref="S310">_xlfn.TEXTJOIN("、",TRUE,IF('學員資料-三重商工'!$B$2:$B$472=$F310,'學員資料-三重商工'!$G$2:$G$472,""))</f>
        <v/>
      </c>
      <c r="T310">
        <f t="shared" si="4"/>
        <v>1</v>
      </c>
    </row>
    <row r="311" spans="1:20" ht="28.5" hidden="1" customHeight="1">
      <c r="A311" s="15">
        <v>310</v>
      </c>
      <c r="B311" s="16" t="s">
        <v>1199</v>
      </c>
      <c r="C311" s="17">
        <v>46094</v>
      </c>
      <c r="D311" s="15" t="s">
        <v>1200</v>
      </c>
      <c r="E311" s="18" t="s">
        <v>537</v>
      </c>
      <c r="F311" s="19" t="s">
        <v>1197</v>
      </c>
      <c r="G311" s="18" t="s">
        <v>1198</v>
      </c>
      <c r="H311" s="20" t="s">
        <v>219</v>
      </c>
      <c r="I311" s="15">
        <v>2</v>
      </c>
      <c r="J311" s="15" t="s">
        <v>25</v>
      </c>
      <c r="K311" s="15"/>
      <c r="L311" s="21" t="s">
        <v>16</v>
      </c>
      <c r="M311" s="22">
        <v>0</v>
      </c>
      <c r="N311" s="22">
        <v>-9240</v>
      </c>
      <c r="O311" s="22">
        <v>10560</v>
      </c>
      <c r="P311" s="22">
        <v>10560</v>
      </c>
      <c r="Q311" t="str" cm="1">
        <f t="array" ref="Q311">_xlfn.TEXTJOIN("、",TRUE,IF('學員資料-三民高中'!$B$2:$B$454=$F311,'學員資料-三民高中'!$G$2:$G$454,""))</f>
        <v/>
      </c>
      <c r="R311" t="str" cm="1">
        <f t="array" ref="R311">_xlfn.TEXTJOIN("、",TRUE,IF('學員資料-新北高中'!$B$2:$B$583=$F311,'學員資料-新北高中'!$G$2:$G$583,""))</f>
        <v>0955125822</v>
      </c>
      <c r="S311" t="str" cm="1">
        <f t="array" ref="S311">_xlfn.TEXTJOIN("、",TRUE,IF('學員資料-三重商工'!$B$2:$B$472=$F311,'學員資料-三重商工'!$G$2:$G$472,""))</f>
        <v/>
      </c>
      <c r="T311">
        <f t="shared" si="4"/>
        <v>1</v>
      </c>
    </row>
    <row r="312" spans="1:20" ht="28.5" hidden="1" customHeight="1">
      <c r="A312" s="15">
        <v>311</v>
      </c>
      <c r="B312" s="16" t="s">
        <v>1201</v>
      </c>
      <c r="C312" s="17">
        <v>46094</v>
      </c>
      <c r="D312" s="15" t="s">
        <v>1202</v>
      </c>
      <c r="E312" s="18" t="s">
        <v>537</v>
      </c>
      <c r="F312" s="19" t="s">
        <v>1197</v>
      </c>
      <c r="G312" s="18" t="s">
        <v>1198</v>
      </c>
      <c r="H312" s="20" t="s">
        <v>219</v>
      </c>
      <c r="I312" s="15">
        <v>2</v>
      </c>
      <c r="J312" s="15" t="s">
        <v>25</v>
      </c>
      <c r="K312" s="15"/>
      <c r="L312" s="21" t="s">
        <v>16</v>
      </c>
      <c r="M312" s="22">
        <v>0</v>
      </c>
      <c r="N312" s="22">
        <v>-9240</v>
      </c>
      <c r="O312" s="22">
        <v>10560</v>
      </c>
      <c r="P312" s="22">
        <v>10560</v>
      </c>
      <c r="Q312" t="str" cm="1">
        <f t="array" ref="Q312">_xlfn.TEXTJOIN("、",TRUE,IF('學員資料-三民高中'!$B$2:$B$454=$F312,'學員資料-三民高中'!$G$2:$G$454,""))</f>
        <v/>
      </c>
      <c r="R312" t="str" cm="1">
        <f t="array" ref="R312">_xlfn.TEXTJOIN("、",TRUE,IF('學員資料-新北高中'!$B$2:$B$583=$F312,'學員資料-新北高中'!$G$2:$G$583,""))</f>
        <v>0955125822</v>
      </c>
      <c r="S312" t="str" cm="1">
        <f t="array" ref="S312">_xlfn.TEXTJOIN("、",TRUE,IF('學員資料-三重商工'!$B$2:$B$472=$F312,'學員資料-三重商工'!$G$2:$G$472,""))</f>
        <v/>
      </c>
      <c r="T312">
        <f t="shared" si="4"/>
        <v>1</v>
      </c>
    </row>
    <row r="313" spans="1:20" ht="14.25" hidden="1" customHeight="1">
      <c r="A313" s="15">
        <v>312</v>
      </c>
      <c r="B313" s="16" t="s">
        <v>1203</v>
      </c>
      <c r="C313" s="17">
        <v>46092</v>
      </c>
      <c r="D313" s="15" t="s">
        <v>1204</v>
      </c>
      <c r="E313" s="18" t="s">
        <v>83</v>
      </c>
      <c r="F313" s="19" t="s">
        <v>647</v>
      </c>
      <c r="G313" s="18" t="s">
        <v>648</v>
      </c>
      <c r="H313" s="20" t="s">
        <v>800</v>
      </c>
      <c r="I313" s="15">
        <v>1</v>
      </c>
      <c r="J313" s="15" t="s">
        <v>23</v>
      </c>
      <c r="K313" s="21" t="s">
        <v>116</v>
      </c>
      <c r="L313" s="21" t="s">
        <v>16</v>
      </c>
      <c r="M313" s="22">
        <v>0</v>
      </c>
      <c r="N313" s="22">
        <v>0</v>
      </c>
      <c r="O313" s="22">
        <v>1440</v>
      </c>
      <c r="P313" s="22">
        <v>1440</v>
      </c>
      <c r="Q313" t="str" cm="1">
        <f t="array" ref="Q313">_xlfn.TEXTJOIN("、",TRUE,IF('學員資料-三民高中'!$B$2:$B$454=$F313,'學員資料-三民高中'!$G$2:$G$454,""))</f>
        <v/>
      </c>
      <c r="R313" t="str" cm="1">
        <f t="array" ref="R313">_xlfn.TEXTJOIN("、",TRUE,IF('學員資料-新北高中'!$B$2:$B$583=$F313,'學員資料-新北高中'!$G$2:$G$583,""))</f>
        <v/>
      </c>
      <c r="S313" t="str" cm="1">
        <f t="array" ref="S313">_xlfn.TEXTJOIN("、",TRUE,IF('學員資料-三重商工'!$B$2:$B$472=$F313,'學員資料-三重商工'!$G$2:$G$472,""))</f>
        <v>0925126718</v>
      </c>
      <c r="T313">
        <f t="shared" si="4"/>
        <v>1</v>
      </c>
    </row>
    <row r="314" spans="1:20" ht="14.25" hidden="1" customHeight="1">
      <c r="A314" s="15">
        <v>313</v>
      </c>
      <c r="B314" s="16" t="s">
        <v>1205</v>
      </c>
      <c r="C314" s="17">
        <v>46091</v>
      </c>
      <c r="D314" s="15" t="s">
        <v>1206</v>
      </c>
      <c r="E314" s="18" t="s">
        <v>83</v>
      </c>
      <c r="F314" s="19" t="s">
        <v>1207</v>
      </c>
      <c r="G314" s="18" t="s">
        <v>1208</v>
      </c>
      <c r="H314" s="20" t="s">
        <v>130</v>
      </c>
      <c r="I314" s="15">
        <v>1</v>
      </c>
      <c r="J314" s="15" t="s">
        <v>25</v>
      </c>
      <c r="K314" s="15"/>
      <c r="L314" s="21" t="s">
        <v>18</v>
      </c>
      <c r="M314" s="22">
        <v>0</v>
      </c>
      <c r="N314" s="22">
        <v>-1188</v>
      </c>
      <c r="O314" s="22">
        <v>8712</v>
      </c>
      <c r="P314" s="22">
        <v>8712</v>
      </c>
      <c r="Q314" t="str" cm="1">
        <f t="array" ref="Q314">_xlfn.TEXTJOIN("、",TRUE,IF('學員資料-三民高中'!$B$2:$B$454=$F314,'學員資料-三民高中'!$G$2:$G$454,""))</f>
        <v/>
      </c>
      <c r="R314" t="str" cm="1">
        <f t="array" ref="R314">_xlfn.TEXTJOIN("、",TRUE,IF('學員資料-新北高中'!$B$2:$B$583=$F314,'學員資料-新北高中'!$G$2:$G$583,""))</f>
        <v/>
      </c>
      <c r="S314" t="str" cm="1">
        <f t="array" ref="S314">_xlfn.TEXTJOIN("、",TRUE,IF('學員資料-三重商工'!$B$2:$B$472=$F314,'學員資料-三重商工'!$G$2:$G$472,""))</f>
        <v>0922039223</v>
      </c>
      <c r="T314">
        <f t="shared" si="4"/>
        <v>1</v>
      </c>
    </row>
    <row r="315" spans="1:20" ht="14.25" hidden="1" customHeight="1">
      <c r="A315" s="15">
        <v>314</v>
      </c>
      <c r="B315" s="16" t="s">
        <v>1209</v>
      </c>
      <c r="C315" s="17">
        <v>46091</v>
      </c>
      <c r="D315" s="15" t="s">
        <v>1210</v>
      </c>
      <c r="E315" s="18" t="s">
        <v>83</v>
      </c>
      <c r="F315" s="19" t="s">
        <v>106</v>
      </c>
      <c r="G315" s="18" t="s">
        <v>107</v>
      </c>
      <c r="H315" s="20" t="s">
        <v>52</v>
      </c>
      <c r="I315" s="15">
        <v>1</v>
      </c>
      <c r="J315" s="15" t="s">
        <v>24</v>
      </c>
      <c r="K315" s="15"/>
      <c r="L315" s="21" t="s">
        <v>18</v>
      </c>
      <c r="M315" s="22">
        <v>0</v>
      </c>
      <c r="N315" s="22">
        <v>0</v>
      </c>
      <c r="O315" s="22">
        <v>7500</v>
      </c>
      <c r="P315" s="22">
        <v>7500</v>
      </c>
      <c r="Q315" t="str" cm="1">
        <f t="array" ref="Q315">_xlfn.TEXTJOIN("、",TRUE,IF('學員資料-三民高中'!$B$2:$B$454=$F315,'學員資料-三民高中'!$G$2:$G$454,""))</f>
        <v/>
      </c>
      <c r="R315" t="str" cm="1">
        <f t="array" ref="R315">_xlfn.TEXTJOIN("、",TRUE,IF('學員資料-新北高中'!$B$2:$B$583=$F315,'學員資料-新北高中'!$G$2:$G$583,""))</f>
        <v/>
      </c>
      <c r="S315" t="str" cm="1">
        <f t="array" ref="S315">_xlfn.TEXTJOIN("、",TRUE,IF('學員資料-三重商工'!$B$2:$B$472=$F315,'學員資料-三重商工'!$G$2:$G$472,""))</f>
        <v>0938718725</v>
      </c>
      <c r="T315">
        <f t="shared" si="4"/>
        <v>1</v>
      </c>
    </row>
    <row r="316" spans="1:20" ht="14.25" hidden="1" customHeight="1">
      <c r="A316" s="15">
        <v>315</v>
      </c>
      <c r="B316" s="16" t="s">
        <v>1211</v>
      </c>
      <c r="C316" s="17">
        <v>46091</v>
      </c>
      <c r="D316" s="15" t="s">
        <v>1212</v>
      </c>
      <c r="E316" s="18" t="s">
        <v>402</v>
      </c>
      <c r="F316" s="19" t="s">
        <v>1213</v>
      </c>
      <c r="G316" s="18" t="s">
        <v>1214</v>
      </c>
      <c r="H316" s="20" t="s">
        <v>66</v>
      </c>
      <c r="I316" s="15">
        <v>1</v>
      </c>
      <c r="J316" s="15" t="s">
        <v>23</v>
      </c>
      <c r="K316" s="15"/>
      <c r="L316" s="21" t="s">
        <v>16</v>
      </c>
      <c r="M316" s="22">
        <v>0</v>
      </c>
      <c r="N316" s="22">
        <v>0</v>
      </c>
      <c r="O316" s="22">
        <v>6900</v>
      </c>
      <c r="P316" s="22">
        <v>6900</v>
      </c>
      <c r="Q316" t="str" cm="1">
        <f t="array" ref="Q316">_xlfn.TEXTJOIN("、",TRUE,IF('學員資料-三民高中'!$B$2:$B$454=$F316,'學員資料-三民高中'!$G$2:$G$454,""))</f>
        <v/>
      </c>
      <c r="R316" t="str" cm="1">
        <f t="array" ref="R316">_xlfn.TEXTJOIN("、",TRUE,IF('學員資料-新北高中'!$B$2:$B$583=$F316,'學員資料-新北高中'!$G$2:$G$583,""))</f>
        <v>0932313641</v>
      </c>
      <c r="S316" t="str" cm="1">
        <f t="array" ref="S316">_xlfn.TEXTJOIN("、",TRUE,IF('學員資料-三重商工'!$B$2:$B$472=$F316,'學員資料-三重商工'!$G$2:$G$472,""))</f>
        <v/>
      </c>
      <c r="T316">
        <f t="shared" si="4"/>
        <v>1</v>
      </c>
    </row>
    <row r="317" spans="1:20" ht="14.25" hidden="1" customHeight="1">
      <c r="A317" s="15">
        <v>316</v>
      </c>
      <c r="B317" s="16" t="s">
        <v>1215</v>
      </c>
      <c r="C317" s="17">
        <v>46091</v>
      </c>
      <c r="D317" s="15" t="s">
        <v>1216</v>
      </c>
      <c r="E317" s="18" t="s">
        <v>83</v>
      </c>
      <c r="F317" s="19" t="s">
        <v>1217</v>
      </c>
      <c r="G317" s="18" t="s">
        <v>1218</v>
      </c>
      <c r="H317" s="20" t="s">
        <v>112</v>
      </c>
      <c r="I317" s="15">
        <v>1</v>
      </c>
      <c r="J317" s="15" t="s">
        <v>23</v>
      </c>
      <c r="K317" s="15"/>
      <c r="L317" s="21" t="s">
        <v>16</v>
      </c>
      <c r="M317" s="22">
        <v>0</v>
      </c>
      <c r="N317" s="22">
        <v>-414</v>
      </c>
      <c r="O317" s="22">
        <v>7866</v>
      </c>
      <c r="P317" s="22">
        <v>7866</v>
      </c>
      <c r="Q317" t="str" cm="1">
        <f t="array" ref="Q317">_xlfn.TEXTJOIN("、",TRUE,IF('學員資料-三民高中'!$B$2:$B$454=$F317,'學員資料-三民高中'!$G$2:$G$454,""))</f>
        <v/>
      </c>
      <c r="R317" t="str" cm="1">
        <f t="array" ref="R317">_xlfn.TEXTJOIN("、",TRUE,IF('學員資料-新北高中'!$B$2:$B$583=$F317,'學員資料-新北高中'!$G$2:$G$583,""))</f>
        <v/>
      </c>
      <c r="S317" t="str" cm="1">
        <f t="array" ref="S317">_xlfn.TEXTJOIN("、",TRUE,IF('學員資料-三重商工'!$B$2:$B$472=$F317,'學員資料-三重商工'!$G$2:$G$472,""))</f>
        <v>0955804093</v>
      </c>
      <c r="T317">
        <f t="shared" si="4"/>
        <v>1</v>
      </c>
    </row>
    <row r="318" spans="1:20" ht="14.25" hidden="1" customHeight="1">
      <c r="A318" s="15">
        <v>317</v>
      </c>
      <c r="B318" s="16" t="s">
        <v>1219</v>
      </c>
      <c r="C318" s="17">
        <v>46091</v>
      </c>
      <c r="D318" s="15" t="s">
        <v>1220</v>
      </c>
      <c r="E318" s="18" t="s">
        <v>83</v>
      </c>
      <c r="F318" s="19" t="s">
        <v>983</v>
      </c>
      <c r="G318" s="18" t="s">
        <v>984</v>
      </c>
      <c r="H318" s="20" t="s">
        <v>112</v>
      </c>
      <c r="I318" s="15">
        <v>1</v>
      </c>
      <c r="J318" s="15" t="s">
        <v>23</v>
      </c>
      <c r="K318" s="15"/>
      <c r="L318" s="21" t="s">
        <v>18</v>
      </c>
      <c r="M318" s="22">
        <v>0</v>
      </c>
      <c r="N318" s="22">
        <v>-414</v>
      </c>
      <c r="O318" s="22">
        <v>7866</v>
      </c>
      <c r="P318" s="22">
        <v>7866</v>
      </c>
      <c r="Q318" t="str" cm="1">
        <f t="array" ref="Q318">_xlfn.TEXTJOIN("、",TRUE,IF('學員資料-三民高中'!$B$2:$B$454=$F318,'學員資料-三民高中'!$G$2:$G$454,""))</f>
        <v/>
      </c>
      <c r="R318" t="str" cm="1">
        <f t="array" ref="R318">_xlfn.TEXTJOIN("、",TRUE,IF('學員資料-新北高中'!$B$2:$B$583=$F318,'學員資料-新北高中'!$G$2:$G$583,""))</f>
        <v/>
      </c>
      <c r="S318" t="str" cm="1">
        <f t="array" ref="S318">_xlfn.TEXTJOIN("、",TRUE,IF('學員資料-三重商工'!$B$2:$B$472=$F318,'學員資料-三重商工'!$G$2:$G$472,""))</f>
        <v>0989133398</v>
      </c>
      <c r="T318">
        <f t="shared" si="4"/>
        <v>1</v>
      </c>
    </row>
    <row r="319" spans="1:20" ht="14.25" hidden="1" customHeight="1">
      <c r="A319" s="15">
        <v>318</v>
      </c>
      <c r="B319" s="16" t="s">
        <v>1221</v>
      </c>
      <c r="C319" s="17">
        <v>46089</v>
      </c>
      <c r="D319" s="15" t="s">
        <v>1222</v>
      </c>
      <c r="E319" s="18" t="s">
        <v>44</v>
      </c>
      <c r="F319" s="19" t="s">
        <v>983</v>
      </c>
      <c r="G319" s="18" t="s">
        <v>984</v>
      </c>
      <c r="H319" s="20" t="s">
        <v>800</v>
      </c>
      <c r="I319" s="15">
        <v>1</v>
      </c>
      <c r="J319" s="15" t="s">
        <v>23</v>
      </c>
      <c r="K319" s="21" t="s">
        <v>116</v>
      </c>
      <c r="L319" s="21" t="s">
        <v>16</v>
      </c>
      <c r="M319" s="22">
        <v>0</v>
      </c>
      <c r="N319" s="22">
        <v>0</v>
      </c>
      <c r="O319" s="22">
        <v>1440</v>
      </c>
      <c r="P319" s="22">
        <v>1440</v>
      </c>
      <c r="Q319" t="str" cm="1">
        <f t="array" ref="Q319">_xlfn.TEXTJOIN("、",TRUE,IF('學員資料-三民高中'!$B$2:$B$454=$F319,'學員資料-三民高中'!$G$2:$G$454,""))</f>
        <v/>
      </c>
      <c r="R319" t="str" cm="1">
        <f t="array" ref="R319">_xlfn.TEXTJOIN("、",TRUE,IF('學員資料-新北高中'!$B$2:$B$583=$F319,'學員資料-新北高中'!$G$2:$G$583,""))</f>
        <v/>
      </c>
      <c r="S319" t="str" cm="1">
        <f t="array" ref="S319">_xlfn.TEXTJOIN("、",TRUE,IF('學員資料-三重商工'!$B$2:$B$472=$F319,'學員資料-三重商工'!$G$2:$G$472,""))</f>
        <v>0989133398</v>
      </c>
      <c r="T319">
        <f t="shared" si="4"/>
        <v>1</v>
      </c>
    </row>
    <row r="320" spans="1:20" ht="43.5" hidden="1" customHeight="1">
      <c r="A320" s="15">
        <v>319</v>
      </c>
      <c r="B320" s="16" t="s">
        <v>1223</v>
      </c>
      <c r="C320" s="17">
        <v>46088</v>
      </c>
      <c r="D320" s="15" t="s">
        <v>1224</v>
      </c>
      <c r="E320" s="18" t="s">
        <v>763</v>
      </c>
      <c r="F320" s="19" t="s">
        <v>1225</v>
      </c>
      <c r="G320" s="18" t="s">
        <v>1226</v>
      </c>
      <c r="H320" s="20" t="s">
        <v>436</v>
      </c>
      <c r="I320" s="15">
        <v>3</v>
      </c>
      <c r="J320" s="15" t="s">
        <v>24</v>
      </c>
      <c r="K320" s="15"/>
      <c r="L320" s="21" t="s">
        <v>16</v>
      </c>
      <c r="M320" s="22">
        <v>0</v>
      </c>
      <c r="N320" s="22">
        <v>-4500</v>
      </c>
      <c r="O320" s="22">
        <v>18000</v>
      </c>
      <c r="P320" s="22">
        <v>18000</v>
      </c>
      <c r="Q320" t="str" cm="1">
        <f t="array" ref="Q320">_xlfn.TEXTJOIN("、",TRUE,IF('學員資料-三民高中'!$B$2:$B$454=$F320,'學員資料-三民高中'!$G$2:$G$454,""))</f>
        <v>0983706127</v>
      </c>
      <c r="R320" t="str" cm="1">
        <f t="array" ref="R320">_xlfn.TEXTJOIN("、",TRUE,IF('學員資料-新北高中'!$B$2:$B$583=$F320,'學員資料-新北高中'!$G$2:$G$583,""))</f>
        <v/>
      </c>
      <c r="S320" t="str" cm="1">
        <f t="array" ref="S320">_xlfn.TEXTJOIN("、",TRUE,IF('學員資料-三重商工'!$B$2:$B$472=$F320,'學員資料-三重商工'!$G$2:$G$472,""))</f>
        <v/>
      </c>
      <c r="T320">
        <f t="shared" si="4"/>
        <v>1</v>
      </c>
    </row>
    <row r="321" spans="1:20" ht="14.25" hidden="1" customHeight="1">
      <c r="A321" s="15">
        <v>320</v>
      </c>
      <c r="B321" s="16" t="s">
        <v>1227</v>
      </c>
      <c r="C321" s="17">
        <v>46087</v>
      </c>
      <c r="D321" s="15" t="s">
        <v>1228</v>
      </c>
      <c r="E321" s="18" t="s">
        <v>78</v>
      </c>
      <c r="F321" s="19" t="s">
        <v>1229</v>
      </c>
      <c r="G321" s="18" t="s">
        <v>1230</v>
      </c>
      <c r="H321" s="20" t="s">
        <v>130</v>
      </c>
      <c r="I321" s="15">
        <v>1</v>
      </c>
      <c r="J321" s="15" t="s">
        <v>25</v>
      </c>
      <c r="K321" s="15"/>
      <c r="L321" s="21" t="s">
        <v>16</v>
      </c>
      <c r="M321" s="22">
        <v>0</v>
      </c>
      <c r="N321" s="22">
        <v>0</v>
      </c>
      <c r="O321" s="22">
        <v>9900</v>
      </c>
      <c r="P321" s="22">
        <v>9900</v>
      </c>
      <c r="Q321" t="str" cm="1">
        <f t="array" ref="Q321">_xlfn.TEXTJOIN("、",TRUE,IF('學員資料-三民高中'!$B$2:$B$454=$F321,'學員資料-三民高中'!$G$2:$G$454,""))</f>
        <v>0916879116</v>
      </c>
      <c r="R321" t="str" cm="1">
        <f t="array" ref="R321">_xlfn.TEXTJOIN("、",TRUE,IF('學員資料-新北高中'!$B$2:$B$583=$F321,'學員資料-新北高中'!$G$2:$G$583,""))</f>
        <v/>
      </c>
      <c r="S321" t="str" cm="1">
        <f t="array" ref="S321">_xlfn.TEXTJOIN("、",TRUE,IF('學員資料-三重商工'!$B$2:$B$472=$F321,'學員資料-三重商工'!$G$2:$G$472,""))</f>
        <v/>
      </c>
      <c r="T321">
        <f t="shared" si="4"/>
        <v>1</v>
      </c>
    </row>
    <row r="322" spans="1:20" ht="14.25" hidden="1" customHeight="1">
      <c r="A322" s="15">
        <v>321</v>
      </c>
      <c r="B322" s="16" t="s">
        <v>1231</v>
      </c>
      <c r="C322" s="17">
        <v>46087</v>
      </c>
      <c r="D322" s="15" t="s">
        <v>1232</v>
      </c>
      <c r="E322" s="18" t="s">
        <v>78</v>
      </c>
      <c r="F322" s="19" t="s">
        <v>1233</v>
      </c>
      <c r="G322" s="18" t="s">
        <v>1234</v>
      </c>
      <c r="H322" s="20" t="s">
        <v>52</v>
      </c>
      <c r="I322" s="15">
        <v>1</v>
      </c>
      <c r="J322" s="15" t="s">
        <v>24</v>
      </c>
      <c r="K322" s="15"/>
      <c r="L322" s="21" t="s">
        <v>16</v>
      </c>
      <c r="M322" s="22">
        <v>0</v>
      </c>
      <c r="N322" s="22">
        <v>0</v>
      </c>
      <c r="O322" s="22">
        <v>7500</v>
      </c>
      <c r="P322" s="22">
        <v>7500</v>
      </c>
      <c r="Q322" t="str" cm="1">
        <f t="array" ref="Q322">_xlfn.TEXTJOIN("、",TRUE,IF('學員資料-三民高中'!$B$2:$B$454=$F322,'學員資料-三民高中'!$G$2:$G$454,""))</f>
        <v>0926332176</v>
      </c>
      <c r="R322" t="str" cm="1">
        <f t="array" ref="R322">_xlfn.TEXTJOIN("、",TRUE,IF('學員資料-新北高中'!$B$2:$B$583=$F322,'學員資料-新北高中'!$G$2:$G$583,""))</f>
        <v/>
      </c>
      <c r="S322" t="str" cm="1">
        <f t="array" ref="S322">_xlfn.TEXTJOIN("、",TRUE,IF('學員資料-三重商工'!$B$2:$B$472=$F322,'學員資料-三重商工'!$G$2:$G$472,""))</f>
        <v/>
      </c>
      <c r="T322">
        <f t="shared" si="4"/>
        <v>1</v>
      </c>
    </row>
    <row r="323" spans="1:20" ht="14.25" hidden="1" customHeight="1">
      <c r="A323" s="15">
        <v>322</v>
      </c>
      <c r="B323" s="16" t="s">
        <v>1235</v>
      </c>
      <c r="C323" s="17">
        <v>46087</v>
      </c>
      <c r="D323" s="15" t="s">
        <v>1236</v>
      </c>
      <c r="E323" s="18" t="s">
        <v>78</v>
      </c>
      <c r="F323" s="19" t="s">
        <v>1233</v>
      </c>
      <c r="G323" s="18" t="s">
        <v>1234</v>
      </c>
      <c r="H323" s="20" t="s">
        <v>52</v>
      </c>
      <c r="I323" s="15">
        <v>1</v>
      </c>
      <c r="J323" s="15" t="s">
        <v>24</v>
      </c>
      <c r="K323" s="15"/>
      <c r="L323" s="21" t="s">
        <v>16</v>
      </c>
      <c r="M323" s="22">
        <v>0</v>
      </c>
      <c r="N323" s="22">
        <v>0</v>
      </c>
      <c r="O323" s="22">
        <v>7500</v>
      </c>
      <c r="P323" s="22">
        <v>7500</v>
      </c>
      <c r="Q323" t="str" cm="1">
        <f t="array" ref="Q323">_xlfn.TEXTJOIN("、",TRUE,IF('學員資料-三民高中'!$B$2:$B$454=$F323,'學員資料-三民高中'!$G$2:$G$454,""))</f>
        <v>0926332176</v>
      </c>
      <c r="R323" t="str" cm="1">
        <f t="array" ref="R323">_xlfn.TEXTJOIN("、",TRUE,IF('學員資料-新北高中'!$B$2:$B$583=$F323,'學員資料-新北高中'!$G$2:$G$583,""))</f>
        <v/>
      </c>
      <c r="S323" t="str" cm="1">
        <f t="array" ref="S323">_xlfn.TEXTJOIN("、",TRUE,IF('學員資料-三重商工'!$B$2:$B$472=$F323,'學員資料-三重商工'!$G$2:$G$472,""))</f>
        <v/>
      </c>
      <c r="T323">
        <f t="shared" ref="T323:T386" si="5">3-COUNTBLANK(Q323:S323)</f>
        <v>1</v>
      </c>
    </row>
    <row r="324" spans="1:20" ht="14.25" hidden="1" customHeight="1">
      <c r="A324" s="15">
        <v>323</v>
      </c>
      <c r="B324" s="16" t="s">
        <v>1237</v>
      </c>
      <c r="C324" s="17">
        <v>46087</v>
      </c>
      <c r="D324" s="15" t="s">
        <v>1238</v>
      </c>
      <c r="E324" s="18" t="s">
        <v>78</v>
      </c>
      <c r="F324" s="19" t="s">
        <v>1233</v>
      </c>
      <c r="G324" s="18" t="s">
        <v>1234</v>
      </c>
      <c r="H324" s="20" t="s">
        <v>52</v>
      </c>
      <c r="I324" s="15">
        <v>1</v>
      </c>
      <c r="J324" s="15" t="s">
        <v>24</v>
      </c>
      <c r="K324" s="15"/>
      <c r="L324" s="21" t="s">
        <v>16</v>
      </c>
      <c r="M324" s="22">
        <v>0</v>
      </c>
      <c r="N324" s="22">
        <v>-4500</v>
      </c>
      <c r="O324" s="22">
        <v>3000</v>
      </c>
      <c r="P324" s="22">
        <v>3000</v>
      </c>
      <c r="Q324" t="str" cm="1">
        <f t="array" ref="Q324">_xlfn.TEXTJOIN("、",TRUE,IF('學員資料-三民高中'!$B$2:$B$454=$F324,'學員資料-三民高中'!$G$2:$G$454,""))</f>
        <v>0926332176</v>
      </c>
      <c r="R324" t="str" cm="1">
        <f t="array" ref="R324">_xlfn.TEXTJOIN("、",TRUE,IF('學員資料-新北高中'!$B$2:$B$583=$F324,'學員資料-新北高中'!$G$2:$G$583,""))</f>
        <v/>
      </c>
      <c r="S324" t="str" cm="1">
        <f t="array" ref="S324">_xlfn.TEXTJOIN("、",TRUE,IF('學員資料-三重商工'!$B$2:$B$472=$F324,'學員資料-三重商工'!$G$2:$G$472,""))</f>
        <v/>
      </c>
      <c r="T324">
        <f t="shared" si="5"/>
        <v>1</v>
      </c>
    </row>
    <row r="325" spans="1:20" ht="14.25" hidden="1" customHeight="1">
      <c r="A325" s="15">
        <v>324</v>
      </c>
      <c r="B325" s="16" t="s">
        <v>1239</v>
      </c>
      <c r="C325" s="17">
        <v>46085</v>
      </c>
      <c r="D325" s="15" t="s">
        <v>1240</v>
      </c>
      <c r="E325" s="18" t="s">
        <v>537</v>
      </c>
      <c r="F325" s="19" t="s">
        <v>898</v>
      </c>
      <c r="G325" s="18" t="s">
        <v>899</v>
      </c>
      <c r="H325" s="20" t="s">
        <v>66</v>
      </c>
      <c r="I325" s="15">
        <v>1</v>
      </c>
      <c r="J325" s="15" t="s">
        <v>23</v>
      </c>
      <c r="K325" s="15"/>
      <c r="L325" s="21" t="s">
        <v>16</v>
      </c>
      <c r="M325" s="22">
        <v>0</v>
      </c>
      <c r="N325" s="22">
        <v>0</v>
      </c>
      <c r="O325" s="22">
        <v>6900</v>
      </c>
      <c r="P325" s="22">
        <v>6900</v>
      </c>
      <c r="Q325" t="str" cm="1">
        <f t="array" ref="Q325">_xlfn.TEXTJOIN("、",TRUE,IF('學員資料-三民高中'!$B$2:$B$454=$F325,'學員資料-三民高中'!$G$2:$G$454,""))</f>
        <v>0988663636-1</v>
      </c>
      <c r="R325" t="str" cm="1">
        <f t="array" ref="R325">_xlfn.TEXTJOIN("、",TRUE,IF('學員資料-新北高中'!$B$2:$B$583=$F325,'學員資料-新北高中'!$G$2:$G$583,""))</f>
        <v/>
      </c>
      <c r="S325" t="str" cm="1">
        <f t="array" ref="S325">_xlfn.TEXTJOIN("、",TRUE,IF('學員資料-三重商工'!$B$2:$B$472=$F325,'學員資料-三重商工'!$G$2:$G$472,""))</f>
        <v/>
      </c>
      <c r="T325">
        <f t="shared" si="5"/>
        <v>1</v>
      </c>
    </row>
    <row r="326" spans="1:20" ht="14.25" hidden="1" customHeight="1">
      <c r="A326" s="15">
        <v>325</v>
      </c>
      <c r="B326" s="16" t="s">
        <v>1241</v>
      </c>
      <c r="C326" s="17">
        <v>46085</v>
      </c>
      <c r="D326" s="15" t="s">
        <v>1242</v>
      </c>
      <c r="E326" s="18" t="s">
        <v>537</v>
      </c>
      <c r="F326" s="19" t="s">
        <v>1243</v>
      </c>
      <c r="G326" s="18" t="s">
        <v>1244</v>
      </c>
      <c r="H326" s="20" t="s">
        <v>52</v>
      </c>
      <c r="I326" s="15">
        <v>1</v>
      </c>
      <c r="J326" s="15" t="s">
        <v>24</v>
      </c>
      <c r="K326" s="15"/>
      <c r="L326" s="21" t="s">
        <v>16</v>
      </c>
      <c r="M326" s="22">
        <v>0</v>
      </c>
      <c r="N326" s="22">
        <v>0</v>
      </c>
      <c r="O326" s="22">
        <v>7500</v>
      </c>
      <c r="P326" s="22">
        <v>7500</v>
      </c>
      <c r="Q326" t="str" cm="1">
        <f t="array" ref="Q326">_xlfn.TEXTJOIN("、",TRUE,IF('學員資料-三民高中'!$B$2:$B$454=$F326,'學員資料-三民高中'!$G$2:$G$454,""))</f>
        <v>0963000833</v>
      </c>
      <c r="R326" t="str" cm="1">
        <f t="array" ref="R326">_xlfn.TEXTJOIN("、",TRUE,IF('學員資料-新北高中'!$B$2:$B$583=$F326,'學員資料-新北高中'!$G$2:$G$583,""))</f>
        <v/>
      </c>
      <c r="S326" t="str" cm="1">
        <f t="array" ref="S326">_xlfn.TEXTJOIN("、",TRUE,IF('學員資料-三重商工'!$B$2:$B$472=$F326,'學員資料-三重商工'!$G$2:$G$472,""))</f>
        <v/>
      </c>
      <c r="T326">
        <f t="shared" si="5"/>
        <v>1</v>
      </c>
    </row>
    <row r="327" spans="1:20" ht="14.25" hidden="1" customHeight="1">
      <c r="A327" s="15">
        <v>326</v>
      </c>
      <c r="B327" s="16" t="s">
        <v>1245</v>
      </c>
      <c r="C327" s="17">
        <v>46085</v>
      </c>
      <c r="D327" s="15" t="s">
        <v>1246</v>
      </c>
      <c r="E327" s="18" t="s">
        <v>537</v>
      </c>
      <c r="F327" s="19" t="s">
        <v>1243</v>
      </c>
      <c r="G327" s="18" t="s">
        <v>1244</v>
      </c>
      <c r="H327" s="20" t="s">
        <v>52</v>
      </c>
      <c r="I327" s="15">
        <v>1</v>
      </c>
      <c r="J327" s="15" t="s">
        <v>24</v>
      </c>
      <c r="K327" s="15"/>
      <c r="L327" s="21" t="s">
        <v>16</v>
      </c>
      <c r="M327" s="22">
        <v>0</v>
      </c>
      <c r="N327" s="22">
        <v>0</v>
      </c>
      <c r="O327" s="22">
        <v>7500</v>
      </c>
      <c r="P327" s="22">
        <v>7500</v>
      </c>
      <c r="Q327" t="str" cm="1">
        <f t="array" ref="Q327">_xlfn.TEXTJOIN("、",TRUE,IF('學員資料-三民高中'!$B$2:$B$454=$F327,'學員資料-三民高中'!$G$2:$G$454,""))</f>
        <v>0963000833</v>
      </c>
      <c r="R327" t="str" cm="1">
        <f t="array" ref="R327">_xlfn.TEXTJOIN("、",TRUE,IF('學員資料-新北高中'!$B$2:$B$583=$F327,'學員資料-新北高中'!$G$2:$G$583,""))</f>
        <v/>
      </c>
      <c r="S327" t="str" cm="1">
        <f t="array" ref="S327">_xlfn.TEXTJOIN("、",TRUE,IF('學員資料-三重商工'!$B$2:$B$472=$F327,'學員資料-三重商工'!$G$2:$G$472,""))</f>
        <v/>
      </c>
      <c r="T327">
        <f t="shared" si="5"/>
        <v>1</v>
      </c>
    </row>
    <row r="328" spans="1:20" ht="14.25" hidden="1" customHeight="1">
      <c r="A328" s="15">
        <v>327</v>
      </c>
      <c r="B328" s="16" t="s">
        <v>1247</v>
      </c>
      <c r="C328" s="17">
        <v>46085</v>
      </c>
      <c r="D328" s="15" t="s">
        <v>1248</v>
      </c>
      <c r="E328" s="18" t="s">
        <v>537</v>
      </c>
      <c r="F328" s="19" t="s">
        <v>1243</v>
      </c>
      <c r="G328" s="18" t="s">
        <v>1244</v>
      </c>
      <c r="H328" s="20" t="s">
        <v>52</v>
      </c>
      <c r="I328" s="15">
        <v>1</v>
      </c>
      <c r="J328" s="15" t="s">
        <v>24</v>
      </c>
      <c r="K328" s="15"/>
      <c r="L328" s="21" t="s">
        <v>16</v>
      </c>
      <c r="M328" s="22">
        <v>0</v>
      </c>
      <c r="N328" s="22">
        <v>-4500</v>
      </c>
      <c r="O328" s="22">
        <v>3000</v>
      </c>
      <c r="P328" s="22">
        <v>3000</v>
      </c>
      <c r="Q328" t="str" cm="1">
        <f t="array" ref="Q328">_xlfn.TEXTJOIN("、",TRUE,IF('學員資料-三民高中'!$B$2:$B$454=$F328,'學員資料-三民高中'!$G$2:$G$454,""))</f>
        <v>0963000833</v>
      </c>
      <c r="R328" t="str" cm="1">
        <f t="array" ref="R328">_xlfn.TEXTJOIN("、",TRUE,IF('學員資料-新北高中'!$B$2:$B$583=$F328,'學員資料-新北高中'!$G$2:$G$583,""))</f>
        <v/>
      </c>
      <c r="S328" t="str" cm="1">
        <f t="array" ref="S328">_xlfn.TEXTJOIN("、",TRUE,IF('學員資料-三重商工'!$B$2:$B$472=$F328,'學員資料-三重商工'!$G$2:$G$472,""))</f>
        <v/>
      </c>
      <c r="T328">
        <f t="shared" si="5"/>
        <v>1</v>
      </c>
    </row>
    <row r="329" spans="1:20" ht="14.25" hidden="1" customHeight="1">
      <c r="A329" s="15">
        <v>328</v>
      </c>
      <c r="B329" s="16" t="s">
        <v>1249</v>
      </c>
      <c r="C329" s="17">
        <v>46085</v>
      </c>
      <c r="D329" s="15" t="s">
        <v>1250</v>
      </c>
      <c r="E329" s="18" t="s">
        <v>537</v>
      </c>
      <c r="F329" s="19" t="s">
        <v>1251</v>
      </c>
      <c r="G329" s="18" t="s">
        <v>1252</v>
      </c>
      <c r="H329" s="20" t="s">
        <v>52</v>
      </c>
      <c r="I329" s="15">
        <v>1</v>
      </c>
      <c r="J329" s="15" t="s">
        <v>24</v>
      </c>
      <c r="K329" s="15"/>
      <c r="L329" s="21" t="s">
        <v>16</v>
      </c>
      <c r="M329" s="22">
        <v>0</v>
      </c>
      <c r="N329" s="22">
        <v>-900</v>
      </c>
      <c r="O329" s="22">
        <v>6600</v>
      </c>
      <c r="P329" s="22">
        <v>6600</v>
      </c>
      <c r="Q329" t="str" cm="1">
        <f t="array" ref="Q329">_xlfn.TEXTJOIN("、",TRUE,IF('學員資料-三民高中'!$B$2:$B$454=$F329,'學員資料-三民高中'!$G$2:$G$454,""))</f>
        <v>0958050707</v>
      </c>
      <c r="R329" t="str" cm="1">
        <f t="array" ref="R329">_xlfn.TEXTJOIN("、",TRUE,IF('學員資料-新北高中'!$B$2:$B$583=$F329,'學員資料-新北高中'!$G$2:$G$583,""))</f>
        <v/>
      </c>
      <c r="S329" t="str" cm="1">
        <f t="array" ref="S329">_xlfn.TEXTJOIN("、",TRUE,IF('學員資料-三重商工'!$B$2:$B$472=$F329,'學員資料-三重商工'!$G$2:$G$472,""))</f>
        <v/>
      </c>
      <c r="T329">
        <f t="shared" si="5"/>
        <v>1</v>
      </c>
    </row>
    <row r="330" spans="1:20" ht="14.25" hidden="1" customHeight="1">
      <c r="A330" s="15">
        <v>329</v>
      </c>
      <c r="B330" s="16" t="s">
        <v>1253</v>
      </c>
      <c r="C330" s="17">
        <v>46085</v>
      </c>
      <c r="D330" s="15" t="s">
        <v>1254</v>
      </c>
      <c r="E330" s="18" t="s">
        <v>537</v>
      </c>
      <c r="F330" s="19" t="s">
        <v>1255</v>
      </c>
      <c r="G330" s="18" t="s">
        <v>1256</v>
      </c>
      <c r="H330" s="20" t="s">
        <v>130</v>
      </c>
      <c r="I330" s="15">
        <v>1</v>
      </c>
      <c r="J330" s="15" t="s">
        <v>25</v>
      </c>
      <c r="K330" s="15"/>
      <c r="L330" s="21" t="s">
        <v>16</v>
      </c>
      <c r="M330" s="22">
        <v>0</v>
      </c>
      <c r="N330" s="22">
        <v>0</v>
      </c>
      <c r="O330" s="22">
        <v>9900</v>
      </c>
      <c r="P330" s="22">
        <v>9900</v>
      </c>
      <c r="Q330" t="str" cm="1">
        <f t="array" ref="Q330">_xlfn.TEXTJOIN("、",TRUE,IF('學員資料-三民高中'!$B$2:$B$454=$F330,'學員資料-三民高中'!$G$2:$G$454,""))</f>
        <v>0922204882</v>
      </c>
      <c r="R330" t="str" cm="1">
        <f t="array" ref="R330">_xlfn.TEXTJOIN("、",TRUE,IF('學員資料-新北高中'!$B$2:$B$583=$F330,'學員資料-新北高中'!$G$2:$G$583,""))</f>
        <v/>
      </c>
      <c r="S330" t="str" cm="1">
        <f t="array" ref="S330">_xlfn.TEXTJOIN("、",TRUE,IF('學員資料-三重商工'!$B$2:$B$472=$F330,'學員資料-三重商工'!$G$2:$G$472,""))</f>
        <v/>
      </c>
      <c r="T330">
        <f t="shared" si="5"/>
        <v>1</v>
      </c>
    </row>
    <row r="331" spans="1:20" ht="14.25" hidden="1" customHeight="1">
      <c r="A331" s="15">
        <v>330</v>
      </c>
      <c r="B331" s="16" t="s">
        <v>1257</v>
      </c>
      <c r="C331" s="17">
        <v>46085</v>
      </c>
      <c r="D331" s="15" t="s">
        <v>1258</v>
      </c>
      <c r="E331" s="18" t="s">
        <v>537</v>
      </c>
      <c r="F331" s="19" t="s">
        <v>1255</v>
      </c>
      <c r="G331" s="18" t="s">
        <v>1256</v>
      </c>
      <c r="H331" s="20" t="s">
        <v>130</v>
      </c>
      <c r="I331" s="15">
        <v>1</v>
      </c>
      <c r="J331" s="15" t="s">
        <v>25</v>
      </c>
      <c r="K331" s="15"/>
      <c r="L331" s="21" t="s">
        <v>16</v>
      </c>
      <c r="M331" s="22">
        <v>0</v>
      </c>
      <c r="N331" s="22">
        <v>0</v>
      </c>
      <c r="O331" s="22">
        <v>9900</v>
      </c>
      <c r="P331" s="22">
        <v>9900</v>
      </c>
      <c r="Q331" t="str" cm="1">
        <f t="array" ref="Q331">_xlfn.TEXTJOIN("、",TRUE,IF('學員資料-三民高中'!$B$2:$B$454=$F331,'學員資料-三民高中'!$G$2:$G$454,""))</f>
        <v>0922204882</v>
      </c>
      <c r="R331" t="str" cm="1">
        <f t="array" ref="R331">_xlfn.TEXTJOIN("、",TRUE,IF('學員資料-新北高中'!$B$2:$B$583=$F331,'學員資料-新北高中'!$G$2:$G$583,""))</f>
        <v/>
      </c>
      <c r="S331" t="str" cm="1">
        <f t="array" ref="S331">_xlfn.TEXTJOIN("、",TRUE,IF('學員資料-三重商工'!$B$2:$B$472=$F331,'學員資料-三重商工'!$G$2:$G$472,""))</f>
        <v/>
      </c>
      <c r="T331">
        <f t="shared" si="5"/>
        <v>1</v>
      </c>
    </row>
    <row r="332" spans="1:20" ht="14.25" hidden="1" customHeight="1">
      <c r="A332" s="15">
        <v>331</v>
      </c>
      <c r="B332" s="16" t="s">
        <v>1259</v>
      </c>
      <c r="C332" s="17">
        <v>46085</v>
      </c>
      <c r="D332" s="15" t="s">
        <v>1260</v>
      </c>
      <c r="E332" s="18" t="s">
        <v>537</v>
      </c>
      <c r="F332" s="19" t="s">
        <v>1255</v>
      </c>
      <c r="G332" s="18" t="s">
        <v>1261</v>
      </c>
      <c r="H332" s="20" t="s">
        <v>130</v>
      </c>
      <c r="I332" s="15">
        <v>1</v>
      </c>
      <c r="J332" s="15" t="s">
        <v>25</v>
      </c>
      <c r="K332" s="15"/>
      <c r="L332" s="21" t="s">
        <v>16</v>
      </c>
      <c r="M332" s="22">
        <v>0</v>
      </c>
      <c r="N332" s="22">
        <v>-5940</v>
      </c>
      <c r="O332" s="22">
        <v>3960</v>
      </c>
      <c r="P332" s="22">
        <v>3960</v>
      </c>
      <c r="Q332" t="str" cm="1">
        <f t="array" ref="Q332">_xlfn.TEXTJOIN("、",TRUE,IF('學員資料-三民高中'!$B$2:$B$454=$F332,'學員資料-三民高中'!$G$2:$G$454,""))</f>
        <v>0922204882</v>
      </c>
      <c r="R332" t="str" cm="1">
        <f t="array" ref="R332">_xlfn.TEXTJOIN("、",TRUE,IF('學員資料-新北高中'!$B$2:$B$583=$F332,'學員資料-新北高中'!$G$2:$G$583,""))</f>
        <v/>
      </c>
      <c r="S332" t="str" cm="1">
        <f t="array" ref="S332">_xlfn.TEXTJOIN("、",TRUE,IF('學員資料-三重商工'!$B$2:$B$472=$F332,'學員資料-三重商工'!$G$2:$G$472,""))</f>
        <v/>
      </c>
      <c r="T332">
        <f t="shared" si="5"/>
        <v>1</v>
      </c>
    </row>
    <row r="333" spans="1:20" ht="14.25" hidden="1" customHeight="1">
      <c r="A333" s="15">
        <v>332</v>
      </c>
      <c r="B333" s="16" t="s">
        <v>1262</v>
      </c>
      <c r="C333" s="17">
        <v>46085</v>
      </c>
      <c r="D333" s="15" t="s">
        <v>1263</v>
      </c>
      <c r="E333" s="18" t="s">
        <v>537</v>
      </c>
      <c r="F333" s="19" t="s">
        <v>1264</v>
      </c>
      <c r="G333" s="18" t="s">
        <v>1265</v>
      </c>
      <c r="H333" s="20" t="s">
        <v>52</v>
      </c>
      <c r="I333" s="15">
        <v>1</v>
      </c>
      <c r="J333" s="15" t="s">
        <v>24</v>
      </c>
      <c r="K333" s="15"/>
      <c r="L333" s="21" t="s">
        <v>16</v>
      </c>
      <c r="M333" s="22">
        <v>0</v>
      </c>
      <c r="N333" s="22">
        <v>-900</v>
      </c>
      <c r="O333" s="22">
        <v>6600</v>
      </c>
      <c r="P333" s="22">
        <v>6600</v>
      </c>
      <c r="Q333" t="str" cm="1">
        <f t="array" ref="Q333">_xlfn.TEXTJOIN("、",TRUE,IF('學員資料-三民高中'!$B$2:$B$454=$F333,'學員資料-三民高中'!$G$2:$G$454,""))</f>
        <v>0922798901</v>
      </c>
      <c r="R333" t="str" cm="1">
        <f t="array" ref="R333">_xlfn.TEXTJOIN("、",TRUE,IF('學員資料-新北高中'!$B$2:$B$583=$F333,'學員資料-新北高中'!$G$2:$G$583,""))</f>
        <v/>
      </c>
      <c r="S333" t="str" cm="1">
        <f t="array" ref="S333">_xlfn.TEXTJOIN("、",TRUE,IF('學員資料-三重商工'!$B$2:$B$472=$F333,'學員資料-三重商工'!$G$2:$G$472,""))</f>
        <v/>
      </c>
      <c r="T333">
        <f t="shared" si="5"/>
        <v>1</v>
      </c>
    </row>
    <row r="334" spans="1:20" ht="14.25" hidden="1" customHeight="1">
      <c r="A334" s="15">
        <v>333</v>
      </c>
      <c r="B334" s="16" t="s">
        <v>1266</v>
      </c>
      <c r="C334" s="17">
        <v>46085</v>
      </c>
      <c r="D334" s="15" t="s">
        <v>1267</v>
      </c>
      <c r="E334" s="18" t="s">
        <v>537</v>
      </c>
      <c r="F334" s="19" t="s">
        <v>862</v>
      </c>
      <c r="G334" s="18" t="s">
        <v>863</v>
      </c>
      <c r="H334" s="20" t="s">
        <v>66</v>
      </c>
      <c r="I334" s="15">
        <v>1</v>
      </c>
      <c r="J334" s="15" t="s">
        <v>23</v>
      </c>
      <c r="K334" s="15"/>
      <c r="L334" s="21" t="s">
        <v>16</v>
      </c>
      <c r="M334" s="22">
        <v>0</v>
      </c>
      <c r="N334" s="22">
        <v>-345</v>
      </c>
      <c r="O334" s="22">
        <v>6555</v>
      </c>
      <c r="P334" s="22">
        <v>6555</v>
      </c>
      <c r="Q334" t="str" cm="1">
        <f t="array" ref="Q334">_xlfn.TEXTJOIN("、",TRUE,IF('學員資料-三民高中'!$B$2:$B$454=$F334,'學員資料-三民高中'!$G$2:$G$454,""))</f>
        <v>0921162985</v>
      </c>
      <c r="R334" t="str" cm="1">
        <f t="array" ref="R334">_xlfn.TEXTJOIN("、",TRUE,IF('學員資料-新北高中'!$B$2:$B$583=$F334,'學員資料-新北高中'!$G$2:$G$583,""))</f>
        <v/>
      </c>
      <c r="S334" t="str" cm="1">
        <f t="array" ref="S334">_xlfn.TEXTJOIN("、",TRUE,IF('學員資料-三重商工'!$B$2:$B$472=$F334,'學員資料-三重商工'!$G$2:$G$472,""))</f>
        <v/>
      </c>
      <c r="T334">
        <f t="shared" si="5"/>
        <v>1</v>
      </c>
    </row>
    <row r="335" spans="1:20" ht="14.25" hidden="1" customHeight="1">
      <c r="A335" s="15">
        <v>334</v>
      </c>
      <c r="B335" s="16" t="s">
        <v>1268</v>
      </c>
      <c r="C335" s="17">
        <v>46085</v>
      </c>
      <c r="D335" s="15" t="s">
        <v>1269</v>
      </c>
      <c r="E335" s="18" t="s">
        <v>537</v>
      </c>
      <c r="F335" s="19" t="s">
        <v>1270</v>
      </c>
      <c r="G335" s="18" t="s">
        <v>1271</v>
      </c>
      <c r="H335" s="20" t="s">
        <v>52</v>
      </c>
      <c r="I335" s="15">
        <v>1</v>
      </c>
      <c r="J335" s="15" t="s">
        <v>24</v>
      </c>
      <c r="K335" s="15"/>
      <c r="L335" s="21" t="s">
        <v>16</v>
      </c>
      <c r="M335" s="22">
        <v>0</v>
      </c>
      <c r="N335" s="22">
        <v>0</v>
      </c>
      <c r="O335" s="22">
        <v>7500</v>
      </c>
      <c r="P335" s="22">
        <v>7500</v>
      </c>
      <c r="Q335" t="str" cm="1">
        <f t="array" ref="Q335">_xlfn.TEXTJOIN("、",TRUE,IF('學員資料-三民高中'!$B$2:$B$454=$F335,'學員資料-三民高中'!$G$2:$G$454,""))</f>
        <v>0923705658</v>
      </c>
      <c r="R335" t="str" cm="1">
        <f t="array" ref="R335">_xlfn.TEXTJOIN("、",TRUE,IF('學員資料-新北高中'!$B$2:$B$583=$F335,'學員資料-新北高中'!$G$2:$G$583,""))</f>
        <v/>
      </c>
      <c r="S335" t="str" cm="1">
        <f t="array" ref="S335">_xlfn.TEXTJOIN("、",TRUE,IF('學員資料-三重商工'!$B$2:$B$472=$F335,'學員資料-三重商工'!$G$2:$G$472,""))</f>
        <v/>
      </c>
      <c r="T335">
        <f t="shared" si="5"/>
        <v>1</v>
      </c>
    </row>
    <row r="336" spans="1:20" ht="14.25" hidden="1" customHeight="1">
      <c r="A336" s="15">
        <v>335</v>
      </c>
      <c r="B336" s="16" t="s">
        <v>1272</v>
      </c>
      <c r="C336" s="17">
        <v>46085</v>
      </c>
      <c r="D336" s="15" t="s">
        <v>1273</v>
      </c>
      <c r="E336" s="18" t="s">
        <v>537</v>
      </c>
      <c r="F336" s="19" t="s">
        <v>1270</v>
      </c>
      <c r="G336" s="18" t="s">
        <v>1271</v>
      </c>
      <c r="H336" s="20" t="s">
        <v>52</v>
      </c>
      <c r="I336" s="15">
        <v>1</v>
      </c>
      <c r="J336" s="15" t="s">
        <v>24</v>
      </c>
      <c r="K336" s="15"/>
      <c r="L336" s="21" t="s">
        <v>16</v>
      </c>
      <c r="M336" s="22">
        <v>0</v>
      </c>
      <c r="N336" s="22">
        <v>0</v>
      </c>
      <c r="O336" s="22">
        <v>7500</v>
      </c>
      <c r="P336" s="22">
        <v>7500</v>
      </c>
      <c r="Q336" t="str" cm="1">
        <f t="array" ref="Q336">_xlfn.TEXTJOIN("、",TRUE,IF('學員資料-三民高中'!$B$2:$B$454=$F336,'學員資料-三民高中'!$G$2:$G$454,""))</f>
        <v>0923705658</v>
      </c>
      <c r="R336" t="str" cm="1">
        <f t="array" ref="R336">_xlfn.TEXTJOIN("、",TRUE,IF('學員資料-新北高中'!$B$2:$B$583=$F336,'學員資料-新北高中'!$G$2:$G$583,""))</f>
        <v/>
      </c>
      <c r="S336" t="str" cm="1">
        <f t="array" ref="S336">_xlfn.TEXTJOIN("、",TRUE,IF('學員資料-三重商工'!$B$2:$B$472=$F336,'學員資料-三重商工'!$G$2:$G$472,""))</f>
        <v/>
      </c>
      <c r="T336">
        <f t="shared" si="5"/>
        <v>1</v>
      </c>
    </row>
    <row r="337" spans="1:20" ht="14.25" hidden="1" customHeight="1">
      <c r="A337" s="15">
        <v>336</v>
      </c>
      <c r="B337" s="16" t="s">
        <v>1274</v>
      </c>
      <c r="C337" s="17">
        <v>46085</v>
      </c>
      <c r="D337" s="15" t="s">
        <v>1275</v>
      </c>
      <c r="E337" s="18" t="s">
        <v>537</v>
      </c>
      <c r="F337" s="19" t="s">
        <v>1270</v>
      </c>
      <c r="G337" s="18" t="s">
        <v>1271</v>
      </c>
      <c r="H337" s="20" t="s">
        <v>52</v>
      </c>
      <c r="I337" s="15">
        <v>1</v>
      </c>
      <c r="J337" s="15" t="s">
        <v>24</v>
      </c>
      <c r="K337" s="15"/>
      <c r="L337" s="21" t="s">
        <v>16</v>
      </c>
      <c r="M337" s="22">
        <v>0</v>
      </c>
      <c r="N337" s="22">
        <v>-4500</v>
      </c>
      <c r="O337" s="22">
        <v>3000</v>
      </c>
      <c r="P337" s="22">
        <v>3000</v>
      </c>
      <c r="Q337" t="str" cm="1">
        <f t="array" ref="Q337">_xlfn.TEXTJOIN("、",TRUE,IF('學員資料-三民高中'!$B$2:$B$454=$F337,'學員資料-三民高中'!$G$2:$G$454,""))</f>
        <v>0923705658</v>
      </c>
      <c r="R337" t="str" cm="1">
        <f t="array" ref="R337">_xlfn.TEXTJOIN("、",TRUE,IF('學員資料-新北高中'!$B$2:$B$583=$F337,'學員資料-新北高中'!$G$2:$G$583,""))</f>
        <v/>
      </c>
      <c r="S337" t="str" cm="1">
        <f t="array" ref="S337">_xlfn.TEXTJOIN("、",TRUE,IF('學員資料-三重商工'!$B$2:$B$472=$F337,'學員資料-三重商工'!$G$2:$G$472,""))</f>
        <v/>
      </c>
      <c r="T337">
        <f t="shared" si="5"/>
        <v>1</v>
      </c>
    </row>
    <row r="338" spans="1:20" ht="14.25" hidden="1" customHeight="1">
      <c r="A338" s="15">
        <v>337</v>
      </c>
      <c r="B338" s="16" t="s">
        <v>1276</v>
      </c>
      <c r="C338" s="17">
        <v>46085</v>
      </c>
      <c r="D338" s="15" t="s">
        <v>1277</v>
      </c>
      <c r="E338" s="18" t="s">
        <v>537</v>
      </c>
      <c r="F338" s="19" t="s">
        <v>1278</v>
      </c>
      <c r="G338" s="18" t="s">
        <v>1279</v>
      </c>
      <c r="H338" s="20" t="s">
        <v>52</v>
      </c>
      <c r="I338" s="15">
        <v>1</v>
      </c>
      <c r="J338" s="15" t="s">
        <v>24</v>
      </c>
      <c r="K338" s="15"/>
      <c r="L338" s="21" t="s">
        <v>16</v>
      </c>
      <c r="M338" s="22">
        <v>0</v>
      </c>
      <c r="N338" s="22">
        <v>0</v>
      </c>
      <c r="O338" s="22">
        <v>7500</v>
      </c>
      <c r="P338" s="22">
        <v>7500</v>
      </c>
      <c r="Q338" t="str" cm="1">
        <f t="array" ref="Q338">_xlfn.TEXTJOIN("、",TRUE,IF('學員資料-三民高中'!$B$2:$B$454=$F338,'學員資料-三民高中'!$G$2:$G$454,""))</f>
        <v/>
      </c>
      <c r="R338" t="str" cm="1">
        <f t="array" ref="R338">_xlfn.TEXTJOIN("、",TRUE,IF('學員資料-新北高中'!$B$2:$B$583=$F338,'學員資料-新北高中'!$G$2:$G$583,""))</f>
        <v>0928514787-1</v>
      </c>
      <c r="S338" t="str" cm="1">
        <f t="array" ref="S338">_xlfn.TEXTJOIN("、",TRUE,IF('學員資料-三重商工'!$B$2:$B$472=$F338,'學員資料-三重商工'!$G$2:$G$472,""))</f>
        <v/>
      </c>
      <c r="T338">
        <f t="shared" si="5"/>
        <v>1</v>
      </c>
    </row>
    <row r="339" spans="1:20" ht="14.25" hidden="1" customHeight="1">
      <c r="A339" s="15">
        <v>338</v>
      </c>
      <c r="B339" s="16" t="s">
        <v>1280</v>
      </c>
      <c r="C339" s="17">
        <v>46085</v>
      </c>
      <c r="D339" s="15" t="s">
        <v>1281</v>
      </c>
      <c r="E339" s="18" t="s">
        <v>537</v>
      </c>
      <c r="F339" s="19" t="s">
        <v>1278</v>
      </c>
      <c r="G339" s="18" t="s">
        <v>1279</v>
      </c>
      <c r="H339" s="20" t="s">
        <v>52</v>
      </c>
      <c r="I339" s="15">
        <v>1</v>
      </c>
      <c r="J339" s="15" t="s">
        <v>24</v>
      </c>
      <c r="K339" s="15"/>
      <c r="L339" s="21" t="s">
        <v>16</v>
      </c>
      <c r="M339" s="22">
        <v>0</v>
      </c>
      <c r="N339" s="22">
        <v>0</v>
      </c>
      <c r="O339" s="22">
        <v>7500</v>
      </c>
      <c r="P339" s="22">
        <v>7500</v>
      </c>
      <c r="Q339" t="str" cm="1">
        <f t="array" ref="Q339">_xlfn.TEXTJOIN("、",TRUE,IF('學員資料-三民高中'!$B$2:$B$454=$F339,'學員資料-三民高中'!$G$2:$G$454,""))</f>
        <v/>
      </c>
      <c r="R339" t="str" cm="1">
        <f t="array" ref="R339">_xlfn.TEXTJOIN("、",TRUE,IF('學員資料-新北高中'!$B$2:$B$583=$F339,'學員資料-新北高中'!$G$2:$G$583,""))</f>
        <v>0928514787-1</v>
      </c>
      <c r="S339" t="str" cm="1">
        <f t="array" ref="S339">_xlfn.TEXTJOIN("、",TRUE,IF('學員資料-三重商工'!$B$2:$B$472=$F339,'學員資料-三重商工'!$G$2:$G$472,""))</f>
        <v/>
      </c>
      <c r="T339">
        <f t="shared" si="5"/>
        <v>1</v>
      </c>
    </row>
    <row r="340" spans="1:20" ht="14.25" hidden="1" customHeight="1">
      <c r="A340" s="15">
        <v>339</v>
      </c>
      <c r="B340" s="16" t="s">
        <v>1282</v>
      </c>
      <c r="C340" s="17">
        <v>46085</v>
      </c>
      <c r="D340" s="15" t="s">
        <v>1283</v>
      </c>
      <c r="E340" s="18" t="s">
        <v>537</v>
      </c>
      <c r="F340" s="19" t="s">
        <v>1278</v>
      </c>
      <c r="G340" s="18" t="s">
        <v>1279</v>
      </c>
      <c r="H340" s="20" t="s">
        <v>52</v>
      </c>
      <c r="I340" s="15">
        <v>1</v>
      </c>
      <c r="J340" s="15" t="s">
        <v>24</v>
      </c>
      <c r="K340" s="15"/>
      <c r="L340" s="21" t="s">
        <v>16</v>
      </c>
      <c r="M340" s="22">
        <v>0</v>
      </c>
      <c r="N340" s="22">
        <v>0</v>
      </c>
      <c r="O340" s="22">
        <v>7500</v>
      </c>
      <c r="P340" s="22">
        <v>7500</v>
      </c>
      <c r="Q340" t="str" cm="1">
        <f t="array" ref="Q340">_xlfn.TEXTJOIN("、",TRUE,IF('學員資料-三民高中'!$B$2:$B$454=$F340,'學員資料-三民高中'!$G$2:$G$454,""))</f>
        <v/>
      </c>
      <c r="R340" t="str" cm="1">
        <f t="array" ref="R340">_xlfn.TEXTJOIN("、",TRUE,IF('學員資料-新北高中'!$B$2:$B$583=$F340,'學員資料-新北高中'!$G$2:$G$583,""))</f>
        <v>0928514787-1</v>
      </c>
      <c r="S340" t="str" cm="1">
        <f t="array" ref="S340">_xlfn.TEXTJOIN("、",TRUE,IF('學員資料-三重商工'!$B$2:$B$472=$F340,'學員資料-三重商工'!$G$2:$G$472,""))</f>
        <v/>
      </c>
      <c r="T340">
        <f t="shared" si="5"/>
        <v>1</v>
      </c>
    </row>
    <row r="341" spans="1:20" ht="14.25" hidden="1" customHeight="1">
      <c r="A341" s="15">
        <v>340</v>
      </c>
      <c r="B341" s="16" t="s">
        <v>1284</v>
      </c>
      <c r="C341" s="17">
        <v>46085</v>
      </c>
      <c r="D341" s="15" t="s">
        <v>1285</v>
      </c>
      <c r="E341" s="18" t="s">
        <v>537</v>
      </c>
      <c r="F341" s="19" t="s">
        <v>1278</v>
      </c>
      <c r="G341" s="18" t="s">
        <v>1279</v>
      </c>
      <c r="H341" s="20" t="s">
        <v>52</v>
      </c>
      <c r="I341" s="15">
        <v>1</v>
      </c>
      <c r="J341" s="15" t="s">
        <v>24</v>
      </c>
      <c r="K341" s="15"/>
      <c r="L341" s="21" t="s">
        <v>16</v>
      </c>
      <c r="M341" s="22">
        <v>0</v>
      </c>
      <c r="N341" s="22">
        <v>-3000</v>
      </c>
      <c r="O341" s="22">
        <v>4500</v>
      </c>
      <c r="P341" s="22">
        <v>4500</v>
      </c>
      <c r="Q341" t="str" cm="1">
        <f t="array" ref="Q341">_xlfn.TEXTJOIN("、",TRUE,IF('學員資料-三民高中'!$B$2:$B$454=$F341,'學員資料-三民高中'!$G$2:$G$454,""))</f>
        <v/>
      </c>
      <c r="R341" t="str" cm="1">
        <f t="array" ref="R341">_xlfn.TEXTJOIN("、",TRUE,IF('學員資料-新北高中'!$B$2:$B$583=$F341,'學員資料-新北高中'!$G$2:$G$583,""))</f>
        <v>0928514787-1</v>
      </c>
      <c r="S341" t="str" cm="1">
        <f t="array" ref="S341">_xlfn.TEXTJOIN("、",TRUE,IF('學員資料-三重商工'!$B$2:$B$472=$F341,'學員資料-三重商工'!$G$2:$G$472,""))</f>
        <v/>
      </c>
      <c r="T341">
        <f t="shared" si="5"/>
        <v>1</v>
      </c>
    </row>
    <row r="342" spans="1:20" ht="14.25" hidden="1" customHeight="1">
      <c r="A342" s="15">
        <v>341</v>
      </c>
      <c r="B342" s="16" t="s">
        <v>1286</v>
      </c>
      <c r="C342" s="17">
        <v>46085</v>
      </c>
      <c r="D342" s="15" t="s">
        <v>1287</v>
      </c>
      <c r="E342" s="18" t="s">
        <v>537</v>
      </c>
      <c r="F342" s="19" t="s">
        <v>1278</v>
      </c>
      <c r="G342" s="18" t="s">
        <v>1279</v>
      </c>
      <c r="H342" s="20" t="s">
        <v>52</v>
      </c>
      <c r="I342" s="15">
        <v>1</v>
      </c>
      <c r="J342" s="15" t="s">
        <v>24</v>
      </c>
      <c r="K342" s="15"/>
      <c r="L342" s="21" t="s">
        <v>16</v>
      </c>
      <c r="M342" s="22">
        <v>0</v>
      </c>
      <c r="N342" s="22">
        <v>-4500</v>
      </c>
      <c r="O342" s="22">
        <v>3000</v>
      </c>
      <c r="P342" s="22">
        <v>3000</v>
      </c>
      <c r="Q342" t="str" cm="1">
        <f t="array" ref="Q342">_xlfn.TEXTJOIN("、",TRUE,IF('學員資料-三民高中'!$B$2:$B$454=$F342,'學員資料-三民高中'!$G$2:$G$454,""))</f>
        <v/>
      </c>
      <c r="R342" t="str" cm="1">
        <f t="array" ref="R342">_xlfn.TEXTJOIN("、",TRUE,IF('學員資料-新北高中'!$B$2:$B$583=$F342,'學員資料-新北高中'!$G$2:$G$583,""))</f>
        <v>0928514787-1</v>
      </c>
      <c r="S342" t="str" cm="1">
        <f t="array" ref="S342">_xlfn.TEXTJOIN("、",TRUE,IF('學員資料-三重商工'!$B$2:$B$472=$F342,'學員資料-三重商工'!$G$2:$G$472,""))</f>
        <v/>
      </c>
      <c r="T342">
        <f t="shared" si="5"/>
        <v>1</v>
      </c>
    </row>
    <row r="343" spans="1:20" ht="14.25" hidden="1" customHeight="1">
      <c r="A343" s="15">
        <v>342</v>
      </c>
      <c r="B343" s="16" t="s">
        <v>1288</v>
      </c>
      <c r="C343" s="17">
        <v>46085</v>
      </c>
      <c r="D343" s="15" t="s">
        <v>1289</v>
      </c>
      <c r="E343" s="18" t="s">
        <v>83</v>
      </c>
      <c r="F343" s="19" t="s">
        <v>997</v>
      </c>
      <c r="G343" s="18" t="s">
        <v>998</v>
      </c>
      <c r="H343" s="20" t="s">
        <v>210</v>
      </c>
      <c r="I343" s="15">
        <v>1</v>
      </c>
      <c r="J343" s="15" t="s">
        <v>26</v>
      </c>
      <c r="K343" s="15"/>
      <c r="L343" s="21" t="s">
        <v>18</v>
      </c>
      <c r="M343" s="22">
        <v>0</v>
      </c>
      <c r="N343" s="22">
        <v>0</v>
      </c>
      <c r="O343" s="22">
        <v>12000</v>
      </c>
      <c r="P343" s="22">
        <v>12000</v>
      </c>
      <c r="Q343" t="str" cm="1">
        <f t="array" ref="Q343">_xlfn.TEXTJOIN("、",TRUE,IF('學員資料-三民高中'!$B$2:$B$454=$F343,'學員資料-三民高中'!$G$2:$G$454,""))</f>
        <v/>
      </c>
      <c r="R343" t="str" cm="1">
        <f t="array" ref="R343">_xlfn.TEXTJOIN("、",TRUE,IF('學員資料-新北高中'!$B$2:$B$583=$F343,'學員資料-新北高中'!$G$2:$G$583,""))</f>
        <v/>
      </c>
      <c r="S343" t="str" cm="1">
        <f t="array" ref="S343">_xlfn.TEXTJOIN("、",TRUE,IF('學員資料-三重商工'!$B$2:$B$472=$F343,'學員資料-三重商工'!$G$2:$G$472,""))</f>
        <v>0970944931</v>
      </c>
      <c r="T343">
        <f t="shared" si="5"/>
        <v>1</v>
      </c>
    </row>
    <row r="344" spans="1:20" ht="14.25" hidden="1" customHeight="1">
      <c r="A344" s="15">
        <v>343</v>
      </c>
      <c r="B344" s="16" t="s">
        <v>1290</v>
      </c>
      <c r="C344" s="17">
        <v>46082</v>
      </c>
      <c r="D344" s="15" t="s">
        <v>1291</v>
      </c>
      <c r="E344" s="18" t="s">
        <v>78</v>
      </c>
      <c r="F344" s="19" t="s">
        <v>1111</v>
      </c>
      <c r="G344" s="18" t="s">
        <v>1112</v>
      </c>
      <c r="H344" s="20" t="s">
        <v>210</v>
      </c>
      <c r="I344" s="15">
        <v>1</v>
      </c>
      <c r="J344" s="15" t="s">
        <v>26</v>
      </c>
      <c r="K344" s="15"/>
      <c r="L344" s="21" t="s">
        <v>16</v>
      </c>
      <c r="M344" s="22">
        <v>0</v>
      </c>
      <c r="N344" s="22">
        <v>-2880</v>
      </c>
      <c r="O344" s="22">
        <v>9120</v>
      </c>
      <c r="P344" s="22">
        <v>9120</v>
      </c>
      <c r="Q344" t="str" cm="1">
        <f t="array" ref="Q344">_xlfn.TEXTJOIN("、",TRUE,IF('學員資料-三民高中'!$B$2:$B$454=$F344,'學員資料-三民高中'!$G$2:$G$454,""))</f>
        <v/>
      </c>
      <c r="R344" t="str" cm="1">
        <f t="array" ref="R344">_xlfn.TEXTJOIN("、",TRUE,IF('學員資料-新北高中'!$B$2:$B$583=$F344,'學員資料-新北高中'!$G$2:$G$583,""))</f>
        <v>0935697263</v>
      </c>
      <c r="S344" t="str" cm="1">
        <f t="array" ref="S344">_xlfn.TEXTJOIN("、",TRUE,IF('學員資料-三重商工'!$B$2:$B$472=$F344,'學員資料-三重商工'!$G$2:$G$472,""))</f>
        <v/>
      </c>
      <c r="T344">
        <f t="shared" si="5"/>
        <v>1</v>
      </c>
    </row>
    <row r="345" spans="1:20" ht="14.25" hidden="1" customHeight="1">
      <c r="A345" s="15">
        <v>344</v>
      </c>
      <c r="B345" s="16" t="s">
        <v>1292</v>
      </c>
      <c r="C345" s="17">
        <v>46082</v>
      </c>
      <c r="D345" s="15" t="s">
        <v>1293</v>
      </c>
      <c r="E345" s="18" t="s">
        <v>78</v>
      </c>
      <c r="F345" s="19" t="s">
        <v>1111</v>
      </c>
      <c r="G345" s="18" t="s">
        <v>1112</v>
      </c>
      <c r="H345" s="20" t="s">
        <v>210</v>
      </c>
      <c r="I345" s="15">
        <v>1</v>
      </c>
      <c r="J345" s="15" t="s">
        <v>26</v>
      </c>
      <c r="K345" s="15"/>
      <c r="L345" s="21" t="s">
        <v>16</v>
      </c>
      <c r="M345" s="22">
        <v>0</v>
      </c>
      <c r="N345" s="22">
        <v>0</v>
      </c>
      <c r="O345" s="22">
        <v>12000</v>
      </c>
      <c r="P345" s="22">
        <v>12000</v>
      </c>
      <c r="Q345" t="str" cm="1">
        <f t="array" ref="Q345">_xlfn.TEXTJOIN("、",TRUE,IF('學員資料-三民高中'!$B$2:$B$454=$F345,'學員資料-三民高中'!$G$2:$G$454,""))</f>
        <v/>
      </c>
      <c r="R345" t="str" cm="1">
        <f t="array" ref="R345">_xlfn.TEXTJOIN("、",TRUE,IF('學員資料-新北高中'!$B$2:$B$583=$F345,'學員資料-新北高中'!$G$2:$G$583,""))</f>
        <v>0935697263</v>
      </c>
      <c r="S345" t="str" cm="1">
        <f t="array" ref="S345">_xlfn.TEXTJOIN("、",TRUE,IF('學員資料-三重商工'!$B$2:$B$472=$F345,'學員資料-三重商工'!$G$2:$G$472,""))</f>
        <v/>
      </c>
      <c r="T345">
        <f t="shared" si="5"/>
        <v>1</v>
      </c>
    </row>
    <row r="346" spans="1:20" ht="14.25" hidden="1" customHeight="1">
      <c r="A346" s="15">
        <v>345</v>
      </c>
      <c r="B346" s="16" t="s">
        <v>1294</v>
      </c>
      <c r="C346" s="17">
        <v>46082</v>
      </c>
      <c r="D346" s="15" t="s">
        <v>1295</v>
      </c>
      <c r="E346" s="18" t="s">
        <v>44</v>
      </c>
      <c r="F346" s="19" t="s">
        <v>1039</v>
      </c>
      <c r="G346" s="18" t="s">
        <v>1040</v>
      </c>
      <c r="H346" s="20" t="s">
        <v>52</v>
      </c>
      <c r="I346" s="15">
        <v>1</v>
      </c>
      <c r="J346" s="15" t="s">
        <v>24</v>
      </c>
      <c r="K346" s="15"/>
      <c r="L346" s="21" t="s">
        <v>16</v>
      </c>
      <c r="M346" s="22">
        <v>0</v>
      </c>
      <c r="N346" s="22">
        <v>-900</v>
      </c>
      <c r="O346" s="22">
        <v>6600</v>
      </c>
      <c r="P346" s="22">
        <v>6600</v>
      </c>
      <c r="Q346" t="str" cm="1">
        <f t="array" ref="Q346">_xlfn.TEXTJOIN("、",TRUE,IF('學員資料-三民高中'!$B$2:$B$454=$F346,'學員資料-三民高中'!$G$2:$G$454,""))</f>
        <v>0919475518</v>
      </c>
      <c r="R346" t="str" cm="1">
        <f t="array" ref="R346">_xlfn.TEXTJOIN("、",TRUE,IF('學員資料-新北高中'!$B$2:$B$583=$F346,'學員資料-新北高中'!$G$2:$G$583,""))</f>
        <v/>
      </c>
      <c r="S346" t="str" cm="1">
        <f t="array" ref="S346">_xlfn.TEXTJOIN("、",TRUE,IF('學員資料-三重商工'!$B$2:$B$472=$F346,'學員資料-三重商工'!$G$2:$G$472,""))</f>
        <v/>
      </c>
      <c r="T346">
        <f t="shared" si="5"/>
        <v>1</v>
      </c>
    </row>
    <row r="347" spans="1:20" ht="14.25" hidden="1" customHeight="1">
      <c r="A347" s="15">
        <v>346</v>
      </c>
      <c r="B347" s="16" t="s">
        <v>1296</v>
      </c>
      <c r="C347" s="17">
        <v>46080</v>
      </c>
      <c r="D347" s="15" t="s">
        <v>1297</v>
      </c>
      <c r="E347" s="18" t="s">
        <v>44</v>
      </c>
      <c r="F347" s="19" t="s">
        <v>838</v>
      </c>
      <c r="G347" s="18" t="s">
        <v>839</v>
      </c>
      <c r="H347" s="20" t="s">
        <v>130</v>
      </c>
      <c r="I347" s="15">
        <v>1</v>
      </c>
      <c r="J347" s="15" t="s">
        <v>25</v>
      </c>
      <c r="K347" s="15"/>
      <c r="L347" s="21" t="s">
        <v>16</v>
      </c>
      <c r="M347" s="22">
        <v>0</v>
      </c>
      <c r="N347" s="22">
        <v>-1188</v>
      </c>
      <c r="O347" s="22">
        <v>8712</v>
      </c>
      <c r="P347" s="22">
        <v>8712</v>
      </c>
      <c r="Q347" t="str" cm="1">
        <f t="array" ref="Q347">_xlfn.TEXTJOIN("、",TRUE,IF('學員資料-三民高中'!$B$2:$B$454=$F347,'學員資料-三民高中'!$G$2:$G$454,""))</f>
        <v/>
      </c>
      <c r="R347" t="str" cm="1">
        <f t="array" ref="R347">_xlfn.TEXTJOIN("、",TRUE,IF('學員資料-新北高中'!$B$2:$B$583=$F347,'學員資料-新北高中'!$G$2:$G$583,""))</f>
        <v/>
      </c>
      <c r="S347" t="str" cm="1">
        <f t="array" ref="S347">_xlfn.TEXTJOIN("、",TRUE,IF('學員資料-三重商工'!$B$2:$B$472=$F347,'學員資料-三重商工'!$G$2:$G$472,""))</f>
        <v>0926952553</v>
      </c>
      <c r="T347">
        <f t="shared" si="5"/>
        <v>1</v>
      </c>
    </row>
    <row r="348" spans="1:20" ht="43.5" hidden="1" customHeight="1">
      <c r="A348" s="15">
        <v>347</v>
      </c>
      <c r="B348" s="16" t="s">
        <v>1298</v>
      </c>
      <c r="C348" s="17">
        <v>46080</v>
      </c>
      <c r="D348" s="15" t="s">
        <v>1299</v>
      </c>
      <c r="E348" s="18" t="s">
        <v>44</v>
      </c>
      <c r="F348" s="19" t="s">
        <v>1300</v>
      </c>
      <c r="G348" s="18" t="s">
        <v>1301</v>
      </c>
      <c r="H348" s="20" t="s">
        <v>405</v>
      </c>
      <c r="I348" s="15">
        <v>3</v>
      </c>
      <c r="J348" s="15" t="s">
        <v>25</v>
      </c>
      <c r="K348" s="15"/>
      <c r="L348" s="21" t="s">
        <v>16</v>
      </c>
      <c r="M348" s="22">
        <v>0</v>
      </c>
      <c r="N348" s="22">
        <v>-5940</v>
      </c>
      <c r="O348" s="22">
        <v>23760</v>
      </c>
      <c r="P348" s="22">
        <v>23760</v>
      </c>
      <c r="Q348" t="str" cm="1">
        <f t="array" ref="Q348">_xlfn.TEXTJOIN("、",TRUE,IF('學員資料-三民高中'!$B$2:$B$454=$F348,'學員資料-三民高中'!$G$2:$G$454,""))</f>
        <v/>
      </c>
      <c r="R348" t="str" cm="1">
        <f t="array" ref="R348">_xlfn.TEXTJOIN("、",TRUE,IF('學員資料-新北高中'!$B$2:$B$583=$F348,'學員資料-新北高中'!$G$2:$G$583,""))</f>
        <v/>
      </c>
      <c r="S348" t="str" cm="1">
        <f t="array" ref="S348">_xlfn.TEXTJOIN("、",TRUE,IF('學員資料-三重商工'!$B$2:$B$472=$F348,'學員資料-三重商工'!$G$2:$G$472,""))</f>
        <v>0939388633</v>
      </c>
      <c r="T348">
        <f t="shared" si="5"/>
        <v>1</v>
      </c>
    </row>
    <row r="349" spans="1:20" ht="14.25" hidden="1" customHeight="1">
      <c r="A349" s="15">
        <v>348</v>
      </c>
      <c r="B349" s="16" t="s">
        <v>1302</v>
      </c>
      <c r="C349" s="17">
        <v>46080</v>
      </c>
      <c r="D349" s="15" t="s">
        <v>1303</v>
      </c>
      <c r="E349" s="18" t="s">
        <v>44</v>
      </c>
      <c r="F349" s="19" t="s">
        <v>975</v>
      </c>
      <c r="G349" s="18" t="s">
        <v>976</v>
      </c>
      <c r="H349" s="20" t="s">
        <v>66</v>
      </c>
      <c r="I349" s="15">
        <v>1</v>
      </c>
      <c r="J349" s="15" t="s">
        <v>23</v>
      </c>
      <c r="K349" s="15"/>
      <c r="L349" s="21" t="s">
        <v>16</v>
      </c>
      <c r="M349" s="22">
        <v>0</v>
      </c>
      <c r="N349" s="22">
        <v>-345</v>
      </c>
      <c r="O349" s="22">
        <v>6555</v>
      </c>
      <c r="P349" s="22">
        <v>6555</v>
      </c>
      <c r="Q349" t="str" cm="1">
        <f t="array" ref="Q349">_xlfn.TEXTJOIN("、",TRUE,IF('學員資料-三民高中'!$B$2:$B$454=$F349,'學員資料-三民高中'!$G$2:$G$454,""))</f>
        <v/>
      </c>
      <c r="R349" t="str" cm="1">
        <f t="array" ref="R349">_xlfn.TEXTJOIN("、",TRUE,IF('學員資料-新北高中'!$B$2:$B$583=$F349,'學員資料-新北高中'!$G$2:$G$583,""))</f>
        <v>0983818899</v>
      </c>
      <c r="S349" t="str" cm="1">
        <f t="array" ref="S349">_xlfn.TEXTJOIN("、",TRUE,IF('學員資料-三重商工'!$B$2:$B$472=$F349,'學員資料-三重商工'!$G$2:$G$472,""))</f>
        <v/>
      </c>
      <c r="T349">
        <f t="shared" si="5"/>
        <v>1</v>
      </c>
    </row>
    <row r="350" spans="1:20" ht="43.5" hidden="1" customHeight="1">
      <c r="A350" s="15">
        <v>349</v>
      </c>
      <c r="B350" s="16" t="s">
        <v>1304</v>
      </c>
      <c r="C350" s="17">
        <v>46078</v>
      </c>
      <c r="D350" s="15" t="s">
        <v>1305</v>
      </c>
      <c r="E350" s="18" t="s">
        <v>402</v>
      </c>
      <c r="F350" s="19" t="s">
        <v>403</v>
      </c>
      <c r="G350" s="18" t="s">
        <v>404</v>
      </c>
      <c r="H350" s="20" t="s">
        <v>405</v>
      </c>
      <c r="I350" s="15">
        <v>3</v>
      </c>
      <c r="J350" s="15" t="s">
        <v>25</v>
      </c>
      <c r="K350" s="15"/>
      <c r="L350" s="21" t="s">
        <v>16</v>
      </c>
      <c r="M350" s="22">
        <v>0</v>
      </c>
      <c r="N350" s="22">
        <v>-5940</v>
      </c>
      <c r="O350" s="22">
        <v>23760</v>
      </c>
      <c r="P350" s="22">
        <v>23760</v>
      </c>
      <c r="Q350" t="str" cm="1">
        <f t="array" ref="Q350">_xlfn.TEXTJOIN("、",TRUE,IF('學員資料-三民高中'!$B$2:$B$454=$F350,'學員資料-三民高中'!$G$2:$G$454,""))</f>
        <v/>
      </c>
      <c r="R350" t="str" cm="1">
        <f t="array" ref="R350">_xlfn.TEXTJOIN("、",TRUE,IF('學員資料-新北高中'!$B$2:$B$583=$F350,'學員資料-新北高中'!$G$2:$G$583,""))</f>
        <v>0921991299</v>
      </c>
      <c r="S350" t="str" cm="1">
        <f t="array" ref="S350">_xlfn.TEXTJOIN("、",TRUE,IF('學員資料-三重商工'!$B$2:$B$472=$F350,'學員資料-三重商工'!$G$2:$G$472,""))</f>
        <v/>
      </c>
      <c r="T350">
        <f t="shared" si="5"/>
        <v>1</v>
      </c>
    </row>
    <row r="351" spans="1:20" ht="14.25" hidden="1" customHeight="1">
      <c r="A351" s="15">
        <v>350</v>
      </c>
      <c r="B351" s="16" t="s">
        <v>1306</v>
      </c>
      <c r="C351" s="17">
        <v>46078</v>
      </c>
      <c r="D351" s="15" t="s">
        <v>1307</v>
      </c>
      <c r="E351" s="18" t="s">
        <v>402</v>
      </c>
      <c r="F351" s="19" t="s">
        <v>1308</v>
      </c>
      <c r="G351" s="18" t="s">
        <v>1309</v>
      </c>
      <c r="H351" s="20" t="s">
        <v>66</v>
      </c>
      <c r="I351" s="15">
        <v>1</v>
      </c>
      <c r="J351" s="15" t="s">
        <v>23</v>
      </c>
      <c r="K351" s="15"/>
      <c r="L351" s="21" t="s">
        <v>16</v>
      </c>
      <c r="M351" s="22">
        <v>0</v>
      </c>
      <c r="N351" s="22">
        <v>-345</v>
      </c>
      <c r="O351" s="22">
        <v>6555</v>
      </c>
      <c r="P351" s="22">
        <v>6555</v>
      </c>
      <c r="Q351" t="str" cm="1">
        <f t="array" ref="Q351">_xlfn.TEXTJOIN("、",TRUE,IF('學員資料-三民高中'!$B$2:$B$454=$F351,'學員資料-三民高中'!$G$2:$G$454,""))</f>
        <v/>
      </c>
      <c r="R351" t="str" cm="1">
        <f t="array" ref="R351">_xlfn.TEXTJOIN("、",TRUE,IF('學員資料-新北高中'!$B$2:$B$583=$F351,'學員資料-新北高中'!$G$2:$G$583,""))</f>
        <v>0921991299-1</v>
      </c>
      <c r="S351" t="str" cm="1">
        <f t="array" ref="S351">_xlfn.TEXTJOIN("、",TRUE,IF('學員資料-三重商工'!$B$2:$B$472=$F351,'學員資料-三重商工'!$G$2:$G$472,""))</f>
        <v/>
      </c>
      <c r="T351">
        <f t="shared" si="5"/>
        <v>1</v>
      </c>
    </row>
    <row r="352" spans="1:20" ht="14.25" hidden="1" customHeight="1">
      <c r="A352" s="15">
        <v>351</v>
      </c>
      <c r="B352" s="16" t="s">
        <v>1310</v>
      </c>
      <c r="C352" s="17">
        <v>46067</v>
      </c>
      <c r="D352" s="15" t="s">
        <v>1311</v>
      </c>
      <c r="E352" s="18" t="s">
        <v>78</v>
      </c>
      <c r="F352" s="19" t="s">
        <v>1312</v>
      </c>
      <c r="G352" s="18" t="s">
        <v>1313</v>
      </c>
      <c r="H352" s="20" t="s">
        <v>52</v>
      </c>
      <c r="I352" s="15">
        <v>1</v>
      </c>
      <c r="J352" s="15" t="s">
        <v>24</v>
      </c>
      <c r="K352" s="15"/>
      <c r="L352" s="21" t="s">
        <v>16</v>
      </c>
      <c r="M352" s="22">
        <v>0</v>
      </c>
      <c r="N352" s="22">
        <v>-900</v>
      </c>
      <c r="O352" s="22">
        <v>6600</v>
      </c>
      <c r="P352" s="22">
        <v>6600</v>
      </c>
      <c r="Q352" t="str" cm="1">
        <f t="array" ref="Q352">_xlfn.TEXTJOIN("、",TRUE,IF('學員資料-三民高中'!$B$2:$B$454=$F352,'學員資料-三民高中'!$G$2:$G$454,""))</f>
        <v/>
      </c>
      <c r="R352" t="str" cm="1">
        <f t="array" ref="R352">_xlfn.TEXTJOIN("、",TRUE,IF('學員資料-新北高中'!$B$2:$B$583=$F352,'學員資料-新北高中'!$G$2:$G$583,""))</f>
        <v>0937639739</v>
      </c>
      <c r="S352" t="str" cm="1">
        <f t="array" ref="S352">_xlfn.TEXTJOIN("、",TRUE,IF('學員資料-三重商工'!$B$2:$B$472=$F352,'學員資料-三重商工'!$G$2:$G$472,""))</f>
        <v/>
      </c>
      <c r="T352">
        <f t="shared" si="5"/>
        <v>1</v>
      </c>
    </row>
    <row r="353" spans="1:20" ht="14.25" hidden="1" customHeight="1">
      <c r="A353" s="15">
        <v>352</v>
      </c>
      <c r="B353" s="16" t="s">
        <v>1314</v>
      </c>
      <c r="C353" s="17">
        <v>46062</v>
      </c>
      <c r="D353" s="15" t="s">
        <v>1315</v>
      </c>
      <c r="E353" s="18" t="s">
        <v>83</v>
      </c>
      <c r="F353" s="19" t="s">
        <v>1316</v>
      </c>
      <c r="G353" s="18" t="s">
        <v>1317</v>
      </c>
      <c r="H353" s="20" t="s">
        <v>130</v>
      </c>
      <c r="I353" s="15">
        <v>1</v>
      </c>
      <c r="J353" s="15" t="s">
        <v>25</v>
      </c>
      <c r="K353" s="15"/>
      <c r="L353" s="21" t="s">
        <v>18</v>
      </c>
      <c r="M353" s="22">
        <v>0</v>
      </c>
      <c r="N353" s="22">
        <v>-1188</v>
      </c>
      <c r="O353" s="22">
        <v>8712</v>
      </c>
      <c r="P353" s="22">
        <v>8712</v>
      </c>
      <c r="Q353" t="str" cm="1">
        <f t="array" ref="Q353">_xlfn.TEXTJOIN("、",TRUE,IF('學員資料-三民高中'!$B$2:$B$454=$F353,'學員資料-三民高中'!$G$2:$G$454,""))</f>
        <v/>
      </c>
      <c r="R353" t="str" cm="1">
        <f t="array" ref="R353">_xlfn.TEXTJOIN("、",TRUE,IF('學員資料-新北高中'!$B$2:$B$583=$F353,'學員資料-新北高中'!$G$2:$G$583,""))</f>
        <v/>
      </c>
      <c r="S353" t="str" cm="1">
        <f t="array" ref="S353">_xlfn.TEXTJOIN("、",TRUE,IF('學員資料-三重商工'!$B$2:$B$472=$F353,'學員資料-三重商工'!$G$2:$G$472,""))</f>
        <v>0915680699</v>
      </c>
      <c r="T353">
        <f t="shared" si="5"/>
        <v>1</v>
      </c>
    </row>
    <row r="354" spans="1:20" ht="14.25" hidden="1" customHeight="1">
      <c r="A354" s="15">
        <v>353</v>
      </c>
      <c r="B354" s="16" t="s">
        <v>1318</v>
      </c>
      <c r="C354" s="17">
        <v>46062</v>
      </c>
      <c r="D354" s="15" t="s">
        <v>1319</v>
      </c>
      <c r="E354" s="18" t="s">
        <v>83</v>
      </c>
      <c r="F354" s="19" t="s">
        <v>1320</v>
      </c>
      <c r="G354" s="18" t="s">
        <v>1321</v>
      </c>
      <c r="H354" s="20" t="s">
        <v>52</v>
      </c>
      <c r="I354" s="15">
        <v>1</v>
      </c>
      <c r="J354" s="15" t="s">
        <v>24</v>
      </c>
      <c r="K354" s="15"/>
      <c r="L354" s="21" t="s">
        <v>18</v>
      </c>
      <c r="M354" s="22">
        <v>0</v>
      </c>
      <c r="N354" s="22">
        <v>-900</v>
      </c>
      <c r="O354" s="22">
        <v>6600</v>
      </c>
      <c r="P354" s="22">
        <v>6600</v>
      </c>
      <c r="Q354" t="str" cm="1">
        <f t="array" ref="Q354">_xlfn.TEXTJOIN("、",TRUE,IF('學員資料-三民高中'!$B$2:$B$454=$F354,'學員資料-三民高中'!$G$2:$G$454,""))</f>
        <v>0963394102</v>
      </c>
      <c r="R354" t="str" cm="1">
        <f t="array" ref="R354">_xlfn.TEXTJOIN("、",TRUE,IF('學員資料-新北高中'!$B$2:$B$583=$F354,'學員資料-新北高中'!$G$2:$G$583,""))</f>
        <v/>
      </c>
      <c r="S354" t="str" cm="1">
        <f t="array" ref="S354">_xlfn.TEXTJOIN("、",TRUE,IF('學員資料-三重商工'!$B$2:$B$472=$F354,'學員資料-三重商工'!$G$2:$G$472,""))</f>
        <v/>
      </c>
      <c r="T354">
        <f t="shared" si="5"/>
        <v>1</v>
      </c>
    </row>
    <row r="355" spans="1:20" ht="14.25" hidden="1" customHeight="1">
      <c r="A355" s="15">
        <v>354</v>
      </c>
      <c r="B355" s="16" t="s">
        <v>1322</v>
      </c>
      <c r="C355" s="17">
        <v>46062</v>
      </c>
      <c r="D355" s="15" t="s">
        <v>1323</v>
      </c>
      <c r="E355" s="18" t="s">
        <v>1324</v>
      </c>
      <c r="F355" s="19" t="s">
        <v>1325</v>
      </c>
      <c r="G355" s="18" t="s">
        <v>1326</v>
      </c>
      <c r="H355" s="20" t="s">
        <v>266</v>
      </c>
      <c r="I355" s="15">
        <v>1</v>
      </c>
      <c r="J355" s="15" t="s">
        <v>24</v>
      </c>
      <c r="K355" s="15"/>
      <c r="L355" s="21" t="s">
        <v>17</v>
      </c>
      <c r="M355" s="22">
        <v>0</v>
      </c>
      <c r="N355" s="22">
        <v>0</v>
      </c>
      <c r="O355" s="22">
        <v>10800</v>
      </c>
      <c r="P355" s="22">
        <v>10800</v>
      </c>
      <c r="Q355" t="str" cm="1">
        <f t="array" ref="Q355">_xlfn.TEXTJOIN("、",TRUE,IF('學員資料-三民高中'!$B$2:$B$454=$F355,'學員資料-三民高中'!$G$2:$G$454,""))</f>
        <v/>
      </c>
      <c r="R355" t="str" cm="1">
        <f t="array" ref="R355">_xlfn.TEXTJOIN("、",TRUE,IF('學員資料-新北高中'!$B$2:$B$583=$F355,'學員資料-新北高中'!$G$2:$G$583,""))</f>
        <v>0932984961</v>
      </c>
      <c r="S355" t="str" cm="1">
        <f t="array" ref="S355">_xlfn.TEXTJOIN("、",TRUE,IF('學員資料-三重商工'!$B$2:$B$472=$F355,'學員資料-三重商工'!$G$2:$G$472,""))</f>
        <v/>
      </c>
      <c r="T355">
        <f t="shared" si="5"/>
        <v>1</v>
      </c>
    </row>
    <row r="356" spans="1:20" ht="14.25" hidden="1" customHeight="1">
      <c r="A356" s="15">
        <v>355</v>
      </c>
      <c r="B356" s="16" t="s">
        <v>1327</v>
      </c>
      <c r="C356" s="17">
        <v>46062</v>
      </c>
      <c r="D356" s="15" t="s">
        <v>1328</v>
      </c>
      <c r="E356" s="18" t="s">
        <v>1324</v>
      </c>
      <c r="F356" s="19" t="s">
        <v>1325</v>
      </c>
      <c r="G356" s="18" t="s">
        <v>1326</v>
      </c>
      <c r="H356" s="20" t="s">
        <v>266</v>
      </c>
      <c r="I356" s="15">
        <v>1</v>
      </c>
      <c r="J356" s="15" t="s">
        <v>24</v>
      </c>
      <c r="K356" s="15"/>
      <c r="L356" s="21" t="s">
        <v>17</v>
      </c>
      <c r="M356" s="22">
        <v>0</v>
      </c>
      <c r="N356" s="22">
        <v>-2592</v>
      </c>
      <c r="O356" s="22">
        <v>8208</v>
      </c>
      <c r="P356" s="22">
        <v>8208</v>
      </c>
      <c r="Q356" t="str" cm="1">
        <f t="array" ref="Q356">_xlfn.TEXTJOIN("、",TRUE,IF('學員資料-三民高中'!$B$2:$B$454=$F356,'學員資料-三民高中'!$G$2:$G$454,""))</f>
        <v/>
      </c>
      <c r="R356" t="str" cm="1">
        <f t="array" ref="R356">_xlfn.TEXTJOIN("、",TRUE,IF('學員資料-新北高中'!$B$2:$B$583=$F356,'學員資料-新北高中'!$G$2:$G$583,""))</f>
        <v>0932984961</v>
      </c>
      <c r="S356" t="str" cm="1">
        <f t="array" ref="S356">_xlfn.TEXTJOIN("、",TRUE,IF('學員資料-三重商工'!$B$2:$B$472=$F356,'學員資料-三重商工'!$G$2:$G$472,""))</f>
        <v/>
      </c>
      <c r="T356">
        <f t="shared" si="5"/>
        <v>1</v>
      </c>
    </row>
    <row r="357" spans="1:20" ht="14.25" hidden="1" customHeight="1">
      <c r="A357" s="15">
        <v>356</v>
      </c>
      <c r="B357" s="16" t="s">
        <v>1329</v>
      </c>
      <c r="C357" s="17">
        <v>46059</v>
      </c>
      <c r="D357" s="15" t="s">
        <v>1330</v>
      </c>
      <c r="E357" s="18" t="s">
        <v>44</v>
      </c>
      <c r="F357" s="19" t="s">
        <v>1331</v>
      </c>
      <c r="G357" s="18" t="s">
        <v>1332</v>
      </c>
      <c r="H357" s="20" t="s">
        <v>52</v>
      </c>
      <c r="I357" s="15">
        <v>1</v>
      </c>
      <c r="J357" s="15" t="s">
        <v>24</v>
      </c>
      <c r="K357" s="15"/>
      <c r="L357" s="21" t="s">
        <v>16</v>
      </c>
      <c r="M357" s="22">
        <v>0</v>
      </c>
      <c r="N357" s="22">
        <v>-900</v>
      </c>
      <c r="O357" s="22">
        <v>6600</v>
      </c>
      <c r="P357" s="22">
        <v>6600</v>
      </c>
      <c r="Q357" t="str" cm="1">
        <f t="array" ref="Q357">_xlfn.TEXTJOIN("、",TRUE,IF('學員資料-三民高中'!$B$2:$B$454=$F357,'學員資料-三民高中'!$G$2:$G$454,""))</f>
        <v/>
      </c>
      <c r="R357" t="str" cm="1">
        <f t="array" ref="R357">_xlfn.TEXTJOIN("、",TRUE,IF('學員資料-新北高中'!$B$2:$B$583=$F357,'學員資料-新北高中'!$G$2:$G$583,""))</f>
        <v/>
      </c>
      <c r="S357" t="str" cm="1">
        <f t="array" ref="S357">_xlfn.TEXTJOIN("、",TRUE,IF('學員資料-三重商工'!$B$2:$B$472=$F357,'學員資料-三重商工'!$G$2:$G$472,""))</f>
        <v>0982798492</v>
      </c>
      <c r="T357">
        <f t="shared" si="5"/>
        <v>1</v>
      </c>
    </row>
    <row r="358" spans="1:20" ht="28.5" hidden="1" customHeight="1">
      <c r="A358" s="15">
        <v>357</v>
      </c>
      <c r="B358" s="16" t="s">
        <v>1333</v>
      </c>
      <c r="C358" s="17">
        <v>46059</v>
      </c>
      <c r="D358" s="15" t="s">
        <v>1334</v>
      </c>
      <c r="E358" s="18" t="s">
        <v>44</v>
      </c>
      <c r="F358" s="19" t="s">
        <v>1335</v>
      </c>
      <c r="G358" s="18" t="s">
        <v>1336</v>
      </c>
      <c r="H358" s="20" t="s">
        <v>75</v>
      </c>
      <c r="I358" s="15">
        <v>2</v>
      </c>
      <c r="J358" s="15" t="s">
        <v>23</v>
      </c>
      <c r="K358" s="15"/>
      <c r="L358" s="21" t="s">
        <v>16</v>
      </c>
      <c r="M358" s="22">
        <v>0</v>
      </c>
      <c r="N358" s="22">
        <v>-690</v>
      </c>
      <c r="O358" s="22">
        <v>13110</v>
      </c>
      <c r="P358" s="22">
        <v>13110</v>
      </c>
      <c r="Q358" t="str" cm="1">
        <f t="array" ref="Q358">_xlfn.TEXTJOIN("、",TRUE,IF('學員資料-三民高中'!$B$2:$B$454=$F358,'學員資料-三民高中'!$G$2:$G$454,""))</f>
        <v/>
      </c>
      <c r="R358" t="str" cm="1">
        <f t="array" ref="R358">_xlfn.TEXTJOIN("、",TRUE,IF('學員資料-新北高中'!$B$2:$B$583=$F358,'學員資料-新北高中'!$G$2:$G$583,""))</f>
        <v/>
      </c>
      <c r="S358" t="str" cm="1">
        <f t="array" ref="S358">_xlfn.TEXTJOIN("、",TRUE,IF('學員資料-三重商工'!$B$2:$B$472=$F358,'學員資料-三重商工'!$G$2:$G$472,""))</f>
        <v>0932625033</v>
      </c>
      <c r="T358">
        <f t="shared" si="5"/>
        <v>1</v>
      </c>
    </row>
    <row r="359" spans="1:20" ht="14.25" hidden="1" customHeight="1">
      <c r="A359" s="15">
        <v>358</v>
      </c>
      <c r="B359" s="16" t="s">
        <v>1337</v>
      </c>
      <c r="C359" s="17">
        <v>46058</v>
      </c>
      <c r="D359" s="15" t="s">
        <v>1338</v>
      </c>
      <c r="E359" s="18" t="s">
        <v>78</v>
      </c>
      <c r="F359" s="19" t="s">
        <v>1339</v>
      </c>
      <c r="G359" s="18" t="s">
        <v>1340</v>
      </c>
      <c r="H359" s="20" t="s">
        <v>52</v>
      </c>
      <c r="I359" s="15">
        <v>1</v>
      </c>
      <c r="J359" s="15" t="s">
        <v>24</v>
      </c>
      <c r="K359" s="15"/>
      <c r="L359" s="21" t="s">
        <v>16</v>
      </c>
      <c r="M359" s="22">
        <v>0</v>
      </c>
      <c r="N359" s="22">
        <v>0</v>
      </c>
      <c r="O359" s="22">
        <v>7500</v>
      </c>
      <c r="P359" s="22">
        <v>7500</v>
      </c>
      <c r="Q359" t="str" cm="1">
        <f t="array" ref="Q359">_xlfn.TEXTJOIN("、",TRUE,IF('學員資料-三民高中'!$B$2:$B$454=$F359,'學員資料-三民高中'!$G$2:$G$454,""))</f>
        <v/>
      </c>
      <c r="R359" t="str" cm="1">
        <f t="array" ref="R359">_xlfn.TEXTJOIN("、",TRUE,IF('學員資料-新北高中'!$B$2:$B$583=$F359,'學員資料-新北高中'!$G$2:$G$583,""))</f>
        <v>0918352996</v>
      </c>
      <c r="S359" t="str" cm="1">
        <f t="array" ref="S359">_xlfn.TEXTJOIN("、",TRUE,IF('學員資料-三重商工'!$B$2:$B$472=$F359,'學員資料-三重商工'!$G$2:$G$472,""))</f>
        <v/>
      </c>
      <c r="T359">
        <f t="shared" si="5"/>
        <v>1</v>
      </c>
    </row>
    <row r="360" spans="1:20" ht="14.25" hidden="1" customHeight="1">
      <c r="A360" s="15">
        <v>359</v>
      </c>
      <c r="B360" s="16" t="s">
        <v>1341</v>
      </c>
      <c r="C360" s="17">
        <v>46058</v>
      </c>
      <c r="D360" s="15" t="s">
        <v>1342</v>
      </c>
      <c r="E360" s="18" t="s">
        <v>78</v>
      </c>
      <c r="F360" s="19" t="s">
        <v>1339</v>
      </c>
      <c r="G360" s="18" t="s">
        <v>1340</v>
      </c>
      <c r="H360" s="20" t="s">
        <v>52</v>
      </c>
      <c r="I360" s="15">
        <v>1</v>
      </c>
      <c r="J360" s="15" t="s">
        <v>24</v>
      </c>
      <c r="K360" s="15"/>
      <c r="L360" s="21" t="s">
        <v>16</v>
      </c>
      <c r="M360" s="22">
        <v>0</v>
      </c>
      <c r="N360" s="22">
        <v>-1800</v>
      </c>
      <c r="O360" s="22">
        <v>5700</v>
      </c>
      <c r="P360" s="22">
        <v>5700</v>
      </c>
      <c r="Q360" t="str" cm="1">
        <f t="array" ref="Q360">_xlfn.TEXTJOIN("、",TRUE,IF('學員資料-三民高中'!$B$2:$B$454=$F360,'學員資料-三民高中'!$G$2:$G$454,""))</f>
        <v/>
      </c>
      <c r="R360" t="str" cm="1">
        <f t="array" ref="R360">_xlfn.TEXTJOIN("、",TRUE,IF('學員資料-新北高中'!$B$2:$B$583=$F360,'學員資料-新北高中'!$G$2:$G$583,""))</f>
        <v>0918352996</v>
      </c>
      <c r="S360" t="str" cm="1">
        <f t="array" ref="S360">_xlfn.TEXTJOIN("、",TRUE,IF('學員資料-三重商工'!$B$2:$B$472=$F360,'學員資料-三重商工'!$G$2:$G$472,""))</f>
        <v/>
      </c>
      <c r="T360">
        <f t="shared" si="5"/>
        <v>1</v>
      </c>
    </row>
    <row r="361" spans="1:20" ht="14.25" hidden="1" customHeight="1">
      <c r="A361" s="15">
        <v>360</v>
      </c>
      <c r="B361" s="16" t="s">
        <v>1343</v>
      </c>
      <c r="C361" s="17">
        <v>46058</v>
      </c>
      <c r="D361" s="15" t="s">
        <v>1344</v>
      </c>
      <c r="E361" s="18" t="s">
        <v>83</v>
      </c>
      <c r="F361" s="19" t="s">
        <v>1345</v>
      </c>
      <c r="G361" s="18" t="s">
        <v>1346</v>
      </c>
      <c r="H361" s="20" t="s">
        <v>52</v>
      </c>
      <c r="I361" s="15">
        <v>1</v>
      </c>
      <c r="J361" s="15" t="s">
        <v>24</v>
      </c>
      <c r="K361" s="15"/>
      <c r="L361" s="21" t="s">
        <v>18</v>
      </c>
      <c r="M361" s="22">
        <v>0</v>
      </c>
      <c r="N361" s="22">
        <v>-900</v>
      </c>
      <c r="O361" s="22">
        <v>6600</v>
      </c>
      <c r="P361" s="22">
        <v>6600</v>
      </c>
      <c r="Q361" t="str" cm="1">
        <f t="array" ref="Q361">_xlfn.TEXTJOIN("、",TRUE,IF('學員資料-三民高中'!$B$2:$B$454=$F361,'學員資料-三民高中'!$G$2:$G$454,""))</f>
        <v>0982307834</v>
      </c>
      <c r="R361" t="str" cm="1">
        <f t="array" ref="R361">_xlfn.TEXTJOIN("、",TRUE,IF('學員資料-新北高中'!$B$2:$B$583=$F361,'學員資料-新北高中'!$G$2:$G$583,""))</f>
        <v/>
      </c>
      <c r="S361" t="str" cm="1">
        <f t="array" ref="S361">_xlfn.TEXTJOIN("、",TRUE,IF('學員資料-三重商工'!$B$2:$B$472=$F361,'學員資料-三重商工'!$G$2:$G$472,""))</f>
        <v/>
      </c>
      <c r="T361">
        <f t="shared" si="5"/>
        <v>1</v>
      </c>
    </row>
    <row r="362" spans="1:20" ht="14.25" hidden="1" customHeight="1">
      <c r="A362" s="15">
        <v>361</v>
      </c>
      <c r="B362" s="16" t="s">
        <v>1347</v>
      </c>
      <c r="C362" s="17">
        <v>46058</v>
      </c>
      <c r="D362" s="15" t="s">
        <v>1348</v>
      </c>
      <c r="E362" s="18" t="s">
        <v>1324</v>
      </c>
      <c r="F362" s="19" t="s">
        <v>1349</v>
      </c>
      <c r="G362" s="18" t="s">
        <v>1350</v>
      </c>
      <c r="H362" s="20" t="s">
        <v>266</v>
      </c>
      <c r="I362" s="15">
        <v>1</v>
      </c>
      <c r="J362" s="15" t="s">
        <v>24</v>
      </c>
      <c r="K362" s="15"/>
      <c r="L362" s="21" t="s">
        <v>17</v>
      </c>
      <c r="M362" s="22">
        <v>0</v>
      </c>
      <c r="N362" s="22">
        <v>0</v>
      </c>
      <c r="O362" s="22">
        <v>10800</v>
      </c>
      <c r="P362" s="22">
        <v>10800</v>
      </c>
      <c r="Q362" t="str" cm="1">
        <f t="array" ref="Q362">_xlfn.TEXTJOIN("、",TRUE,IF('學員資料-三民高中'!$B$2:$B$454=$F362,'學員資料-三民高中'!$G$2:$G$454,""))</f>
        <v/>
      </c>
      <c r="R362" t="str" cm="1">
        <f t="array" ref="R362">_xlfn.TEXTJOIN("、",TRUE,IF('學員資料-新北高中'!$B$2:$B$583=$F362,'學員資料-新北高中'!$G$2:$G$583,""))</f>
        <v>0932313729</v>
      </c>
      <c r="S362" t="str" cm="1">
        <f t="array" ref="S362">_xlfn.TEXTJOIN("、",TRUE,IF('學員資料-三重商工'!$B$2:$B$472=$F362,'學員資料-三重商工'!$G$2:$G$472,""))</f>
        <v/>
      </c>
      <c r="T362">
        <f t="shared" si="5"/>
        <v>1</v>
      </c>
    </row>
    <row r="363" spans="1:20" ht="14.25" hidden="1" customHeight="1">
      <c r="A363" s="15">
        <v>362</v>
      </c>
      <c r="B363" s="16" t="s">
        <v>1351</v>
      </c>
      <c r="C363" s="17">
        <v>46058</v>
      </c>
      <c r="D363" s="15" t="s">
        <v>1352</v>
      </c>
      <c r="E363" s="18" t="s">
        <v>1324</v>
      </c>
      <c r="F363" s="19" t="s">
        <v>1349</v>
      </c>
      <c r="G363" s="18" t="s">
        <v>1350</v>
      </c>
      <c r="H363" s="20" t="s">
        <v>266</v>
      </c>
      <c r="I363" s="15">
        <v>1</v>
      </c>
      <c r="J363" s="15" t="s">
        <v>24</v>
      </c>
      <c r="K363" s="15"/>
      <c r="L363" s="21" t="s">
        <v>17</v>
      </c>
      <c r="M363" s="22">
        <v>0</v>
      </c>
      <c r="N363" s="22">
        <v>0</v>
      </c>
      <c r="O363" s="22">
        <v>10800</v>
      </c>
      <c r="P363" s="22">
        <v>10800</v>
      </c>
      <c r="Q363" t="str" cm="1">
        <f t="array" ref="Q363">_xlfn.TEXTJOIN("、",TRUE,IF('學員資料-三民高中'!$B$2:$B$454=$F363,'學員資料-三民高中'!$G$2:$G$454,""))</f>
        <v/>
      </c>
      <c r="R363" t="str" cm="1">
        <f t="array" ref="R363">_xlfn.TEXTJOIN("、",TRUE,IF('學員資料-新北高中'!$B$2:$B$583=$F363,'學員資料-新北高中'!$G$2:$G$583,""))</f>
        <v>0932313729</v>
      </c>
      <c r="S363" t="str" cm="1">
        <f t="array" ref="S363">_xlfn.TEXTJOIN("、",TRUE,IF('學員資料-三重商工'!$B$2:$B$472=$F363,'學員資料-三重商工'!$G$2:$G$472,""))</f>
        <v/>
      </c>
      <c r="T363">
        <f t="shared" si="5"/>
        <v>1</v>
      </c>
    </row>
    <row r="364" spans="1:20" ht="14.25" hidden="1" customHeight="1">
      <c r="A364" s="15">
        <v>363</v>
      </c>
      <c r="B364" s="16" t="s">
        <v>1353</v>
      </c>
      <c r="C364" s="17">
        <v>46058</v>
      </c>
      <c r="D364" s="15" t="s">
        <v>1354</v>
      </c>
      <c r="E364" s="18" t="s">
        <v>1324</v>
      </c>
      <c r="F364" s="19" t="s">
        <v>1349</v>
      </c>
      <c r="G364" s="18" t="s">
        <v>1350</v>
      </c>
      <c r="H364" s="20" t="s">
        <v>266</v>
      </c>
      <c r="I364" s="15">
        <v>1</v>
      </c>
      <c r="J364" s="15" t="s">
        <v>24</v>
      </c>
      <c r="K364" s="15"/>
      <c r="L364" s="21" t="s">
        <v>17</v>
      </c>
      <c r="M364" s="22">
        <v>0</v>
      </c>
      <c r="N364" s="22">
        <v>-6480</v>
      </c>
      <c r="O364" s="22">
        <v>4320</v>
      </c>
      <c r="P364" s="22">
        <v>4320</v>
      </c>
      <c r="Q364" t="str" cm="1">
        <f t="array" ref="Q364">_xlfn.TEXTJOIN("、",TRUE,IF('學員資料-三民高中'!$B$2:$B$454=$F364,'學員資料-三民高中'!$G$2:$G$454,""))</f>
        <v/>
      </c>
      <c r="R364" t="str" cm="1">
        <f t="array" ref="R364">_xlfn.TEXTJOIN("、",TRUE,IF('學員資料-新北高中'!$B$2:$B$583=$F364,'學員資料-新北高中'!$G$2:$G$583,""))</f>
        <v>0932313729</v>
      </c>
      <c r="S364" t="str" cm="1">
        <f t="array" ref="S364">_xlfn.TEXTJOIN("、",TRUE,IF('學員資料-三重商工'!$B$2:$B$472=$F364,'學員資料-三重商工'!$G$2:$G$472,""))</f>
        <v/>
      </c>
      <c r="T364">
        <f t="shared" si="5"/>
        <v>1</v>
      </c>
    </row>
    <row r="365" spans="1:20" ht="14.25" hidden="1" customHeight="1">
      <c r="A365" s="15">
        <v>364</v>
      </c>
      <c r="B365" s="16" t="s">
        <v>1355</v>
      </c>
      <c r="C365" s="17">
        <v>46057</v>
      </c>
      <c r="D365" s="15" t="s">
        <v>1356</v>
      </c>
      <c r="E365" s="18" t="s">
        <v>78</v>
      </c>
      <c r="F365" s="19" t="s">
        <v>1357</v>
      </c>
      <c r="G365" s="18" t="s">
        <v>1358</v>
      </c>
      <c r="H365" s="20" t="s">
        <v>52</v>
      </c>
      <c r="I365" s="15">
        <v>1</v>
      </c>
      <c r="J365" s="15" t="s">
        <v>24</v>
      </c>
      <c r="K365" s="15"/>
      <c r="L365" s="21" t="s">
        <v>16</v>
      </c>
      <c r="M365" s="22">
        <v>0</v>
      </c>
      <c r="N365" s="22">
        <v>0</v>
      </c>
      <c r="O365" s="22">
        <v>7500</v>
      </c>
      <c r="P365" s="22">
        <v>7500</v>
      </c>
      <c r="Q365" t="str" cm="1">
        <f t="array" ref="Q365">_xlfn.TEXTJOIN("、",TRUE,IF('學員資料-三民高中'!$B$2:$B$454=$F365,'學員資料-三民高中'!$G$2:$G$454,""))</f>
        <v/>
      </c>
      <c r="R365" t="str" cm="1">
        <f t="array" ref="R365">_xlfn.TEXTJOIN("、",TRUE,IF('學員資料-新北高中'!$B$2:$B$583=$F365,'學員資料-新北高中'!$G$2:$G$583,""))</f>
        <v>0916008818</v>
      </c>
      <c r="S365" t="str" cm="1">
        <f t="array" ref="S365">_xlfn.TEXTJOIN("、",TRUE,IF('學員資料-三重商工'!$B$2:$B$472=$F365,'學員資料-三重商工'!$G$2:$G$472,""))</f>
        <v/>
      </c>
      <c r="T365">
        <f t="shared" si="5"/>
        <v>1</v>
      </c>
    </row>
    <row r="366" spans="1:20" ht="14.25" hidden="1" customHeight="1">
      <c r="A366" s="15">
        <v>365</v>
      </c>
      <c r="B366" s="16" t="s">
        <v>1359</v>
      </c>
      <c r="C366" s="17">
        <v>46057</v>
      </c>
      <c r="D366" s="15" t="s">
        <v>1360</v>
      </c>
      <c r="E366" s="18" t="s">
        <v>78</v>
      </c>
      <c r="F366" s="19" t="s">
        <v>1357</v>
      </c>
      <c r="G366" s="18" t="s">
        <v>1358</v>
      </c>
      <c r="H366" s="20" t="s">
        <v>52</v>
      </c>
      <c r="I366" s="15">
        <v>1</v>
      </c>
      <c r="J366" s="15" t="s">
        <v>24</v>
      </c>
      <c r="K366" s="15"/>
      <c r="L366" s="21" t="s">
        <v>16</v>
      </c>
      <c r="M366" s="22">
        <v>0</v>
      </c>
      <c r="N366" s="22">
        <v>0</v>
      </c>
      <c r="O366" s="22">
        <v>7500</v>
      </c>
      <c r="P366" s="22">
        <v>7500</v>
      </c>
      <c r="Q366" t="str" cm="1">
        <f t="array" ref="Q366">_xlfn.TEXTJOIN("、",TRUE,IF('學員資料-三民高中'!$B$2:$B$454=$F366,'學員資料-三民高中'!$G$2:$G$454,""))</f>
        <v/>
      </c>
      <c r="R366" t="str" cm="1">
        <f t="array" ref="R366">_xlfn.TEXTJOIN("、",TRUE,IF('學員資料-新北高中'!$B$2:$B$583=$F366,'學員資料-新北高中'!$G$2:$G$583,""))</f>
        <v>0916008818</v>
      </c>
      <c r="S366" t="str" cm="1">
        <f t="array" ref="S366">_xlfn.TEXTJOIN("、",TRUE,IF('學員資料-三重商工'!$B$2:$B$472=$F366,'學員資料-三重商工'!$G$2:$G$472,""))</f>
        <v/>
      </c>
      <c r="T366">
        <f t="shared" si="5"/>
        <v>1</v>
      </c>
    </row>
    <row r="367" spans="1:20" ht="14.25" hidden="1" customHeight="1">
      <c r="A367" s="15">
        <v>366</v>
      </c>
      <c r="B367" s="16" t="s">
        <v>1361</v>
      </c>
      <c r="C367" s="17">
        <v>46057</v>
      </c>
      <c r="D367" s="15" t="s">
        <v>1362</v>
      </c>
      <c r="E367" s="18" t="s">
        <v>78</v>
      </c>
      <c r="F367" s="19" t="s">
        <v>1357</v>
      </c>
      <c r="G367" s="18" t="s">
        <v>1358</v>
      </c>
      <c r="H367" s="20" t="s">
        <v>52</v>
      </c>
      <c r="I367" s="15">
        <v>1</v>
      </c>
      <c r="J367" s="15" t="s">
        <v>24</v>
      </c>
      <c r="K367" s="15"/>
      <c r="L367" s="21" t="s">
        <v>16</v>
      </c>
      <c r="M367" s="22">
        <v>0</v>
      </c>
      <c r="N367" s="22">
        <v>-4500</v>
      </c>
      <c r="O367" s="22">
        <v>3000</v>
      </c>
      <c r="P367" s="22">
        <v>3000</v>
      </c>
      <c r="Q367" t="str" cm="1">
        <f t="array" ref="Q367">_xlfn.TEXTJOIN("、",TRUE,IF('學員資料-三民高中'!$B$2:$B$454=$F367,'學員資料-三民高中'!$G$2:$G$454,""))</f>
        <v/>
      </c>
      <c r="R367" t="str" cm="1">
        <f t="array" ref="R367">_xlfn.TEXTJOIN("、",TRUE,IF('學員資料-新北高中'!$B$2:$B$583=$F367,'學員資料-新北高中'!$G$2:$G$583,""))</f>
        <v>0916008818</v>
      </c>
      <c r="S367" t="str" cm="1">
        <f t="array" ref="S367">_xlfn.TEXTJOIN("、",TRUE,IF('學員資料-三重商工'!$B$2:$B$472=$F367,'學員資料-三重商工'!$G$2:$G$472,""))</f>
        <v/>
      </c>
      <c r="T367">
        <f t="shared" si="5"/>
        <v>1</v>
      </c>
    </row>
    <row r="368" spans="1:20" ht="28.5" hidden="1" customHeight="1">
      <c r="A368" s="15">
        <v>367</v>
      </c>
      <c r="B368" s="16" t="s">
        <v>1363</v>
      </c>
      <c r="C368" s="17">
        <v>46056</v>
      </c>
      <c r="D368" s="15" t="s">
        <v>1364</v>
      </c>
      <c r="E368" s="18" t="s">
        <v>83</v>
      </c>
      <c r="F368" s="19" t="s">
        <v>1365</v>
      </c>
      <c r="G368" s="18" t="s">
        <v>1366</v>
      </c>
      <c r="H368" s="20" t="s">
        <v>99</v>
      </c>
      <c r="I368" s="15">
        <v>2</v>
      </c>
      <c r="J368" s="15" t="s">
        <v>24</v>
      </c>
      <c r="K368" s="15"/>
      <c r="L368" s="21" t="s">
        <v>16</v>
      </c>
      <c r="M368" s="22">
        <v>0</v>
      </c>
      <c r="N368" s="22">
        <v>-3000</v>
      </c>
      <c r="O368" s="22">
        <v>12000</v>
      </c>
      <c r="P368" s="22">
        <v>12000</v>
      </c>
      <c r="Q368" t="str" cm="1">
        <f t="array" ref="Q368">_xlfn.TEXTJOIN("、",TRUE,IF('學員資料-三民高中'!$B$2:$B$454=$F368,'學員資料-三民高中'!$G$2:$G$454,""))</f>
        <v/>
      </c>
      <c r="R368" t="str" cm="1">
        <f t="array" ref="R368">_xlfn.TEXTJOIN("、",TRUE,IF('學員資料-新北高中'!$B$2:$B$583=$F368,'學員資料-新北高中'!$G$2:$G$583,""))</f>
        <v/>
      </c>
      <c r="S368" t="str" cm="1">
        <f t="array" ref="S368">_xlfn.TEXTJOIN("、",TRUE,IF('學員資料-三重商工'!$B$2:$B$472=$F368,'學員資料-三重商工'!$G$2:$G$472,""))</f>
        <v>0921241382</v>
      </c>
      <c r="T368">
        <f t="shared" si="5"/>
        <v>1</v>
      </c>
    </row>
    <row r="369" spans="1:20" ht="43.5" hidden="1" customHeight="1">
      <c r="A369" s="15">
        <v>368</v>
      </c>
      <c r="B369" s="16" t="s">
        <v>1367</v>
      </c>
      <c r="C369" s="17">
        <v>46056</v>
      </c>
      <c r="D369" s="15" t="s">
        <v>1368</v>
      </c>
      <c r="E369" s="18" t="s">
        <v>83</v>
      </c>
      <c r="F369" s="19" t="s">
        <v>1369</v>
      </c>
      <c r="G369" s="18" t="s">
        <v>1370</v>
      </c>
      <c r="H369" s="20" t="s">
        <v>436</v>
      </c>
      <c r="I369" s="15">
        <v>3</v>
      </c>
      <c r="J369" s="15" t="s">
        <v>24</v>
      </c>
      <c r="K369" s="15"/>
      <c r="L369" s="21" t="s">
        <v>18</v>
      </c>
      <c r="M369" s="22">
        <v>0</v>
      </c>
      <c r="N369" s="22">
        <v>-4500</v>
      </c>
      <c r="O369" s="22">
        <v>18000</v>
      </c>
      <c r="P369" s="22">
        <v>18000</v>
      </c>
      <c r="Q369" t="str" cm="1">
        <f t="array" ref="Q369">_xlfn.TEXTJOIN("、",TRUE,IF('學員資料-三民高中'!$B$2:$B$454=$F369,'學員資料-三民高中'!$G$2:$G$454,""))</f>
        <v/>
      </c>
      <c r="R369" t="str" cm="1">
        <f t="array" ref="R369">_xlfn.TEXTJOIN("、",TRUE,IF('學員資料-新北高中'!$B$2:$B$583=$F369,'學員資料-新北高中'!$G$2:$G$583,""))</f>
        <v/>
      </c>
      <c r="S369" t="str" cm="1">
        <f t="array" ref="S369">_xlfn.TEXTJOIN("、",TRUE,IF('學員資料-三重商工'!$B$2:$B$472=$F369,'學員資料-三重商工'!$G$2:$G$472,""))</f>
        <v>0928048553</v>
      </c>
      <c r="T369">
        <f t="shared" si="5"/>
        <v>1</v>
      </c>
    </row>
    <row r="370" spans="1:20" ht="14.25" hidden="1" customHeight="1">
      <c r="A370" s="15">
        <v>369</v>
      </c>
      <c r="B370" s="16" t="s">
        <v>1371</v>
      </c>
      <c r="C370" s="17">
        <v>46056</v>
      </c>
      <c r="D370" s="15" t="s">
        <v>1372</v>
      </c>
      <c r="E370" s="18" t="s">
        <v>1324</v>
      </c>
      <c r="F370" s="19" t="s">
        <v>1373</v>
      </c>
      <c r="G370" s="18" t="s">
        <v>1374</v>
      </c>
      <c r="H370" s="20" t="s">
        <v>683</v>
      </c>
      <c r="I370" s="15">
        <v>1</v>
      </c>
      <c r="J370" s="15" t="s">
        <v>23</v>
      </c>
      <c r="K370" s="15"/>
      <c r="L370" s="21" t="s">
        <v>17</v>
      </c>
      <c r="M370" s="22">
        <v>0</v>
      </c>
      <c r="N370" s="22">
        <v>0</v>
      </c>
      <c r="O370" s="22">
        <v>9000</v>
      </c>
      <c r="P370" s="22">
        <v>9000</v>
      </c>
      <c r="Q370" t="str" cm="1">
        <f t="array" ref="Q370">_xlfn.TEXTJOIN("、",TRUE,IF('學員資料-三民高中'!$B$2:$B$454=$F370,'學員資料-三民高中'!$G$2:$G$454,""))</f>
        <v/>
      </c>
      <c r="R370" t="str" cm="1">
        <f t="array" ref="R370">_xlfn.TEXTJOIN("、",TRUE,IF('學員資料-新北高中'!$B$2:$B$583=$F370,'學員資料-新北高中'!$G$2:$G$583,""))</f>
        <v>0973665687</v>
      </c>
      <c r="S370" t="str" cm="1">
        <f t="array" ref="S370">_xlfn.TEXTJOIN("、",TRUE,IF('學員資料-三重商工'!$B$2:$B$472=$F370,'學員資料-三重商工'!$G$2:$G$472,""))</f>
        <v/>
      </c>
      <c r="T370">
        <f t="shared" si="5"/>
        <v>1</v>
      </c>
    </row>
    <row r="371" spans="1:20" ht="14.25" hidden="1" customHeight="1">
      <c r="A371" s="15">
        <v>370</v>
      </c>
      <c r="B371" s="16" t="s">
        <v>1375</v>
      </c>
      <c r="C371" s="17">
        <v>46056</v>
      </c>
      <c r="D371" s="15" t="s">
        <v>1376</v>
      </c>
      <c r="E371" s="18" t="s">
        <v>1324</v>
      </c>
      <c r="F371" s="19" t="s">
        <v>1373</v>
      </c>
      <c r="G371" s="18" t="s">
        <v>1374</v>
      </c>
      <c r="H371" s="20" t="s">
        <v>683</v>
      </c>
      <c r="I371" s="15">
        <v>1</v>
      </c>
      <c r="J371" s="15" t="s">
        <v>23</v>
      </c>
      <c r="K371" s="15"/>
      <c r="L371" s="21" t="s">
        <v>17</v>
      </c>
      <c r="M371" s="22">
        <v>0</v>
      </c>
      <c r="N371" s="22">
        <v>0</v>
      </c>
      <c r="O371" s="22">
        <v>9000</v>
      </c>
      <c r="P371" s="22">
        <v>9000</v>
      </c>
      <c r="Q371" t="str" cm="1">
        <f t="array" ref="Q371">_xlfn.TEXTJOIN("、",TRUE,IF('學員資料-三民高中'!$B$2:$B$454=$F371,'學員資料-三民高中'!$G$2:$G$454,""))</f>
        <v/>
      </c>
      <c r="R371" t="str" cm="1">
        <f t="array" ref="R371">_xlfn.TEXTJOIN("、",TRUE,IF('學員資料-新北高中'!$B$2:$B$583=$F371,'學員資料-新北高中'!$G$2:$G$583,""))</f>
        <v>0973665687</v>
      </c>
      <c r="S371" t="str" cm="1">
        <f t="array" ref="S371">_xlfn.TEXTJOIN("、",TRUE,IF('學員資料-三重商工'!$B$2:$B$472=$F371,'學員資料-三重商工'!$G$2:$G$472,""))</f>
        <v/>
      </c>
      <c r="T371">
        <f t="shared" si="5"/>
        <v>1</v>
      </c>
    </row>
    <row r="372" spans="1:20" ht="14.25" hidden="1" customHeight="1">
      <c r="A372" s="15">
        <v>371</v>
      </c>
      <c r="B372" s="16" t="s">
        <v>1377</v>
      </c>
      <c r="C372" s="17">
        <v>46056</v>
      </c>
      <c r="D372" s="15" t="s">
        <v>1378</v>
      </c>
      <c r="E372" s="18" t="s">
        <v>1324</v>
      </c>
      <c r="F372" s="19" t="s">
        <v>1373</v>
      </c>
      <c r="G372" s="18" t="s">
        <v>1374</v>
      </c>
      <c r="H372" s="20" t="s">
        <v>683</v>
      </c>
      <c r="I372" s="15">
        <v>1</v>
      </c>
      <c r="J372" s="15" t="s">
        <v>23</v>
      </c>
      <c r="K372" s="15"/>
      <c r="L372" s="21" t="s">
        <v>17</v>
      </c>
      <c r="M372" s="22">
        <v>0</v>
      </c>
      <c r="N372" s="22">
        <v>0</v>
      </c>
      <c r="O372" s="22">
        <v>9000</v>
      </c>
      <c r="P372" s="22">
        <v>9000</v>
      </c>
      <c r="Q372" t="str" cm="1">
        <f t="array" ref="Q372">_xlfn.TEXTJOIN("、",TRUE,IF('學員資料-三民高中'!$B$2:$B$454=$F372,'學員資料-三民高中'!$G$2:$G$454,""))</f>
        <v/>
      </c>
      <c r="R372" t="str" cm="1">
        <f t="array" ref="R372">_xlfn.TEXTJOIN("、",TRUE,IF('學員資料-新北高中'!$B$2:$B$583=$F372,'學員資料-新北高中'!$G$2:$G$583,""))</f>
        <v>0973665687</v>
      </c>
      <c r="S372" t="str" cm="1">
        <f t="array" ref="S372">_xlfn.TEXTJOIN("、",TRUE,IF('學員資料-三重商工'!$B$2:$B$472=$F372,'學員資料-三重商工'!$G$2:$G$472,""))</f>
        <v/>
      </c>
      <c r="T372">
        <f t="shared" si="5"/>
        <v>1</v>
      </c>
    </row>
    <row r="373" spans="1:20" ht="14.25" hidden="1" customHeight="1">
      <c r="A373" s="15">
        <v>372</v>
      </c>
      <c r="B373" s="16" t="s">
        <v>1379</v>
      </c>
      <c r="C373" s="17">
        <v>46056</v>
      </c>
      <c r="D373" s="15" t="s">
        <v>1380</v>
      </c>
      <c r="E373" s="18" t="s">
        <v>1324</v>
      </c>
      <c r="F373" s="19" t="s">
        <v>1373</v>
      </c>
      <c r="G373" s="18" t="s">
        <v>1374</v>
      </c>
      <c r="H373" s="20" t="s">
        <v>683</v>
      </c>
      <c r="I373" s="15">
        <v>1</v>
      </c>
      <c r="J373" s="15" t="s">
        <v>23</v>
      </c>
      <c r="K373" s="15"/>
      <c r="L373" s="21" t="s">
        <v>17</v>
      </c>
      <c r="M373" s="22">
        <v>0</v>
      </c>
      <c r="N373" s="22">
        <v>-5400</v>
      </c>
      <c r="O373" s="22">
        <v>3600</v>
      </c>
      <c r="P373" s="22">
        <v>3600</v>
      </c>
      <c r="Q373" t="str" cm="1">
        <f t="array" ref="Q373">_xlfn.TEXTJOIN("、",TRUE,IF('學員資料-三民高中'!$B$2:$B$454=$F373,'學員資料-三民高中'!$G$2:$G$454,""))</f>
        <v/>
      </c>
      <c r="R373" t="str" cm="1">
        <f t="array" ref="R373">_xlfn.TEXTJOIN("、",TRUE,IF('學員資料-新北高中'!$B$2:$B$583=$F373,'學員資料-新北高中'!$G$2:$G$583,""))</f>
        <v>0973665687</v>
      </c>
      <c r="S373" t="str" cm="1">
        <f t="array" ref="S373">_xlfn.TEXTJOIN("、",TRUE,IF('學員資料-三重商工'!$B$2:$B$472=$F373,'學員資料-三重商工'!$G$2:$G$472,""))</f>
        <v/>
      </c>
      <c r="T373">
        <f t="shared" si="5"/>
        <v>1</v>
      </c>
    </row>
    <row r="374" spans="1:20" ht="14.25" hidden="1" customHeight="1">
      <c r="A374" s="15">
        <v>373</v>
      </c>
      <c r="B374" s="16" t="s">
        <v>1381</v>
      </c>
      <c r="C374" s="17">
        <v>46056</v>
      </c>
      <c r="D374" s="15" t="s">
        <v>1382</v>
      </c>
      <c r="E374" s="18" t="s">
        <v>1324</v>
      </c>
      <c r="F374" s="19" t="s">
        <v>1383</v>
      </c>
      <c r="G374" s="18" t="s">
        <v>1384</v>
      </c>
      <c r="H374" s="20" t="s">
        <v>266</v>
      </c>
      <c r="I374" s="15">
        <v>1</v>
      </c>
      <c r="J374" s="15" t="s">
        <v>24</v>
      </c>
      <c r="K374" s="15"/>
      <c r="L374" s="21" t="s">
        <v>17</v>
      </c>
      <c r="M374" s="22">
        <v>0</v>
      </c>
      <c r="N374" s="22">
        <v>-2160</v>
      </c>
      <c r="O374" s="22">
        <v>8640</v>
      </c>
      <c r="P374" s="22">
        <v>8640</v>
      </c>
      <c r="Q374" t="str" cm="1">
        <f t="array" ref="Q374">_xlfn.TEXTJOIN("、",TRUE,IF('學員資料-三民高中'!$B$2:$B$454=$F374,'學員資料-三民高中'!$G$2:$G$454,""))</f>
        <v/>
      </c>
      <c r="R374" t="str" cm="1">
        <f t="array" ref="R374">_xlfn.TEXTJOIN("、",TRUE,IF('學員資料-新北高中'!$B$2:$B$583=$F374,'學員資料-新北高中'!$G$2:$G$583,""))</f>
        <v>0960926856</v>
      </c>
      <c r="S374" t="str" cm="1">
        <f t="array" ref="S374">_xlfn.TEXTJOIN("、",TRUE,IF('學員資料-三重商工'!$B$2:$B$472=$F374,'學員資料-三重商工'!$G$2:$G$472,""))</f>
        <v/>
      </c>
      <c r="T374">
        <f t="shared" si="5"/>
        <v>1</v>
      </c>
    </row>
    <row r="375" spans="1:20" ht="14.25" hidden="1" customHeight="1">
      <c r="A375" s="15">
        <v>374</v>
      </c>
      <c r="B375" s="16" t="s">
        <v>1385</v>
      </c>
      <c r="C375" s="17">
        <v>46055</v>
      </c>
      <c r="D375" s="15" t="s">
        <v>1386</v>
      </c>
      <c r="E375" s="18" t="s">
        <v>83</v>
      </c>
      <c r="F375" s="19" t="s">
        <v>1387</v>
      </c>
      <c r="G375" s="18" t="s">
        <v>1388</v>
      </c>
      <c r="H375" s="20" t="s">
        <v>112</v>
      </c>
      <c r="I375" s="15">
        <v>1</v>
      </c>
      <c r="J375" s="15" t="s">
        <v>23</v>
      </c>
      <c r="K375" s="15"/>
      <c r="L375" s="21" t="s">
        <v>18</v>
      </c>
      <c r="M375" s="22">
        <v>0</v>
      </c>
      <c r="N375" s="22">
        <v>-414</v>
      </c>
      <c r="O375" s="22">
        <v>7866</v>
      </c>
      <c r="P375" s="22">
        <v>7866</v>
      </c>
      <c r="Q375" t="str" cm="1">
        <f t="array" ref="Q375">_xlfn.TEXTJOIN("、",TRUE,IF('學員資料-三民高中'!$B$2:$B$454=$F375,'學員資料-三民高中'!$G$2:$G$454,""))</f>
        <v/>
      </c>
      <c r="R375" t="str" cm="1">
        <f t="array" ref="R375">_xlfn.TEXTJOIN("、",TRUE,IF('學員資料-新北高中'!$B$2:$B$583=$F375,'學員資料-新北高中'!$G$2:$G$583,""))</f>
        <v/>
      </c>
      <c r="S375" t="str" cm="1">
        <f t="array" ref="S375">_xlfn.TEXTJOIN("、",TRUE,IF('學員資料-三重商工'!$B$2:$B$472=$F375,'學員資料-三重商工'!$G$2:$G$472,""))</f>
        <v>0983525968.1</v>
      </c>
      <c r="T375">
        <f t="shared" si="5"/>
        <v>1</v>
      </c>
    </row>
    <row r="376" spans="1:20" ht="43.5" hidden="1" customHeight="1">
      <c r="A376" s="15">
        <v>375</v>
      </c>
      <c r="B376" s="16" t="s">
        <v>1389</v>
      </c>
      <c r="C376" s="17">
        <v>46055</v>
      </c>
      <c r="D376" s="15" t="s">
        <v>1390</v>
      </c>
      <c r="E376" s="18" t="s">
        <v>83</v>
      </c>
      <c r="F376" s="19" t="s">
        <v>1391</v>
      </c>
      <c r="G376" s="18" t="s">
        <v>1392</v>
      </c>
      <c r="H376" s="20" t="s">
        <v>436</v>
      </c>
      <c r="I376" s="15">
        <v>3</v>
      </c>
      <c r="J376" s="15" t="s">
        <v>24</v>
      </c>
      <c r="K376" s="15"/>
      <c r="L376" s="21" t="s">
        <v>18</v>
      </c>
      <c r="M376" s="22">
        <v>0</v>
      </c>
      <c r="N376" s="22">
        <v>-4500</v>
      </c>
      <c r="O376" s="22">
        <v>18000</v>
      </c>
      <c r="P376" s="22">
        <v>18000</v>
      </c>
      <c r="Q376" t="str" cm="1">
        <f t="array" ref="Q376">_xlfn.TEXTJOIN("、",TRUE,IF('學員資料-三民高中'!$B$2:$B$454=$F376,'學員資料-三民高中'!$G$2:$G$454,""))</f>
        <v/>
      </c>
      <c r="R376" t="str" cm="1">
        <f t="array" ref="R376">_xlfn.TEXTJOIN("、",TRUE,IF('學員資料-新北高中'!$B$2:$B$583=$F376,'學員資料-新北高中'!$G$2:$G$583,""))</f>
        <v/>
      </c>
      <c r="S376" t="str" cm="1">
        <f t="array" ref="S376">_xlfn.TEXTJOIN("、",TRUE,IF('學員資料-三重商工'!$B$2:$B$472=$F376,'學員資料-三重商工'!$G$2:$G$472,""))</f>
        <v>0921116744</v>
      </c>
      <c r="T376">
        <f t="shared" si="5"/>
        <v>1</v>
      </c>
    </row>
    <row r="377" spans="1:20" ht="43.5" hidden="1" customHeight="1">
      <c r="A377" s="15">
        <v>376</v>
      </c>
      <c r="B377" s="16" t="s">
        <v>1393</v>
      </c>
      <c r="C377" s="17">
        <v>46055</v>
      </c>
      <c r="D377" s="15" t="s">
        <v>1394</v>
      </c>
      <c r="E377" s="18" t="s">
        <v>83</v>
      </c>
      <c r="F377" s="19" t="s">
        <v>1395</v>
      </c>
      <c r="G377" s="18" t="s">
        <v>1396</v>
      </c>
      <c r="H377" s="20" t="s">
        <v>436</v>
      </c>
      <c r="I377" s="15">
        <v>3</v>
      </c>
      <c r="J377" s="15" t="s">
        <v>24</v>
      </c>
      <c r="K377" s="15"/>
      <c r="L377" s="21" t="s">
        <v>18</v>
      </c>
      <c r="M377" s="22">
        <v>0</v>
      </c>
      <c r="N377" s="22">
        <v>-4500</v>
      </c>
      <c r="O377" s="22">
        <v>18000</v>
      </c>
      <c r="P377" s="22">
        <v>18000</v>
      </c>
      <c r="Q377" t="str" cm="1">
        <f t="array" ref="Q377">_xlfn.TEXTJOIN("、",TRUE,IF('學員資料-三民高中'!$B$2:$B$454=$F377,'學員資料-三民高中'!$G$2:$G$454,""))</f>
        <v/>
      </c>
      <c r="R377" t="str" cm="1">
        <f t="array" ref="R377">_xlfn.TEXTJOIN("、",TRUE,IF('學員資料-新北高中'!$B$2:$B$583=$F377,'學員資料-新北高中'!$G$2:$G$583,""))</f>
        <v/>
      </c>
      <c r="S377" t="str" cm="1">
        <f t="array" ref="S377">_xlfn.TEXTJOIN("、",TRUE,IF('學員資料-三重商工'!$B$2:$B$472=$F377,'學員資料-三重商工'!$G$2:$G$472,""))</f>
        <v>0921862236</v>
      </c>
      <c r="T377">
        <f t="shared" si="5"/>
        <v>1</v>
      </c>
    </row>
    <row r="378" spans="1:20" ht="43.5" hidden="1" customHeight="1">
      <c r="A378" s="15">
        <v>377</v>
      </c>
      <c r="B378" s="16" t="s">
        <v>1397</v>
      </c>
      <c r="C378" s="17">
        <v>46055</v>
      </c>
      <c r="D378" s="15" t="s">
        <v>1303</v>
      </c>
      <c r="E378" s="18" t="s">
        <v>83</v>
      </c>
      <c r="F378" s="19" t="s">
        <v>1398</v>
      </c>
      <c r="G378" s="18" t="s">
        <v>1399</v>
      </c>
      <c r="H378" s="20" t="s">
        <v>405</v>
      </c>
      <c r="I378" s="15">
        <v>3</v>
      </c>
      <c r="J378" s="15" t="s">
        <v>25</v>
      </c>
      <c r="K378" s="15"/>
      <c r="L378" s="21" t="s">
        <v>18</v>
      </c>
      <c r="M378" s="22">
        <v>0</v>
      </c>
      <c r="N378" s="22">
        <v>-5940</v>
      </c>
      <c r="O378" s="22">
        <v>23760</v>
      </c>
      <c r="P378" s="22">
        <v>23760</v>
      </c>
      <c r="Q378" t="str" cm="1">
        <f t="array" ref="Q378">_xlfn.TEXTJOIN("、",TRUE,IF('學員資料-三民高中'!$B$2:$B$454=$F378,'學員資料-三民高中'!$G$2:$G$454,""))</f>
        <v/>
      </c>
      <c r="R378" t="str" cm="1">
        <f t="array" ref="R378">_xlfn.TEXTJOIN("、",TRUE,IF('學員資料-新北高中'!$B$2:$B$583=$F378,'學員資料-新北高中'!$G$2:$G$583,""))</f>
        <v/>
      </c>
      <c r="S378" t="str" cm="1">
        <f t="array" ref="S378">_xlfn.TEXTJOIN("、",TRUE,IF('學員資料-三重商工'!$B$2:$B$472=$F378,'學員資料-三重商工'!$G$2:$G$472,""))</f>
        <v>0922448048</v>
      </c>
      <c r="T378">
        <f t="shared" si="5"/>
        <v>1</v>
      </c>
    </row>
    <row r="379" spans="1:20" ht="14.25" hidden="1" customHeight="1">
      <c r="A379" s="15">
        <v>378</v>
      </c>
      <c r="B379" s="16" t="s">
        <v>1400</v>
      </c>
      <c r="C379" s="17">
        <v>46055</v>
      </c>
      <c r="D379" s="15" t="s">
        <v>1401</v>
      </c>
      <c r="E379" s="18" t="s">
        <v>1324</v>
      </c>
      <c r="F379" s="19" t="s">
        <v>1402</v>
      </c>
      <c r="G379" s="18" t="s">
        <v>1403</v>
      </c>
      <c r="H379" s="20" t="s">
        <v>266</v>
      </c>
      <c r="I379" s="15">
        <v>1</v>
      </c>
      <c r="J379" s="15" t="s">
        <v>24</v>
      </c>
      <c r="K379" s="15"/>
      <c r="L379" s="21" t="s">
        <v>17</v>
      </c>
      <c r="M379" s="22">
        <v>0</v>
      </c>
      <c r="N379" s="22">
        <v>0</v>
      </c>
      <c r="O379" s="22">
        <v>10800</v>
      </c>
      <c r="P379" s="22">
        <v>10800</v>
      </c>
      <c r="Q379" t="str" cm="1">
        <f t="array" ref="Q379">_xlfn.TEXTJOIN("、",TRUE,IF('學員資料-三民高中'!$B$2:$B$454=$F379,'學員資料-三民高中'!$G$2:$G$454,""))</f>
        <v/>
      </c>
      <c r="R379" t="str" cm="1">
        <f t="array" ref="R379">_xlfn.TEXTJOIN("、",TRUE,IF('學員資料-新北高中'!$B$2:$B$583=$F379,'學員資料-新北高中'!$G$2:$G$583,""))</f>
        <v>0958088666</v>
      </c>
      <c r="S379" t="str" cm="1">
        <f t="array" ref="S379">_xlfn.TEXTJOIN("、",TRUE,IF('學員資料-三重商工'!$B$2:$B$472=$F379,'學員資料-三重商工'!$G$2:$G$472,""))</f>
        <v/>
      </c>
      <c r="T379">
        <f t="shared" si="5"/>
        <v>1</v>
      </c>
    </row>
    <row r="380" spans="1:20" ht="14.25" hidden="1" customHeight="1">
      <c r="A380" s="15">
        <v>379</v>
      </c>
      <c r="B380" s="16" t="s">
        <v>1404</v>
      </c>
      <c r="C380" s="17">
        <v>46055</v>
      </c>
      <c r="D380" s="15" t="s">
        <v>1405</v>
      </c>
      <c r="E380" s="18" t="s">
        <v>1324</v>
      </c>
      <c r="F380" s="19" t="s">
        <v>1402</v>
      </c>
      <c r="G380" s="18" t="s">
        <v>1403</v>
      </c>
      <c r="H380" s="20" t="s">
        <v>266</v>
      </c>
      <c r="I380" s="15">
        <v>1</v>
      </c>
      <c r="J380" s="15" t="s">
        <v>24</v>
      </c>
      <c r="K380" s="15"/>
      <c r="L380" s="21" t="s">
        <v>17</v>
      </c>
      <c r="M380" s="22">
        <v>0</v>
      </c>
      <c r="N380" s="22">
        <v>0</v>
      </c>
      <c r="O380" s="22">
        <v>10800</v>
      </c>
      <c r="P380" s="22">
        <v>10800</v>
      </c>
      <c r="Q380" t="str" cm="1">
        <f t="array" ref="Q380">_xlfn.TEXTJOIN("、",TRUE,IF('學員資料-三民高中'!$B$2:$B$454=$F380,'學員資料-三民高中'!$G$2:$G$454,""))</f>
        <v/>
      </c>
      <c r="R380" t="str" cm="1">
        <f t="array" ref="R380">_xlfn.TEXTJOIN("、",TRUE,IF('學員資料-新北高中'!$B$2:$B$583=$F380,'學員資料-新北高中'!$G$2:$G$583,""))</f>
        <v>0958088666</v>
      </c>
      <c r="S380" t="str" cm="1">
        <f t="array" ref="S380">_xlfn.TEXTJOIN("、",TRUE,IF('學員資料-三重商工'!$B$2:$B$472=$F380,'學員資料-三重商工'!$G$2:$G$472,""))</f>
        <v/>
      </c>
      <c r="T380">
        <f t="shared" si="5"/>
        <v>1</v>
      </c>
    </row>
    <row r="381" spans="1:20" ht="14.25" hidden="1" customHeight="1">
      <c r="A381" s="15">
        <v>380</v>
      </c>
      <c r="B381" s="16" t="s">
        <v>1406</v>
      </c>
      <c r="C381" s="17">
        <v>46055</v>
      </c>
      <c r="D381" s="15" t="s">
        <v>1407</v>
      </c>
      <c r="E381" s="18" t="s">
        <v>1324</v>
      </c>
      <c r="F381" s="19" t="s">
        <v>1402</v>
      </c>
      <c r="G381" s="18" t="s">
        <v>1403</v>
      </c>
      <c r="H381" s="20" t="s">
        <v>266</v>
      </c>
      <c r="I381" s="15">
        <v>1</v>
      </c>
      <c r="J381" s="15" t="s">
        <v>24</v>
      </c>
      <c r="K381" s="15"/>
      <c r="L381" s="21" t="s">
        <v>17</v>
      </c>
      <c r="M381" s="22">
        <v>0</v>
      </c>
      <c r="N381" s="22">
        <v>-6480</v>
      </c>
      <c r="O381" s="22">
        <v>4320</v>
      </c>
      <c r="P381" s="22">
        <v>4320</v>
      </c>
      <c r="Q381" t="str" cm="1">
        <f t="array" ref="Q381">_xlfn.TEXTJOIN("、",TRUE,IF('學員資料-三民高中'!$B$2:$B$454=$F381,'學員資料-三民高中'!$G$2:$G$454,""))</f>
        <v/>
      </c>
      <c r="R381" t="str" cm="1">
        <f t="array" ref="R381">_xlfn.TEXTJOIN("、",TRUE,IF('學員資料-新北高中'!$B$2:$B$583=$F381,'學員資料-新北高中'!$G$2:$G$583,""))</f>
        <v>0958088666</v>
      </c>
      <c r="S381" t="str" cm="1">
        <f t="array" ref="S381">_xlfn.TEXTJOIN("、",TRUE,IF('學員資料-三重商工'!$B$2:$B$472=$F381,'學員資料-三重商工'!$G$2:$G$472,""))</f>
        <v/>
      </c>
      <c r="T381">
        <f t="shared" si="5"/>
        <v>1</v>
      </c>
    </row>
    <row r="382" spans="1:20" ht="14.25" hidden="1" customHeight="1">
      <c r="A382" s="15">
        <v>381</v>
      </c>
      <c r="B382" s="16" t="s">
        <v>1408</v>
      </c>
      <c r="C382" s="17">
        <v>46055</v>
      </c>
      <c r="D382" s="15" t="s">
        <v>1409</v>
      </c>
      <c r="E382" s="18" t="s">
        <v>1324</v>
      </c>
      <c r="F382" s="19" t="s">
        <v>1410</v>
      </c>
      <c r="G382" s="18" t="s">
        <v>1411</v>
      </c>
      <c r="H382" s="20" t="s">
        <v>52</v>
      </c>
      <c r="I382" s="15">
        <v>1</v>
      </c>
      <c r="J382" s="15" t="s">
        <v>24</v>
      </c>
      <c r="K382" s="15"/>
      <c r="L382" s="21" t="s">
        <v>17</v>
      </c>
      <c r="M382" s="22">
        <v>0</v>
      </c>
      <c r="N382" s="22">
        <v>0</v>
      </c>
      <c r="O382" s="22">
        <v>7500</v>
      </c>
      <c r="P382" s="22">
        <v>7500</v>
      </c>
      <c r="Q382" t="str" cm="1">
        <f t="array" ref="Q382">_xlfn.TEXTJOIN("、",TRUE,IF('學員資料-三民高中'!$B$2:$B$454=$F382,'學員資料-三民高中'!$G$2:$G$454,""))</f>
        <v>0972227077</v>
      </c>
      <c r="R382" t="str" cm="1">
        <f t="array" ref="R382">_xlfn.TEXTJOIN("、",TRUE,IF('學員資料-新北高中'!$B$2:$B$583=$F382,'學員資料-新北高中'!$G$2:$G$583,""))</f>
        <v/>
      </c>
      <c r="S382" t="str" cm="1">
        <f t="array" ref="S382">_xlfn.TEXTJOIN("、",TRUE,IF('學員資料-三重商工'!$B$2:$B$472=$F382,'學員資料-三重商工'!$G$2:$G$472,""))</f>
        <v/>
      </c>
      <c r="T382">
        <f t="shared" si="5"/>
        <v>1</v>
      </c>
    </row>
    <row r="383" spans="1:20" ht="14.25" hidden="1" customHeight="1">
      <c r="A383" s="15">
        <v>382</v>
      </c>
      <c r="B383" s="16" t="s">
        <v>1412</v>
      </c>
      <c r="C383" s="17">
        <v>46055</v>
      </c>
      <c r="D383" s="15" t="s">
        <v>1413</v>
      </c>
      <c r="E383" s="18" t="s">
        <v>1324</v>
      </c>
      <c r="F383" s="19" t="s">
        <v>1410</v>
      </c>
      <c r="G383" s="18" t="s">
        <v>1411</v>
      </c>
      <c r="H383" s="20" t="s">
        <v>52</v>
      </c>
      <c r="I383" s="15">
        <v>1</v>
      </c>
      <c r="J383" s="15" t="s">
        <v>24</v>
      </c>
      <c r="K383" s="15"/>
      <c r="L383" s="21" t="s">
        <v>17</v>
      </c>
      <c r="M383" s="22">
        <v>0</v>
      </c>
      <c r="N383" s="22">
        <v>-1800</v>
      </c>
      <c r="O383" s="22">
        <v>5700</v>
      </c>
      <c r="P383" s="22">
        <v>5700</v>
      </c>
      <c r="Q383" t="str" cm="1">
        <f t="array" ref="Q383">_xlfn.TEXTJOIN("、",TRUE,IF('學員資料-三民高中'!$B$2:$B$454=$F383,'學員資料-三民高中'!$G$2:$G$454,""))</f>
        <v>0972227077</v>
      </c>
      <c r="R383" t="str" cm="1">
        <f t="array" ref="R383">_xlfn.TEXTJOIN("、",TRUE,IF('學員資料-新北高中'!$B$2:$B$583=$F383,'學員資料-新北高中'!$G$2:$G$583,""))</f>
        <v/>
      </c>
      <c r="S383" t="str" cm="1">
        <f t="array" ref="S383">_xlfn.TEXTJOIN("、",TRUE,IF('學員資料-三重商工'!$B$2:$B$472=$F383,'學員資料-三重商工'!$G$2:$G$472,""))</f>
        <v/>
      </c>
      <c r="T383">
        <f t="shared" si="5"/>
        <v>1</v>
      </c>
    </row>
    <row r="384" spans="1:20" ht="43.5" hidden="1" customHeight="1">
      <c r="A384" s="15">
        <v>383</v>
      </c>
      <c r="B384" s="16" t="s">
        <v>1414</v>
      </c>
      <c r="C384" s="17">
        <v>46052</v>
      </c>
      <c r="D384" s="15" t="s">
        <v>1415</v>
      </c>
      <c r="E384" s="18" t="s">
        <v>83</v>
      </c>
      <c r="F384" s="19" t="s">
        <v>230</v>
      </c>
      <c r="G384" s="18" t="s">
        <v>231</v>
      </c>
      <c r="H384" s="20" t="s">
        <v>261</v>
      </c>
      <c r="I384" s="15">
        <v>3</v>
      </c>
      <c r="J384" s="15" t="s">
        <v>23</v>
      </c>
      <c r="K384" s="15"/>
      <c r="L384" s="21" t="s">
        <v>18</v>
      </c>
      <c r="M384" s="22">
        <v>0</v>
      </c>
      <c r="N384" s="22">
        <v>-2070</v>
      </c>
      <c r="O384" s="22">
        <v>18630</v>
      </c>
      <c r="P384" s="22">
        <v>18630</v>
      </c>
      <c r="Q384" t="str" cm="1">
        <f t="array" ref="Q384">_xlfn.TEXTJOIN("、",TRUE,IF('學員資料-三民高中'!$B$2:$B$454=$F384,'學員資料-三民高中'!$G$2:$G$454,""))</f>
        <v/>
      </c>
      <c r="R384" t="str" cm="1">
        <f t="array" ref="R384">_xlfn.TEXTJOIN("、",TRUE,IF('學員資料-新北高中'!$B$2:$B$583=$F384,'學員資料-新北高中'!$G$2:$G$583,""))</f>
        <v/>
      </c>
      <c r="S384" t="str" cm="1">
        <f t="array" ref="S384">_xlfn.TEXTJOIN("、",TRUE,IF('學員資料-三重商工'!$B$2:$B$472=$F384,'學員資料-三重商工'!$G$2:$G$472,""))</f>
        <v>0953205962</v>
      </c>
      <c r="T384">
        <f t="shared" si="5"/>
        <v>1</v>
      </c>
    </row>
    <row r="385" spans="1:20" ht="43.5" hidden="1" customHeight="1">
      <c r="A385" s="15">
        <v>384</v>
      </c>
      <c r="B385" s="16" t="s">
        <v>1416</v>
      </c>
      <c r="C385" s="17">
        <v>46052</v>
      </c>
      <c r="D385" s="15" t="s">
        <v>1417</v>
      </c>
      <c r="E385" s="18" t="s">
        <v>83</v>
      </c>
      <c r="F385" s="19" t="s">
        <v>1418</v>
      </c>
      <c r="G385" s="18" t="s">
        <v>1419</v>
      </c>
      <c r="H385" s="20" t="s">
        <v>436</v>
      </c>
      <c r="I385" s="15">
        <v>3</v>
      </c>
      <c r="J385" s="15" t="s">
        <v>24</v>
      </c>
      <c r="K385" s="15"/>
      <c r="L385" s="21" t="s">
        <v>18</v>
      </c>
      <c r="M385" s="22">
        <v>0</v>
      </c>
      <c r="N385" s="22">
        <v>-4500</v>
      </c>
      <c r="O385" s="22">
        <v>18000</v>
      </c>
      <c r="P385" s="22">
        <v>18000</v>
      </c>
      <c r="Q385" t="str" cm="1">
        <f t="array" ref="Q385">_xlfn.TEXTJOIN("、",TRUE,IF('學員資料-三民高中'!$B$2:$B$454=$F385,'學員資料-三民高中'!$G$2:$G$454,""))</f>
        <v/>
      </c>
      <c r="R385" t="str" cm="1">
        <f t="array" ref="R385">_xlfn.TEXTJOIN("、",TRUE,IF('學員資料-新北高中'!$B$2:$B$583=$F385,'學員資料-新北高中'!$G$2:$G$583,""))</f>
        <v/>
      </c>
      <c r="S385" t="str" cm="1">
        <f t="array" ref="S385">_xlfn.TEXTJOIN("、",TRUE,IF('學員資料-三重商工'!$B$2:$B$472=$F385,'學員資料-三重商工'!$G$2:$G$472,""))</f>
        <v>0928207634</v>
      </c>
      <c r="T385">
        <f t="shared" si="5"/>
        <v>1</v>
      </c>
    </row>
    <row r="386" spans="1:20" ht="14.25" hidden="1" customHeight="1">
      <c r="A386" s="15">
        <v>385</v>
      </c>
      <c r="B386" s="16" t="s">
        <v>1420</v>
      </c>
      <c r="C386" s="17">
        <v>46052</v>
      </c>
      <c r="D386" s="15" t="s">
        <v>1421</v>
      </c>
      <c r="E386" s="18" t="s">
        <v>1324</v>
      </c>
      <c r="F386" s="19" t="s">
        <v>1422</v>
      </c>
      <c r="G386" s="18" t="s">
        <v>1423</v>
      </c>
      <c r="H386" s="20" t="s">
        <v>130</v>
      </c>
      <c r="I386" s="15">
        <v>1</v>
      </c>
      <c r="J386" s="15" t="s">
        <v>25</v>
      </c>
      <c r="K386" s="15"/>
      <c r="L386" s="21" t="s">
        <v>17</v>
      </c>
      <c r="M386" s="22">
        <v>0</v>
      </c>
      <c r="N386" s="22">
        <v>-1188</v>
      </c>
      <c r="O386" s="22">
        <v>8712</v>
      </c>
      <c r="P386" s="22">
        <v>8712</v>
      </c>
      <c r="Q386" t="str" cm="1">
        <f t="array" ref="Q386">_xlfn.TEXTJOIN("、",TRUE,IF('學員資料-三民高中'!$B$2:$B$454=$F386,'學員資料-三民高中'!$G$2:$G$454,""))</f>
        <v>0928687649</v>
      </c>
      <c r="R386" t="str" cm="1">
        <f t="array" ref="R386">_xlfn.TEXTJOIN("、",TRUE,IF('學員資料-新北高中'!$B$2:$B$583=$F386,'學員資料-新北高中'!$G$2:$G$583,""))</f>
        <v/>
      </c>
      <c r="S386" t="str" cm="1">
        <f t="array" ref="S386">_xlfn.TEXTJOIN("、",TRUE,IF('學員資料-三重商工'!$B$2:$B$472=$F386,'學員資料-三重商工'!$G$2:$G$472,""))</f>
        <v/>
      </c>
      <c r="T386">
        <f t="shared" si="5"/>
        <v>1</v>
      </c>
    </row>
    <row r="387" spans="1:20" ht="14.25" hidden="1" customHeight="1">
      <c r="A387" s="15">
        <v>386</v>
      </c>
      <c r="B387" s="16" t="s">
        <v>1424</v>
      </c>
      <c r="C387" s="17">
        <v>46052</v>
      </c>
      <c r="D387" s="15" t="s">
        <v>1425</v>
      </c>
      <c r="E387" s="18" t="s">
        <v>1324</v>
      </c>
      <c r="F387" s="19" t="s">
        <v>1426</v>
      </c>
      <c r="G387" s="18" t="s">
        <v>1427</v>
      </c>
      <c r="H387" s="20" t="s">
        <v>52</v>
      </c>
      <c r="I387" s="15">
        <v>1</v>
      </c>
      <c r="J387" s="15" t="s">
        <v>24</v>
      </c>
      <c r="K387" s="15"/>
      <c r="L387" s="21" t="s">
        <v>17</v>
      </c>
      <c r="M387" s="22">
        <v>0</v>
      </c>
      <c r="N387" s="22">
        <v>0</v>
      </c>
      <c r="O387" s="22">
        <v>7500</v>
      </c>
      <c r="P387" s="22">
        <v>7500</v>
      </c>
      <c r="Q387" t="str" cm="1">
        <f t="array" ref="Q387">_xlfn.TEXTJOIN("、",TRUE,IF('學員資料-三民高中'!$B$2:$B$454=$F387,'學員資料-三民高中'!$G$2:$G$454,""))</f>
        <v/>
      </c>
      <c r="R387" t="str" cm="1">
        <f t="array" ref="R387">_xlfn.TEXTJOIN("、",TRUE,IF('學員資料-新北高中'!$B$2:$B$583=$F387,'學員資料-新北高中'!$G$2:$G$583,""))</f>
        <v>0961212771</v>
      </c>
      <c r="S387" t="str" cm="1">
        <f t="array" ref="S387">_xlfn.TEXTJOIN("、",TRUE,IF('學員資料-三重商工'!$B$2:$B$472=$F387,'學員資料-三重商工'!$G$2:$G$472,""))</f>
        <v/>
      </c>
      <c r="T387">
        <f t="shared" ref="T387:T450" si="6">3-COUNTBLANK(Q387:S387)</f>
        <v>1</v>
      </c>
    </row>
    <row r="388" spans="1:20" ht="14.25" hidden="1" customHeight="1">
      <c r="A388" s="15">
        <v>387</v>
      </c>
      <c r="B388" s="16" t="s">
        <v>1428</v>
      </c>
      <c r="C388" s="17">
        <v>46052</v>
      </c>
      <c r="D388" s="15" t="s">
        <v>1429</v>
      </c>
      <c r="E388" s="18" t="s">
        <v>1324</v>
      </c>
      <c r="F388" s="19" t="s">
        <v>1426</v>
      </c>
      <c r="G388" s="18" t="s">
        <v>1427</v>
      </c>
      <c r="H388" s="20" t="s">
        <v>52</v>
      </c>
      <c r="I388" s="15">
        <v>1</v>
      </c>
      <c r="J388" s="15" t="s">
        <v>24</v>
      </c>
      <c r="K388" s="15"/>
      <c r="L388" s="21" t="s">
        <v>17</v>
      </c>
      <c r="M388" s="22">
        <v>0</v>
      </c>
      <c r="N388" s="22">
        <v>0</v>
      </c>
      <c r="O388" s="22">
        <v>7500</v>
      </c>
      <c r="P388" s="22">
        <v>7500</v>
      </c>
      <c r="Q388" t="str" cm="1">
        <f t="array" ref="Q388">_xlfn.TEXTJOIN("、",TRUE,IF('學員資料-三民高中'!$B$2:$B$454=$F388,'學員資料-三民高中'!$G$2:$G$454,""))</f>
        <v/>
      </c>
      <c r="R388" t="str" cm="1">
        <f t="array" ref="R388">_xlfn.TEXTJOIN("、",TRUE,IF('學員資料-新北高中'!$B$2:$B$583=$F388,'學員資料-新北高中'!$G$2:$G$583,""))</f>
        <v>0961212771</v>
      </c>
      <c r="S388" t="str" cm="1">
        <f t="array" ref="S388">_xlfn.TEXTJOIN("、",TRUE,IF('學員資料-三重商工'!$B$2:$B$472=$F388,'學員資料-三重商工'!$G$2:$G$472,""))</f>
        <v/>
      </c>
      <c r="T388">
        <f t="shared" si="6"/>
        <v>1</v>
      </c>
    </row>
    <row r="389" spans="1:20" ht="14.25" hidden="1" customHeight="1">
      <c r="A389" s="15">
        <v>388</v>
      </c>
      <c r="B389" s="16" t="s">
        <v>1430</v>
      </c>
      <c r="C389" s="17">
        <v>46052</v>
      </c>
      <c r="D389" s="15" t="s">
        <v>1431</v>
      </c>
      <c r="E389" s="18" t="s">
        <v>1324</v>
      </c>
      <c r="F389" s="19" t="s">
        <v>1426</v>
      </c>
      <c r="G389" s="18" t="s">
        <v>1427</v>
      </c>
      <c r="H389" s="20" t="s">
        <v>52</v>
      </c>
      <c r="I389" s="15">
        <v>1</v>
      </c>
      <c r="J389" s="15" t="s">
        <v>24</v>
      </c>
      <c r="K389" s="15"/>
      <c r="L389" s="21" t="s">
        <v>17</v>
      </c>
      <c r="M389" s="22">
        <v>0</v>
      </c>
      <c r="N389" s="22">
        <v>-4500</v>
      </c>
      <c r="O389" s="22">
        <v>3000</v>
      </c>
      <c r="P389" s="22">
        <v>3000</v>
      </c>
      <c r="Q389" t="str" cm="1">
        <f t="array" ref="Q389">_xlfn.TEXTJOIN("、",TRUE,IF('學員資料-三民高中'!$B$2:$B$454=$F389,'學員資料-三民高中'!$G$2:$G$454,""))</f>
        <v/>
      </c>
      <c r="R389" t="str" cm="1">
        <f t="array" ref="R389">_xlfn.TEXTJOIN("、",TRUE,IF('學員資料-新北高中'!$B$2:$B$583=$F389,'學員資料-新北高中'!$G$2:$G$583,""))</f>
        <v>0961212771</v>
      </c>
      <c r="S389" t="str" cm="1">
        <f t="array" ref="S389">_xlfn.TEXTJOIN("、",TRUE,IF('學員資料-三重商工'!$B$2:$B$472=$F389,'學員資料-三重商工'!$G$2:$G$472,""))</f>
        <v/>
      </c>
      <c r="T389">
        <f t="shared" si="6"/>
        <v>1</v>
      </c>
    </row>
    <row r="390" spans="1:20" ht="14.25" hidden="1" customHeight="1">
      <c r="A390" s="15">
        <v>389</v>
      </c>
      <c r="B390" s="16" t="s">
        <v>1432</v>
      </c>
      <c r="C390" s="17">
        <v>46052</v>
      </c>
      <c r="D390" s="15" t="s">
        <v>1433</v>
      </c>
      <c r="E390" s="18" t="s">
        <v>1324</v>
      </c>
      <c r="F390" s="19" t="s">
        <v>1434</v>
      </c>
      <c r="G390" s="18" t="s">
        <v>1435</v>
      </c>
      <c r="H390" s="20" t="s">
        <v>130</v>
      </c>
      <c r="I390" s="15">
        <v>1</v>
      </c>
      <c r="J390" s="15" t="s">
        <v>25</v>
      </c>
      <c r="K390" s="15"/>
      <c r="L390" s="21" t="s">
        <v>17</v>
      </c>
      <c r="M390" s="22">
        <v>0</v>
      </c>
      <c r="N390" s="22">
        <v>0</v>
      </c>
      <c r="O390" s="22">
        <v>9900</v>
      </c>
      <c r="P390" s="22">
        <v>9900</v>
      </c>
      <c r="Q390" t="str" cm="1">
        <f t="array" ref="Q390">_xlfn.TEXTJOIN("、",TRUE,IF('學員資料-三民高中'!$B$2:$B$454=$F390,'學員資料-三民高中'!$G$2:$G$454,""))</f>
        <v>0935827666</v>
      </c>
      <c r="R390" t="str" cm="1">
        <f t="array" ref="R390">_xlfn.TEXTJOIN("、",TRUE,IF('學員資料-新北高中'!$B$2:$B$583=$F390,'學員資料-新北高中'!$G$2:$G$583,""))</f>
        <v/>
      </c>
      <c r="S390" t="str" cm="1">
        <f t="array" ref="S390">_xlfn.TEXTJOIN("、",TRUE,IF('學員資料-三重商工'!$B$2:$B$472=$F390,'學員資料-三重商工'!$G$2:$G$472,""))</f>
        <v/>
      </c>
      <c r="T390">
        <f t="shared" si="6"/>
        <v>1</v>
      </c>
    </row>
    <row r="391" spans="1:20" ht="14.25" hidden="1" customHeight="1">
      <c r="A391" s="15">
        <v>390</v>
      </c>
      <c r="B391" s="16" t="s">
        <v>1436</v>
      </c>
      <c r="C391" s="17">
        <v>46052</v>
      </c>
      <c r="D391" s="15" t="s">
        <v>1437</v>
      </c>
      <c r="E391" s="18" t="s">
        <v>1324</v>
      </c>
      <c r="F391" s="19" t="s">
        <v>1434</v>
      </c>
      <c r="G391" s="18" t="s">
        <v>1435</v>
      </c>
      <c r="H391" s="20" t="s">
        <v>130</v>
      </c>
      <c r="I391" s="15">
        <v>1</v>
      </c>
      <c r="J391" s="15" t="s">
        <v>25</v>
      </c>
      <c r="K391" s="15"/>
      <c r="L391" s="21" t="s">
        <v>17</v>
      </c>
      <c r="M391" s="22">
        <v>0</v>
      </c>
      <c r="N391" s="22">
        <v>0</v>
      </c>
      <c r="O391" s="22">
        <v>9900</v>
      </c>
      <c r="P391" s="22">
        <v>9900</v>
      </c>
      <c r="Q391" t="str" cm="1">
        <f t="array" ref="Q391">_xlfn.TEXTJOIN("、",TRUE,IF('學員資料-三民高中'!$B$2:$B$454=$F391,'學員資料-三民高中'!$G$2:$G$454,""))</f>
        <v>0935827666</v>
      </c>
      <c r="R391" t="str" cm="1">
        <f t="array" ref="R391">_xlfn.TEXTJOIN("、",TRUE,IF('學員資料-新北高中'!$B$2:$B$583=$F391,'學員資料-新北高中'!$G$2:$G$583,""))</f>
        <v/>
      </c>
      <c r="S391" t="str" cm="1">
        <f t="array" ref="S391">_xlfn.TEXTJOIN("、",TRUE,IF('學員資料-三重商工'!$B$2:$B$472=$F391,'學員資料-三重商工'!$G$2:$G$472,""))</f>
        <v/>
      </c>
      <c r="T391">
        <f t="shared" si="6"/>
        <v>1</v>
      </c>
    </row>
    <row r="392" spans="1:20" ht="14.25" hidden="1" customHeight="1">
      <c r="A392" s="15">
        <v>391</v>
      </c>
      <c r="B392" s="16" t="s">
        <v>1438</v>
      </c>
      <c r="C392" s="17">
        <v>46052</v>
      </c>
      <c r="D392" s="15" t="s">
        <v>1439</v>
      </c>
      <c r="E392" s="18" t="s">
        <v>1324</v>
      </c>
      <c r="F392" s="19" t="s">
        <v>1434</v>
      </c>
      <c r="G392" s="18" t="s">
        <v>1435</v>
      </c>
      <c r="H392" s="20" t="s">
        <v>130</v>
      </c>
      <c r="I392" s="15">
        <v>1</v>
      </c>
      <c r="J392" s="15" t="s">
        <v>25</v>
      </c>
      <c r="K392" s="15"/>
      <c r="L392" s="21" t="s">
        <v>17</v>
      </c>
      <c r="M392" s="22">
        <v>0</v>
      </c>
      <c r="N392" s="22">
        <v>-5940</v>
      </c>
      <c r="O392" s="22">
        <v>3960</v>
      </c>
      <c r="P392" s="22">
        <v>3960</v>
      </c>
      <c r="Q392" t="str" cm="1">
        <f t="array" ref="Q392">_xlfn.TEXTJOIN("、",TRUE,IF('學員資料-三民高中'!$B$2:$B$454=$F392,'學員資料-三民高中'!$G$2:$G$454,""))</f>
        <v>0935827666</v>
      </c>
      <c r="R392" t="str" cm="1">
        <f t="array" ref="R392">_xlfn.TEXTJOIN("、",TRUE,IF('學員資料-新北高中'!$B$2:$B$583=$F392,'學員資料-新北高中'!$G$2:$G$583,""))</f>
        <v/>
      </c>
      <c r="S392" t="str" cm="1">
        <f t="array" ref="S392">_xlfn.TEXTJOIN("、",TRUE,IF('學員資料-三重商工'!$B$2:$B$472=$F392,'學員資料-三重商工'!$G$2:$G$472,""))</f>
        <v/>
      </c>
      <c r="T392">
        <f t="shared" si="6"/>
        <v>1</v>
      </c>
    </row>
    <row r="393" spans="1:20" ht="14.25" hidden="1" customHeight="1">
      <c r="A393" s="15">
        <v>392</v>
      </c>
      <c r="B393" s="16" t="s">
        <v>1440</v>
      </c>
      <c r="C393" s="17">
        <v>46052</v>
      </c>
      <c r="D393" s="15" t="s">
        <v>1441</v>
      </c>
      <c r="E393" s="18" t="s">
        <v>1324</v>
      </c>
      <c r="F393" s="19" t="s">
        <v>1442</v>
      </c>
      <c r="G393" s="18" t="s">
        <v>1443</v>
      </c>
      <c r="H393" s="20" t="s">
        <v>52</v>
      </c>
      <c r="I393" s="15">
        <v>1</v>
      </c>
      <c r="J393" s="15" t="s">
        <v>24</v>
      </c>
      <c r="K393" s="15"/>
      <c r="L393" s="21" t="s">
        <v>17</v>
      </c>
      <c r="M393" s="22">
        <v>0</v>
      </c>
      <c r="N393" s="22">
        <v>0</v>
      </c>
      <c r="O393" s="22">
        <v>7500</v>
      </c>
      <c r="P393" s="22">
        <v>7500</v>
      </c>
      <c r="Q393" t="str" cm="1">
        <f t="array" ref="Q393">_xlfn.TEXTJOIN("、",TRUE,IF('學員資料-三民高中'!$B$2:$B$454=$F393,'學員資料-三民高中'!$G$2:$G$454,""))</f>
        <v>0956454870-1</v>
      </c>
      <c r="R393" t="str" cm="1">
        <f t="array" ref="R393">_xlfn.TEXTJOIN("、",TRUE,IF('學員資料-新北高中'!$B$2:$B$583=$F393,'學員資料-新北高中'!$G$2:$G$583,""))</f>
        <v/>
      </c>
      <c r="S393" t="str" cm="1">
        <f t="array" ref="S393">_xlfn.TEXTJOIN("、",TRUE,IF('學員資料-三重商工'!$B$2:$B$472=$F393,'學員資料-三重商工'!$G$2:$G$472,""))</f>
        <v/>
      </c>
      <c r="T393">
        <f t="shared" si="6"/>
        <v>1</v>
      </c>
    </row>
    <row r="394" spans="1:20" ht="14.25" hidden="1" customHeight="1">
      <c r="A394" s="15">
        <v>393</v>
      </c>
      <c r="B394" s="16" t="s">
        <v>1444</v>
      </c>
      <c r="C394" s="17">
        <v>46052</v>
      </c>
      <c r="D394" s="15" t="s">
        <v>1445</v>
      </c>
      <c r="E394" s="18" t="s">
        <v>1324</v>
      </c>
      <c r="F394" s="19" t="s">
        <v>1442</v>
      </c>
      <c r="G394" s="18" t="s">
        <v>1443</v>
      </c>
      <c r="H394" s="20" t="s">
        <v>52</v>
      </c>
      <c r="I394" s="15">
        <v>1</v>
      </c>
      <c r="J394" s="15" t="s">
        <v>24</v>
      </c>
      <c r="K394" s="15"/>
      <c r="L394" s="21" t="s">
        <v>17</v>
      </c>
      <c r="M394" s="22">
        <v>0</v>
      </c>
      <c r="N394" s="22">
        <v>0</v>
      </c>
      <c r="O394" s="22">
        <v>7500</v>
      </c>
      <c r="P394" s="22">
        <v>7500</v>
      </c>
      <c r="Q394" t="str" cm="1">
        <f t="array" ref="Q394">_xlfn.TEXTJOIN("、",TRUE,IF('學員資料-三民高中'!$B$2:$B$454=$F394,'學員資料-三民高中'!$G$2:$G$454,""))</f>
        <v>0956454870-1</v>
      </c>
      <c r="R394" t="str" cm="1">
        <f t="array" ref="R394">_xlfn.TEXTJOIN("、",TRUE,IF('學員資料-新北高中'!$B$2:$B$583=$F394,'學員資料-新北高中'!$G$2:$G$583,""))</f>
        <v/>
      </c>
      <c r="S394" t="str" cm="1">
        <f t="array" ref="S394">_xlfn.TEXTJOIN("、",TRUE,IF('學員資料-三重商工'!$B$2:$B$472=$F394,'學員資料-三重商工'!$G$2:$G$472,""))</f>
        <v/>
      </c>
      <c r="T394">
        <f t="shared" si="6"/>
        <v>1</v>
      </c>
    </row>
    <row r="395" spans="1:20" ht="14.25" hidden="1" customHeight="1">
      <c r="A395" s="15">
        <v>394</v>
      </c>
      <c r="B395" s="16" t="s">
        <v>1446</v>
      </c>
      <c r="C395" s="17">
        <v>46052</v>
      </c>
      <c r="D395" s="15" t="s">
        <v>1447</v>
      </c>
      <c r="E395" s="18" t="s">
        <v>1324</v>
      </c>
      <c r="F395" s="19" t="s">
        <v>1442</v>
      </c>
      <c r="G395" s="18" t="s">
        <v>1443</v>
      </c>
      <c r="H395" s="20" t="s">
        <v>52</v>
      </c>
      <c r="I395" s="15">
        <v>1</v>
      </c>
      <c r="J395" s="15" t="s">
        <v>24</v>
      </c>
      <c r="K395" s="15"/>
      <c r="L395" s="21" t="s">
        <v>17</v>
      </c>
      <c r="M395" s="22">
        <v>0</v>
      </c>
      <c r="N395" s="22">
        <v>-4500</v>
      </c>
      <c r="O395" s="22">
        <v>3000</v>
      </c>
      <c r="P395" s="22">
        <v>3000</v>
      </c>
      <c r="Q395" t="str" cm="1">
        <f t="array" ref="Q395">_xlfn.TEXTJOIN("、",TRUE,IF('學員資料-三民高中'!$B$2:$B$454=$F395,'學員資料-三民高中'!$G$2:$G$454,""))</f>
        <v>0956454870-1</v>
      </c>
      <c r="R395" t="str" cm="1">
        <f t="array" ref="R395">_xlfn.TEXTJOIN("、",TRUE,IF('學員資料-新北高中'!$B$2:$B$583=$F395,'學員資料-新北高中'!$G$2:$G$583,""))</f>
        <v/>
      </c>
      <c r="S395" t="str" cm="1">
        <f t="array" ref="S395">_xlfn.TEXTJOIN("、",TRUE,IF('學員資料-三重商工'!$B$2:$B$472=$F395,'學員資料-三重商工'!$G$2:$G$472,""))</f>
        <v/>
      </c>
      <c r="T395">
        <f t="shared" si="6"/>
        <v>1</v>
      </c>
    </row>
    <row r="396" spans="1:20" ht="14.25" hidden="1" customHeight="1">
      <c r="A396" s="15">
        <v>395</v>
      </c>
      <c r="B396" s="16" t="s">
        <v>1448</v>
      </c>
      <c r="C396" s="17">
        <v>46052</v>
      </c>
      <c r="D396" s="15" t="s">
        <v>1449</v>
      </c>
      <c r="E396" s="18" t="s">
        <v>1324</v>
      </c>
      <c r="F396" s="19" t="s">
        <v>1450</v>
      </c>
      <c r="G396" s="18" t="s">
        <v>1451</v>
      </c>
      <c r="H396" s="20" t="s">
        <v>66</v>
      </c>
      <c r="I396" s="15">
        <v>1</v>
      </c>
      <c r="J396" s="15" t="s">
        <v>23</v>
      </c>
      <c r="K396" s="15"/>
      <c r="L396" s="21" t="s">
        <v>17</v>
      </c>
      <c r="M396" s="22">
        <v>0</v>
      </c>
      <c r="N396" s="22">
        <v>0</v>
      </c>
      <c r="O396" s="22">
        <v>6900</v>
      </c>
      <c r="P396" s="22">
        <v>6900</v>
      </c>
      <c r="Q396" t="str" cm="1">
        <f t="array" ref="Q396">_xlfn.TEXTJOIN("、",TRUE,IF('學員資料-三民高中'!$B$2:$B$454=$F396,'學員資料-三民高中'!$G$2:$G$454,""))</f>
        <v>0930941302</v>
      </c>
      <c r="R396" t="str" cm="1">
        <f t="array" ref="R396">_xlfn.TEXTJOIN("、",TRUE,IF('學員資料-新北高中'!$B$2:$B$583=$F396,'學員資料-新北高中'!$G$2:$G$583,""))</f>
        <v/>
      </c>
      <c r="S396" t="str" cm="1">
        <f t="array" ref="S396">_xlfn.TEXTJOIN("、",TRUE,IF('學員資料-三重商工'!$B$2:$B$472=$F396,'學員資料-三重商工'!$G$2:$G$472,""))</f>
        <v/>
      </c>
      <c r="T396">
        <f t="shared" si="6"/>
        <v>1</v>
      </c>
    </row>
    <row r="397" spans="1:20" ht="14.25" hidden="1" customHeight="1">
      <c r="A397" s="15">
        <v>396</v>
      </c>
      <c r="B397" s="16" t="s">
        <v>1452</v>
      </c>
      <c r="C397" s="17">
        <v>46052</v>
      </c>
      <c r="D397" s="15" t="s">
        <v>1453</v>
      </c>
      <c r="E397" s="18" t="s">
        <v>1324</v>
      </c>
      <c r="F397" s="19" t="s">
        <v>1450</v>
      </c>
      <c r="G397" s="18" t="s">
        <v>1451</v>
      </c>
      <c r="H397" s="20" t="s">
        <v>66</v>
      </c>
      <c r="I397" s="15">
        <v>1</v>
      </c>
      <c r="J397" s="15" t="s">
        <v>23</v>
      </c>
      <c r="K397" s="15"/>
      <c r="L397" s="21" t="s">
        <v>17</v>
      </c>
      <c r="M397" s="22">
        <v>0</v>
      </c>
      <c r="N397" s="22">
        <v>0</v>
      </c>
      <c r="O397" s="22">
        <v>6900</v>
      </c>
      <c r="P397" s="22">
        <v>6900</v>
      </c>
      <c r="Q397" t="str" cm="1">
        <f t="array" ref="Q397">_xlfn.TEXTJOIN("、",TRUE,IF('學員資料-三民高中'!$B$2:$B$454=$F397,'學員資料-三民高中'!$G$2:$G$454,""))</f>
        <v>0930941302</v>
      </c>
      <c r="R397" t="str" cm="1">
        <f t="array" ref="R397">_xlfn.TEXTJOIN("、",TRUE,IF('學員資料-新北高中'!$B$2:$B$583=$F397,'學員資料-新北高中'!$G$2:$G$583,""))</f>
        <v/>
      </c>
      <c r="S397" t="str" cm="1">
        <f t="array" ref="S397">_xlfn.TEXTJOIN("、",TRUE,IF('學員資料-三重商工'!$B$2:$B$472=$F397,'學員資料-三重商工'!$G$2:$G$472,""))</f>
        <v/>
      </c>
      <c r="T397">
        <f t="shared" si="6"/>
        <v>1</v>
      </c>
    </row>
    <row r="398" spans="1:20" ht="14.25" hidden="1" customHeight="1">
      <c r="A398" s="15">
        <v>397</v>
      </c>
      <c r="B398" s="16" t="s">
        <v>1454</v>
      </c>
      <c r="C398" s="17">
        <v>46052</v>
      </c>
      <c r="D398" s="15" t="s">
        <v>1455</v>
      </c>
      <c r="E398" s="18" t="s">
        <v>1324</v>
      </c>
      <c r="F398" s="19" t="s">
        <v>1450</v>
      </c>
      <c r="G398" s="18" t="s">
        <v>1451</v>
      </c>
      <c r="H398" s="20" t="s">
        <v>66</v>
      </c>
      <c r="I398" s="15">
        <v>1</v>
      </c>
      <c r="J398" s="15" t="s">
        <v>23</v>
      </c>
      <c r="K398" s="15"/>
      <c r="L398" s="21" t="s">
        <v>17</v>
      </c>
      <c r="M398" s="22">
        <v>0</v>
      </c>
      <c r="N398" s="22">
        <v>-2070</v>
      </c>
      <c r="O398" s="22">
        <v>4830</v>
      </c>
      <c r="P398" s="22">
        <v>4830</v>
      </c>
      <c r="Q398" t="str" cm="1">
        <f t="array" ref="Q398">_xlfn.TEXTJOIN("、",TRUE,IF('學員資料-三民高中'!$B$2:$B$454=$F398,'學員資料-三民高中'!$G$2:$G$454,""))</f>
        <v>0930941302</v>
      </c>
      <c r="R398" t="str" cm="1">
        <f t="array" ref="R398">_xlfn.TEXTJOIN("、",TRUE,IF('學員資料-新北高中'!$B$2:$B$583=$F398,'學員資料-新北高中'!$G$2:$G$583,""))</f>
        <v/>
      </c>
      <c r="S398" t="str" cm="1">
        <f t="array" ref="S398">_xlfn.TEXTJOIN("、",TRUE,IF('學員資料-三重商工'!$B$2:$B$472=$F398,'學員資料-三重商工'!$G$2:$G$472,""))</f>
        <v/>
      </c>
      <c r="T398">
        <f t="shared" si="6"/>
        <v>1</v>
      </c>
    </row>
    <row r="399" spans="1:20" ht="14.25" hidden="1" customHeight="1">
      <c r="A399" s="15">
        <v>398</v>
      </c>
      <c r="B399" s="16" t="s">
        <v>1456</v>
      </c>
      <c r="C399" s="17">
        <v>46052</v>
      </c>
      <c r="D399" s="15" t="s">
        <v>1457</v>
      </c>
      <c r="E399" s="18" t="s">
        <v>1324</v>
      </c>
      <c r="F399" s="19" t="s">
        <v>1458</v>
      </c>
      <c r="G399" s="18" t="s">
        <v>1459</v>
      </c>
      <c r="H399" s="20" t="s">
        <v>66</v>
      </c>
      <c r="I399" s="15">
        <v>1</v>
      </c>
      <c r="J399" s="15" t="s">
        <v>23</v>
      </c>
      <c r="K399" s="15"/>
      <c r="L399" s="21" t="s">
        <v>17</v>
      </c>
      <c r="M399" s="22">
        <v>0</v>
      </c>
      <c r="N399" s="22">
        <v>-345</v>
      </c>
      <c r="O399" s="22">
        <v>6555</v>
      </c>
      <c r="P399" s="22">
        <v>6555</v>
      </c>
      <c r="Q399" t="str" cm="1">
        <f t="array" ref="Q399">_xlfn.TEXTJOIN("、",TRUE,IF('學員資料-三民高中'!$B$2:$B$454=$F399,'學員資料-三民高中'!$G$2:$G$454,""))</f>
        <v>0917535173</v>
      </c>
      <c r="R399" t="str" cm="1">
        <f t="array" ref="R399">_xlfn.TEXTJOIN("、",TRUE,IF('學員資料-新北高中'!$B$2:$B$583=$F399,'學員資料-新北高中'!$G$2:$G$583,""))</f>
        <v/>
      </c>
      <c r="S399" t="str" cm="1">
        <f t="array" ref="S399">_xlfn.TEXTJOIN("、",TRUE,IF('學員資料-三重商工'!$B$2:$B$472=$F399,'學員資料-三重商工'!$G$2:$G$472,""))</f>
        <v/>
      </c>
      <c r="T399">
        <f t="shared" si="6"/>
        <v>1</v>
      </c>
    </row>
    <row r="400" spans="1:20" ht="14.25" hidden="1" customHeight="1">
      <c r="A400" s="15">
        <v>399</v>
      </c>
      <c r="B400" s="16" t="s">
        <v>1460</v>
      </c>
      <c r="C400" s="17">
        <v>46052</v>
      </c>
      <c r="D400" s="15" t="s">
        <v>1461</v>
      </c>
      <c r="E400" s="18" t="s">
        <v>1324</v>
      </c>
      <c r="F400" s="19" t="s">
        <v>1462</v>
      </c>
      <c r="G400" s="18" t="s">
        <v>1463</v>
      </c>
      <c r="H400" s="20" t="s">
        <v>52</v>
      </c>
      <c r="I400" s="15">
        <v>1</v>
      </c>
      <c r="J400" s="15" t="s">
        <v>24</v>
      </c>
      <c r="K400" s="15"/>
      <c r="L400" s="21" t="s">
        <v>17</v>
      </c>
      <c r="M400" s="22">
        <v>0</v>
      </c>
      <c r="N400" s="22">
        <v>0</v>
      </c>
      <c r="O400" s="22">
        <v>7500</v>
      </c>
      <c r="P400" s="22">
        <v>7500</v>
      </c>
      <c r="Q400" t="str" cm="1">
        <f t="array" ref="Q400">_xlfn.TEXTJOIN("、",TRUE,IF('學員資料-三民高中'!$B$2:$B$454=$F400,'學員資料-三民高中'!$G$2:$G$454,""))</f>
        <v>0987823723</v>
      </c>
      <c r="R400" t="str" cm="1">
        <f t="array" ref="R400">_xlfn.TEXTJOIN("、",TRUE,IF('學員資料-新北高中'!$B$2:$B$583=$F400,'學員資料-新北高中'!$G$2:$G$583,""))</f>
        <v/>
      </c>
      <c r="S400" t="str" cm="1">
        <f t="array" ref="S400">_xlfn.TEXTJOIN("、",TRUE,IF('學員資料-三重商工'!$B$2:$B$472=$F400,'學員資料-三重商工'!$G$2:$G$472,""))</f>
        <v/>
      </c>
      <c r="T400">
        <f t="shared" si="6"/>
        <v>1</v>
      </c>
    </row>
    <row r="401" spans="1:20" ht="14.25" hidden="1" customHeight="1">
      <c r="A401" s="15">
        <v>400</v>
      </c>
      <c r="B401" s="16" t="s">
        <v>1464</v>
      </c>
      <c r="C401" s="17">
        <v>46052</v>
      </c>
      <c r="D401" s="15" t="s">
        <v>1465</v>
      </c>
      <c r="E401" s="18" t="s">
        <v>1324</v>
      </c>
      <c r="F401" s="19" t="s">
        <v>1462</v>
      </c>
      <c r="G401" s="18" t="s">
        <v>1463</v>
      </c>
      <c r="H401" s="20" t="s">
        <v>52</v>
      </c>
      <c r="I401" s="15">
        <v>1</v>
      </c>
      <c r="J401" s="15" t="s">
        <v>24</v>
      </c>
      <c r="K401" s="15"/>
      <c r="L401" s="21" t="s">
        <v>17</v>
      </c>
      <c r="M401" s="22">
        <v>0</v>
      </c>
      <c r="N401" s="22">
        <v>0</v>
      </c>
      <c r="O401" s="22">
        <v>7500</v>
      </c>
      <c r="P401" s="22">
        <v>7500</v>
      </c>
      <c r="Q401" t="str" cm="1">
        <f t="array" ref="Q401">_xlfn.TEXTJOIN("、",TRUE,IF('學員資料-三民高中'!$B$2:$B$454=$F401,'學員資料-三民高中'!$G$2:$G$454,""))</f>
        <v>0987823723</v>
      </c>
      <c r="R401" t="str" cm="1">
        <f t="array" ref="R401">_xlfn.TEXTJOIN("、",TRUE,IF('學員資料-新北高中'!$B$2:$B$583=$F401,'學員資料-新北高中'!$G$2:$G$583,""))</f>
        <v/>
      </c>
      <c r="S401" t="str" cm="1">
        <f t="array" ref="S401">_xlfn.TEXTJOIN("、",TRUE,IF('學員資料-三重商工'!$B$2:$B$472=$F401,'學員資料-三重商工'!$G$2:$G$472,""))</f>
        <v/>
      </c>
      <c r="T401">
        <f t="shared" si="6"/>
        <v>1</v>
      </c>
    </row>
    <row r="402" spans="1:20" ht="14.25" hidden="1" customHeight="1">
      <c r="A402" s="15">
        <v>401</v>
      </c>
      <c r="B402" s="16" t="s">
        <v>1466</v>
      </c>
      <c r="C402" s="17">
        <v>46052</v>
      </c>
      <c r="D402" s="15" t="s">
        <v>1467</v>
      </c>
      <c r="E402" s="18" t="s">
        <v>1324</v>
      </c>
      <c r="F402" s="19" t="s">
        <v>1462</v>
      </c>
      <c r="G402" s="18" t="s">
        <v>1463</v>
      </c>
      <c r="H402" s="20" t="s">
        <v>52</v>
      </c>
      <c r="I402" s="15">
        <v>1</v>
      </c>
      <c r="J402" s="15" t="s">
        <v>24</v>
      </c>
      <c r="K402" s="15"/>
      <c r="L402" s="21" t="s">
        <v>17</v>
      </c>
      <c r="M402" s="22">
        <v>0</v>
      </c>
      <c r="N402" s="22">
        <v>-4500</v>
      </c>
      <c r="O402" s="22">
        <v>3000</v>
      </c>
      <c r="P402" s="22">
        <v>3000</v>
      </c>
      <c r="Q402" t="str" cm="1">
        <f t="array" ref="Q402">_xlfn.TEXTJOIN("、",TRUE,IF('學員資料-三民高中'!$B$2:$B$454=$F402,'學員資料-三民高中'!$G$2:$G$454,""))</f>
        <v>0987823723</v>
      </c>
      <c r="R402" t="str" cm="1">
        <f t="array" ref="R402">_xlfn.TEXTJOIN("、",TRUE,IF('學員資料-新北高中'!$B$2:$B$583=$F402,'學員資料-新北高中'!$G$2:$G$583,""))</f>
        <v/>
      </c>
      <c r="S402" t="str" cm="1">
        <f t="array" ref="S402">_xlfn.TEXTJOIN("、",TRUE,IF('學員資料-三重商工'!$B$2:$B$472=$F402,'學員資料-三重商工'!$G$2:$G$472,""))</f>
        <v/>
      </c>
      <c r="T402">
        <f t="shared" si="6"/>
        <v>1</v>
      </c>
    </row>
    <row r="403" spans="1:20" ht="14.25" hidden="1" customHeight="1">
      <c r="A403" s="15">
        <v>402</v>
      </c>
      <c r="B403" s="16" t="s">
        <v>1468</v>
      </c>
      <c r="C403" s="17">
        <v>46052</v>
      </c>
      <c r="D403" s="15" t="s">
        <v>1469</v>
      </c>
      <c r="E403" s="18" t="s">
        <v>1324</v>
      </c>
      <c r="F403" s="19" t="s">
        <v>1470</v>
      </c>
      <c r="G403" s="18" t="s">
        <v>1471</v>
      </c>
      <c r="H403" s="20" t="s">
        <v>1087</v>
      </c>
      <c r="I403" s="15">
        <v>1</v>
      </c>
      <c r="J403" s="15" t="s">
        <v>27</v>
      </c>
      <c r="K403" s="15"/>
      <c r="L403" s="21" t="s">
        <v>17</v>
      </c>
      <c r="M403" s="22">
        <v>0</v>
      </c>
      <c r="N403" s="22">
        <v>-1800</v>
      </c>
      <c r="O403" s="22">
        <v>13200</v>
      </c>
      <c r="P403" s="22">
        <v>13200</v>
      </c>
      <c r="Q403" t="str" cm="1">
        <f t="array" ref="Q403">_xlfn.TEXTJOIN("、",TRUE,IF('學員資料-三民高中'!$B$2:$B$454=$F403,'學員資料-三民高中'!$G$2:$G$454,""))</f>
        <v>0910199007</v>
      </c>
      <c r="R403" t="str" cm="1">
        <f t="array" ref="R403">_xlfn.TEXTJOIN("、",TRUE,IF('學員資料-新北高中'!$B$2:$B$583=$F403,'學員資料-新北高中'!$G$2:$G$583,""))</f>
        <v/>
      </c>
      <c r="S403" t="str" cm="1">
        <f t="array" ref="S403">_xlfn.TEXTJOIN("、",TRUE,IF('學員資料-三重商工'!$B$2:$B$472=$F403,'學員資料-三重商工'!$G$2:$G$472,""))</f>
        <v/>
      </c>
      <c r="T403">
        <f t="shared" si="6"/>
        <v>1</v>
      </c>
    </row>
    <row r="404" spans="1:20" ht="14.25" hidden="1" customHeight="1">
      <c r="A404" s="15">
        <v>403</v>
      </c>
      <c r="B404" s="16" t="s">
        <v>1472</v>
      </c>
      <c r="C404" s="17">
        <v>46052</v>
      </c>
      <c r="D404" s="15" t="s">
        <v>1473</v>
      </c>
      <c r="E404" s="18" t="s">
        <v>1324</v>
      </c>
      <c r="F404" s="19" t="s">
        <v>1474</v>
      </c>
      <c r="G404" s="18" t="s">
        <v>1475</v>
      </c>
      <c r="H404" s="20" t="s">
        <v>52</v>
      </c>
      <c r="I404" s="15">
        <v>1</v>
      </c>
      <c r="J404" s="15" t="s">
        <v>24</v>
      </c>
      <c r="K404" s="15"/>
      <c r="L404" s="21" t="s">
        <v>17</v>
      </c>
      <c r="M404" s="22">
        <v>0</v>
      </c>
      <c r="N404" s="22">
        <v>0</v>
      </c>
      <c r="O404" s="22">
        <v>7500</v>
      </c>
      <c r="P404" s="22">
        <v>7500</v>
      </c>
      <c r="Q404" t="str" cm="1">
        <f t="array" ref="Q404">_xlfn.TEXTJOIN("、",TRUE,IF('學員資料-三民高中'!$B$2:$B$454=$F404,'學員資料-三民高中'!$G$2:$G$454,""))</f>
        <v>0958365985</v>
      </c>
      <c r="R404" t="str" cm="1">
        <f t="array" ref="R404">_xlfn.TEXTJOIN("、",TRUE,IF('學員資料-新北高中'!$B$2:$B$583=$F404,'學員資料-新北高中'!$G$2:$G$583,""))</f>
        <v/>
      </c>
      <c r="S404" t="str" cm="1">
        <f t="array" ref="S404">_xlfn.TEXTJOIN("、",TRUE,IF('學員資料-三重商工'!$B$2:$B$472=$F404,'學員資料-三重商工'!$G$2:$G$472,""))</f>
        <v/>
      </c>
      <c r="T404">
        <f t="shared" si="6"/>
        <v>1</v>
      </c>
    </row>
    <row r="405" spans="1:20" ht="14.25" hidden="1" customHeight="1">
      <c r="A405" s="15">
        <v>404</v>
      </c>
      <c r="B405" s="16" t="s">
        <v>1476</v>
      </c>
      <c r="C405" s="17">
        <v>46052</v>
      </c>
      <c r="D405" s="15" t="s">
        <v>1477</v>
      </c>
      <c r="E405" s="18" t="s">
        <v>1324</v>
      </c>
      <c r="F405" s="19" t="s">
        <v>1474</v>
      </c>
      <c r="G405" s="18" t="s">
        <v>1475</v>
      </c>
      <c r="H405" s="20" t="s">
        <v>52</v>
      </c>
      <c r="I405" s="15">
        <v>1</v>
      </c>
      <c r="J405" s="15" t="s">
        <v>24</v>
      </c>
      <c r="K405" s="15"/>
      <c r="L405" s="21" t="s">
        <v>17</v>
      </c>
      <c r="M405" s="22">
        <v>0</v>
      </c>
      <c r="N405" s="22">
        <v>0</v>
      </c>
      <c r="O405" s="22">
        <v>7500</v>
      </c>
      <c r="P405" s="22">
        <v>7500</v>
      </c>
      <c r="Q405" t="str" cm="1">
        <f t="array" ref="Q405">_xlfn.TEXTJOIN("、",TRUE,IF('學員資料-三民高中'!$B$2:$B$454=$F405,'學員資料-三民高中'!$G$2:$G$454,""))</f>
        <v>0958365985</v>
      </c>
      <c r="R405" t="str" cm="1">
        <f t="array" ref="R405">_xlfn.TEXTJOIN("、",TRUE,IF('學員資料-新北高中'!$B$2:$B$583=$F405,'學員資料-新北高中'!$G$2:$G$583,""))</f>
        <v/>
      </c>
      <c r="S405" t="str" cm="1">
        <f t="array" ref="S405">_xlfn.TEXTJOIN("、",TRUE,IF('學員資料-三重商工'!$B$2:$B$472=$F405,'學員資料-三重商工'!$G$2:$G$472,""))</f>
        <v/>
      </c>
      <c r="T405">
        <f t="shared" si="6"/>
        <v>1</v>
      </c>
    </row>
    <row r="406" spans="1:20" ht="14.25" hidden="1" customHeight="1">
      <c r="A406" s="15">
        <v>405</v>
      </c>
      <c r="B406" s="16" t="s">
        <v>1478</v>
      </c>
      <c r="C406" s="17">
        <v>46052</v>
      </c>
      <c r="D406" s="15" t="s">
        <v>1479</v>
      </c>
      <c r="E406" s="18" t="s">
        <v>1324</v>
      </c>
      <c r="F406" s="19" t="s">
        <v>1474</v>
      </c>
      <c r="G406" s="18" t="s">
        <v>1475</v>
      </c>
      <c r="H406" s="20" t="s">
        <v>52</v>
      </c>
      <c r="I406" s="15">
        <v>1</v>
      </c>
      <c r="J406" s="15" t="s">
        <v>24</v>
      </c>
      <c r="K406" s="15"/>
      <c r="L406" s="21" t="s">
        <v>17</v>
      </c>
      <c r="M406" s="22">
        <v>0</v>
      </c>
      <c r="N406" s="22">
        <v>-4500</v>
      </c>
      <c r="O406" s="22">
        <v>3000</v>
      </c>
      <c r="P406" s="22">
        <v>3000</v>
      </c>
      <c r="Q406" t="str" cm="1">
        <f t="array" ref="Q406">_xlfn.TEXTJOIN("、",TRUE,IF('學員資料-三民高中'!$B$2:$B$454=$F406,'學員資料-三民高中'!$G$2:$G$454,""))</f>
        <v>0958365985</v>
      </c>
      <c r="R406" t="str" cm="1">
        <f t="array" ref="R406">_xlfn.TEXTJOIN("、",TRUE,IF('學員資料-新北高中'!$B$2:$B$583=$F406,'學員資料-新北高中'!$G$2:$G$583,""))</f>
        <v/>
      </c>
      <c r="S406" t="str" cm="1">
        <f t="array" ref="S406">_xlfn.TEXTJOIN("、",TRUE,IF('學員資料-三重商工'!$B$2:$B$472=$F406,'學員資料-三重商工'!$G$2:$G$472,""))</f>
        <v/>
      </c>
      <c r="T406">
        <f t="shared" si="6"/>
        <v>1</v>
      </c>
    </row>
    <row r="407" spans="1:20" ht="43.5" hidden="1" customHeight="1">
      <c r="A407" s="15">
        <v>406</v>
      </c>
      <c r="B407" s="16" t="s">
        <v>1480</v>
      </c>
      <c r="C407" s="17">
        <v>46051</v>
      </c>
      <c r="D407" s="15" t="s">
        <v>1481</v>
      </c>
      <c r="E407" s="18" t="s">
        <v>83</v>
      </c>
      <c r="F407" s="19" t="s">
        <v>1482</v>
      </c>
      <c r="G407" s="18" t="s">
        <v>1483</v>
      </c>
      <c r="H407" s="20" t="s">
        <v>624</v>
      </c>
      <c r="I407" s="15">
        <v>3</v>
      </c>
      <c r="J407" s="15" t="s">
        <v>24</v>
      </c>
      <c r="K407" s="15"/>
      <c r="L407" s="21" t="s">
        <v>18</v>
      </c>
      <c r="M407" s="22">
        <v>0</v>
      </c>
      <c r="N407" s="22">
        <v>-9450</v>
      </c>
      <c r="O407" s="22">
        <v>17550</v>
      </c>
      <c r="P407" s="22">
        <v>17550</v>
      </c>
      <c r="Q407" t="str" cm="1">
        <f t="array" ref="Q407">_xlfn.TEXTJOIN("、",TRUE,IF('學員資料-三民高中'!$B$2:$B$454=$F407,'學員資料-三民高中'!$G$2:$G$454,""))</f>
        <v/>
      </c>
      <c r="R407" t="str" cm="1">
        <f t="array" ref="R407">_xlfn.TEXTJOIN("、",TRUE,IF('學員資料-新北高中'!$B$2:$B$583=$F407,'學員資料-新北高中'!$G$2:$G$583,""))</f>
        <v/>
      </c>
      <c r="S407" t="str" cm="1">
        <f t="array" ref="S407">_xlfn.TEXTJOIN("、",TRUE,IF('學員資料-三重商工'!$B$2:$B$472=$F407,'學員資料-三重商工'!$G$2:$G$472,""))</f>
        <v>0958264081</v>
      </c>
      <c r="T407">
        <f t="shared" si="6"/>
        <v>1</v>
      </c>
    </row>
    <row r="408" spans="1:20" ht="14.25" hidden="1" customHeight="1">
      <c r="A408" s="15">
        <v>407</v>
      </c>
      <c r="B408" s="16" t="s">
        <v>1484</v>
      </c>
      <c r="C408" s="17">
        <v>46051</v>
      </c>
      <c r="D408" s="15" t="s">
        <v>1485</v>
      </c>
      <c r="E408" s="18" t="s">
        <v>83</v>
      </c>
      <c r="F408" s="19" t="s">
        <v>1486</v>
      </c>
      <c r="G408" s="18" t="s">
        <v>1487</v>
      </c>
      <c r="H408" s="20" t="s">
        <v>66</v>
      </c>
      <c r="I408" s="15">
        <v>1</v>
      </c>
      <c r="J408" s="15" t="s">
        <v>23</v>
      </c>
      <c r="K408" s="15"/>
      <c r="L408" s="21" t="s">
        <v>16</v>
      </c>
      <c r="M408" s="22">
        <v>0</v>
      </c>
      <c r="N408" s="22">
        <v>-345</v>
      </c>
      <c r="O408" s="22">
        <v>6555</v>
      </c>
      <c r="P408" s="22">
        <v>6555</v>
      </c>
      <c r="Q408" t="str" cm="1">
        <f t="array" ref="Q408">_xlfn.TEXTJOIN("、",TRUE,IF('學員資料-三民高中'!$B$2:$B$454=$F408,'學員資料-三民高中'!$G$2:$G$454,""))</f>
        <v/>
      </c>
      <c r="R408" t="str" cm="1">
        <f t="array" ref="R408">_xlfn.TEXTJOIN("、",TRUE,IF('學員資料-新北高中'!$B$2:$B$583=$F408,'學員資料-新北高中'!$G$2:$G$583,""))</f>
        <v>0921358153</v>
      </c>
      <c r="S408" t="str" cm="1">
        <f t="array" ref="S408">_xlfn.TEXTJOIN("、",TRUE,IF('學員資料-三重商工'!$B$2:$B$472=$F408,'學員資料-三重商工'!$G$2:$G$472,""))</f>
        <v/>
      </c>
      <c r="T408">
        <f t="shared" si="6"/>
        <v>1</v>
      </c>
    </row>
    <row r="409" spans="1:20" ht="43.5" hidden="1" customHeight="1">
      <c r="A409" s="15">
        <v>408</v>
      </c>
      <c r="B409" s="16" t="s">
        <v>1488</v>
      </c>
      <c r="C409" s="17">
        <v>46051</v>
      </c>
      <c r="D409" s="15" t="s">
        <v>1489</v>
      </c>
      <c r="E409" s="18" t="s">
        <v>83</v>
      </c>
      <c r="F409" s="19" t="s">
        <v>1490</v>
      </c>
      <c r="G409" s="18" t="s">
        <v>1491</v>
      </c>
      <c r="H409" s="20" t="s">
        <v>261</v>
      </c>
      <c r="I409" s="15">
        <v>3</v>
      </c>
      <c r="J409" s="15" t="s">
        <v>23</v>
      </c>
      <c r="K409" s="15"/>
      <c r="L409" s="21" t="s">
        <v>18</v>
      </c>
      <c r="M409" s="22">
        <v>0</v>
      </c>
      <c r="N409" s="22">
        <v>-2070</v>
      </c>
      <c r="O409" s="22">
        <v>18630</v>
      </c>
      <c r="P409" s="22">
        <v>18630</v>
      </c>
      <c r="Q409" t="str" cm="1">
        <f t="array" ref="Q409">_xlfn.TEXTJOIN("、",TRUE,IF('學員資料-三民高中'!$B$2:$B$454=$F409,'學員資料-三民高中'!$G$2:$G$454,""))</f>
        <v/>
      </c>
      <c r="R409" t="str" cm="1">
        <f t="array" ref="R409">_xlfn.TEXTJOIN("、",TRUE,IF('學員資料-新北高中'!$B$2:$B$583=$F409,'學員資料-新北高中'!$G$2:$G$583,""))</f>
        <v/>
      </c>
      <c r="S409" t="str" cm="1">
        <f t="array" ref="S409">_xlfn.TEXTJOIN("、",TRUE,IF('學員資料-三重商工'!$B$2:$B$472=$F409,'學員資料-三重商工'!$G$2:$G$472,""))</f>
        <v>0936554577</v>
      </c>
      <c r="T409">
        <f t="shared" si="6"/>
        <v>1</v>
      </c>
    </row>
    <row r="410" spans="1:20" ht="14.25" hidden="1" customHeight="1">
      <c r="A410" s="15">
        <v>409</v>
      </c>
      <c r="B410" s="16" t="s">
        <v>1492</v>
      </c>
      <c r="C410" s="17">
        <v>46051</v>
      </c>
      <c r="D410" s="15" t="s">
        <v>1493</v>
      </c>
      <c r="E410" s="18" t="s">
        <v>83</v>
      </c>
      <c r="F410" s="19" t="s">
        <v>598</v>
      </c>
      <c r="G410" s="18" t="s">
        <v>599</v>
      </c>
      <c r="H410" s="20" t="s">
        <v>47</v>
      </c>
      <c r="I410" s="15">
        <v>1</v>
      </c>
      <c r="J410" s="15" t="s">
        <v>24</v>
      </c>
      <c r="K410" s="15"/>
      <c r="L410" s="21" t="s">
        <v>18</v>
      </c>
      <c r="M410" s="22">
        <v>0</v>
      </c>
      <c r="N410" s="22">
        <v>-1080</v>
      </c>
      <c r="O410" s="22">
        <v>7920</v>
      </c>
      <c r="P410" s="22">
        <v>7920</v>
      </c>
      <c r="Q410" t="str" cm="1">
        <f t="array" ref="Q410">_xlfn.TEXTJOIN("、",TRUE,IF('學員資料-三民高中'!$B$2:$B$454=$F410,'學員資料-三民高中'!$G$2:$G$454,""))</f>
        <v>0926821102</v>
      </c>
      <c r="R410" t="str" cm="1">
        <f t="array" ref="R410">_xlfn.TEXTJOIN("、",TRUE,IF('學員資料-新北高中'!$B$2:$B$583=$F410,'學員資料-新北高中'!$G$2:$G$583,""))</f>
        <v/>
      </c>
      <c r="S410" t="str" cm="1">
        <f t="array" ref="S410">_xlfn.TEXTJOIN("、",TRUE,IF('學員資料-三重商工'!$B$2:$B$472=$F410,'學員資料-三重商工'!$G$2:$G$472,""))</f>
        <v/>
      </c>
      <c r="T410">
        <f t="shared" si="6"/>
        <v>1</v>
      </c>
    </row>
    <row r="411" spans="1:20" ht="14.25" hidden="1" customHeight="1">
      <c r="A411" s="15">
        <v>410</v>
      </c>
      <c r="B411" s="16" t="s">
        <v>1494</v>
      </c>
      <c r="C411" s="17">
        <v>46051</v>
      </c>
      <c r="D411" s="15" t="s">
        <v>1495</v>
      </c>
      <c r="E411" s="18" t="s">
        <v>83</v>
      </c>
      <c r="F411" s="19" t="s">
        <v>494</v>
      </c>
      <c r="G411" s="18" t="s">
        <v>495</v>
      </c>
      <c r="H411" s="20" t="s">
        <v>130</v>
      </c>
      <c r="I411" s="15">
        <v>1</v>
      </c>
      <c r="J411" s="15" t="s">
        <v>25</v>
      </c>
      <c r="K411" s="15"/>
      <c r="L411" s="21" t="s">
        <v>18</v>
      </c>
      <c r="M411" s="22">
        <v>0</v>
      </c>
      <c r="N411" s="22">
        <v>-1188</v>
      </c>
      <c r="O411" s="22">
        <v>8712</v>
      </c>
      <c r="P411" s="22">
        <v>8712</v>
      </c>
      <c r="Q411" t="str" cm="1">
        <f t="array" ref="Q411">_xlfn.TEXTJOIN("、",TRUE,IF('學員資料-三民高中'!$B$2:$B$454=$F411,'學員資料-三民高中'!$G$2:$G$454,""))</f>
        <v/>
      </c>
      <c r="R411" t="str" cm="1">
        <f t="array" ref="R411">_xlfn.TEXTJOIN("、",TRUE,IF('學員資料-新北高中'!$B$2:$B$583=$F411,'學員資料-新北高中'!$G$2:$G$583,""))</f>
        <v/>
      </c>
      <c r="S411" t="str" cm="1">
        <f t="array" ref="S411">_xlfn.TEXTJOIN("、",TRUE,IF('學員資料-三重商工'!$B$2:$B$472=$F411,'學員資料-三重商工'!$G$2:$G$472,""))</f>
        <v>0989016012</v>
      </c>
      <c r="T411">
        <f t="shared" si="6"/>
        <v>1</v>
      </c>
    </row>
    <row r="412" spans="1:20" ht="14.25" hidden="1" customHeight="1">
      <c r="A412" s="15">
        <v>411</v>
      </c>
      <c r="B412" s="16" t="s">
        <v>1496</v>
      </c>
      <c r="C412" s="17">
        <v>46051</v>
      </c>
      <c r="D412" s="15" t="s">
        <v>1497</v>
      </c>
      <c r="E412" s="18" t="s">
        <v>83</v>
      </c>
      <c r="F412" s="19" t="s">
        <v>1049</v>
      </c>
      <c r="G412" s="18" t="s">
        <v>1050</v>
      </c>
      <c r="H412" s="20" t="s">
        <v>66</v>
      </c>
      <c r="I412" s="15">
        <v>1</v>
      </c>
      <c r="J412" s="15" t="s">
        <v>23</v>
      </c>
      <c r="K412" s="15"/>
      <c r="L412" s="21" t="s">
        <v>18</v>
      </c>
      <c r="M412" s="22">
        <v>0</v>
      </c>
      <c r="N412" s="22">
        <v>-345</v>
      </c>
      <c r="O412" s="22">
        <v>6555</v>
      </c>
      <c r="P412" s="22">
        <v>6555</v>
      </c>
      <c r="Q412" t="str" cm="1">
        <f t="array" ref="Q412">_xlfn.TEXTJOIN("、",TRUE,IF('學員資料-三民高中'!$B$2:$B$454=$F412,'學員資料-三民高中'!$G$2:$G$454,""))</f>
        <v/>
      </c>
      <c r="R412" t="str" cm="1">
        <f t="array" ref="R412">_xlfn.TEXTJOIN("、",TRUE,IF('學員資料-新北高中'!$B$2:$B$583=$F412,'學員資料-新北高中'!$G$2:$G$583,""))</f>
        <v/>
      </c>
      <c r="S412" t="str" cm="1">
        <f t="array" ref="S412">_xlfn.TEXTJOIN("、",TRUE,IF('學員資料-三重商工'!$B$2:$B$472=$F412,'學員資料-三重商工'!$G$2:$G$472,""))</f>
        <v>0919551105</v>
      </c>
      <c r="T412">
        <f t="shared" si="6"/>
        <v>1</v>
      </c>
    </row>
    <row r="413" spans="1:20" ht="43.5" hidden="1" customHeight="1">
      <c r="A413" s="15">
        <v>412</v>
      </c>
      <c r="B413" s="16" t="s">
        <v>1498</v>
      </c>
      <c r="C413" s="17">
        <v>46051</v>
      </c>
      <c r="D413" s="15" t="s">
        <v>1499</v>
      </c>
      <c r="E413" s="18" t="s">
        <v>83</v>
      </c>
      <c r="F413" s="19" t="s">
        <v>1500</v>
      </c>
      <c r="G413" s="18" t="s">
        <v>1501</v>
      </c>
      <c r="H413" s="20" t="s">
        <v>436</v>
      </c>
      <c r="I413" s="15">
        <v>3</v>
      </c>
      <c r="J413" s="15" t="s">
        <v>24</v>
      </c>
      <c r="K413" s="15"/>
      <c r="L413" s="21" t="s">
        <v>18</v>
      </c>
      <c r="M413" s="22">
        <v>0</v>
      </c>
      <c r="N413" s="22">
        <v>-4500</v>
      </c>
      <c r="O413" s="22">
        <v>18000</v>
      </c>
      <c r="P413" s="22">
        <v>18000</v>
      </c>
      <c r="Q413" t="str" cm="1">
        <f t="array" ref="Q413">_xlfn.TEXTJOIN("、",TRUE,IF('學員資料-三民高中'!$B$2:$B$454=$F413,'學員資料-三民高中'!$G$2:$G$454,""))</f>
        <v/>
      </c>
      <c r="R413" t="str" cm="1">
        <f t="array" ref="R413">_xlfn.TEXTJOIN("、",TRUE,IF('學員資料-新北高中'!$B$2:$B$583=$F413,'學員資料-新北高中'!$G$2:$G$583,""))</f>
        <v/>
      </c>
      <c r="S413" t="str" cm="1">
        <f t="array" ref="S413">_xlfn.TEXTJOIN("、",TRUE,IF('學員資料-三重商工'!$B$2:$B$472=$F413,'學員資料-三重商工'!$G$2:$G$472,""))</f>
        <v>0932945700</v>
      </c>
      <c r="T413">
        <f t="shared" si="6"/>
        <v>1</v>
      </c>
    </row>
    <row r="414" spans="1:20" ht="14.25" hidden="1" customHeight="1">
      <c r="A414" s="15">
        <v>413</v>
      </c>
      <c r="B414" s="16" t="s">
        <v>1502</v>
      </c>
      <c r="C414" s="17">
        <v>46051</v>
      </c>
      <c r="D414" s="15" t="s">
        <v>1503</v>
      </c>
      <c r="E414" s="18" t="s">
        <v>1324</v>
      </c>
      <c r="F414" s="19" t="s">
        <v>1504</v>
      </c>
      <c r="G414" s="18" t="s">
        <v>1505</v>
      </c>
      <c r="H414" s="20" t="s">
        <v>683</v>
      </c>
      <c r="I414" s="15">
        <v>1</v>
      </c>
      <c r="J414" s="15" t="s">
        <v>23</v>
      </c>
      <c r="K414" s="15"/>
      <c r="L414" s="21" t="s">
        <v>17</v>
      </c>
      <c r="M414" s="22">
        <v>0</v>
      </c>
      <c r="N414" s="22">
        <v>-450</v>
      </c>
      <c r="O414" s="22">
        <v>8550</v>
      </c>
      <c r="P414" s="22">
        <v>8550</v>
      </c>
      <c r="Q414" t="str" cm="1">
        <f t="array" ref="Q414">_xlfn.TEXTJOIN("、",TRUE,IF('學員資料-三民高中'!$B$2:$B$454=$F414,'學員資料-三民高中'!$G$2:$G$454,""))</f>
        <v/>
      </c>
      <c r="R414" t="str" cm="1">
        <f t="array" ref="R414">_xlfn.TEXTJOIN("、",TRUE,IF('學員資料-新北高中'!$B$2:$B$583=$F414,'學員資料-新北高中'!$G$2:$G$583,""))</f>
        <v>0955333911-1</v>
      </c>
      <c r="S414" t="str" cm="1">
        <f t="array" ref="S414">_xlfn.TEXTJOIN("、",TRUE,IF('學員資料-三重商工'!$B$2:$B$472=$F414,'學員資料-三重商工'!$G$2:$G$472,""))</f>
        <v/>
      </c>
      <c r="T414">
        <f t="shared" si="6"/>
        <v>1</v>
      </c>
    </row>
    <row r="415" spans="1:20" ht="14.25" hidden="1" customHeight="1">
      <c r="A415" s="15">
        <v>414</v>
      </c>
      <c r="B415" s="16" t="s">
        <v>1506</v>
      </c>
      <c r="C415" s="17">
        <v>46051</v>
      </c>
      <c r="D415" s="15" t="s">
        <v>1507</v>
      </c>
      <c r="E415" s="18" t="s">
        <v>1324</v>
      </c>
      <c r="F415" s="19" t="s">
        <v>1508</v>
      </c>
      <c r="G415" s="18" t="s">
        <v>1509</v>
      </c>
      <c r="H415" s="20" t="s">
        <v>52</v>
      </c>
      <c r="I415" s="15">
        <v>1</v>
      </c>
      <c r="J415" s="15" t="s">
        <v>24</v>
      </c>
      <c r="K415" s="15"/>
      <c r="L415" s="21" t="s">
        <v>17</v>
      </c>
      <c r="M415" s="22">
        <v>0</v>
      </c>
      <c r="N415" s="22">
        <v>-900</v>
      </c>
      <c r="O415" s="22">
        <v>6600</v>
      </c>
      <c r="P415" s="22">
        <v>6600</v>
      </c>
      <c r="Q415" t="str" cm="1">
        <f t="array" ref="Q415">_xlfn.TEXTJOIN("、",TRUE,IF('學員資料-三民高中'!$B$2:$B$454=$F415,'學員資料-三民高中'!$G$2:$G$454,""))</f>
        <v/>
      </c>
      <c r="R415" t="str" cm="1">
        <f t="array" ref="R415">_xlfn.TEXTJOIN("、",TRUE,IF('學員資料-新北高中'!$B$2:$B$583=$F415,'學員資料-新北高中'!$G$2:$G$583,""))</f>
        <v>0935676683</v>
      </c>
      <c r="S415" t="str" cm="1">
        <f t="array" ref="S415">_xlfn.TEXTJOIN("、",TRUE,IF('學員資料-三重商工'!$B$2:$B$472=$F415,'學員資料-三重商工'!$G$2:$G$472,""))</f>
        <v/>
      </c>
      <c r="T415">
        <f t="shared" si="6"/>
        <v>1</v>
      </c>
    </row>
    <row r="416" spans="1:20" ht="57.75" hidden="1" customHeight="1">
      <c r="A416" s="15">
        <v>415</v>
      </c>
      <c r="B416" s="16" t="s">
        <v>1510</v>
      </c>
      <c r="C416" s="17">
        <v>46050</v>
      </c>
      <c r="D416" s="15" t="s">
        <v>1511</v>
      </c>
      <c r="E416" s="18" t="s">
        <v>83</v>
      </c>
      <c r="F416" s="19" t="s">
        <v>1512</v>
      </c>
      <c r="G416" s="18" t="s">
        <v>1513</v>
      </c>
      <c r="H416" s="20" t="s">
        <v>989</v>
      </c>
      <c r="I416" s="15">
        <v>4</v>
      </c>
      <c r="J416" s="15" t="s">
        <v>24</v>
      </c>
      <c r="K416" s="15"/>
      <c r="L416" s="21" t="s">
        <v>18</v>
      </c>
      <c r="M416" s="22">
        <v>0</v>
      </c>
      <c r="N416" s="22">
        <v>-6000</v>
      </c>
      <c r="O416" s="22">
        <v>24000</v>
      </c>
      <c r="P416" s="22">
        <v>24000</v>
      </c>
      <c r="Q416" t="str" cm="1">
        <f t="array" ref="Q416">_xlfn.TEXTJOIN("、",TRUE,IF('學員資料-三民高中'!$B$2:$B$454=$F416,'學員資料-三民高中'!$G$2:$G$454,""))</f>
        <v/>
      </c>
      <c r="R416" t="str" cm="1">
        <f t="array" ref="R416">_xlfn.TEXTJOIN("、",TRUE,IF('學員資料-新北高中'!$B$2:$B$583=$F416,'學員資料-新北高中'!$G$2:$G$583,""))</f>
        <v/>
      </c>
      <c r="S416" t="str" cm="1">
        <f t="array" ref="S416">_xlfn.TEXTJOIN("、",TRUE,IF('學員資料-三重商工'!$B$2:$B$472=$F416,'學員資料-三重商工'!$G$2:$G$472,""))</f>
        <v>0980018580</v>
      </c>
      <c r="T416">
        <f t="shared" si="6"/>
        <v>1</v>
      </c>
    </row>
    <row r="417" spans="1:20" ht="28.5" hidden="1" customHeight="1">
      <c r="A417" s="15">
        <v>416</v>
      </c>
      <c r="B417" s="16" t="s">
        <v>1514</v>
      </c>
      <c r="C417" s="17">
        <v>46050</v>
      </c>
      <c r="D417" s="15" t="s">
        <v>1515</v>
      </c>
      <c r="E417" s="18" t="s">
        <v>83</v>
      </c>
      <c r="F417" s="19" t="s">
        <v>1516</v>
      </c>
      <c r="G417" s="18" t="s">
        <v>1517</v>
      </c>
      <c r="H417" s="20" t="s">
        <v>99</v>
      </c>
      <c r="I417" s="15">
        <v>2</v>
      </c>
      <c r="J417" s="15" t="s">
        <v>24</v>
      </c>
      <c r="K417" s="15"/>
      <c r="L417" s="21" t="s">
        <v>18</v>
      </c>
      <c r="M417" s="22">
        <v>0</v>
      </c>
      <c r="N417" s="22">
        <v>-1800</v>
      </c>
      <c r="O417" s="22">
        <v>13200</v>
      </c>
      <c r="P417" s="22">
        <v>13200</v>
      </c>
      <c r="Q417" t="str" cm="1">
        <f t="array" ref="Q417">_xlfn.TEXTJOIN("、",TRUE,IF('學員資料-三民高中'!$B$2:$B$454=$F417,'學員資料-三民高中'!$G$2:$G$454,""))</f>
        <v/>
      </c>
      <c r="R417" t="str" cm="1">
        <f t="array" ref="R417">_xlfn.TEXTJOIN("、",TRUE,IF('學員資料-新北高中'!$B$2:$B$583=$F417,'學員資料-新北高中'!$G$2:$G$583,""))</f>
        <v/>
      </c>
      <c r="S417" t="str" cm="1">
        <f t="array" ref="S417">_xlfn.TEXTJOIN("、",TRUE,IF('學員資料-三重商工'!$B$2:$B$472=$F417,'學員資料-三重商工'!$G$2:$G$472,""))</f>
        <v>0933701726</v>
      </c>
      <c r="T417">
        <f t="shared" si="6"/>
        <v>1</v>
      </c>
    </row>
    <row r="418" spans="1:20" ht="43.5" hidden="1" customHeight="1">
      <c r="A418" s="15">
        <v>417</v>
      </c>
      <c r="B418" s="16" t="s">
        <v>1518</v>
      </c>
      <c r="C418" s="17">
        <v>46050</v>
      </c>
      <c r="D418" s="15" t="s">
        <v>1519</v>
      </c>
      <c r="E418" s="18" t="s">
        <v>83</v>
      </c>
      <c r="F418" s="19" t="s">
        <v>1520</v>
      </c>
      <c r="G418" s="18" t="s">
        <v>1521</v>
      </c>
      <c r="H418" s="20" t="s">
        <v>528</v>
      </c>
      <c r="I418" s="15">
        <v>3</v>
      </c>
      <c r="J418" s="15" t="s">
        <v>23</v>
      </c>
      <c r="K418" s="15"/>
      <c r="L418" s="21" t="s">
        <v>18</v>
      </c>
      <c r="M418" s="22">
        <v>0</v>
      </c>
      <c r="N418" s="22">
        <v>-2484</v>
      </c>
      <c r="O418" s="22">
        <v>22356</v>
      </c>
      <c r="P418" s="22">
        <v>22356</v>
      </c>
      <c r="Q418" t="str" cm="1">
        <f t="array" ref="Q418">_xlfn.TEXTJOIN("、",TRUE,IF('學員資料-三民高中'!$B$2:$B$454=$F418,'學員資料-三民高中'!$G$2:$G$454,""))</f>
        <v/>
      </c>
      <c r="R418" t="str" cm="1">
        <f t="array" ref="R418">_xlfn.TEXTJOIN("、",TRUE,IF('學員資料-新北高中'!$B$2:$B$583=$F418,'學員資料-新北高中'!$G$2:$G$583,""))</f>
        <v/>
      </c>
      <c r="S418" t="str" cm="1">
        <f t="array" ref="S418">_xlfn.TEXTJOIN("、",TRUE,IF('學員資料-三重商工'!$B$2:$B$472=$F418,'學員資料-三重商工'!$G$2:$G$472,""))</f>
        <v>0980427816</v>
      </c>
      <c r="T418">
        <f t="shared" si="6"/>
        <v>1</v>
      </c>
    </row>
    <row r="419" spans="1:20" ht="57.75" hidden="1" customHeight="1">
      <c r="A419" s="15">
        <v>418</v>
      </c>
      <c r="B419" s="16" t="s">
        <v>1522</v>
      </c>
      <c r="C419" s="17">
        <v>46050</v>
      </c>
      <c r="D419" s="15" t="s">
        <v>1523</v>
      </c>
      <c r="E419" s="18" t="s">
        <v>763</v>
      </c>
      <c r="F419" s="19" t="s">
        <v>1524</v>
      </c>
      <c r="G419" s="18" t="s">
        <v>1525</v>
      </c>
      <c r="H419" s="20" t="s">
        <v>1526</v>
      </c>
      <c r="I419" s="15">
        <v>4</v>
      </c>
      <c r="J419" s="15" t="s">
        <v>23</v>
      </c>
      <c r="K419" s="15"/>
      <c r="L419" s="21" t="s">
        <v>16</v>
      </c>
      <c r="M419" s="22">
        <v>0</v>
      </c>
      <c r="N419" s="22">
        <v>-2760</v>
      </c>
      <c r="O419" s="22">
        <v>24840</v>
      </c>
      <c r="P419" s="22">
        <v>24840</v>
      </c>
      <c r="Q419" t="str" cm="1">
        <f t="array" ref="Q419">_xlfn.TEXTJOIN("、",TRUE,IF('學員資料-三民高中'!$B$2:$B$454=$F419,'學員資料-三民高中'!$G$2:$G$454,""))</f>
        <v>0978726876-1</v>
      </c>
      <c r="R419" t="str" cm="1">
        <f t="array" ref="R419">_xlfn.TEXTJOIN("、",TRUE,IF('學員資料-新北高中'!$B$2:$B$583=$F419,'學員資料-新北高中'!$G$2:$G$583,""))</f>
        <v/>
      </c>
      <c r="S419" t="str" cm="1">
        <f t="array" ref="S419">_xlfn.TEXTJOIN("、",TRUE,IF('學員資料-三重商工'!$B$2:$B$472=$F419,'學員資料-三重商工'!$G$2:$G$472,""))</f>
        <v/>
      </c>
      <c r="T419">
        <f t="shared" si="6"/>
        <v>1</v>
      </c>
    </row>
    <row r="420" spans="1:20" ht="43.5" hidden="1" customHeight="1">
      <c r="A420" s="15">
        <v>419</v>
      </c>
      <c r="B420" s="16" t="s">
        <v>1527</v>
      </c>
      <c r="C420" s="17">
        <v>46050</v>
      </c>
      <c r="D420" s="15" t="s">
        <v>1528</v>
      </c>
      <c r="E420" s="18" t="s">
        <v>763</v>
      </c>
      <c r="F420" s="19" t="s">
        <v>1529</v>
      </c>
      <c r="G420" s="18" t="s">
        <v>1530</v>
      </c>
      <c r="H420" s="20" t="s">
        <v>1531</v>
      </c>
      <c r="I420" s="15">
        <v>3</v>
      </c>
      <c r="J420" s="15" t="s">
        <v>24</v>
      </c>
      <c r="K420" s="15"/>
      <c r="L420" s="21" t="s">
        <v>16</v>
      </c>
      <c r="M420" s="22">
        <v>0</v>
      </c>
      <c r="N420" s="22">
        <v>-6480</v>
      </c>
      <c r="O420" s="22">
        <v>25920</v>
      </c>
      <c r="P420" s="22">
        <v>25920</v>
      </c>
      <c r="Q420" t="str" cm="1">
        <f t="array" ref="Q420">_xlfn.TEXTJOIN("、",TRUE,IF('學員資料-三民高中'!$B$2:$B$454=$F420,'學員資料-三民高中'!$G$2:$G$454,""))</f>
        <v>0970081031</v>
      </c>
      <c r="R420" t="str" cm="1">
        <f t="array" ref="R420">_xlfn.TEXTJOIN("、",TRUE,IF('學員資料-新北高中'!$B$2:$B$583=$F420,'學員資料-新北高中'!$G$2:$G$583,""))</f>
        <v/>
      </c>
      <c r="S420" t="str" cm="1">
        <f t="array" ref="S420">_xlfn.TEXTJOIN("、",TRUE,IF('學員資料-三重商工'!$B$2:$B$472=$F420,'學員資料-三重商工'!$G$2:$G$472,""))</f>
        <v/>
      </c>
      <c r="T420">
        <f t="shared" si="6"/>
        <v>1</v>
      </c>
    </row>
    <row r="421" spans="1:20" ht="43.5" hidden="1" customHeight="1">
      <c r="A421" s="15">
        <v>420</v>
      </c>
      <c r="B421" s="16" t="s">
        <v>1532</v>
      </c>
      <c r="C421" s="17">
        <v>46050</v>
      </c>
      <c r="D421" s="15" t="s">
        <v>1533</v>
      </c>
      <c r="E421" s="18" t="s">
        <v>763</v>
      </c>
      <c r="F421" s="19" t="s">
        <v>1534</v>
      </c>
      <c r="G421" s="18" t="s">
        <v>1535</v>
      </c>
      <c r="H421" s="20" t="s">
        <v>1536</v>
      </c>
      <c r="I421" s="15">
        <v>3</v>
      </c>
      <c r="J421" s="15" t="s">
        <v>26</v>
      </c>
      <c r="K421" s="15"/>
      <c r="L421" s="21" t="s">
        <v>16</v>
      </c>
      <c r="M421" s="22">
        <v>0</v>
      </c>
      <c r="N421" s="22">
        <v>-7200</v>
      </c>
      <c r="O421" s="22">
        <v>28800</v>
      </c>
      <c r="P421" s="22">
        <v>28800</v>
      </c>
      <c r="Q421" t="str" cm="1">
        <f t="array" ref="Q421">_xlfn.TEXTJOIN("、",TRUE,IF('學員資料-三民高中'!$B$2:$B$454=$F421,'學員資料-三民高中'!$G$2:$G$454,""))</f>
        <v>0910990429</v>
      </c>
      <c r="R421" t="str" cm="1">
        <f t="array" ref="R421">_xlfn.TEXTJOIN("、",TRUE,IF('學員資料-新北高中'!$B$2:$B$583=$F421,'學員資料-新北高中'!$G$2:$G$583,""))</f>
        <v/>
      </c>
      <c r="S421" t="str" cm="1">
        <f t="array" ref="S421">_xlfn.TEXTJOIN("、",TRUE,IF('學員資料-三重商工'!$B$2:$B$472=$F421,'學員資料-三重商工'!$G$2:$G$472,""))</f>
        <v/>
      </c>
      <c r="T421">
        <f t="shared" si="6"/>
        <v>1</v>
      </c>
    </row>
    <row r="422" spans="1:20" ht="43.5" hidden="1" customHeight="1">
      <c r="A422" s="15">
        <v>421</v>
      </c>
      <c r="B422" s="16" t="s">
        <v>1537</v>
      </c>
      <c r="C422" s="17">
        <v>46050</v>
      </c>
      <c r="D422" s="15" t="s">
        <v>1538</v>
      </c>
      <c r="E422" s="18" t="s">
        <v>763</v>
      </c>
      <c r="F422" s="19" t="s">
        <v>1539</v>
      </c>
      <c r="G422" s="18" t="s">
        <v>1540</v>
      </c>
      <c r="H422" s="20" t="s">
        <v>261</v>
      </c>
      <c r="I422" s="15">
        <v>3</v>
      </c>
      <c r="J422" s="15" t="s">
        <v>23</v>
      </c>
      <c r="K422" s="15"/>
      <c r="L422" s="21" t="s">
        <v>16</v>
      </c>
      <c r="M422" s="22">
        <v>0</v>
      </c>
      <c r="N422" s="22">
        <v>-2070</v>
      </c>
      <c r="O422" s="22">
        <v>18630</v>
      </c>
      <c r="P422" s="22">
        <v>18630</v>
      </c>
      <c r="Q422" t="str" cm="1">
        <f t="array" ref="Q422">_xlfn.TEXTJOIN("、",TRUE,IF('學員資料-三民高中'!$B$2:$B$454=$F422,'學員資料-三民高中'!$G$2:$G$454,""))</f>
        <v>0939173830</v>
      </c>
      <c r="R422" t="str" cm="1">
        <f t="array" ref="R422">_xlfn.TEXTJOIN("、",TRUE,IF('學員資料-新北高中'!$B$2:$B$583=$F422,'學員資料-新北高中'!$G$2:$G$583,""))</f>
        <v/>
      </c>
      <c r="S422" t="str" cm="1">
        <f t="array" ref="S422">_xlfn.TEXTJOIN("、",TRUE,IF('學員資料-三重商工'!$B$2:$B$472=$F422,'學員資料-三重商工'!$G$2:$G$472,""))</f>
        <v/>
      </c>
      <c r="T422">
        <f t="shared" si="6"/>
        <v>1</v>
      </c>
    </row>
    <row r="423" spans="1:20" ht="14.25" hidden="1" customHeight="1">
      <c r="A423" s="15">
        <v>422</v>
      </c>
      <c r="B423" s="16" t="s">
        <v>1541</v>
      </c>
      <c r="C423" s="17">
        <v>46050</v>
      </c>
      <c r="D423" s="15" t="s">
        <v>1542</v>
      </c>
      <c r="E423" s="18" t="s">
        <v>763</v>
      </c>
      <c r="F423" s="19" t="s">
        <v>1543</v>
      </c>
      <c r="G423" s="18" t="s">
        <v>1544</v>
      </c>
      <c r="H423" s="20" t="s">
        <v>130</v>
      </c>
      <c r="I423" s="15">
        <v>1</v>
      </c>
      <c r="J423" s="15" t="s">
        <v>25</v>
      </c>
      <c r="K423" s="15"/>
      <c r="L423" s="21" t="s">
        <v>16</v>
      </c>
      <c r="M423" s="22">
        <v>0</v>
      </c>
      <c r="N423" s="22">
        <v>-1188</v>
      </c>
      <c r="O423" s="22">
        <v>8712</v>
      </c>
      <c r="P423" s="22">
        <v>8712</v>
      </c>
      <c r="Q423" t="str" cm="1">
        <f t="array" ref="Q423">_xlfn.TEXTJOIN("、",TRUE,IF('學員資料-三民高中'!$B$2:$B$454=$F423,'學員資料-三民高中'!$G$2:$G$454,""))</f>
        <v>0914000808-1</v>
      </c>
      <c r="R423" t="str" cm="1">
        <f t="array" ref="R423">_xlfn.TEXTJOIN("、",TRUE,IF('學員資料-新北高中'!$B$2:$B$583=$F423,'學員資料-新北高中'!$G$2:$G$583,""))</f>
        <v/>
      </c>
      <c r="S423" t="str" cm="1">
        <f t="array" ref="S423">_xlfn.TEXTJOIN("、",TRUE,IF('學員資料-三重商工'!$B$2:$B$472=$F423,'學員資料-三重商工'!$G$2:$G$472,""))</f>
        <v/>
      </c>
      <c r="T423">
        <f t="shared" si="6"/>
        <v>1</v>
      </c>
    </row>
    <row r="424" spans="1:20" ht="43.5" hidden="1" customHeight="1">
      <c r="A424" s="15">
        <v>423</v>
      </c>
      <c r="B424" s="16" t="s">
        <v>1545</v>
      </c>
      <c r="C424" s="17">
        <v>46050</v>
      </c>
      <c r="D424" s="15" t="s">
        <v>1546</v>
      </c>
      <c r="E424" s="18" t="s">
        <v>763</v>
      </c>
      <c r="F424" s="19" t="s">
        <v>1547</v>
      </c>
      <c r="G424" s="18" t="s">
        <v>1548</v>
      </c>
      <c r="H424" s="20" t="s">
        <v>1536</v>
      </c>
      <c r="I424" s="15">
        <v>3</v>
      </c>
      <c r="J424" s="15" t="s">
        <v>26</v>
      </c>
      <c r="K424" s="15"/>
      <c r="L424" s="21" t="s">
        <v>16</v>
      </c>
      <c r="M424" s="22">
        <v>0</v>
      </c>
      <c r="N424" s="22">
        <v>-7200</v>
      </c>
      <c r="O424" s="22">
        <v>28800</v>
      </c>
      <c r="P424" s="22">
        <v>28800</v>
      </c>
      <c r="Q424" t="str" cm="1">
        <f t="array" ref="Q424">_xlfn.TEXTJOIN("、",TRUE,IF('學員資料-三民高中'!$B$2:$B$454=$F424,'學員資料-三民高中'!$G$2:$G$454,""))</f>
        <v>0916710620-3</v>
      </c>
      <c r="R424" t="str" cm="1">
        <f t="array" ref="R424">_xlfn.TEXTJOIN("、",TRUE,IF('學員資料-新北高中'!$B$2:$B$583=$F424,'學員資料-新北高中'!$G$2:$G$583,""))</f>
        <v/>
      </c>
      <c r="S424" t="str" cm="1">
        <f t="array" ref="S424">_xlfn.TEXTJOIN("、",TRUE,IF('學員資料-三重商工'!$B$2:$B$472=$F424,'學員資料-三重商工'!$G$2:$G$472,""))</f>
        <v/>
      </c>
      <c r="T424">
        <f t="shared" si="6"/>
        <v>1</v>
      </c>
    </row>
    <row r="425" spans="1:20" ht="57.75" hidden="1" customHeight="1">
      <c r="A425" s="15">
        <v>424</v>
      </c>
      <c r="B425" s="16" t="s">
        <v>1549</v>
      </c>
      <c r="C425" s="17">
        <v>46050</v>
      </c>
      <c r="D425" s="15" t="s">
        <v>1550</v>
      </c>
      <c r="E425" s="18" t="s">
        <v>763</v>
      </c>
      <c r="F425" s="19" t="s">
        <v>1551</v>
      </c>
      <c r="G425" s="18" t="s">
        <v>1552</v>
      </c>
      <c r="H425" s="20" t="s">
        <v>989</v>
      </c>
      <c r="I425" s="15">
        <v>4</v>
      </c>
      <c r="J425" s="15" t="s">
        <v>24</v>
      </c>
      <c r="K425" s="15"/>
      <c r="L425" s="21" t="s">
        <v>16</v>
      </c>
      <c r="M425" s="22">
        <v>0</v>
      </c>
      <c r="N425" s="22">
        <v>-6000</v>
      </c>
      <c r="O425" s="22">
        <v>24000</v>
      </c>
      <c r="P425" s="22">
        <v>24000</v>
      </c>
      <c r="Q425" t="str" cm="1">
        <f t="array" ref="Q425">_xlfn.TEXTJOIN("、",TRUE,IF('學員資料-三民高中'!$B$2:$B$454=$F425,'學員資料-三民高中'!$G$2:$G$454,""))</f>
        <v>0926332775</v>
      </c>
      <c r="R425" t="str" cm="1">
        <f t="array" ref="R425">_xlfn.TEXTJOIN("、",TRUE,IF('學員資料-新北高中'!$B$2:$B$583=$F425,'學員資料-新北高中'!$G$2:$G$583,""))</f>
        <v/>
      </c>
      <c r="S425" t="str" cm="1">
        <f t="array" ref="S425">_xlfn.TEXTJOIN("、",TRUE,IF('學員資料-三重商工'!$B$2:$B$472=$F425,'學員資料-三重商工'!$G$2:$G$472,""))</f>
        <v/>
      </c>
      <c r="T425">
        <f t="shared" si="6"/>
        <v>1</v>
      </c>
    </row>
    <row r="426" spans="1:20" ht="57.75" hidden="1" customHeight="1">
      <c r="A426" s="15">
        <v>425</v>
      </c>
      <c r="B426" s="16" t="s">
        <v>1553</v>
      </c>
      <c r="C426" s="17">
        <v>46050</v>
      </c>
      <c r="D426" s="15" t="s">
        <v>1554</v>
      </c>
      <c r="E426" s="18" t="s">
        <v>763</v>
      </c>
      <c r="F426" s="19" t="s">
        <v>1555</v>
      </c>
      <c r="G426" s="18" t="s">
        <v>1556</v>
      </c>
      <c r="H426" s="20" t="s">
        <v>1117</v>
      </c>
      <c r="I426" s="15">
        <v>4</v>
      </c>
      <c r="J426" s="15" t="s">
        <v>25</v>
      </c>
      <c r="K426" s="15"/>
      <c r="L426" s="21" t="s">
        <v>16</v>
      </c>
      <c r="M426" s="22">
        <v>0</v>
      </c>
      <c r="N426" s="22">
        <v>-7920</v>
      </c>
      <c r="O426" s="22">
        <v>31680</v>
      </c>
      <c r="P426" s="22">
        <v>31680</v>
      </c>
      <c r="Q426" t="str" cm="1">
        <f t="array" ref="Q426">_xlfn.TEXTJOIN("、",TRUE,IF('學員資料-三民高中'!$B$2:$B$454=$F426,'學員資料-三民高中'!$G$2:$G$454,""))</f>
        <v>0928240053</v>
      </c>
      <c r="R426" t="str" cm="1">
        <f t="array" ref="R426">_xlfn.TEXTJOIN("、",TRUE,IF('學員資料-新北高中'!$B$2:$B$583=$F426,'學員資料-新北高中'!$G$2:$G$583,""))</f>
        <v/>
      </c>
      <c r="S426" t="str" cm="1">
        <f t="array" ref="S426">_xlfn.TEXTJOIN("、",TRUE,IF('學員資料-三重商工'!$B$2:$B$472=$F426,'學員資料-三重商工'!$G$2:$G$472,""))</f>
        <v/>
      </c>
      <c r="T426">
        <f t="shared" si="6"/>
        <v>1</v>
      </c>
    </row>
    <row r="427" spans="1:20" ht="14.25" customHeight="1">
      <c r="A427" s="15">
        <v>426</v>
      </c>
      <c r="B427" s="16" t="s">
        <v>1557</v>
      </c>
      <c r="C427" s="17">
        <v>46050</v>
      </c>
      <c r="D427" s="15" t="s">
        <v>1558</v>
      </c>
      <c r="E427" s="18" t="s">
        <v>763</v>
      </c>
      <c r="F427" s="19"/>
      <c r="G427" s="23" t="s">
        <v>439</v>
      </c>
      <c r="H427" s="20" t="s">
        <v>66</v>
      </c>
      <c r="I427" s="15">
        <v>1</v>
      </c>
      <c r="J427" s="15" t="s">
        <v>23</v>
      </c>
      <c r="K427" s="15"/>
      <c r="L427" s="21" t="s">
        <v>16</v>
      </c>
      <c r="M427" s="22">
        <v>0</v>
      </c>
      <c r="N427" s="22">
        <v>-345</v>
      </c>
      <c r="O427" s="22">
        <v>6555</v>
      </c>
      <c r="P427" s="22">
        <v>6555</v>
      </c>
      <c r="Q427" t="str" cm="1">
        <f t="array" ref="Q427">_xlfn.TEXTJOIN("、",TRUE,IF('學員資料-三民高中'!$B$2:$B$454=$F427,'學員資料-三民高中'!$G$2:$G$454,""))</f>
        <v/>
      </c>
      <c r="R427" t="str" cm="1">
        <f t="array" ref="R427">_xlfn.TEXTJOIN("、",TRUE,IF('學員資料-新北高中'!$B$2:$B$583=$F427,'學員資料-新北高中'!$G$2:$G$583,""))</f>
        <v/>
      </c>
      <c r="S427" t="str" cm="1">
        <f t="array" ref="S427">_xlfn.TEXTJOIN("、",TRUE,IF('學員資料-三重商工'!$B$2:$B$472=$F427,'學員資料-三重商工'!$G$2:$G$472,""))</f>
        <v/>
      </c>
      <c r="T427">
        <f t="shared" si="6"/>
        <v>0</v>
      </c>
    </row>
    <row r="428" spans="1:20" ht="14.25" hidden="1" customHeight="1">
      <c r="A428" s="15">
        <v>427</v>
      </c>
      <c r="B428" s="16" t="s">
        <v>1559</v>
      </c>
      <c r="C428" s="17">
        <v>46050</v>
      </c>
      <c r="D428" s="15" t="s">
        <v>1560</v>
      </c>
      <c r="E428" s="18" t="s">
        <v>1324</v>
      </c>
      <c r="F428" s="19" t="s">
        <v>462</v>
      </c>
      <c r="G428" s="18" t="s">
        <v>463</v>
      </c>
      <c r="H428" s="20" t="s">
        <v>52</v>
      </c>
      <c r="I428" s="15">
        <v>1</v>
      </c>
      <c r="J428" s="15" t="s">
        <v>24</v>
      </c>
      <c r="K428" s="15"/>
      <c r="L428" s="21" t="s">
        <v>17</v>
      </c>
      <c r="M428" s="22">
        <v>0</v>
      </c>
      <c r="N428" s="22">
        <v>-900</v>
      </c>
      <c r="O428" s="22">
        <v>6600</v>
      </c>
      <c r="P428" s="22">
        <v>6600</v>
      </c>
      <c r="Q428" t="str" cm="1">
        <f t="array" ref="Q428">_xlfn.TEXTJOIN("、",TRUE,IF('學員資料-三民高中'!$B$2:$B$454=$F428,'學員資料-三民高中'!$G$2:$G$454,""))</f>
        <v/>
      </c>
      <c r="R428" t="str" cm="1">
        <f t="array" ref="R428">_xlfn.TEXTJOIN("、",TRUE,IF('學員資料-新北高中'!$B$2:$B$583=$F428,'學員資料-新北高中'!$G$2:$G$583,""))</f>
        <v>0938275670</v>
      </c>
      <c r="S428" t="str" cm="1">
        <f t="array" ref="S428">_xlfn.TEXTJOIN("、",TRUE,IF('學員資料-三重商工'!$B$2:$B$472=$F428,'學員資料-三重商工'!$G$2:$G$472,""))</f>
        <v/>
      </c>
      <c r="T428">
        <f t="shared" si="6"/>
        <v>1</v>
      </c>
    </row>
    <row r="429" spans="1:20" ht="43.5" hidden="1" customHeight="1">
      <c r="A429" s="15">
        <v>428</v>
      </c>
      <c r="B429" s="16" t="s">
        <v>1561</v>
      </c>
      <c r="C429" s="17">
        <v>46049</v>
      </c>
      <c r="D429" s="15" t="s">
        <v>1562</v>
      </c>
      <c r="E429" s="18" t="s">
        <v>83</v>
      </c>
      <c r="F429" s="19" t="s">
        <v>1563</v>
      </c>
      <c r="G429" s="18" t="s">
        <v>1564</v>
      </c>
      <c r="H429" s="20" t="s">
        <v>405</v>
      </c>
      <c r="I429" s="15">
        <v>3</v>
      </c>
      <c r="J429" s="15" t="s">
        <v>25</v>
      </c>
      <c r="K429" s="15"/>
      <c r="L429" s="21" t="s">
        <v>18</v>
      </c>
      <c r="M429" s="22">
        <v>0</v>
      </c>
      <c r="N429" s="22">
        <v>-5940</v>
      </c>
      <c r="O429" s="22">
        <v>23760</v>
      </c>
      <c r="P429" s="22">
        <v>23760</v>
      </c>
      <c r="Q429" t="str" cm="1">
        <f t="array" ref="Q429">_xlfn.TEXTJOIN("、",TRUE,IF('學員資料-三民高中'!$B$2:$B$454=$F429,'學員資料-三民高中'!$G$2:$G$454,""))</f>
        <v/>
      </c>
      <c r="R429" t="str" cm="1">
        <f t="array" ref="R429">_xlfn.TEXTJOIN("、",TRUE,IF('學員資料-新北高中'!$B$2:$B$583=$F429,'學員資料-新北高中'!$G$2:$G$583,""))</f>
        <v/>
      </c>
      <c r="S429" t="str" cm="1">
        <f t="array" ref="S429">_xlfn.TEXTJOIN("、",TRUE,IF('學員資料-三重商工'!$B$2:$B$472=$F429,'學員資料-三重商工'!$G$2:$G$472,""))</f>
        <v>0966660003</v>
      </c>
      <c r="T429">
        <f t="shared" si="6"/>
        <v>1</v>
      </c>
    </row>
    <row r="430" spans="1:20" ht="43.5" hidden="1" customHeight="1">
      <c r="A430" s="15">
        <v>429</v>
      </c>
      <c r="B430" s="16" t="s">
        <v>1565</v>
      </c>
      <c r="C430" s="17">
        <v>46049</v>
      </c>
      <c r="D430" s="15" t="s">
        <v>1566</v>
      </c>
      <c r="E430" s="18" t="s">
        <v>83</v>
      </c>
      <c r="F430" s="19" t="s">
        <v>1567</v>
      </c>
      <c r="G430" s="18" t="s">
        <v>1568</v>
      </c>
      <c r="H430" s="20" t="s">
        <v>436</v>
      </c>
      <c r="I430" s="15">
        <v>3</v>
      </c>
      <c r="J430" s="15" t="s">
        <v>24</v>
      </c>
      <c r="K430" s="15"/>
      <c r="L430" s="21" t="s">
        <v>18</v>
      </c>
      <c r="M430" s="22">
        <v>0</v>
      </c>
      <c r="N430" s="22">
        <v>-4500</v>
      </c>
      <c r="O430" s="22">
        <v>18000</v>
      </c>
      <c r="P430" s="22">
        <v>18000</v>
      </c>
      <c r="Q430" t="str" cm="1">
        <f t="array" ref="Q430">_xlfn.TEXTJOIN("、",TRUE,IF('學員資料-三民高中'!$B$2:$B$454=$F430,'學員資料-三民高中'!$G$2:$G$454,""))</f>
        <v/>
      </c>
      <c r="R430" t="str" cm="1">
        <f t="array" ref="R430">_xlfn.TEXTJOIN("、",TRUE,IF('學員資料-新北高中'!$B$2:$B$583=$F430,'學員資料-新北高中'!$G$2:$G$583,""))</f>
        <v/>
      </c>
      <c r="S430" t="str" cm="1">
        <f t="array" ref="S430">_xlfn.TEXTJOIN("、",TRUE,IF('學員資料-三重商工'!$B$2:$B$472=$F430,'學員資料-三重商工'!$G$2:$G$472,""))</f>
        <v>0935565475</v>
      </c>
      <c r="T430">
        <f t="shared" si="6"/>
        <v>1</v>
      </c>
    </row>
    <row r="431" spans="1:20" ht="43.5" customHeight="1">
      <c r="A431" s="15">
        <v>430</v>
      </c>
      <c r="B431" s="16" t="s">
        <v>1569</v>
      </c>
      <c r="C431" s="17">
        <v>46049</v>
      </c>
      <c r="D431" s="15" t="s">
        <v>1570</v>
      </c>
      <c r="E431" s="18" t="s">
        <v>83</v>
      </c>
      <c r="F431" s="19" t="s">
        <v>1571</v>
      </c>
      <c r="G431" s="18" t="s">
        <v>1572</v>
      </c>
      <c r="H431" s="20" t="s">
        <v>436</v>
      </c>
      <c r="I431" s="15">
        <v>3</v>
      </c>
      <c r="J431" s="15" t="s">
        <v>24</v>
      </c>
      <c r="K431" s="15"/>
      <c r="L431" s="21" t="s">
        <v>18</v>
      </c>
      <c r="M431" s="22">
        <v>0</v>
      </c>
      <c r="N431" s="22">
        <v>-4500</v>
      </c>
      <c r="O431" s="22">
        <v>18000</v>
      </c>
      <c r="P431" s="22">
        <v>18000</v>
      </c>
      <c r="Q431" t="str" cm="1">
        <f t="array" ref="Q431">_xlfn.TEXTJOIN("、",TRUE,IF('學員資料-三民高中'!$B$2:$B$454=$F431,'學員資料-三民高中'!$G$2:$G$454,""))</f>
        <v/>
      </c>
      <c r="R431" t="str" cm="1">
        <f t="array" ref="R431">_xlfn.TEXTJOIN("、",TRUE,IF('學員資料-新北高中'!$B$2:$B$583=$F431,'學員資料-新北高中'!$G$2:$G$583,""))</f>
        <v/>
      </c>
      <c r="S431" t="str" cm="1">
        <f t="array" ref="S431">_xlfn.TEXTJOIN("、",TRUE,IF('學員資料-三重商工'!$B$2:$B$472=$F431,'學員資料-三重商工'!$G$2:$G$472,""))</f>
        <v/>
      </c>
      <c r="T431">
        <f t="shared" si="6"/>
        <v>0</v>
      </c>
    </row>
    <row r="432" spans="1:20" ht="14.25" hidden="1" customHeight="1">
      <c r="A432" s="15">
        <v>431</v>
      </c>
      <c r="B432" s="16" t="s">
        <v>1573</v>
      </c>
      <c r="C432" s="17">
        <v>46049</v>
      </c>
      <c r="D432" s="15" t="s">
        <v>1574</v>
      </c>
      <c r="E432" s="18" t="s">
        <v>83</v>
      </c>
      <c r="F432" s="19" t="s">
        <v>1575</v>
      </c>
      <c r="G432" s="18" t="s">
        <v>1576</v>
      </c>
      <c r="H432" s="20" t="s">
        <v>52</v>
      </c>
      <c r="I432" s="15">
        <v>1</v>
      </c>
      <c r="J432" s="15" t="s">
        <v>24</v>
      </c>
      <c r="K432" s="15"/>
      <c r="L432" s="21" t="s">
        <v>18</v>
      </c>
      <c r="M432" s="22">
        <v>0</v>
      </c>
      <c r="N432" s="22">
        <v>-900</v>
      </c>
      <c r="O432" s="22">
        <v>6600</v>
      </c>
      <c r="P432" s="22">
        <v>6600</v>
      </c>
      <c r="Q432" t="str" cm="1">
        <f t="array" ref="Q432">_xlfn.TEXTJOIN("、",TRUE,IF('學員資料-三民高中'!$B$2:$B$454=$F432,'學員資料-三民高中'!$G$2:$G$454,""))</f>
        <v/>
      </c>
      <c r="R432" t="str" cm="1">
        <f t="array" ref="R432">_xlfn.TEXTJOIN("、",TRUE,IF('學員資料-新北高中'!$B$2:$B$583=$F432,'學員資料-新北高中'!$G$2:$G$583,""))</f>
        <v/>
      </c>
      <c r="S432" t="str" cm="1">
        <f t="array" ref="S432">_xlfn.TEXTJOIN("、",TRUE,IF('學員資料-三重商工'!$B$2:$B$472=$F432,'學員資料-三重商工'!$G$2:$G$472,""))</f>
        <v>0925900932</v>
      </c>
      <c r="T432">
        <f t="shared" si="6"/>
        <v>1</v>
      </c>
    </row>
    <row r="433" spans="1:20" ht="72" hidden="1" customHeight="1">
      <c r="A433" s="15">
        <v>432</v>
      </c>
      <c r="B433" s="16" t="s">
        <v>1577</v>
      </c>
      <c r="C433" s="17">
        <v>46049</v>
      </c>
      <c r="D433" s="15" t="s">
        <v>1578</v>
      </c>
      <c r="E433" s="18" t="s">
        <v>83</v>
      </c>
      <c r="F433" s="19" t="s">
        <v>1579</v>
      </c>
      <c r="G433" s="18" t="s">
        <v>1580</v>
      </c>
      <c r="H433" s="20" t="s">
        <v>1581</v>
      </c>
      <c r="I433" s="15">
        <v>5</v>
      </c>
      <c r="J433" s="15" t="s">
        <v>25</v>
      </c>
      <c r="K433" s="15"/>
      <c r="L433" s="21" t="s">
        <v>18</v>
      </c>
      <c r="M433" s="22">
        <v>0</v>
      </c>
      <c r="N433" s="22">
        <v>-9900</v>
      </c>
      <c r="O433" s="22">
        <v>39600</v>
      </c>
      <c r="P433" s="22">
        <v>39600</v>
      </c>
      <c r="Q433" t="str" cm="1">
        <f t="array" ref="Q433">_xlfn.TEXTJOIN("、",TRUE,IF('學員資料-三民高中'!$B$2:$B$454=$F433,'學員資料-三民高中'!$G$2:$G$454,""))</f>
        <v/>
      </c>
      <c r="R433" t="str" cm="1">
        <f t="array" ref="R433">_xlfn.TEXTJOIN("、",TRUE,IF('學員資料-新北高中'!$B$2:$B$583=$F433,'學員資料-新北高中'!$G$2:$G$583,""))</f>
        <v/>
      </c>
      <c r="S433" t="str" cm="1">
        <f t="array" ref="S433">_xlfn.TEXTJOIN("、",TRUE,IF('學員資料-三重商工'!$B$2:$B$472=$F433,'學員資料-三重商工'!$G$2:$G$472,""))</f>
        <v>0925328828.1</v>
      </c>
      <c r="T433">
        <f t="shared" si="6"/>
        <v>1</v>
      </c>
    </row>
    <row r="434" spans="1:20" ht="14.25" hidden="1" customHeight="1">
      <c r="A434" s="15">
        <v>433</v>
      </c>
      <c r="B434" s="16" t="s">
        <v>1582</v>
      </c>
      <c r="C434" s="17">
        <v>46049</v>
      </c>
      <c r="D434" s="15" t="s">
        <v>1583</v>
      </c>
      <c r="E434" s="18" t="s">
        <v>537</v>
      </c>
      <c r="F434" s="19" t="s">
        <v>1584</v>
      </c>
      <c r="G434" s="18" t="s">
        <v>1585</v>
      </c>
      <c r="H434" s="20" t="s">
        <v>52</v>
      </c>
      <c r="I434" s="15">
        <v>1</v>
      </c>
      <c r="J434" s="15" t="s">
        <v>24</v>
      </c>
      <c r="K434" s="15"/>
      <c r="L434" s="21" t="s">
        <v>16</v>
      </c>
      <c r="M434" s="22">
        <v>0</v>
      </c>
      <c r="N434" s="22">
        <v>0</v>
      </c>
      <c r="O434" s="22">
        <v>7500</v>
      </c>
      <c r="P434" s="22">
        <v>7500</v>
      </c>
      <c r="Q434" t="str" cm="1">
        <f t="array" ref="Q434">_xlfn.TEXTJOIN("、",TRUE,IF('學員資料-三民高中'!$B$2:$B$454=$F434,'學員資料-三民高中'!$G$2:$G$454,""))</f>
        <v>0922355333-1</v>
      </c>
      <c r="R434" t="str" cm="1">
        <f t="array" ref="R434">_xlfn.TEXTJOIN("、",TRUE,IF('學員資料-新北高中'!$B$2:$B$583=$F434,'學員資料-新北高中'!$G$2:$G$583,""))</f>
        <v/>
      </c>
      <c r="S434" t="str" cm="1">
        <f t="array" ref="S434">_xlfn.TEXTJOIN("、",TRUE,IF('學員資料-三重商工'!$B$2:$B$472=$F434,'學員資料-三重商工'!$G$2:$G$472,""))</f>
        <v/>
      </c>
      <c r="T434">
        <f t="shared" si="6"/>
        <v>1</v>
      </c>
    </row>
    <row r="435" spans="1:20" ht="43.5" hidden="1" customHeight="1">
      <c r="A435" s="15">
        <v>434</v>
      </c>
      <c r="B435" s="16" t="s">
        <v>1586</v>
      </c>
      <c r="C435" s="17">
        <v>46049</v>
      </c>
      <c r="D435" s="15" t="s">
        <v>1587</v>
      </c>
      <c r="E435" s="18" t="s">
        <v>83</v>
      </c>
      <c r="F435" s="19" t="s">
        <v>1588</v>
      </c>
      <c r="G435" s="18" t="s">
        <v>1589</v>
      </c>
      <c r="H435" s="20" t="s">
        <v>436</v>
      </c>
      <c r="I435" s="15">
        <v>3</v>
      </c>
      <c r="J435" s="15" t="s">
        <v>24</v>
      </c>
      <c r="K435" s="15"/>
      <c r="L435" s="21" t="s">
        <v>18</v>
      </c>
      <c r="M435" s="22">
        <v>0</v>
      </c>
      <c r="N435" s="22">
        <v>-4500</v>
      </c>
      <c r="O435" s="22">
        <v>18000</v>
      </c>
      <c r="P435" s="22">
        <v>18000</v>
      </c>
      <c r="Q435" t="str" cm="1">
        <f t="array" ref="Q435">_xlfn.TEXTJOIN("、",TRUE,IF('學員資料-三民高中'!$B$2:$B$454=$F435,'學員資料-三民高中'!$G$2:$G$454,""))</f>
        <v/>
      </c>
      <c r="R435" t="str" cm="1">
        <f t="array" ref="R435">_xlfn.TEXTJOIN("、",TRUE,IF('學員資料-新北高中'!$B$2:$B$583=$F435,'學員資料-新北高中'!$G$2:$G$583,""))</f>
        <v/>
      </c>
      <c r="S435" t="str" cm="1">
        <f t="array" ref="S435">_xlfn.TEXTJOIN("、",TRUE,IF('學員資料-三重商工'!$B$2:$B$472=$F435,'學員資料-三重商工'!$G$2:$G$472,""))</f>
        <v>0925328828</v>
      </c>
      <c r="T435">
        <f t="shared" si="6"/>
        <v>1</v>
      </c>
    </row>
    <row r="436" spans="1:20" ht="14.25" hidden="1" customHeight="1">
      <c r="A436" s="15">
        <v>435</v>
      </c>
      <c r="B436" s="16" t="s">
        <v>1590</v>
      </c>
      <c r="C436" s="17">
        <v>46049</v>
      </c>
      <c r="D436" s="15" t="s">
        <v>1591</v>
      </c>
      <c r="E436" s="18" t="s">
        <v>537</v>
      </c>
      <c r="F436" s="19" t="s">
        <v>1584</v>
      </c>
      <c r="G436" s="18" t="s">
        <v>1585</v>
      </c>
      <c r="H436" s="20" t="s">
        <v>52</v>
      </c>
      <c r="I436" s="15">
        <v>1</v>
      </c>
      <c r="J436" s="15" t="s">
        <v>24</v>
      </c>
      <c r="K436" s="15"/>
      <c r="L436" s="21" t="s">
        <v>16</v>
      </c>
      <c r="M436" s="22">
        <v>0</v>
      </c>
      <c r="N436" s="22">
        <v>0</v>
      </c>
      <c r="O436" s="22">
        <v>7500</v>
      </c>
      <c r="P436" s="22">
        <v>7500</v>
      </c>
      <c r="Q436" t="str" cm="1">
        <f t="array" ref="Q436">_xlfn.TEXTJOIN("、",TRUE,IF('學員資料-三民高中'!$B$2:$B$454=$F436,'學員資料-三民高中'!$G$2:$G$454,""))</f>
        <v>0922355333-1</v>
      </c>
      <c r="R436" t="str" cm="1">
        <f t="array" ref="R436">_xlfn.TEXTJOIN("、",TRUE,IF('學員資料-新北高中'!$B$2:$B$583=$F436,'學員資料-新北高中'!$G$2:$G$583,""))</f>
        <v/>
      </c>
      <c r="S436" t="str" cm="1">
        <f t="array" ref="S436">_xlfn.TEXTJOIN("、",TRUE,IF('學員資料-三重商工'!$B$2:$B$472=$F436,'學員資料-三重商工'!$G$2:$G$472,""))</f>
        <v/>
      </c>
      <c r="T436">
        <f t="shared" si="6"/>
        <v>1</v>
      </c>
    </row>
    <row r="437" spans="1:20" ht="14.25" hidden="1" customHeight="1">
      <c r="A437" s="15">
        <v>436</v>
      </c>
      <c r="B437" s="16" t="s">
        <v>1592</v>
      </c>
      <c r="C437" s="17">
        <v>46049</v>
      </c>
      <c r="D437" s="15" t="s">
        <v>1593</v>
      </c>
      <c r="E437" s="18" t="s">
        <v>537</v>
      </c>
      <c r="F437" s="19" t="s">
        <v>1584</v>
      </c>
      <c r="G437" s="18" t="s">
        <v>1585</v>
      </c>
      <c r="H437" s="20" t="s">
        <v>52</v>
      </c>
      <c r="I437" s="15">
        <v>1</v>
      </c>
      <c r="J437" s="15" t="s">
        <v>24</v>
      </c>
      <c r="K437" s="15"/>
      <c r="L437" s="21" t="s">
        <v>16</v>
      </c>
      <c r="M437" s="22">
        <v>0</v>
      </c>
      <c r="N437" s="22">
        <v>-4500</v>
      </c>
      <c r="O437" s="22">
        <v>3000</v>
      </c>
      <c r="P437" s="22">
        <v>3000</v>
      </c>
      <c r="Q437" t="str" cm="1">
        <f t="array" ref="Q437">_xlfn.TEXTJOIN("、",TRUE,IF('學員資料-三民高中'!$B$2:$B$454=$F437,'學員資料-三民高中'!$G$2:$G$454,""))</f>
        <v>0922355333-1</v>
      </c>
      <c r="R437" t="str" cm="1">
        <f t="array" ref="R437">_xlfn.TEXTJOIN("、",TRUE,IF('學員資料-新北高中'!$B$2:$B$583=$F437,'學員資料-新北高中'!$G$2:$G$583,""))</f>
        <v/>
      </c>
      <c r="S437" t="str" cm="1">
        <f t="array" ref="S437">_xlfn.TEXTJOIN("、",TRUE,IF('學員資料-三重商工'!$B$2:$B$472=$F437,'學員資料-三重商工'!$G$2:$G$472,""))</f>
        <v/>
      </c>
      <c r="T437">
        <f t="shared" si="6"/>
        <v>1</v>
      </c>
    </row>
    <row r="438" spans="1:20" ht="14.25" hidden="1" customHeight="1">
      <c r="A438" s="15">
        <v>437</v>
      </c>
      <c r="B438" s="16" t="s">
        <v>1594</v>
      </c>
      <c r="C438" s="17">
        <v>46049</v>
      </c>
      <c r="D438" s="15" t="s">
        <v>1595</v>
      </c>
      <c r="E438" s="18" t="s">
        <v>537</v>
      </c>
      <c r="F438" s="19" t="s">
        <v>1596</v>
      </c>
      <c r="G438" s="18" t="s">
        <v>1597</v>
      </c>
      <c r="H438" s="20" t="s">
        <v>210</v>
      </c>
      <c r="I438" s="15">
        <v>1</v>
      </c>
      <c r="J438" s="15" t="s">
        <v>26</v>
      </c>
      <c r="K438" s="15"/>
      <c r="L438" s="21" t="s">
        <v>16</v>
      </c>
      <c r="M438" s="22">
        <v>0</v>
      </c>
      <c r="N438" s="22">
        <v>0</v>
      </c>
      <c r="O438" s="22">
        <v>12000</v>
      </c>
      <c r="P438" s="22">
        <v>12000</v>
      </c>
      <c r="Q438" t="str" cm="1">
        <f t="array" ref="Q438">_xlfn.TEXTJOIN("、",TRUE,IF('學員資料-三民高中'!$B$2:$B$454=$F438,'學員資料-三民高中'!$G$2:$G$454,""))</f>
        <v>0927959290</v>
      </c>
      <c r="R438" t="str" cm="1">
        <f t="array" ref="R438">_xlfn.TEXTJOIN("、",TRUE,IF('學員資料-新北高中'!$B$2:$B$583=$F438,'學員資料-新北高中'!$G$2:$G$583,""))</f>
        <v/>
      </c>
      <c r="S438" t="str" cm="1">
        <f t="array" ref="S438">_xlfn.TEXTJOIN("、",TRUE,IF('學員資料-三重商工'!$B$2:$B$472=$F438,'學員資料-三重商工'!$G$2:$G$472,""))</f>
        <v/>
      </c>
      <c r="T438">
        <f t="shared" si="6"/>
        <v>1</v>
      </c>
    </row>
    <row r="439" spans="1:20" ht="14.25" hidden="1" customHeight="1">
      <c r="A439" s="15">
        <v>438</v>
      </c>
      <c r="B439" s="16" t="s">
        <v>1598</v>
      </c>
      <c r="C439" s="17">
        <v>46049</v>
      </c>
      <c r="D439" s="15" t="s">
        <v>1599</v>
      </c>
      <c r="E439" s="18" t="s">
        <v>537</v>
      </c>
      <c r="F439" s="19" t="s">
        <v>1596</v>
      </c>
      <c r="G439" s="18" t="s">
        <v>1597</v>
      </c>
      <c r="H439" s="20" t="s">
        <v>210</v>
      </c>
      <c r="I439" s="15">
        <v>1</v>
      </c>
      <c r="J439" s="15" t="s">
        <v>26</v>
      </c>
      <c r="K439" s="15"/>
      <c r="L439" s="21" t="s">
        <v>16</v>
      </c>
      <c r="M439" s="22">
        <v>0</v>
      </c>
      <c r="N439" s="22">
        <v>0</v>
      </c>
      <c r="O439" s="22">
        <v>12000</v>
      </c>
      <c r="P439" s="22">
        <v>12000</v>
      </c>
      <c r="Q439" t="str" cm="1">
        <f t="array" ref="Q439">_xlfn.TEXTJOIN("、",TRUE,IF('學員資料-三民高中'!$B$2:$B$454=$F439,'學員資料-三民高中'!$G$2:$G$454,""))</f>
        <v>0927959290</v>
      </c>
      <c r="R439" t="str" cm="1">
        <f t="array" ref="R439">_xlfn.TEXTJOIN("、",TRUE,IF('學員資料-新北高中'!$B$2:$B$583=$F439,'學員資料-新北高中'!$G$2:$G$583,""))</f>
        <v/>
      </c>
      <c r="S439" t="str" cm="1">
        <f t="array" ref="S439">_xlfn.TEXTJOIN("、",TRUE,IF('學員資料-三重商工'!$B$2:$B$472=$F439,'學員資料-三重商工'!$G$2:$G$472,""))</f>
        <v/>
      </c>
      <c r="T439">
        <f t="shared" si="6"/>
        <v>1</v>
      </c>
    </row>
    <row r="440" spans="1:20" ht="14.25" hidden="1" customHeight="1">
      <c r="A440" s="15">
        <v>439</v>
      </c>
      <c r="B440" s="16" t="s">
        <v>1600</v>
      </c>
      <c r="C440" s="17">
        <v>46049</v>
      </c>
      <c r="D440" s="15" t="s">
        <v>1601</v>
      </c>
      <c r="E440" s="18" t="s">
        <v>537</v>
      </c>
      <c r="F440" s="19" t="s">
        <v>1596</v>
      </c>
      <c r="G440" s="18" t="s">
        <v>1597</v>
      </c>
      <c r="H440" s="20" t="s">
        <v>210</v>
      </c>
      <c r="I440" s="15">
        <v>1</v>
      </c>
      <c r="J440" s="15" t="s">
        <v>26</v>
      </c>
      <c r="K440" s="15"/>
      <c r="L440" s="21" t="s">
        <v>16</v>
      </c>
      <c r="M440" s="22">
        <v>0</v>
      </c>
      <c r="N440" s="22">
        <v>-7200</v>
      </c>
      <c r="O440" s="22">
        <v>4800</v>
      </c>
      <c r="P440" s="22">
        <v>4800</v>
      </c>
      <c r="Q440" t="str" cm="1">
        <f t="array" ref="Q440">_xlfn.TEXTJOIN("、",TRUE,IF('學員資料-三民高中'!$B$2:$B$454=$F440,'學員資料-三民高中'!$G$2:$G$454,""))</f>
        <v>0927959290</v>
      </c>
      <c r="R440" t="str" cm="1">
        <f t="array" ref="R440">_xlfn.TEXTJOIN("、",TRUE,IF('學員資料-新北高中'!$B$2:$B$583=$F440,'學員資料-新北高中'!$G$2:$G$583,""))</f>
        <v/>
      </c>
      <c r="S440" t="str" cm="1">
        <f t="array" ref="S440">_xlfn.TEXTJOIN("、",TRUE,IF('學員資料-三重商工'!$B$2:$B$472=$F440,'學員資料-三重商工'!$G$2:$G$472,""))</f>
        <v/>
      </c>
      <c r="T440">
        <f t="shared" si="6"/>
        <v>1</v>
      </c>
    </row>
    <row r="441" spans="1:20" ht="14.25" hidden="1" customHeight="1">
      <c r="A441" s="15">
        <v>440</v>
      </c>
      <c r="B441" s="16" t="s">
        <v>1602</v>
      </c>
      <c r="C441" s="17">
        <v>46049</v>
      </c>
      <c r="D441" s="15" t="s">
        <v>1034</v>
      </c>
      <c r="E441" s="18" t="s">
        <v>537</v>
      </c>
      <c r="F441" s="19" t="s">
        <v>1603</v>
      </c>
      <c r="G441" s="18" t="s">
        <v>1604</v>
      </c>
      <c r="H441" s="20" t="s">
        <v>52</v>
      </c>
      <c r="I441" s="15">
        <v>1</v>
      </c>
      <c r="J441" s="15" t="s">
        <v>24</v>
      </c>
      <c r="K441" s="15"/>
      <c r="L441" s="21" t="s">
        <v>16</v>
      </c>
      <c r="M441" s="22">
        <v>0</v>
      </c>
      <c r="N441" s="22">
        <v>0</v>
      </c>
      <c r="O441" s="22">
        <v>7500</v>
      </c>
      <c r="P441" s="22">
        <v>7500</v>
      </c>
      <c r="Q441" t="str" cm="1">
        <f t="array" ref="Q441">_xlfn.TEXTJOIN("、",TRUE,IF('學員資料-三民高中'!$B$2:$B$454=$F441,'學員資料-三民高中'!$G$2:$G$454,""))</f>
        <v>0915172967-1</v>
      </c>
      <c r="R441" t="str" cm="1">
        <f t="array" ref="R441">_xlfn.TEXTJOIN("、",TRUE,IF('學員資料-新北高中'!$B$2:$B$583=$F441,'學員資料-新北高中'!$G$2:$G$583,""))</f>
        <v/>
      </c>
      <c r="S441" t="str" cm="1">
        <f t="array" ref="S441">_xlfn.TEXTJOIN("、",TRUE,IF('學員資料-三重商工'!$B$2:$B$472=$F441,'學員資料-三重商工'!$G$2:$G$472,""))</f>
        <v/>
      </c>
      <c r="T441">
        <f t="shared" si="6"/>
        <v>1</v>
      </c>
    </row>
    <row r="442" spans="1:20" ht="14.25" hidden="1" customHeight="1">
      <c r="A442" s="15">
        <v>441</v>
      </c>
      <c r="B442" s="16" t="s">
        <v>1605</v>
      </c>
      <c r="C442" s="17">
        <v>46049</v>
      </c>
      <c r="D442" s="15" t="s">
        <v>1606</v>
      </c>
      <c r="E442" s="18" t="s">
        <v>537</v>
      </c>
      <c r="F442" s="19" t="s">
        <v>1603</v>
      </c>
      <c r="G442" s="18" t="s">
        <v>1604</v>
      </c>
      <c r="H442" s="20" t="s">
        <v>52</v>
      </c>
      <c r="I442" s="15">
        <v>1</v>
      </c>
      <c r="J442" s="15" t="s">
        <v>24</v>
      </c>
      <c r="K442" s="15"/>
      <c r="L442" s="21" t="s">
        <v>16</v>
      </c>
      <c r="M442" s="22">
        <v>0</v>
      </c>
      <c r="N442" s="22">
        <v>0</v>
      </c>
      <c r="O442" s="22">
        <v>7500</v>
      </c>
      <c r="P442" s="22">
        <v>7500</v>
      </c>
      <c r="Q442" t="str" cm="1">
        <f t="array" ref="Q442">_xlfn.TEXTJOIN("、",TRUE,IF('學員資料-三民高中'!$B$2:$B$454=$F442,'學員資料-三民高中'!$G$2:$G$454,""))</f>
        <v>0915172967-1</v>
      </c>
      <c r="R442" t="str" cm="1">
        <f t="array" ref="R442">_xlfn.TEXTJOIN("、",TRUE,IF('學員資料-新北高中'!$B$2:$B$583=$F442,'學員資料-新北高中'!$G$2:$G$583,""))</f>
        <v/>
      </c>
      <c r="S442" t="str" cm="1">
        <f t="array" ref="S442">_xlfn.TEXTJOIN("、",TRUE,IF('學員資料-三重商工'!$B$2:$B$472=$F442,'學員資料-三重商工'!$G$2:$G$472,""))</f>
        <v/>
      </c>
      <c r="T442">
        <f t="shared" si="6"/>
        <v>1</v>
      </c>
    </row>
    <row r="443" spans="1:20" ht="14.25" hidden="1" customHeight="1">
      <c r="A443" s="15">
        <v>442</v>
      </c>
      <c r="B443" s="16" t="s">
        <v>1607</v>
      </c>
      <c r="C443" s="17">
        <v>46049</v>
      </c>
      <c r="D443" s="15" t="s">
        <v>1608</v>
      </c>
      <c r="E443" s="18" t="s">
        <v>537</v>
      </c>
      <c r="F443" s="19" t="s">
        <v>1603</v>
      </c>
      <c r="G443" s="18" t="s">
        <v>1604</v>
      </c>
      <c r="H443" s="20" t="s">
        <v>52</v>
      </c>
      <c r="I443" s="15">
        <v>1</v>
      </c>
      <c r="J443" s="15" t="s">
        <v>24</v>
      </c>
      <c r="K443" s="15"/>
      <c r="L443" s="21" t="s">
        <v>16</v>
      </c>
      <c r="M443" s="22">
        <v>0</v>
      </c>
      <c r="N443" s="22">
        <v>-4500</v>
      </c>
      <c r="O443" s="22">
        <v>3000</v>
      </c>
      <c r="P443" s="22">
        <v>3000</v>
      </c>
      <c r="Q443" t="str" cm="1">
        <f t="array" ref="Q443">_xlfn.TEXTJOIN("、",TRUE,IF('學員資料-三民高中'!$B$2:$B$454=$F443,'學員資料-三民高中'!$G$2:$G$454,""))</f>
        <v>0915172967-1</v>
      </c>
      <c r="R443" t="str" cm="1">
        <f t="array" ref="R443">_xlfn.TEXTJOIN("、",TRUE,IF('學員資料-新北高中'!$B$2:$B$583=$F443,'學員資料-新北高中'!$G$2:$G$583,""))</f>
        <v/>
      </c>
      <c r="S443" t="str" cm="1">
        <f t="array" ref="S443">_xlfn.TEXTJOIN("、",TRUE,IF('學員資料-三重商工'!$B$2:$B$472=$F443,'學員資料-三重商工'!$G$2:$G$472,""))</f>
        <v/>
      </c>
      <c r="T443">
        <f t="shared" si="6"/>
        <v>1</v>
      </c>
    </row>
    <row r="444" spans="1:20" ht="14.25" hidden="1" customHeight="1">
      <c r="A444" s="15">
        <v>443</v>
      </c>
      <c r="B444" s="16" t="s">
        <v>1609</v>
      </c>
      <c r="C444" s="17">
        <v>46049</v>
      </c>
      <c r="D444" s="15" t="s">
        <v>1610</v>
      </c>
      <c r="E444" s="18" t="s">
        <v>537</v>
      </c>
      <c r="F444" s="19" t="s">
        <v>888</v>
      </c>
      <c r="G444" s="18" t="s">
        <v>889</v>
      </c>
      <c r="H444" s="20" t="s">
        <v>66</v>
      </c>
      <c r="I444" s="15">
        <v>1</v>
      </c>
      <c r="J444" s="15" t="s">
        <v>23</v>
      </c>
      <c r="K444" s="15"/>
      <c r="L444" s="21" t="s">
        <v>16</v>
      </c>
      <c r="M444" s="22">
        <v>0</v>
      </c>
      <c r="N444" s="22">
        <v>0</v>
      </c>
      <c r="O444" s="22">
        <v>6900</v>
      </c>
      <c r="P444" s="22">
        <v>6900</v>
      </c>
      <c r="Q444" t="str" cm="1">
        <f t="array" ref="Q444">_xlfn.TEXTJOIN("、",TRUE,IF('學員資料-三民高中'!$B$2:$B$454=$F444,'學員資料-三民高中'!$G$2:$G$454,""))</f>
        <v/>
      </c>
      <c r="R444" t="str" cm="1">
        <f t="array" ref="R444">_xlfn.TEXTJOIN("、",TRUE,IF('學員資料-新北高中'!$B$2:$B$583=$F444,'學員資料-新北高中'!$G$2:$G$583,""))</f>
        <v>0900099919</v>
      </c>
      <c r="S444" t="str" cm="1">
        <f t="array" ref="S444">_xlfn.TEXTJOIN("、",TRUE,IF('學員資料-三重商工'!$B$2:$B$472=$F444,'學員資料-三重商工'!$G$2:$G$472,""))</f>
        <v/>
      </c>
      <c r="T444">
        <f t="shared" si="6"/>
        <v>1</v>
      </c>
    </row>
    <row r="445" spans="1:20" ht="14.25" hidden="1" customHeight="1">
      <c r="A445" s="15">
        <v>444</v>
      </c>
      <c r="B445" s="16" t="s">
        <v>1611</v>
      </c>
      <c r="C445" s="17">
        <v>46049</v>
      </c>
      <c r="D445" s="15" t="s">
        <v>1612</v>
      </c>
      <c r="E445" s="18" t="s">
        <v>537</v>
      </c>
      <c r="F445" s="19" t="s">
        <v>888</v>
      </c>
      <c r="G445" s="18" t="s">
        <v>889</v>
      </c>
      <c r="H445" s="20" t="s">
        <v>66</v>
      </c>
      <c r="I445" s="15">
        <v>1</v>
      </c>
      <c r="J445" s="15" t="s">
        <v>23</v>
      </c>
      <c r="K445" s="15"/>
      <c r="L445" s="21" t="s">
        <v>16</v>
      </c>
      <c r="M445" s="22">
        <v>0</v>
      </c>
      <c r="N445" s="22">
        <v>-690</v>
      </c>
      <c r="O445" s="22">
        <v>6210</v>
      </c>
      <c r="P445" s="22">
        <v>6210</v>
      </c>
      <c r="Q445" t="str" cm="1">
        <f t="array" ref="Q445">_xlfn.TEXTJOIN("、",TRUE,IF('學員資料-三民高中'!$B$2:$B$454=$F445,'學員資料-三民高中'!$G$2:$G$454,""))</f>
        <v/>
      </c>
      <c r="R445" t="str" cm="1">
        <f t="array" ref="R445">_xlfn.TEXTJOIN("、",TRUE,IF('學員資料-新北高中'!$B$2:$B$583=$F445,'學員資料-新北高中'!$G$2:$G$583,""))</f>
        <v>0900099919</v>
      </c>
      <c r="S445" t="str" cm="1">
        <f t="array" ref="S445">_xlfn.TEXTJOIN("、",TRUE,IF('學員資料-三重商工'!$B$2:$B$472=$F445,'學員資料-三重商工'!$G$2:$G$472,""))</f>
        <v/>
      </c>
      <c r="T445">
        <f t="shared" si="6"/>
        <v>1</v>
      </c>
    </row>
    <row r="446" spans="1:20" ht="14.25" hidden="1" customHeight="1">
      <c r="A446" s="15">
        <v>445</v>
      </c>
      <c r="B446" s="16" t="s">
        <v>1613</v>
      </c>
      <c r="C446" s="17">
        <v>46049</v>
      </c>
      <c r="D446" s="15" t="s">
        <v>1614</v>
      </c>
      <c r="E446" s="18" t="s">
        <v>537</v>
      </c>
      <c r="F446" s="19" t="s">
        <v>1615</v>
      </c>
      <c r="G446" s="18" t="s">
        <v>1616</v>
      </c>
      <c r="H446" s="20" t="s">
        <v>52</v>
      </c>
      <c r="I446" s="15">
        <v>1</v>
      </c>
      <c r="J446" s="15" t="s">
        <v>24</v>
      </c>
      <c r="K446" s="15"/>
      <c r="L446" s="21" t="s">
        <v>16</v>
      </c>
      <c r="M446" s="22">
        <v>0</v>
      </c>
      <c r="N446" s="22">
        <v>0</v>
      </c>
      <c r="O446" s="22">
        <v>7500</v>
      </c>
      <c r="P446" s="22">
        <v>7500</v>
      </c>
      <c r="Q446" t="str" cm="1">
        <f t="array" ref="Q446">_xlfn.TEXTJOIN("、",TRUE,IF('學員資料-三民高中'!$B$2:$B$454=$F446,'學員資料-三民高中'!$G$2:$G$454,""))</f>
        <v>0978773970-1</v>
      </c>
      <c r="R446" t="str" cm="1">
        <f t="array" ref="R446">_xlfn.TEXTJOIN("、",TRUE,IF('學員資料-新北高中'!$B$2:$B$583=$F446,'學員資料-新北高中'!$G$2:$G$583,""))</f>
        <v/>
      </c>
      <c r="S446" t="str" cm="1">
        <f t="array" ref="S446">_xlfn.TEXTJOIN("、",TRUE,IF('學員資料-三重商工'!$B$2:$B$472=$F446,'學員資料-三重商工'!$G$2:$G$472,""))</f>
        <v/>
      </c>
      <c r="T446">
        <f t="shared" si="6"/>
        <v>1</v>
      </c>
    </row>
    <row r="447" spans="1:20" ht="14.25" hidden="1" customHeight="1">
      <c r="A447" s="15">
        <v>446</v>
      </c>
      <c r="B447" s="16" t="s">
        <v>1617</v>
      </c>
      <c r="C447" s="17">
        <v>46049</v>
      </c>
      <c r="D447" s="15" t="s">
        <v>1618</v>
      </c>
      <c r="E447" s="18" t="s">
        <v>537</v>
      </c>
      <c r="F447" s="19" t="s">
        <v>1615</v>
      </c>
      <c r="G447" s="18" t="s">
        <v>1616</v>
      </c>
      <c r="H447" s="20" t="s">
        <v>52</v>
      </c>
      <c r="I447" s="15">
        <v>1</v>
      </c>
      <c r="J447" s="15" t="s">
        <v>24</v>
      </c>
      <c r="K447" s="15"/>
      <c r="L447" s="21" t="s">
        <v>16</v>
      </c>
      <c r="M447" s="22">
        <v>0</v>
      </c>
      <c r="N447" s="22">
        <v>0</v>
      </c>
      <c r="O447" s="22">
        <v>7500</v>
      </c>
      <c r="P447" s="22">
        <v>7500</v>
      </c>
      <c r="Q447" t="str" cm="1">
        <f t="array" ref="Q447">_xlfn.TEXTJOIN("、",TRUE,IF('學員資料-三民高中'!$B$2:$B$454=$F447,'學員資料-三民高中'!$G$2:$G$454,""))</f>
        <v>0978773970-1</v>
      </c>
      <c r="R447" t="str" cm="1">
        <f t="array" ref="R447">_xlfn.TEXTJOIN("、",TRUE,IF('學員資料-新北高中'!$B$2:$B$583=$F447,'學員資料-新北高中'!$G$2:$G$583,""))</f>
        <v/>
      </c>
      <c r="S447" t="str" cm="1">
        <f t="array" ref="S447">_xlfn.TEXTJOIN("、",TRUE,IF('學員資料-三重商工'!$B$2:$B$472=$F447,'學員資料-三重商工'!$G$2:$G$472,""))</f>
        <v/>
      </c>
      <c r="T447">
        <f t="shared" si="6"/>
        <v>1</v>
      </c>
    </row>
    <row r="448" spans="1:20" ht="14.25" hidden="1" customHeight="1">
      <c r="A448" s="15">
        <v>447</v>
      </c>
      <c r="B448" s="16" t="s">
        <v>1619</v>
      </c>
      <c r="C448" s="17">
        <v>46049</v>
      </c>
      <c r="D448" s="15" t="s">
        <v>1620</v>
      </c>
      <c r="E448" s="18" t="s">
        <v>537</v>
      </c>
      <c r="F448" s="19" t="s">
        <v>1615</v>
      </c>
      <c r="G448" s="18" t="s">
        <v>1616</v>
      </c>
      <c r="H448" s="20" t="s">
        <v>52</v>
      </c>
      <c r="I448" s="15">
        <v>1</v>
      </c>
      <c r="J448" s="15" t="s">
        <v>24</v>
      </c>
      <c r="K448" s="15"/>
      <c r="L448" s="21" t="s">
        <v>16</v>
      </c>
      <c r="M448" s="22">
        <v>0</v>
      </c>
      <c r="N448" s="22">
        <v>-4500</v>
      </c>
      <c r="O448" s="22">
        <v>3000</v>
      </c>
      <c r="P448" s="22">
        <v>3000</v>
      </c>
      <c r="Q448" t="str" cm="1">
        <f t="array" ref="Q448">_xlfn.TEXTJOIN("、",TRUE,IF('學員資料-三民高中'!$B$2:$B$454=$F448,'學員資料-三民高中'!$G$2:$G$454,""))</f>
        <v>0978773970-1</v>
      </c>
      <c r="R448" t="str" cm="1">
        <f t="array" ref="R448">_xlfn.TEXTJOIN("、",TRUE,IF('學員資料-新北高中'!$B$2:$B$583=$F448,'學員資料-新北高中'!$G$2:$G$583,""))</f>
        <v/>
      </c>
      <c r="S448" t="str" cm="1">
        <f t="array" ref="S448">_xlfn.TEXTJOIN("、",TRUE,IF('學員資料-三重商工'!$B$2:$B$472=$F448,'學員資料-三重商工'!$G$2:$G$472,""))</f>
        <v/>
      </c>
      <c r="T448">
        <f t="shared" si="6"/>
        <v>1</v>
      </c>
    </row>
    <row r="449" spans="1:20" ht="14.25" hidden="1" customHeight="1">
      <c r="A449" s="15">
        <v>448</v>
      </c>
      <c r="B449" s="16" t="s">
        <v>1621</v>
      </c>
      <c r="C449" s="17">
        <v>46049</v>
      </c>
      <c r="D449" s="15" t="s">
        <v>1622</v>
      </c>
      <c r="E449" s="18" t="s">
        <v>537</v>
      </c>
      <c r="F449" s="19" t="s">
        <v>1320</v>
      </c>
      <c r="G449" s="18" t="s">
        <v>1321</v>
      </c>
      <c r="H449" s="20" t="s">
        <v>52</v>
      </c>
      <c r="I449" s="15">
        <v>1</v>
      </c>
      <c r="J449" s="15" t="s">
        <v>24</v>
      </c>
      <c r="K449" s="15"/>
      <c r="L449" s="21" t="s">
        <v>16</v>
      </c>
      <c r="M449" s="22">
        <v>0</v>
      </c>
      <c r="N449" s="22">
        <v>0</v>
      </c>
      <c r="O449" s="22">
        <v>7500</v>
      </c>
      <c r="P449" s="22">
        <v>7500</v>
      </c>
      <c r="Q449" t="str" cm="1">
        <f t="array" ref="Q449">_xlfn.TEXTJOIN("、",TRUE,IF('學員資料-三民高中'!$B$2:$B$454=$F449,'學員資料-三民高中'!$G$2:$G$454,""))</f>
        <v>0963394102</v>
      </c>
      <c r="R449" t="str" cm="1">
        <f t="array" ref="R449">_xlfn.TEXTJOIN("、",TRUE,IF('學員資料-新北高中'!$B$2:$B$583=$F449,'學員資料-新北高中'!$G$2:$G$583,""))</f>
        <v/>
      </c>
      <c r="S449" t="str" cm="1">
        <f t="array" ref="S449">_xlfn.TEXTJOIN("、",TRUE,IF('學員資料-三重商工'!$B$2:$B$472=$F449,'學員資料-三重商工'!$G$2:$G$472,""))</f>
        <v/>
      </c>
      <c r="T449">
        <f t="shared" si="6"/>
        <v>1</v>
      </c>
    </row>
    <row r="450" spans="1:20" ht="14.25" hidden="1" customHeight="1">
      <c r="A450" s="15">
        <v>449</v>
      </c>
      <c r="B450" s="16" t="s">
        <v>1623</v>
      </c>
      <c r="C450" s="17">
        <v>46049</v>
      </c>
      <c r="D450" s="15" t="s">
        <v>1624</v>
      </c>
      <c r="E450" s="18" t="s">
        <v>537</v>
      </c>
      <c r="F450" s="19" t="s">
        <v>1320</v>
      </c>
      <c r="G450" s="18" t="s">
        <v>1321</v>
      </c>
      <c r="H450" s="20" t="s">
        <v>52</v>
      </c>
      <c r="I450" s="15">
        <v>1</v>
      </c>
      <c r="J450" s="15" t="s">
        <v>24</v>
      </c>
      <c r="K450" s="15"/>
      <c r="L450" s="21" t="s">
        <v>16</v>
      </c>
      <c r="M450" s="22">
        <v>0</v>
      </c>
      <c r="N450" s="22">
        <v>0</v>
      </c>
      <c r="O450" s="22">
        <v>7500</v>
      </c>
      <c r="P450" s="22">
        <v>7500</v>
      </c>
      <c r="Q450" t="str" cm="1">
        <f t="array" ref="Q450">_xlfn.TEXTJOIN("、",TRUE,IF('學員資料-三民高中'!$B$2:$B$454=$F450,'學員資料-三民高中'!$G$2:$G$454,""))</f>
        <v>0963394102</v>
      </c>
      <c r="R450" t="str" cm="1">
        <f t="array" ref="R450">_xlfn.TEXTJOIN("、",TRUE,IF('學員資料-新北高中'!$B$2:$B$583=$F450,'學員資料-新北高中'!$G$2:$G$583,""))</f>
        <v/>
      </c>
      <c r="S450" t="str" cm="1">
        <f t="array" ref="S450">_xlfn.TEXTJOIN("、",TRUE,IF('學員資料-三重商工'!$B$2:$B$472=$F450,'學員資料-三重商工'!$G$2:$G$472,""))</f>
        <v/>
      </c>
      <c r="T450">
        <f t="shared" si="6"/>
        <v>1</v>
      </c>
    </row>
    <row r="451" spans="1:20" ht="14.25" hidden="1" customHeight="1">
      <c r="A451" s="15">
        <v>450</v>
      </c>
      <c r="B451" s="16" t="s">
        <v>1625</v>
      </c>
      <c r="C451" s="17">
        <v>46049</v>
      </c>
      <c r="D451" s="15" t="s">
        <v>1626</v>
      </c>
      <c r="E451" s="18" t="s">
        <v>537</v>
      </c>
      <c r="F451" s="19" t="s">
        <v>1320</v>
      </c>
      <c r="G451" s="18" t="s">
        <v>1321</v>
      </c>
      <c r="H451" s="20" t="s">
        <v>52</v>
      </c>
      <c r="I451" s="15">
        <v>1</v>
      </c>
      <c r="J451" s="15" t="s">
        <v>24</v>
      </c>
      <c r="K451" s="15"/>
      <c r="L451" s="21" t="s">
        <v>16</v>
      </c>
      <c r="M451" s="22">
        <v>0</v>
      </c>
      <c r="N451" s="22">
        <v>-4500</v>
      </c>
      <c r="O451" s="22">
        <v>3000</v>
      </c>
      <c r="P451" s="22">
        <v>3000</v>
      </c>
      <c r="Q451" t="str" cm="1">
        <f t="array" ref="Q451">_xlfn.TEXTJOIN("、",TRUE,IF('學員資料-三民高中'!$B$2:$B$454=$F451,'學員資料-三民高中'!$G$2:$G$454,""))</f>
        <v>0963394102</v>
      </c>
      <c r="R451" t="str" cm="1">
        <f t="array" ref="R451">_xlfn.TEXTJOIN("、",TRUE,IF('學員資料-新北高中'!$B$2:$B$583=$F451,'學員資料-新北高中'!$G$2:$G$583,""))</f>
        <v/>
      </c>
      <c r="S451" t="str" cm="1">
        <f t="array" ref="S451">_xlfn.TEXTJOIN("、",TRUE,IF('學員資料-三重商工'!$B$2:$B$472=$F451,'學員資料-三重商工'!$G$2:$G$472,""))</f>
        <v/>
      </c>
      <c r="T451">
        <f t="shared" ref="T451:T514" si="7">3-COUNTBLANK(Q451:S451)</f>
        <v>1</v>
      </c>
    </row>
    <row r="452" spans="1:20" ht="14.25" hidden="1" customHeight="1">
      <c r="A452" s="15">
        <v>451</v>
      </c>
      <c r="B452" s="16" t="s">
        <v>1627</v>
      </c>
      <c r="C452" s="17">
        <v>46049</v>
      </c>
      <c r="D452" s="15" t="s">
        <v>1628</v>
      </c>
      <c r="E452" s="18" t="s">
        <v>537</v>
      </c>
      <c r="F452" s="19" t="s">
        <v>1629</v>
      </c>
      <c r="G452" s="18" t="s">
        <v>1630</v>
      </c>
      <c r="H452" s="20" t="s">
        <v>130</v>
      </c>
      <c r="I452" s="15">
        <v>1</v>
      </c>
      <c r="J452" s="15" t="s">
        <v>25</v>
      </c>
      <c r="K452" s="15"/>
      <c r="L452" s="21" t="s">
        <v>16</v>
      </c>
      <c r="M452" s="22">
        <v>0</v>
      </c>
      <c r="N452" s="22">
        <v>0</v>
      </c>
      <c r="O452" s="22">
        <v>9900</v>
      </c>
      <c r="P452" s="22">
        <v>9900</v>
      </c>
      <c r="Q452" t="str" cm="1">
        <f t="array" ref="Q452">_xlfn.TEXTJOIN("、",TRUE,IF('學員資料-三民高中'!$B$2:$B$454=$F452,'學員資料-三民高中'!$G$2:$G$454,""))</f>
        <v>0933137895</v>
      </c>
      <c r="R452" t="str" cm="1">
        <f t="array" ref="R452">_xlfn.TEXTJOIN("、",TRUE,IF('學員資料-新北高中'!$B$2:$B$583=$F452,'學員資料-新北高中'!$G$2:$G$583,""))</f>
        <v/>
      </c>
      <c r="S452" t="str" cm="1">
        <f t="array" ref="S452">_xlfn.TEXTJOIN("、",TRUE,IF('學員資料-三重商工'!$B$2:$B$472=$F452,'學員資料-三重商工'!$G$2:$G$472,""))</f>
        <v/>
      </c>
      <c r="T452">
        <f t="shared" si="7"/>
        <v>1</v>
      </c>
    </row>
    <row r="453" spans="1:20" ht="14.25" hidden="1" customHeight="1">
      <c r="A453" s="15">
        <v>452</v>
      </c>
      <c r="B453" s="16" t="s">
        <v>1631</v>
      </c>
      <c r="C453" s="17">
        <v>46049</v>
      </c>
      <c r="D453" s="15" t="s">
        <v>1632</v>
      </c>
      <c r="E453" s="18" t="s">
        <v>537</v>
      </c>
      <c r="F453" s="19" t="s">
        <v>1629</v>
      </c>
      <c r="G453" s="18" t="s">
        <v>1630</v>
      </c>
      <c r="H453" s="20" t="s">
        <v>130</v>
      </c>
      <c r="I453" s="15">
        <v>1</v>
      </c>
      <c r="J453" s="15" t="s">
        <v>25</v>
      </c>
      <c r="K453" s="15"/>
      <c r="L453" s="21" t="s">
        <v>16</v>
      </c>
      <c r="M453" s="22">
        <v>0</v>
      </c>
      <c r="N453" s="22">
        <v>0</v>
      </c>
      <c r="O453" s="22">
        <v>9900</v>
      </c>
      <c r="P453" s="22">
        <v>9900</v>
      </c>
      <c r="Q453" t="str" cm="1">
        <f t="array" ref="Q453">_xlfn.TEXTJOIN("、",TRUE,IF('學員資料-三民高中'!$B$2:$B$454=$F453,'學員資料-三民高中'!$G$2:$G$454,""))</f>
        <v>0933137895</v>
      </c>
      <c r="R453" t="str" cm="1">
        <f t="array" ref="R453">_xlfn.TEXTJOIN("、",TRUE,IF('學員資料-新北高中'!$B$2:$B$583=$F453,'學員資料-新北高中'!$G$2:$G$583,""))</f>
        <v/>
      </c>
      <c r="S453" t="str" cm="1">
        <f t="array" ref="S453">_xlfn.TEXTJOIN("、",TRUE,IF('學員資料-三重商工'!$B$2:$B$472=$F453,'學員資料-三重商工'!$G$2:$G$472,""))</f>
        <v/>
      </c>
      <c r="T453">
        <f t="shared" si="7"/>
        <v>1</v>
      </c>
    </row>
    <row r="454" spans="1:20" ht="14.25" hidden="1" customHeight="1">
      <c r="A454" s="15">
        <v>453</v>
      </c>
      <c r="B454" s="16" t="s">
        <v>1633</v>
      </c>
      <c r="C454" s="17">
        <v>46049</v>
      </c>
      <c r="D454" s="15" t="s">
        <v>1634</v>
      </c>
      <c r="E454" s="18" t="s">
        <v>537</v>
      </c>
      <c r="F454" s="19" t="s">
        <v>1629</v>
      </c>
      <c r="G454" s="18" t="s">
        <v>1630</v>
      </c>
      <c r="H454" s="20" t="s">
        <v>130</v>
      </c>
      <c r="I454" s="15">
        <v>1</v>
      </c>
      <c r="J454" s="15" t="s">
        <v>25</v>
      </c>
      <c r="K454" s="15"/>
      <c r="L454" s="21" t="s">
        <v>16</v>
      </c>
      <c r="M454" s="22">
        <v>0</v>
      </c>
      <c r="N454" s="22">
        <v>-5940</v>
      </c>
      <c r="O454" s="22">
        <v>3960</v>
      </c>
      <c r="P454" s="22">
        <v>3960</v>
      </c>
      <c r="Q454" t="str" cm="1">
        <f t="array" ref="Q454">_xlfn.TEXTJOIN("、",TRUE,IF('學員資料-三民高中'!$B$2:$B$454=$F454,'學員資料-三民高中'!$G$2:$G$454,""))</f>
        <v>0933137895</v>
      </c>
      <c r="R454" t="str" cm="1">
        <f t="array" ref="R454">_xlfn.TEXTJOIN("、",TRUE,IF('學員資料-新北高中'!$B$2:$B$583=$F454,'學員資料-新北高中'!$G$2:$G$583,""))</f>
        <v/>
      </c>
      <c r="S454" t="str" cm="1">
        <f t="array" ref="S454">_xlfn.TEXTJOIN("、",TRUE,IF('學員資料-三重商工'!$B$2:$B$472=$F454,'學員資料-三重商工'!$G$2:$G$472,""))</f>
        <v/>
      </c>
      <c r="T454">
        <f t="shared" si="7"/>
        <v>1</v>
      </c>
    </row>
    <row r="455" spans="1:20" ht="14.25" hidden="1" customHeight="1">
      <c r="A455" s="15">
        <v>454</v>
      </c>
      <c r="B455" s="16" t="s">
        <v>1635</v>
      </c>
      <c r="C455" s="17">
        <v>46049</v>
      </c>
      <c r="D455" s="15" t="s">
        <v>1636</v>
      </c>
      <c r="E455" s="18" t="s">
        <v>537</v>
      </c>
      <c r="F455" s="19" t="s">
        <v>1637</v>
      </c>
      <c r="G455" s="18" t="s">
        <v>1638</v>
      </c>
      <c r="H455" s="20" t="s">
        <v>210</v>
      </c>
      <c r="I455" s="15">
        <v>1</v>
      </c>
      <c r="J455" s="15" t="s">
        <v>26</v>
      </c>
      <c r="K455" s="15"/>
      <c r="L455" s="21" t="s">
        <v>16</v>
      </c>
      <c r="M455" s="22">
        <v>0</v>
      </c>
      <c r="N455" s="22">
        <v>0</v>
      </c>
      <c r="O455" s="22">
        <v>12000</v>
      </c>
      <c r="P455" s="22">
        <v>12000</v>
      </c>
      <c r="Q455" t="str" cm="1">
        <f t="array" ref="Q455">_xlfn.TEXTJOIN("、",TRUE,IF('學員資料-三民高中'!$B$2:$B$454=$F455,'學員資料-三民高中'!$G$2:$G$454,""))</f>
        <v>0926909998</v>
      </c>
      <c r="R455" t="str" cm="1">
        <f t="array" ref="R455">_xlfn.TEXTJOIN("、",TRUE,IF('學員資料-新北高中'!$B$2:$B$583=$F455,'學員資料-新北高中'!$G$2:$G$583,""))</f>
        <v/>
      </c>
      <c r="S455" t="str" cm="1">
        <f t="array" ref="S455">_xlfn.TEXTJOIN("、",TRUE,IF('學員資料-三重商工'!$B$2:$B$472=$F455,'學員資料-三重商工'!$G$2:$G$472,""))</f>
        <v/>
      </c>
      <c r="T455">
        <f t="shared" si="7"/>
        <v>1</v>
      </c>
    </row>
    <row r="456" spans="1:20" ht="14.25" hidden="1" customHeight="1">
      <c r="A456" s="15">
        <v>455</v>
      </c>
      <c r="B456" s="16" t="s">
        <v>1639</v>
      </c>
      <c r="C456" s="17">
        <v>46049</v>
      </c>
      <c r="D456" s="15" t="s">
        <v>1640</v>
      </c>
      <c r="E456" s="18" t="s">
        <v>537</v>
      </c>
      <c r="F456" s="19" t="s">
        <v>1637</v>
      </c>
      <c r="G456" s="18" t="s">
        <v>1641</v>
      </c>
      <c r="H456" s="20" t="s">
        <v>210</v>
      </c>
      <c r="I456" s="15">
        <v>1</v>
      </c>
      <c r="J456" s="15" t="s">
        <v>26</v>
      </c>
      <c r="K456" s="15"/>
      <c r="L456" s="21" t="s">
        <v>16</v>
      </c>
      <c r="M456" s="22">
        <v>0</v>
      </c>
      <c r="N456" s="22">
        <v>0</v>
      </c>
      <c r="O456" s="22">
        <v>12000</v>
      </c>
      <c r="P456" s="22">
        <v>12000</v>
      </c>
      <c r="Q456" t="str" cm="1">
        <f t="array" ref="Q456">_xlfn.TEXTJOIN("、",TRUE,IF('學員資料-三民高中'!$B$2:$B$454=$F456,'學員資料-三民高中'!$G$2:$G$454,""))</f>
        <v>0926909998</v>
      </c>
      <c r="R456" t="str" cm="1">
        <f t="array" ref="R456">_xlfn.TEXTJOIN("、",TRUE,IF('學員資料-新北高中'!$B$2:$B$583=$F456,'學員資料-新北高中'!$G$2:$G$583,""))</f>
        <v/>
      </c>
      <c r="S456" t="str" cm="1">
        <f t="array" ref="S456">_xlfn.TEXTJOIN("、",TRUE,IF('學員資料-三重商工'!$B$2:$B$472=$F456,'學員資料-三重商工'!$G$2:$G$472,""))</f>
        <v/>
      </c>
      <c r="T456">
        <f t="shared" si="7"/>
        <v>1</v>
      </c>
    </row>
    <row r="457" spans="1:20" ht="14.25" hidden="1" customHeight="1">
      <c r="A457" s="15">
        <v>456</v>
      </c>
      <c r="B457" s="16" t="s">
        <v>1642</v>
      </c>
      <c r="C457" s="17">
        <v>46049</v>
      </c>
      <c r="D457" s="15" t="s">
        <v>1643</v>
      </c>
      <c r="E457" s="18" t="s">
        <v>537</v>
      </c>
      <c r="F457" s="19" t="s">
        <v>1637</v>
      </c>
      <c r="G457" s="18" t="s">
        <v>1641</v>
      </c>
      <c r="H457" s="20" t="s">
        <v>210</v>
      </c>
      <c r="I457" s="15">
        <v>1</v>
      </c>
      <c r="J457" s="15" t="s">
        <v>26</v>
      </c>
      <c r="K457" s="15"/>
      <c r="L457" s="21" t="s">
        <v>16</v>
      </c>
      <c r="M457" s="22">
        <v>0</v>
      </c>
      <c r="N457" s="22">
        <v>-7200</v>
      </c>
      <c r="O457" s="22">
        <v>4800</v>
      </c>
      <c r="P457" s="22">
        <v>4800</v>
      </c>
      <c r="Q457" t="str" cm="1">
        <f t="array" ref="Q457">_xlfn.TEXTJOIN("、",TRUE,IF('學員資料-三民高中'!$B$2:$B$454=$F457,'學員資料-三民高中'!$G$2:$G$454,""))</f>
        <v>0926909998</v>
      </c>
      <c r="R457" t="str" cm="1">
        <f t="array" ref="R457">_xlfn.TEXTJOIN("、",TRUE,IF('學員資料-新北高中'!$B$2:$B$583=$F457,'學員資料-新北高中'!$G$2:$G$583,""))</f>
        <v/>
      </c>
      <c r="S457" t="str" cm="1">
        <f t="array" ref="S457">_xlfn.TEXTJOIN("、",TRUE,IF('學員資料-三重商工'!$B$2:$B$472=$F457,'學員資料-三重商工'!$G$2:$G$472,""))</f>
        <v/>
      </c>
      <c r="T457">
        <f t="shared" si="7"/>
        <v>1</v>
      </c>
    </row>
    <row r="458" spans="1:20" ht="14.25" hidden="1" customHeight="1">
      <c r="A458" s="15">
        <v>457</v>
      </c>
      <c r="B458" s="16" t="s">
        <v>1644</v>
      </c>
      <c r="C458" s="17">
        <v>46047</v>
      </c>
      <c r="D458" s="15" t="s">
        <v>1645</v>
      </c>
      <c r="E458" s="18" t="s">
        <v>44</v>
      </c>
      <c r="F458" s="19" t="s">
        <v>230</v>
      </c>
      <c r="G458" s="18" t="s">
        <v>231</v>
      </c>
      <c r="H458" s="20" t="s">
        <v>399</v>
      </c>
      <c r="I458" s="15">
        <v>1</v>
      </c>
      <c r="J458" s="15" t="s">
        <v>23</v>
      </c>
      <c r="K458" s="21" t="s">
        <v>116</v>
      </c>
      <c r="L458" s="21" t="s">
        <v>16</v>
      </c>
      <c r="M458" s="22">
        <v>0</v>
      </c>
      <c r="N458" s="22">
        <v>0</v>
      </c>
      <c r="O458" s="22">
        <v>1200</v>
      </c>
      <c r="P458" s="22">
        <v>1200</v>
      </c>
      <c r="Q458" t="str" cm="1">
        <f t="array" ref="Q458">_xlfn.TEXTJOIN("、",TRUE,IF('學員資料-三民高中'!$B$2:$B$454=$F458,'學員資料-三民高中'!$G$2:$G$454,""))</f>
        <v/>
      </c>
      <c r="R458" t="str" cm="1">
        <f t="array" ref="R458">_xlfn.TEXTJOIN("、",TRUE,IF('學員資料-新北高中'!$B$2:$B$583=$F458,'學員資料-新北高中'!$G$2:$G$583,""))</f>
        <v/>
      </c>
      <c r="S458" t="str" cm="1">
        <f t="array" ref="S458">_xlfn.TEXTJOIN("、",TRUE,IF('學員資料-三重商工'!$B$2:$B$472=$F458,'學員資料-三重商工'!$G$2:$G$472,""))</f>
        <v>0953205962</v>
      </c>
      <c r="T458">
        <f t="shared" si="7"/>
        <v>1</v>
      </c>
    </row>
    <row r="459" spans="1:20" ht="43.5" hidden="1" customHeight="1">
      <c r="A459" s="15">
        <v>458</v>
      </c>
      <c r="B459" s="16" t="s">
        <v>1646</v>
      </c>
      <c r="C459" s="17">
        <v>46046</v>
      </c>
      <c r="D459" s="15" t="s">
        <v>1647</v>
      </c>
      <c r="E459" s="18" t="s">
        <v>44</v>
      </c>
      <c r="F459" s="19" t="s">
        <v>1648</v>
      </c>
      <c r="G459" s="18" t="s">
        <v>1649</v>
      </c>
      <c r="H459" s="20" t="s">
        <v>436</v>
      </c>
      <c r="I459" s="15">
        <v>3</v>
      </c>
      <c r="J459" s="15" t="s">
        <v>24</v>
      </c>
      <c r="K459" s="15"/>
      <c r="L459" s="21" t="s">
        <v>16</v>
      </c>
      <c r="M459" s="22">
        <v>0</v>
      </c>
      <c r="N459" s="22">
        <v>-4500</v>
      </c>
      <c r="O459" s="22">
        <v>18000</v>
      </c>
      <c r="P459" s="22">
        <v>18000</v>
      </c>
      <c r="Q459" t="str" cm="1">
        <f t="array" ref="Q459">_xlfn.TEXTJOIN("、",TRUE,IF('學員資料-三民高中'!$B$2:$B$454=$F459,'學員資料-三民高中'!$G$2:$G$454,""))</f>
        <v/>
      </c>
      <c r="R459" t="str" cm="1">
        <f t="array" ref="R459">_xlfn.TEXTJOIN("、",TRUE,IF('學員資料-新北高中'!$B$2:$B$583=$F459,'學員資料-新北高中'!$G$2:$G$583,""))</f>
        <v/>
      </c>
      <c r="S459" t="str" cm="1">
        <f t="array" ref="S459">_xlfn.TEXTJOIN("、",TRUE,IF('學員資料-三重商工'!$B$2:$B$472=$F459,'學員資料-三重商工'!$G$2:$G$472,""))</f>
        <v>0915730001</v>
      </c>
      <c r="T459">
        <f t="shared" si="7"/>
        <v>1</v>
      </c>
    </row>
    <row r="460" spans="1:20" ht="43.5" hidden="1" customHeight="1">
      <c r="A460" s="15">
        <v>459</v>
      </c>
      <c r="B460" s="16" t="s">
        <v>1650</v>
      </c>
      <c r="C460" s="17">
        <v>46046</v>
      </c>
      <c r="D460" s="15" t="s">
        <v>1651</v>
      </c>
      <c r="E460" s="18" t="s">
        <v>44</v>
      </c>
      <c r="F460" s="19" t="s">
        <v>1652</v>
      </c>
      <c r="G460" s="18" t="s">
        <v>1653</v>
      </c>
      <c r="H460" s="20" t="s">
        <v>436</v>
      </c>
      <c r="I460" s="15">
        <v>3</v>
      </c>
      <c r="J460" s="15" t="s">
        <v>24</v>
      </c>
      <c r="K460" s="15"/>
      <c r="L460" s="21" t="s">
        <v>16</v>
      </c>
      <c r="M460" s="22">
        <v>0</v>
      </c>
      <c r="N460" s="22">
        <v>-4500</v>
      </c>
      <c r="O460" s="22">
        <v>18000</v>
      </c>
      <c r="P460" s="22">
        <v>18000</v>
      </c>
      <c r="Q460" t="str" cm="1">
        <f t="array" ref="Q460">_xlfn.TEXTJOIN("、",TRUE,IF('學員資料-三民高中'!$B$2:$B$454=$F460,'學員資料-三民高中'!$G$2:$G$454,""))</f>
        <v/>
      </c>
      <c r="R460" t="str" cm="1">
        <f t="array" ref="R460">_xlfn.TEXTJOIN("、",TRUE,IF('學員資料-新北高中'!$B$2:$B$583=$F460,'學員資料-新北高中'!$G$2:$G$583,""))</f>
        <v>0923113843</v>
      </c>
      <c r="S460" t="str" cm="1">
        <f t="array" ref="S460">_xlfn.TEXTJOIN("、",TRUE,IF('學員資料-三重商工'!$B$2:$B$472=$F460,'學員資料-三重商工'!$G$2:$G$472,""))</f>
        <v/>
      </c>
      <c r="T460">
        <f t="shared" si="7"/>
        <v>1</v>
      </c>
    </row>
    <row r="461" spans="1:20" ht="14.25" hidden="1" customHeight="1">
      <c r="A461" s="15">
        <v>460</v>
      </c>
      <c r="B461" s="16" t="s">
        <v>1654</v>
      </c>
      <c r="C461" s="17">
        <v>46046</v>
      </c>
      <c r="D461" s="15" t="s">
        <v>1655</v>
      </c>
      <c r="E461" s="18" t="s">
        <v>44</v>
      </c>
      <c r="F461" s="19" t="s">
        <v>1656</v>
      </c>
      <c r="G461" s="18" t="s">
        <v>1657</v>
      </c>
      <c r="H461" s="20" t="s">
        <v>52</v>
      </c>
      <c r="I461" s="15">
        <v>1</v>
      </c>
      <c r="J461" s="15" t="s">
        <v>24</v>
      </c>
      <c r="K461" s="15"/>
      <c r="L461" s="21" t="s">
        <v>16</v>
      </c>
      <c r="M461" s="22">
        <v>0</v>
      </c>
      <c r="N461" s="22">
        <v>-900</v>
      </c>
      <c r="O461" s="22">
        <v>6600</v>
      </c>
      <c r="P461" s="22">
        <v>6600</v>
      </c>
      <c r="Q461" t="str" cm="1">
        <f t="array" ref="Q461">_xlfn.TEXTJOIN("、",TRUE,IF('學員資料-三民高中'!$B$2:$B$454=$F461,'學員資料-三民高中'!$G$2:$G$454,""))</f>
        <v/>
      </c>
      <c r="R461" t="str" cm="1">
        <f t="array" ref="R461">_xlfn.TEXTJOIN("、",TRUE,IF('學員資料-新北高中'!$B$2:$B$583=$F461,'學員資料-新北高中'!$G$2:$G$583,""))</f>
        <v/>
      </c>
      <c r="S461" t="str" cm="1">
        <f t="array" ref="S461">_xlfn.TEXTJOIN("、",TRUE,IF('學員資料-三重商工'!$B$2:$B$472=$F461,'學員資料-三重商工'!$G$2:$G$472,""))</f>
        <v>0918410567</v>
      </c>
      <c r="T461">
        <f t="shared" si="7"/>
        <v>1</v>
      </c>
    </row>
    <row r="462" spans="1:20" ht="14.25" hidden="1" customHeight="1">
      <c r="A462" s="15">
        <v>461</v>
      </c>
      <c r="B462" s="16" t="s">
        <v>1658</v>
      </c>
      <c r="C462" s="17">
        <v>46046</v>
      </c>
      <c r="D462" s="15" t="s">
        <v>1659</v>
      </c>
      <c r="E462" s="18" t="s">
        <v>44</v>
      </c>
      <c r="F462" s="19" t="s">
        <v>1660</v>
      </c>
      <c r="G462" s="18" t="s">
        <v>1661</v>
      </c>
      <c r="H462" s="20" t="s">
        <v>66</v>
      </c>
      <c r="I462" s="15">
        <v>1</v>
      </c>
      <c r="J462" s="15" t="s">
        <v>23</v>
      </c>
      <c r="K462" s="15"/>
      <c r="L462" s="21" t="s">
        <v>16</v>
      </c>
      <c r="M462" s="22">
        <v>0</v>
      </c>
      <c r="N462" s="22">
        <v>-345</v>
      </c>
      <c r="O462" s="22">
        <v>6555</v>
      </c>
      <c r="P462" s="22">
        <v>6555</v>
      </c>
      <c r="Q462" t="str" cm="1">
        <f t="array" ref="Q462">_xlfn.TEXTJOIN("、",TRUE,IF('學員資料-三民高中'!$B$2:$B$454=$F462,'學員資料-三民高中'!$G$2:$G$454,""))</f>
        <v/>
      </c>
      <c r="R462" t="str" cm="1">
        <f t="array" ref="R462">_xlfn.TEXTJOIN("、",TRUE,IF('學員資料-新北高中'!$B$2:$B$583=$F462,'學員資料-新北高中'!$G$2:$G$583,""))</f>
        <v/>
      </c>
      <c r="S462" t="str" cm="1">
        <f t="array" ref="S462">_xlfn.TEXTJOIN("、",TRUE,IF('學員資料-三重商工'!$B$2:$B$472=$F462,'學員資料-三重商工'!$G$2:$G$472,""))</f>
        <v>0963036703</v>
      </c>
      <c r="T462">
        <f t="shared" si="7"/>
        <v>1</v>
      </c>
    </row>
    <row r="463" spans="1:20" ht="14.25" hidden="1" customHeight="1">
      <c r="A463" s="15">
        <v>462</v>
      </c>
      <c r="B463" s="16" t="s">
        <v>1662</v>
      </c>
      <c r="C463" s="17">
        <v>46045</v>
      </c>
      <c r="D463" s="15" t="s">
        <v>1663</v>
      </c>
      <c r="E463" s="18" t="s">
        <v>78</v>
      </c>
      <c r="F463" s="19" t="s">
        <v>1664</v>
      </c>
      <c r="G463" s="18" t="s">
        <v>1665</v>
      </c>
      <c r="H463" s="20" t="s">
        <v>66</v>
      </c>
      <c r="I463" s="15">
        <v>1</v>
      </c>
      <c r="J463" s="15" t="s">
        <v>23</v>
      </c>
      <c r="K463" s="15"/>
      <c r="L463" s="21" t="s">
        <v>16</v>
      </c>
      <c r="M463" s="22">
        <v>0</v>
      </c>
      <c r="N463" s="22">
        <v>0</v>
      </c>
      <c r="O463" s="22">
        <v>6900</v>
      </c>
      <c r="P463" s="22">
        <v>6900</v>
      </c>
      <c r="Q463" t="str" cm="1">
        <f t="array" ref="Q463">_xlfn.TEXTJOIN("、",TRUE,IF('學員資料-三民高中'!$B$2:$B$454=$F463,'學員資料-三民高中'!$G$2:$G$454,""))</f>
        <v/>
      </c>
      <c r="R463" t="str" cm="1">
        <f t="array" ref="R463">_xlfn.TEXTJOIN("、",TRUE,IF('學員資料-新北高中'!$B$2:$B$583=$F463,'學員資料-新北高中'!$G$2:$G$583,""))</f>
        <v>0910963339</v>
      </c>
      <c r="S463" t="str" cm="1">
        <f t="array" ref="S463">_xlfn.TEXTJOIN("、",TRUE,IF('學員資料-三重商工'!$B$2:$B$472=$F463,'學員資料-三重商工'!$G$2:$G$472,""))</f>
        <v/>
      </c>
      <c r="T463">
        <f t="shared" si="7"/>
        <v>1</v>
      </c>
    </row>
    <row r="464" spans="1:20" ht="14.25" hidden="1" customHeight="1">
      <c r="A464" s="15">
        <v>463</v>
      </c>
      <c r="B464" s="16" t="s">
        <v>1666</v>
      </c>
      <c r="C464" s="17">
        <v>46045</v>
      </c>
      <c r="D464" s="15" t="s">
        <v>1667</v>
      </c>
      <c r="E464" s="18" t="s">
        <v>78</v>
      </c>
      <c r="F464" s="19" t="s">
        <v>1664</v>
      </c>
      <c r="G464" s="18" t="s">
        <v>1665</v>
      </c>
      <c r="H464" s="20" t="s">
        <v>66</v>
      </c>
      <c r="I464" s="15">
        <v>1</v>
      </c>
      <c r="J464" s="15" t="s">
        <v>23</v>
      </c>
      <c r="K464" s="15"/>
      <c r="L464" s="21" t="s">
        <v>16</v>
      </c>
      <c r="M464" s="22">
        <v>0</v>
      </c>
      <c r="N464" s="22">
        <v>0</v>
      </c>
      <c r="O464" s="22">
        <v>6900</v>
      </c>
      <c r="P464" s="22">
        <v>6900</v>
      </c>
      <c r="Q464" t="str" cm="1">
        <f t="array" ref="Q464">_xlfn.TEXTJOIN("、",TRUE,IF('學員資料-三民高中'!$B$2:$B$454=$F464,'學員資料-三民高中'!$G$2:$G$454,""))</f>
        <v/>
      </c>
      <c r="R464" t="str" cm="1">
        <f t="array" ref="R464">_xlfn.TEXTJOIN("、",TRUE,IF('學員資料-新北高中'!$B$2:$B$583=$F464,'學員資料-新北高中'!$G$2:$G$583,""))</f>
        <v>0910963339</v>
      </c>
      <c r="S464" t="str" cm="1">
        <f t="array" ref="S464">_xlfn.TEXTJOIN("、",TRUE,IF('學員資料-三重商工'!$B$2:$B$472=$F464,'學員資料-三重商工'!$G$2:$G$472,""))</f>
        <v/>
      </c>
      <c r="T464">
        <f t="shared" si="7"/>
        <v>1</v>
      </c>
    </row>
    <row r="465" spans="1:20" ht="14.25" hidden="1" customHeight="1">
      <c r="A465" s="15">
        <v>464</v>
      </c>
      <c r="B465" s="16" t="s">
        <v>1668</v>
      </c>
      <c r="C465" s="17">
        <v>46045</v>
      </c>
      <c r="D465" s="15" t="s">
        <v>1669</v>
      </c>
      <c r="E465" s="18" t="s">
        <v>78</v>
      </c>
      <c r="F465" s="19" t="s">
        <v>1664</v>
      </c>
      <c r="G465" s="18" t="s">
        <v>1665</v>
      </c>
      <c r="H465" s="20" t="s">
        <v>66</v>
      </c>
      <c r="I465" s="15">
        <v>1</v>
      </c>
      <c r="J465" s="15" t="s">
        <v>23</v>
      </c>
      <c r="K465" s="15"/>
      <c r="L465" s="21" t="s">
        <v>16</v>
      </c>
      <c r="M465" s="22">
        <v>0</v>
      </c>
      <c r="N465" s="22">
        <v>-2070</v>
      </c>
      <c r="O465" s="22">
        <v>4830</v>
      </c>
      <c r="P465" s="22">
        <v>4830</v>
      </c>
      <c r="Q465" t="str" cm="1">
        <f t="array" ref="Q465">_xlfn.TEXTJOIN("、",TRUE,IF('學員資料-三民高中'!$B$2:$B$454=$F465,'學員資料-三民高中'!$G$2:$G$454,""))</f>
        <v/>
      </c>
      <c r="R465" t="str" cm="1">
        <f t="array" ref="R465">_xlfn.TEXTJOIN("、",TRUE,IF('學員資料-新北高中'!$B$2:$B$583=$F465,'學員資料-新北高中'!$G$2:$G$583,""))</f>
        <v>0910963339</v>
      </c>
      <c r="S465" t="str" cm="1">
        <f t="array" ref="S465">_xlfn.TEXTJOIN("、",TRUE,IF('學員資料-三重商工'!$B$2:$B$472=$F465,'學員資料-三重商工'!$G$2:$G$472,""))</f>
        <v/>
      </c>
      <c r="T465">
        <f t="shared" si="7"/>
        <v>1</v>
      </c>
    </row>
    <row r="466" spans="1:20" ht="43.5" hidden="1" customHeight="1">
      <c r="A466" s="15">
        <v>465</v>
      </c>
      <c r="B466" s="16" t="s">
        <v>1670</v>
      </c>
      <c r="C466" s="17">
        <v>46045</v>
      </c>
      <c r="D466" s="15" t="s">
        <v>1671</v>
      </c>
      <c r="E466" s="18" t="s">
        <v>537</v>
      </c>
      <c r="F466" s="19" t="s">
        <v>1672</v>
      </c>
      <c r="G466" s="18" t="s">
        <v>1673</v>
      </c>
      <c r="H466" s="20" t="s">
        <v>624</v>
      </c>
      <c r="I466" s="15">
        <v>3</v>
      </c>
      <c r="J466" s="15" t="s">
        <v>24</v>
      </c>
      <c r="K466" s="15"/>
      <c r="L466" s="21" t="s">
        <v>16</v>
      </c>
      <c r="M466" s="22">
        <v>0</v>
      </c>
      <c r="N466" s="22">
        <v>-5400</v>
      </c>
      <c r="O466" s="22">
        <v>21600</v>
      </c>
      <c r="P466" s="22">
        <v>21600</v>
      </c>
      <c r="Q466" t="str" cm="1">
        <f t="array" ref="Q466">_xlfn.TEXTJOIN("、",TRUE,IF('學員資料-三民高中'!$B$2:$B$454=$F466,'學員資料-三民高中'!$G$2:$G$454,""))</f>
        <v/>
      </c>
      <c r="R466" t="str" cm="1">
        <f t="array" ref="R466">_xlfn.TEXTJOIN("、",TRUE,IF('學員資料-新北高中'!$B$2:$B$583=$F466,'學員資料-新北高中'!$G$2:$G$583,""))</f>
        <v>0970977986</v>
      </c>
      <c r="S466" t="str" cm="1">
        <f t="array" ref="S466">_xlfn.TEXTJOIN("、",TRUE,IF('學員資料-三重商工'!$B$2:$B$472=$F466,'學員資料-三重商工'!$G$2:$G$472,""))</f>
        <v/>
      </c>
      <c r="T466">
        <f t="shared" si="7"/>
        <v>1</v>
      </c>
    </row>
    <row r="467" spans="1:20" ht="43.5" hidden="1" customHeight="1">
      <c r="A467" s="15">
        <v>466</v>
      </c>
      <c r="B467" s="16" t="s">
        <v>1674</v>
      </c>
      <c r="C467" s="17">
        <v>46045</v>
      </c>
      <c r="D467" s="15" t="s">
        <v>1675</v>
      </c>
      <c r="E467" s="18" t="s">
        <v>537</v>
      </c>
      <c r="F467" s="19" t="s">
        <v>1676</v>
      </c>
      <c r="G467" s="18" t="s">
        <v>1677</v>
      </c>
      <c r="H467" s="20" t="s">
        <v>405</v>
      </c>
      <c r="I467" s="15">
        <v>3</v>
      </c>
      <c r="J467" s="15" t="s">
        <v>25</v>
      </c>
      <c r="K467" s="15"/>
      <c r="L467" s="21" t="s">
        <v>16</v>
      </c>
      <c r="M467" s="22">
        <v>0</v>
      </c>
      <c r="N467" s="22">
        <v>-5940</v>
      </c>
      <c r="O467" s="22">
        <v>23760</v>
      </c>
      <c r="P467" s="22">
        <v>23760</v>
      </c>
      <c r="Q467" t="str" cm="1">
        <f t="array" ref="Q467">_xlfn.TEXTJOIN("、",TRUE,IF('學員資料-三民高中'!$B$2:$B$454=$F467,'學員資料-三民高中'!$G$2:$G$454,""))</f>
        <v>0975628321-1</v>
      </c>
      <c r="R467" t="str" cm="1">
        <f t="array" ref="R467">_xlfn.TEXTJOIN("、",TRUE,IF('學員資料-新北高中'!$B$2:$B$583=$F467,'學員資料-新北高中'!$G$2:$G$583,""))</f>
        <v/>
      </c>
      <c r="S467" t="str" cm="1">
        <f t="array" ref="S467">_xlfn.TEXTJOIN("、",TRUE,IF('學員資料-三重商工'!$B$2:$B$472=$F467,'學員資料-三重商工'!$G$2:$G$472,""))</f>
        <v/>
      </c>
      <c r="T467">
        <f t="shared" si="7"/>
        <v>1</v>
      </c>
    </row>
    <row r="468" spans="1:20" ht="43.5" hidden="1" customHeight="1">
      <c r="A468" s="15">
        <v>467</v>
      </c>
      <c r="B468" s="16" t="s">
        <v>1678</v>
      </c>
      <c r="C468" s="17">
        <v>46045</v>
      </c>
      <c r="D468" s="15" t="s">
        <v>1679</v>
      </c>
      <c r="E468" s="18" t="s">
        <v>537</v>
      </c>
      <c r="F468" s="19" t="s">
        <v>1680</v>
      </c>
      <c r="G468" s="18" t="s">
        <v>1681</v>
      </c>
      <c r="H468" s="20" t="s">
        <v>436</v>
      </c>
      <c r="I468" s="15">
        <v>3</v>
      </c>
      <c r="J468" s="15" t="s">
        <v>24</v>
      </c>
      <c r="K468" s="15"/>
      <c r="L468" s="21" t="s">
        <v>16</v>
      </c>
      <c r="M468" s="22">
        <v>0</v>
      </c>
      <c r="N468" s="22">
        <v>-4500</v>
      </c>
      <c r="O468" s="22">
        <v>18000</v>
      </c>
      <c r="P468" s="22">
        <v>18000</v>
      </c>
      <c r="Q468" t="str" cm="1">
        <f t="array" ref="Q468">_xlfn.TEXTJOIN("、",TRUE,IF('學員資料-三民高中'!$B$2:$B$454=$F468,'學員資料-三民高中'!$G$2:$G$454,""))</f>
        <v>0926750010</v>
      </c>
      <c r="R468" t="str" cm="1">
        <f t="array" ref="R468">_xlfn.TEXTJOIN("、",TRUE,IF('學員資料-新北高中'!$B$2:$B$583=$F468,'學員資料-新北高中'!$G$2:$G$583,""))</f>
        <v/>
      </c>
      <c r="S468" t="str" cm="1">
        <f t="array" ref="S468">_xlfn.TEXTJOIN("、",TRUE,IF('學員資料-三重商工'!$B$2:$B$472=$F468,'學員資料-三重商工'!$G$2:$G$472,""))</f>
        <v/>
      </c>
      <c r="T468">
        <f t="shared" si="7"/>
        <v>1</v>
      </c>
    </row>
    <row r="469" spans="1:20" ht="43.5" hidden="1" customHeight="1">
      <c r="A469" s="15">
        <v>468</v>
      </c>
      <c r="B469" s="16" t="s">
        <v>1682</v>
      </c>
      <c r="C469" s="17">
        <v>46045</v>
      </c>
      <c r="D469" s="15" t="s">
        <v>1683</v>
      </c>
      <c r="E469" s="18" t="s">
        <v>537</v>
      </c>
      <c r="F469" s="19" t="s">
        <v>1684</v>
      </c>
      <c r="G469" s="18" t="s">
        <v>1685</v>
      </c>
      <c r="H469" s="20" t="s">
        <v>261</v>
      </c>
      <c r="I469" s="15">
        <v>3</v>
      </c>
      <c r="J469" s="15" t="s">
        <v>23</v>
      </c>
      <c r="K469" s="15"/>
      <c r="L469" s="21" t="s">
        <v>16</v>
      </c>
      <c r="M469" s="22">
        <v>0</v>
      </c>
      <c r="N469" s="22">
        <v>-2070</v>
      </c>
      <c r="O469" s="22">
        <v>18630</v>
      </c>
      <c r="P469" s="22">
        <v>18630</v>
      </c>
      <c r="Q469" t="str" cm="1">
        <f t="array" ref="Q469">_xlfn.TEXTJOIN("、",TRUE,IF('學員資料-三民高中'!$B$2:$B$454=$F469,'學員資料-三民高中'!$G$2:$G$454,""))</f>
        <v/>
      </c>
      <c r="R469" t="str" cm="1">
        <f t="array" ref="R469">_xlfn.TEXTJOIN("、",TRUE,IF('學員資料-新北高中'!$B$2:$B$583=$F469,'學員資料-新北高中'!$G$2:$G$583,""))</f>
        <v>0919705056</v>
      </c>
      <c r="S469" t="str" cm="1">
        <f t="array" ref="S469">_xlfn.TEXTJOIN("、",TRUE,IF('學員資料-三重商工'!$B$2:$B$472=$F469,'學員資料-三重商工'!$G$2:$G$472,""))</f>
        <v/>
      </c>
      <c r="T469">
        <f t="shared" si="7"/>
        <v>1</v>
      </c>
    </row>
    <row r="470" spans="1:20" ht="14.25" hidden="1" customHeight="1">
      <c r="A470" s="15">
        <v>469</v>
      </c>
      <c r="B470" s="16" t="s">
        <v>1686</v>
      </c>
      <c r="C470" s="17">
        <v>46044</v>
      </c>
      <c r="D470" s="15" t="s">
        <v>1687</v>
      </c>
      <c r="E470" s="18" t="s">
        <v>78</v>
      </c>
      <c r="F470" s="19" t="s">
        <v>950</v>
      </c>
      <c r="G470" s="18" t="s">
        <v>951</v>
      </c>
      <c r="H470" s="20" t="s">
        <v>52</v>
      </c>
      <c r="I470" s="15">
        <v>1</v>
      </c>
      <c r="J470" s="15" t="s">
        <v>24</v>
      </c>
      <c r="K470" s="15"/>
      <c r="L470" s="21" t="s">
        <v>16</v>
      </c>
      <c r="M470" s="22">
        <v>0</v>
      </c>
      <c r="N470" s="22">
        <v>0</v>
      </c>
      <c r="O470" s="22">
        <v>7500</v>
      </c>
      <c r="P470" s="22">
        <v>7500</v>
      </c>
      <c r="Q470" t="str" cm="1">
        <f t="array" ref="Q470">_xlfn.TEXTJOIN("、",TRUE,IF('學員資料-三民高中'!$B$2:$B$454=$F470,'學員資料-三民高中'!$G$2:$G$454,""))</f>
        <v/>
      </c>
      <c r="R470" t="str" cm="1">
        <f t="array" ref="R470">_xlfn.TEXTJOIN("、",TRUE,IF('學員資料-新北高中'!$B$2:$B$583=$F470,'學員資料-新北高中'!$G$2:$G$583,""))</f>
        <v>0975372886</v>
      </c>
      <c r="S470" t="str" cm="1">
        <f t="array" ref="S470">_xlfn.TEXTJOIN("、",TRUE,IF('學員資料-三重商工'!$B$2:$B$472=$F470,'學員資料-三重商工'!$G$2:$G$472,""))</f>
        <v/>
      </c>
      <c r="T470">
        <f t="shared" si="7"/>
        <v>1</v>
      </c>
    </row>
    <row r="471" spans="1:20" ht="14.25" hidden="1" customHeight="1">
      <c r="A471" s="15">
        <v>470</v>
      </c>
      <c r="B471" s="16" t="s">
        <v>1688</v>
      </c>
      <c r="C471" s="17">
        <v>46044</v>
      </c>
      <c r="D471" s="15" t="s">
        <v>1689</v>
      </c>
      <c r="E471" s="18" t="s">
        <v>78</v>
      </c>
      <c r="F471" s="19" t="s">
        <v>950</v>
      </c>
      <c r="G471" s="18" t="s">
        <v>951</v>
      </c>
      <c r="H471" s="20" t="s">
        <v>52</v>
      </c>
      <c r="I471" s="15">
        <v>1</v>
      </c>
      <c r="J471" s="15" t="s">
        <v>24</v>
      </c>
      <c r="K471" s="15"/>
      <c r="L471" s="21" t="s">
        <v>16</v>
      </c>
      <c r="M471" s="22">
        <v>0</v>
      </c>
      <c r="N471" s="22">
        <v>0</v>
      </c>
      <c r="O471" s="22">
        <v>7500</v>
      </c>
      <c r="P471" s="22">
        <v>7500</v>
      </c>
      <c r="Q471" t="str" cm="1">
        <f t="array" ref="Q471">_xlfn.TEXTJOIN("、",TRUE,IF('學員資料-三民高中'!$B$2:$B$454=$F471,'學員資料-三民高中'!$G$2:$G$454,""))</f>
        <v/>
      </c>
      <c r="R471" t="str" cm="1">
        <f t="array" ref="R471">_xlfn.TEXTJOIN("、",TRUE,IF('學員資料-新北高中'!$B$2:$B$583=$F471,'學員資料-新北高中'!$G$2:$G$583,""))</f>
        <v>0975372886</v>
      </c>
      <c r="S471" t="str" cm="1">
        <f t="array" ref="S471">_xlfn.TEXTJOIN("、",TRUE,IF('學員資料-三重商工'!$B$2:$B$472=$F471,'學員資料-三重商工'!$G$2:$G$472,""))</f>
        <v/>
      </c>
      <c r="T471">
        <f t="shared" si="7"/>
        <v>1</v>
      </c>
    </row>
    <row r="472" spans="1:20" ht="14.25" hidden="1" customHeight="1">
      <c r="A472" s="15">
        <v>471</v>
      </c>
      <c r="B472" s="16" t="s">
        <v>1690</v>
      </c>
      <c r="C472" s="17">
        <v>46044</v>
      </c>
      <c r="D472" s="15" t="s">
        <v>1691</v>
      </c>
      <c r="E472" s="18" t="s">
        <v>78</v>
      </c>
      <c r="F472" s="19" t="s">
        <v>950</v>
      </c>
      <c r="G472" s="18" t="s">
        <v>951</v>
      </c>
      <c r="H472" s="20" t="s">
        <v>52</v>
      </c>
      <c r="I472" s="15">
        <v>1</v>
      </c>
      <c r="J472" s="15" t="s">
        <v>24</v>
      </c>
      <c r="K472" s="15"/>
      <c r="L472" s="21" t="s">
        <v>16</v>
      </c>
      <c r="M472" s="22">
        <v>0</v>
      </c>
      <c r="N472" s="22">
        <v>-4500</v>
      </c>
      <c r="O472" s="22">
        <v>3000</v>
      </c>
      <c r="P472" s="22">
        <v>3000</v>
      </c>
      <c r="Q472" t="str" cm="1">
        <f t="array" ref="Q472">_xlfn.TEXTJOIN("、",TRUE,IF('學員資料-三民高中'!$B$2:$B$454=$F472,'學員資料-三民高中'!$G$2:$G$454,""))</f>
        <v/>
      </c>
      <c r="R472" t="str" cm="1">
        <f t="array" ref="R472">_xlfn.TEXTJOIN("、",TRUE,IF('學員資料-新北高中'!$B$2:$B$583=$F472,'學員資料-新北高中'!$G$2:$G$583,""))</f>
        <v>0975372886</v>
      </c>
      <c r="S472" t="str" cm="1">
        <f t="array" ref="S472">_xlfn.TEXTJOIN("、",TRUE,IF('學員資料-三重商工'!$B$2:$B$472=$F472,'學員資料-三重商工'!$G$2:$G$472,""))</f>
        <v/>
      </c>
      <c r="T472">
        <f t="shared" si="7"/>
        <v>1</v>
      </c>
    </row>
    <row r="473" spans="1:20" ht="14.25" hidden="1" customHeight="1">
      <c r="A473" s="15">
        <v>472</v>
      </c>
      <c r="B473" s="16" t="s">
        <v>1692</v>
      </c>
      <c r="C473" s="17">
        <v>46044</v>
      </c>
      <c r="D473" s="15" t="s">
        <v>1693</v>
      </c>
      <c r="E473" s="18" t="s">
        <v>78</v>
      </c>
      <c r="F473" s="19" t="s">
        <v>1694</v>
      </c>
      <c r="G473" s="18" t="s">
        <v>1695</v>
      </c>
      <c r="H473" s="20" t="s">
        <v>52</v>
      </c>
      <c r="I473" s="15">
        <v>1</v>
      </c>
      <c r="J473" s="15" t="s">
        <v>24</v>
      </c>
      <c r="K473" s="15"/>
      <c r="L473" s="21" t="s">
        <v>16</v>
      </c>
      <c r="M473" s="22">
        <v>0</v>
      </c>
      <c r="N473" s="22">
        <v>0</v>
      </c>
      <c r="O473" s="22">
        <v>7500</v>
      </c>
      <c r="P473" s="22">
        <v>7500</v>
      </c>
      <c r="Q473" t="str" cm="1">
        <f t="array" ref="Q473">_xlfn.TEXTJOIN("、",TRUE,IF('學員資料-三民高中'!$B$2:$B$454=$F473,'學員資料-三民高中'!$G$2:$G$454,""))</f>
        <v/>
      </c>
      <c r="R473" t="str" cm="1">
        <f t="array" ref="R473">_xlfn.TEXTJOIN("、",TRUE,IF('學員資料-新北高中'!$B$2:$B$583=$F473,'學員資料-新北高中'!$G$2:$G$583,""))</f>
        <v/>
      </c>
      <c r="S473" t="str" cm="1">
        <f t="array" ref="S473">_xlfn.TEXTJOIN("、",TRUE,IF('學員資料-三重商工'!$B$2:$B$472=$F473,'學員資料-三重商工'!$G$2:$G$472,""))</f>
        <v>0928787516</v>
      </c>
      <c r="T473">
        <f t="shared" si="7"/>
        <v>1</v>
      </c>
    </row>
    <row r="474" spans="1:20" ht="14.25" hidden="1" customHeight="1">
      <c r="A474" s="15">
        <v>473</v>
      </c>
      <c r="B474" s="16" t="s">
        <v>1696</v>
      </c>
      <c r="C474" s="17">
        <v>46044</v>
      </c>
      <c r="D474" s="15" t="s">
        <v>1697</v>
      </c>
      <c r="E474" s="18" t="s">
        <v>78</v>
      </c>
      <c r="F474" s="19" t="s">
        <v>1694</v>
      </c>
      <c r="G474" s="18" t="s">
        <v>1695</v>
      </c>
      <c r="H474" s="20" t="s">
        <v>52</v>
      </c>
      <c r="I474" s="15">
        <v>1</v>
      </c>
      <c r="J474" s="15" t="s">
        <v>24</v>
      </c>
      <c r="K474" s="15"/>
      <c r="L474" s="21" t="s">
        <v>16</v>
      </c>
      <c r="M474" s="22">
        <v>0</v>
      </c>
      <c r="N474" s="22">
        <v>0</v>
      </c>
      <c r="O474" s="22">
        <v>7500</v>
      </c>
      <c r="P474" s="22">
        <v>7500</v>
      </c>
      <c r="Q474" t="str" cm="1">
        <f t="array" ref="Q474">_xlfn.TEXTJOIN("、",TRUE,IF('學員資料-三民高中'!$B$2:$B$454=$F474,'學員資料-三民高中'!$G$2:$G$454,""))</f>
        <v/>
      </c>
      <c r="R474" t="str" cm="1">
        <f t="array" ref="R474">_xlfn.TEXTJOIN("、",TRUE,IF('學員資料-新北高中'!$B$2:$B$583=$F474,'學員資料-新北高中'!$G$2:$G$583,""))</f>
        <v/>
      </c>
      <c r="S474" t="str" cm="1">
        <f t="array" ref="S474">_xlfn.TEXTJOIN("、",TRUE,IF('學員資料-三重商工'!$B$2:$B$472=$F474,'學員資料-三重商工'!$G$2:$G$472,""))</f>
        <v>0928787516</v>
      </c>
      <c r="T474">
        <f t="shared" si="7"/>
        <v>1</v>
      </c>
    </row>
    <row r="475" spans="1:20" ht="14.25" hidden="1" customHeight="1">
      <c r="A475" s="15">
        <v>474</v>
      </c>
      <c r="B475" s="16" t="s">
        <v>1698</v>
      </c>
      <c r="C475" s="17">
        <v>46044</v>
      </c>
      <c r="D475" s="15" t="s">
        <v>1699</v>
      </c>
      <c r="E475" s="18" t="s">
        <v>78</v>
      </c>
      <c r="F475" s="19" t="s">
        <v>1694</v>
      </c>
      <c r="G475" s="18" t="s">
        <v>1695</v>
      </c>
      <c r="H475" s="20" t="s">
        <v>52</v>
      </c>
      <c r="I475" s="15">
        <v>1</v>
      </c>
      <c r="J475" s="15" t="s">
        <v>24</v>
      </c>
      <c r="K475" s="15"/>
      <c r="L475" s="21" t="s">
        <v>16</v>
      </c>
      <c r="M475" s="22">
        <v>0</v>
      </c>
      <c r="N475" s="22">
        <v>-4500</v>
      </c>
      <c r="O475" s="22">
        <v>3000</v>
      </c>
      <c r="P475" s="22">
        <v>3000</v>
      </c>
      <c r="Q475" t="str" cm="1">
        <f t="array" ref="Q475">_xlfn.TEXTJOIN("、",TRUE,IF('學員資料-三民高中'!$B$2:$B$454=$F475,'學員資料-三民高中'!$G$2:$G$454,""))</f>
        <v/>
      </c>
      <c r="R475" t="str" cm="1">
        <f t="array" ref="R475">_xlfn.TEXTJOIN("、",TRUE,IF('學員資料-新北高中'!$B$2:$B$583=$F475,'學員資料-新北高中'!$G$2:$G$583,""))</f>
        <v/>
      </c>
      <c r="S475" t="str" cm="1">
        <f t="array" ref="S475">_xlfn.TEXTJOIN("、",TRUE,IF('學員資料-三重商工'!$B$2:$B$472=$F475,'學員資料-三重商工'!$G$2:$G$472,""))</f>
        <v>0928787516</v>
      </c>
      <c r="T475">
        <f t="shared" si="7"/>
        <v>1</v>
      </c>
    </row>
    <row r="476" spans="1:20" ht="14.25" hidden="1" customHeight="1">
      <c r="A476" s="15">
        <v>475</v>
      </c>
      <c r="B476" s="16" t="s">
        <v>1700</v>
      </c>
      <c r="C476" s="17">
        <v>46044</v>
      </c>
      <c r="D476" s="15" t="s">
        <v>1701</v>
      </c>
      <c r="E476" s="18" t="s">
        <v>78</v>
      </c>
      <c r="F476" s="19" t="s">
        <v>1702</v>
      </c>
      <c r="G476" s="18" t="s">
        <v>1703</v>
      </c>
      <c r="H476" s="20" t="s">
        <v>266</v>
      </c>
      <c r="I476" s="15">
        <v>1</v>
      </c>
      <c r="J476" s="15" t="s">
        <v>24</v>
      </c>
      <c r="K476" s="15"/>
      <c r="L476" s="21" t="s">
        <v>16</v>
      </c>
      <c r="M476" s="22">
        <v>0</v>
      </c>
      <c r="N476" s="22">
        <v>0</v>
      </c>
      <c r="O476" s="22">
        <v>10800</v>
      </c>
      <c r="P476" s="22">
        <v>10800</v>
      </c>
      <c r="Q476" t="str" cm="1">
        <f t="array" ref="Q476">_xlfn.TEXTJOIN("、",TRUE,IF('學員資料-三民高中'!$B$2:$B$454=$F476,'學員資料-三民高中'!$G$2:$G$454,""))</f>
        <v/>
      </c>
      <c r="R476" t="str" cm="1">
        <f t="array" ref="R476">_xlfn.TEXTJOIN("、",TRUE,IF('學員資料-新北高中'!$B$2:$B$583=$F476,'學員資料-新北高中'!$G$2:$G$583,""))</f>
        <v>0933075099</v>
      </c>
      <c r="S476" t="str" cm="1">
        <f t="array" ref="S476">_xlfn.TEXTJOIN("、",TRUE,IF('學員資料-三重商工'!$B$2:$B$472=$F476,'學員資料-三重商工'!$G$2:$G$472,""))</f>
        <v/>
      </c>
      <c r="T476">
        <f t="shared" si="7"/>
        <v>1</v>
      </c>
    </row>
    <row r="477" spans="1:20" ht="14.25" hidden="1" customHeight="1">
      <c r="A477" s="15">
        <v>476</v>
      </c>
      <c r="B477" s="16" t="s">
        <v>1704</v>
      </c>
      <c r="C477" s="17">
        <v>46044</v>
      </c>
      <c r="D477" s="15" t="s">
        <v>1705</v>
      </c>
      <c r="E477" s="18" t="s">
        <v>78</v>
      </c>
      <c r="F477" s="19" t="s">
        <v>1702</v>
      </c>
      <c r="G477" s="18" t="s">
        <v>1703</v>
      </c>
      <c r="H477" s="20" t="s">
        <v>266</v>
      </c>
      <c r="I477" s="15">
        <v>1</v>
      </c>
      <c r="J477" s="15" t="s">
        <v>24</v>
      </c>
      <c r="K477" s="15"/>
      <c r="L477" s="21" t="s">
        <v>16</v>
      </c>
      <c r="M477" s="22">
        <v>0</v>
      </c>
      <c r="N477" s="22">
        <v>0</v>
      </c>
      <c r="O477" s="22">
        <v>10800</v>
      </c>
      <c r="P477" s="22">
        <v>10800</v>
      </c>
      <c r="Q477" t="str" cm="1">
        <f t="array" ref="Q477">_xlfn.TEXTJOIN("、",TRUE,IF('學員資料-三民高中'!$B$2:$B$454=$F477,'學員資料-三民高中'!$G$2:$G$454,""))</f>
        <v/>
      </c>
      <c r="R477" t="str" cm="1">
        <f t="array" ref="R477">_xlfn.TEXTJOIN("、",TRUE,IF('學員資料-新北高中'!$B$2:$B$583=$F477,'學員資料-新北高中'!$G$2:$G$583,""))</f>
        <v>0933075099</v>
      </c>
      <c r="S477" t="str" cm="1">
        <f t="array" ref="S477">_xlfn.TEXTJOIN("、",TRUE,IF('學員資料-三重商工'!$B$2:$B$472=$F477,'學員資料-三重商工'!$G$2:$G$472,""))</f>
        <v/>
      </c>
      <c r="T477">
        <f t="shared" si="7"/>
        <v>1</v>
      </c>
    </row>
    <row r="478" spans="1:20" ht="14.25" hidden="1" customHeight="1">
      <c r="A478" s="15">
        <v>477</v>
      </c>
      <c r="B478" s="16" t="s">
        <v>1706</v>
      </c>
      <c r="C478" s="17">
        <v>46044</v>
      </c>
      <c r="D478" s="15" t="s">
        <v>1707</v>
      </c>
      <c r="E478" s="18" t="s">
        <v>78</v>
      </c>
      <c r="F478" s="19" t="s">
        <v>1702</v>
      </c>
      <c r="G478" s="18" t="s">
        <v>1703</v>
      </c>
      <c r="H478" s="20" t="s">
        <v>266</v>
      </c>
      <c r="I478" s="15">
        <v>1</v>
      </c>
      <c r="J478" s="15" t="s">
        <v>24</v>
      </c>
      <c r="K478" s="15"/>
      <c r="L478" s="21" t="s">
        <v>16</v>
      </c>
      <c r="M478" s="22">
        <v>0</v>
      </c>
      <c r="N478" s="22">
        <v>0</v>
      </c>
      <c r="O478" s="22">
        <v>10800</v>
      </c>
      <c r="P478" s="22">
        <v>10800</v>
      </c>
      <c r="Q478" t="str" cm="1">
        <f t="array" ref="Q478">_xlfn.TEXTJOIN("、",TRUE,IF('學員資料-三民高中'!$B$2:$B$454=$F478,'學員資料-三民高中'!$G$2:$G$454,""))</f>
        <v/>
      </c>
      <c r="R478" t="str" cm="1">
        <f t="array" ref="R478">_xlfn.TEXTJOIN("、",TRUE,IF('學員資料-新北高中'!$B$2:$B$583=$F478,'學員資料-新北高中'!$G$2:$G$583,""))</f>
        <v>0933075099</v>
      </c>
      <c r="S478" t="str" cm="1">
        <f t="array" ref="S478">_xlfn.TEXTJOIN("、",TRUE,IF('學員資料-三重商工'!$B$2:$B$472=$F478,'學員資料-三重商工'!$G$2:$G$472,""))</f>
        <v/>
      </c>
      <c r="T478">
        <f t="shared" si="7"/>
        <v>1</v>
      </c>
    </row>
    <row r="479" spans="1:20" ht="14.25" hidden="1" customHeight="1">
      <c r="A479" s="15">
        <v>478</v>
      </c>
      <c r="B479" s="16" t="s">
        <v>1708</v>
      </c>
      <c r="C479" s="17">
        <v>46044</v>
      </c>
      <c r="D479" s="15" t="s">
        <v>1709</v>
      </c>
      <c r="E479" s="18" t="s">
        <v>78</v>
      </c>
      <c r="F479" s="19" t="s">
        <v>1702</v>
      </c>
      <c r="G479" s="18" t="s">
        <v>1703</v>
      </c>
      <c r="H479" s="20" t="s">
        <v>266</v>
      </c>
      <c r="I479" s="15">
        <v>1</v>
      </c>
      <c r="J479" s="15" t="s">
        <v>24</v>
      </c>
      <c r="K479" s="15"/>
      <c r="L479" s="21" t="s">
        <v>16</v>
      </c>
      <c r="M479" s="22">
        <v>0</v>
      </c>
      <c r="N479" s="22">
        <v>-5184</v>
      </c>
      <c r="O479" s="22">
        <v>5616</v>
      </c>
      <c r="P479" s="22">
        <v>5616</v>
      </c>
      <c r="Q479" t="str" cm="1">
        <f t="array" ref="Q479">_xlfn.TEXTJOIN("、",TRUE,IF('學員資料-三民高中'!$B$2:$B$454=$F479,'學員資料-三民高中'!$G$2:$G$454,""))</f>
        <v/>
      </c>
      <c r="R479" t="str" cm="1">
        <f t="array" ref="R479">_xlfn.TEXTJOIN("、",TRUE,IF('學員資料-新北高中'!$B$2:$B$583=$F479,'學員資料-新北高中'!$G$2:$G$583,""))</f>
        <v>0933075099</v>
      </c>
      <c r="S479" t="str" cm="1">
        <f t="array" ref="S479">_xlfn.TEXTJOIN("、",TRUE,IF('學員資料-三重商工'!$B$2:$B$472=$F479,'學員資料-三重商工'!$G$2:$G$472,""))</f>
        <v/>
      </c>
      <c r="T479">
        <f t="shared" si="7"/>
        <v>1</v>
      </c>
    </row>
    <row r="480" spans="1:20" ht="14.25" hidden="1" customHeight="1">
      <c r="A480" s="15">
        <v>479</v>
      </c>
      <c r="B480" s="16" t="s">
        <v>1710</v>
      </c>
      <c r="C480" s="17">
        <v>46044</v>
      </c>
      <c r="D480" s="15" t="s">
        <v>1711</v>
      </c>
      <c r="E480" s="18" t="s">
        <v>83</v>
      </c>
      <c r="F480" s="19" t="s">
        <v>1712</v>
      </c>
      <c r="G480" s="18" t="s">
        <v>1713</v>
      </c>
      <c r="H480" s="20" t="s">
        <v>130</v>
      </c>
      <c r="I480" s="15">
        <v>1</v>
      </c>
      <c r="J480" s="15" t="s">
        <v>25</v>
      </c>
      <c r="K480" s="15"/>
      <c r="L480" s="21" t="s">
        <v>16</v>
      </c>
      <c r="M480" s="22">
        <v>0</v>
      </c>
      <c r="N480" s="22">
        <v>-1188</v>
      </c>
      <c r="O480" s="22">
        <v>8712</v>
      </c>
      <c r="P480" s="22">
        <v>8712</v>
      </c>
      <c r="Q480" t="str" cm="1">
        <f t="array" ref="Q480">_xlfn.TEXTJOIN("、",TRUE,IF('學員資料-三民高中'!$B$2:$B$454=$F480,'學員資料-三民高中'!$G$2:$G$454,""))</f>
        <v/>
      </c>
      <c r="R480" t="str" cm="1">
        <f t="array" ref="R480">_xlfn.TEXTJOIN("、",TRUE,IF('學員資料-新北高中'!$B$2:$B$583=$F480,'學員資料-新北高中'!$G$2:$G$583,""))</f>
        <v/>
      </c>
      <c r="S480" t="str" cm="1">
        <f t="array" ref="S480">_xlfn.TEXTJOIN("、",TRUE,IF('學員資料-三重商工'!$B$2:$B$472=$F480,'學員資料-三重商工'!$G$2:$G$472,""))</f>
        <v>0915005905</v>
      </c>
      <c r="T480">
        <f t="shared" si="7"/>
        <v>1</v>
      </c>
    </row>
    <row r="481" spans="1:20" ht="43.5" hidden="1" customHeight="1">
      <c r="A481" s="15">
        <v>480</v>
      </c>
      <c r="B481" s="16" t="s">
        <v>1714</v>
      </c>
      <c r="C481" s="17">
        <v>46044</v>
      </c>
      <c r="D481" s="15" t="s">
        <v>1715</v>
      </c>
      <c r="E481" s="18" t="s">
        <v>83</v>
      </c>
      <c r="F481" s="19" t="s">
        <v>1716</v>
      </c>
      <c r="G481" s="18" t="s">
        <v>1717</v>
      </c>
      <c r="H481" s="20" t="s">
        <v>405</v>
      </c>
      <c r="I481" s="15">
        <v>3</v>
      </c>
      <c r="J481" s="15" t="s">
        <v>25</v>
      </c>
      <c r="K481" s="15"/>
      <c r="L481" s="21" t="s">
        <v>18</v>
      </c>
      <c r="M481" s="22">
        <v>0</v>
      </c>
      <c r="N481" s="22">
        <v>-5940</v>
      </c>
      <c r="O481" s="22">
        <v>23760</v>
      </c>
      <c r="P481" s="22">
        <v>23760</v>
      </c>
      <c r="Q481" t="str" cm="1">
        <f t="array" ref="Q481">_xlfn.TEXTJOIN("、",TRUE,IF('學員資料-三民高中'!$B$2:$B$454=$F481,'學員資料-三民高中'!$G$2:$G$454,""))</f>
        <v/>
      </c>
      <c r="R481" t="str" cm="1">
        <f t="array" ref="R481">_xlfn.TEXTJOIN("、",TRUE,IF('學員資料-新北高中'!$B$2:$B$583=$F481,'學員資料-新北高中'!$G$2:$G$583,""))</f>
        <v/>
      </c>
      <c r="S481" t="str" cm="1">
        <f t="array" ref="S481">_xlfn.TEXTJOIN("、",TRUE,IF('學員資料-三重商工'!$B$2:$B$472=$F481,'學員資料-三重商工'!$G$2:$G$472,""))</f>
        <v>0922801088</v>
      </c>
      <c r="T481">
        <f t="shared" si="7"/>
        <v>1</v>
      </c>
    </row>
    <row r="482" spans="1:20" ht="14.25" hidden="1" customHeight="1">
      <c r="A482" s="15">
        <v>481</v>
      </c>
      <c r="B482" s="16" t="s">
        <v>1718</v>
      </c>
      <c r="C482" s="17">
        <v>46043</v>
      </c>
      <c r="D482" s="15" t="s">
        <v>1719</v>
      </c>
      <c r="E482" s="18" t="s">
        <v>78</v>
      </c>
      <c r="F482" s="19" t="s">
        <v>1720</v>
      </c>
      <c r="G482" s="18" t="s">
        <v>1721</v>
      </c>
      <c r="H482" s="20" t="s">
        <v>112</v>
      </c>
      <c r="I482" s="15">
        <v>1</v>
      </c>
      <c r="J482" s="15" t="s">
        <v>23</v>
      </c>
      <c r="K482" s="15"/>
      <c r="L482" s="21" t="s">
        <v>16</v>
      </c>
      <c r="M482" s="22">
        <v>0</v>
      </c>
      <c r="N482" s="22">
        <v>-414</v>
      </c>
      <c r="O482" s="22">
        <v>7866</v>
      </c>
      <c r="P482" s="22">
        <v>7866</v>
      </c>
      <c r="Q482" t="str" cm="1">
        <f t="array" ref="Q482">_xlfn.TEXTJOIN("、",TRUE,IF('學員資料-三民高中'!$B$2:$B$454=$F482,'學員資料-三民高中'!$G$2:$G$454,""))</f>
        <v/>
      </c>
      <c r="R482" t="str" cm="1">
        <f t="array" ref="R482">_xlfn.TEXTJOIN("、",TRUE,IF('學員資料-新北高中'!$B$2:$B$583=$F482,'學員資料-新北高中'!$G$2:$G$583,""))</f>
        <v>0910462117</v>
      </c>
      <c r="S482" t="str" cm="1">
        <f t="array" ref="S482">_xlfn.TEXTJOIN("、",TRUE,IF('學員資料-三重商工'!$B$2:$B$472=$F482,'學員資料-三重商工'!$G$2:$G$472,""))</f>
        <v/>
      </c>
      <c r="T482">
        <f t="shared" si="7"/>
        <v>1</v>
      </c>
    </row>
    <row r="483" spans="1:20" ht="14.25" hidden="1" customHeight="1">
      <c r="A483" s="15">
        <v>482</v>
      </c>
      <c r="B483" s="16" t="s">
        <v>1722</v>
      </c>
      <c r="C483" s="17">
        <v>46043</v>
      </c>
      <c r="D483" s="15" t="s">
        <v>1723</v>
      </c>
      <c r="E483" s="18" t="s">
        <v>78</v>
      </c>
      <c r="F483" s="19" t="s">
        <v>1724</v>
      </c>
      <c r="G483" s="18" t="s">
        <v>1725</v>
      </c>
      <c r="H483" s="20" t="s">
        <v>47</v>
      </c>
      <c r="I483" s="15">
        <v>1</v>
      </c>
      <c r="J483" s="15" t="s">
        <v>24</v>
      </c>
      <c r="K483" s="15"/>
      <c r="L483" s="21" t="s">
        <v>16</v>
      </c>
      <c r="M483" s="22">
        <v>0</v>
      </c>
      <c r="N483" s="22">
        <v>0</v>
      </c>
      <c r="O483" s="22">
        <v>9000</v>
      </c>
      <c r="P483" s="22">
        <v>9000</v>
      </c>
      <c r="Q483" t="str" cm="1">
        <f t="array" ref="Q483">_xlfn.TEXTJOIN("、",TRUE,IF('學員資料-三民高中'!$B$2:$B$454=$F483,'學員資料-三民高中'!$G$2:$G$454,""))</f>
        <v/>
      </c>
      <c r="R483" t="str" cm="1">
        <f t="array" ref="R483">_xlfn.TEXTJOIN("、",TRUE,IF('學員資料-新北高中'!$B$2:$B$583=$F483,'學員資料-新北高中'!$G$2:$G$583,""))</f>
        <v>0937503938</v>
      </c>
      <c r="S483" t="str" cm="1">
        <f t="array" ref="S483">_xlfn.TEXTJOIN("、",TRUE,IF('學員資料-三重商工'!$B$2:$B$472=$F483,'學員資料-三重商工'!$G$2:$G$472,""))</f>
        <v/>
      </c>
      <c r="T483">
        <f t="shared" si="7"/>
        <v>1</v>
      </c>
    </row>
    <row r="484" spans="1:20" ht="14.25" hidden="1" customHeight="1">
      <c r="A484" s="15">
        <v>483</v>
      </c>
      <c r="B484" s="16" t="s">
        <v>1726</v>
      </c>
      <c r="C484" s="17">
        <v>46043</v>
      </c>
      <c r="D484" s="15" t="s">
        <v>1727</v>
      </c>
      <c r="E484" s="18" t="s">
        <v>78</v>
      </c>
      <c r="F484" s="19" t="s">
        <v>1724</v>
      </c>
      <c r="G484" s="18" t="s">
        <v>1725</v>
      </c>
      <c r="H484" s="20" t="s">
        <v>47</v>
      </c>
      <c r="I484" s="15">
        <v>1</v>
      </c>
      <c r="J484" s="15" t="s">
        <v>24</v>
      </c>
      <c r="K484" s="15"/>
      <c r="L484" s="21" t="s">
        <v>16</v>
      </c>
      <c r="M484" s="22">
        <v>0</v>
      </c>
      <c r="N484" s="22">
        <v>0</v>
      </c>
      <c r="O484" s="22">
        <v>9000</v>
      </c>
      <c r="P484" s="22">
        <v>9000</v>
      </c>
      <c r="Q484" t="str" cm="1">
        <f t="array" ref="Q484">_xlfn.TEXTJOIN("、",TRUE,IF('學員資料-三民高中'!$B$2:$B$454=$F484,'學員資料-三民高中'!$G$2:$G$454,""))</f>
        <v/>
      </c>
      <c r="R484" t="str" cm="1">
        <f t="array" ref="R484">_xlfn.TEXTJOIN("、",TRUE,IF('學員資料-新北高中'!$B$2:$B$583=$F484,'學員資料-新北高中'!$G$2:$G$583,""))</f>
        <v>0937503938</v>
      </c>
      <c r="S484" t="str" cm="1">
        <f t="array" ref="S484">_xlfn.TEXTJOIN("、",TRUE,IF('學員資料-三重商工'!$B$2:$B$472=$F484,'學員資料-三重商工'!$G$2:$G$472,""))</f>
        <v/>
      </c>
      <c r="T484">
        <f t="shared" si="7"/>
        <v>1</v>
      </c>
    </row>
    <row r="485" spans="1:20" ht="14.25" hidden="1" customHeight="1">
      <c r="A485" s="15">
        <v>484</v>
      </c>
      <c r="B485" s="16" t="s">
        <v>1728</v>
      </c>
      <c r="C485" s="17">
        <v>46043</v>
      </c>
      <c r="D485" s="15" t="s">
        <v>1729</v>
      </c>
      <c r="E485" s="18" t="s">
        <v>78</v>
      </c>
      <c r="F485" s="19" t="s">
        <v>1724</v>
      </c>
      <c r="G485" s="18" t="s">
        <v>1725</v>
      </c>
      <c r="H485" s="20" t="s">
        <v>47</v>
      </c>
      <c r="I485" s="15">
        <v>1</v>
      </c>
      <c r="J485" s="15" t="s">
        <v>24</v>
      </c>
      <c r="K485" s="15"/>
      <c r="L485" s="21" t="s">
        <v>16</v>
      </c>
      <c r="M485" s="22">
        <v>0</v>
      </c>
      <c r="N485" s="22">
        <v>-5400</v>
      </c>
      <c r="O485" s="22">
        <v>3600</v>
      </c>
      <c r="P485" s="22">
        <v>3600</v>
      </c>
      <c r="Q485" t="str" cm="1">
        <f t="array" ref="Q485">_xlfn.TEXTJOIN("、",TRUE,IF('學員資料-三民高中'!$B$2:$B$454=$F485,'學員資料-三民高中'!$G$2:$G$454,""))</f>
        <v/>
      </c>
      <c r="R485" t="str" cm="1">
        <f t="array" ref="R485">_xlfn.TEXTJOIN("、",TRUE,IF('學員資料-新北高中'!$B$2:$B$583=$F485,'學員資料-新北高中'!$G$2:$G$583,""))</f>
        <v>0937503938</v>
      </c>
      <c r="S485" t="str" cm="1">
        <f t="array" ref="S485">_xlfn.TEXTJOIN("、",TRUE,IF('學員資料-三重商工'!$B$2:$B$472=$F485,'學員資料-三重商工'!$G$2:$G$472,""))</f>
        <v/>
      </c>
      <c r="T485">
        <f t="shared" si="7"/>
        <v>1</v>
      </c>
    </row>
    <row r="486" spans="1:20" ht="14.25" hidden="1" customHeight="1">
      <c r="A486" s="15">
        <v>485</v>
      </c>
      <c r="B486" s="16" t="s">
        <v>1730</v>
      </c>
      <c r="C486" s="17">
        <v>46043</v>
      </c>
      <c r="D486" s="15" t="s">
        <v>1731</v>
      </c>
      <c r="E486" s="18" t="s">
        <v>78</v>
      </c>
      <c r="F486" s="19" t="s">
        <v>1732</v>
      </c>
      <c r="G486" s="18" t="s">
        <v>1733</v>
      </c>
      <c r="H486" s="20" t="s">
        <v>683</v>
      </c>
      <c r="I486" s="15">
        <v>1</v>
      </c>
      <c r="J486" s="15" t="s">
        <v>23</v>
      </c>
      <c r="K486" s="15"/>
      <c r="L486" s="21" t="s">
        <v>16</v>
      </c>
      <c r="M486" s="22">
        <v>0</v>
      </c>
      <c r="N486" s="22">
        <v>0</v>
      </c>
      <c r="O486" s="22">
        <v>9000</v>
      </c>
      <c r="P486" s="22">
        <v>9000</v>
      </c>
      <c r="Q486" t="str" cm="1">
        <f t="array" ref="Q486">_xlfn.TEXTJOIN("、",TRUE,IF('學員資料-三民高中'!$B$2:$B$454=$F486,'學員資料-三民高中'!$G$2:$G$454,""))</f>
        <v/>
      </c>
      <c r="R486" t="str" cm="1">
        <f t="array" ref="R486">_xlfn.TEXTJOIN("、",TRUE,IF('學員資料-新北高中'!$B$2:$B$583=$F486,'學員資料-新北高中'!$G$2:$G$583,""))</f>
        <v>0970217777</v>
      </c>
      <c r="S486" t="str" cm="1">
        <f t="array" ref="S486">_xlfn.TEXTJOIN("、",TRUE,IF('學員資料-三重商工'!$B$2:$B$472=$F486,'學員資料-三重商工'!$G$2:$G$472,""))</f>
        <v/>
      </c>
      <c r="T486">
        <f t="shared" si="7"/>
        <v>1</v>
      </c>
    </row>
    <row r="487" spans="1:20" ht="14.25" hidden="1" customHeight="1">
      <c r="A487" s="15">
        <v>486</v>
      </c>
      <c r="B487" s="16" t="s">
        <v>1734</v>
      </c>
      <c r="C487" s="17">
        <v>46042</v>
      </c>
      <c r="D487" s="15" t="s">
        <v>1735</v>
      </c>
      <c r="E487" s="18" t="s">
        <v>83</v>
      </c>
      <c r="F487" s="19" t="s">
        <v>1736</v>
      </c>
      <c r="G487" s="18" t="s">
        <v>1737</v>
      </c>
      <c r="H487" s="20" t="s">
        <v>130</v>
      </c>
      <c r="I487" s="15">
        <v>1</v>
      </c>
      <c r="J487" s="15" t="s">
        <v>25</v>
      </c>
      <c r="K487" s="15"/>
      <c r="L487" s="21" t="s">
        <v>16</v>
      </c>
      <c r="M487" s="22">
        <v>0</v>
      </c>
      <c r="N487" s="22">
        <v>-3036</v>
      </c>
      <c r="O487" s="22">
        <v>6864</v>
      </c>
      <c r="P487" s="22">
        <v>6864</v>
      </c>
      <c r="Q487" t="str" cm="1">
        <f t="array" ref="Q487">_xlfn.TEXTJOIN("、",TRUE,IF('學員資料-三民高中'!$B$2:$B$454=$F487,'學員資料-三民高中'!$G$2:$G$454,""))</f>
        <v/>
      </c>
      <c r="R487" t="str" cm="1">
        <f t="array" ref="R487">_xlfn.TEXTJOIN("、",TRUE,IF('學員資料-新北高中'!$B$2:$B$583=$F487,'學員資料-新北高中'!$G$2:$G$583,""))</f>
        <v/>
      </c>
      <c r="S487" t="str" cm="1">
        <f t="array" ref="S487">_xlfn.TEXTJOIN("、",TRUE,IF('學員資料-三重商工'!$B$2:$B$472=$F487,'學員資料-三重商工'!$G$2:$G$472,""))</f>
        <v>0952189532</v>
      </c>
      <c r="T487">
        <f t="shared" si="7"/>
        <v>1</v>
      </c>
    </row>
    <row r="488" spans="1:20" ht="14.25" hidden="1" customHeight="1">
      <c r="A488" s="15">
        <v>487</v>
      </c>
      <c r="B488" s="16" t="s">
        <v>1738</v>
      </c>
      <c r="C488" s="17">
        <v>46042</v>
      </c>
      <c r="D488" s="15" t="s">
        <v>1739</v>
      </c>
      <c r="E488" s="18" t="s">
        <v>83</v>
      </c>
      <c r="F488" s="19" t="s">
        <v>1740</v>
      </c>
      <c r="G488" s="18" t="s">
        <v>1741</v>
      </c>
      <c r="H488" s="20" t="s">
        <v>130</v>
      </c>
      <c r="I488" s="15">
        <v>1</v>
      </c>
      <c r="J488" s="15" t="s">
        <v>25</v>
      </c>
      <c r="K488" s="15"/>
      <c r="L488" s="21" t="s">
        <v>18</v>
      </c>
      <c r="M488" s="22">
        <v>0</v>
      </c>
      <c r="N488" s="22">
        <v>-1188</v>
      </c>
      <c r="O488" s="22">
        <v>8712</v>
      </c>
      <c r="P488" s="22">
        <v>8712</v>
      </c>
      <c r="Q488" t="str" cm="1">
        <f t="array" ref="Q488">_xlfn.TEXTJOIN("、",TRUE,IF('學員資料-三民高中'!$B$2:$B$454=$F488,'學員資料-三民高中'!$G$2:$G$454,""))</f>
        <v/>
      </c>
      <c r="R488" t="str" cm="1">
        <f t="array" ref="R488">_xlfn.TEXTJOIN("、",TRUE,IF('學員資料-新北高中'!$B$2:$B$583=$F488,'學員資料-新北高中'!$G$2:$G$583,""))</f>
        <v>0960755204</v>
      </c>
      <c r="S488" t="str" cm="1">
        <f t="array" ref="S488">_xlfn.TEXTJOIN("、",TRUE,IF('學員資料-三重商工'!$B$2:$B$472=$F488,'學員資料-三重商工'!$G$2:$G$472,""))</f>
        <v/>
      </c>
      <c r="T488">
        <f t="shared" si="7"/>
        <v>1</v>
      </c>
    </row>
    <row r="489" spans="1:20" ht="14.25" hidden="1" customHeight="1">
      <c r="A489" s="15">
        <v>488</v>
      </c>
      <c r="B489" s="16" t="s">
        <v>1742</v>
      </c>
      <c r="C489" s="17">
        <v>46041</v>
      </c>
      <c r="D489" s="15" t="s">
        <v>1743</v>
      </c>
      <c r="E489" s="18" t="s">
        <v>83</v>
      </c>
      <c r="F489" s="19" t="s">
        <v>1744</v>
      </c>
      <c r="G489" s="18" t="s">
        <v>1745</v>
      </c>
      <c r="H489" s="20" t="s">
        <v>52</v>
      </c>
      <c r="I489" s="15">
        <v>1</v>
      </c>
      <c r="J489" s="15" t="s">
        <v>24</v>
      </c>
      <c r="K489" s="15"/>
      <c r="L489" s="21" t="s">
        <v>18</v>
      </c>
      <c r="M489" s="22">
        <v>0</v>
      </c>
      <c r="N489" s="22">
        <v>-900</v>
      </c>
      <c r="O489" s="22">
        <v>6600</v>
      </c>
      <c r="P489" s="22">
        <v>6600</v>
      </c>
      <c r="Q489" t="str" cm="1">
        <f t="array" ref="Q489">_xlfn.TEXTJOIN("、",TRUE,IF('學員資料-三民高中'!$B$2:$B$454=$F489,'學員資料-三民高中'!$G$2:$G$454,""))</f>
        <v/>
      </c>
      <c r="R489" t="str" cm="1">
        <f t="array" ref="R489">_xlfn.TEXTJOIN("、",TRUE,IF('學員資料-新北高中'!$B$2:$B$583=$F489,'學員資料-新北高中'!$G$2:$G$583,""))</f>
        <v/>
      </c>
      <c r="S489" t="str" cm="1">
        <f t="array" ref="S489">_xlfn.TEXTJOIN("、",TRUE,IF('學員資料-三重商工'!$B$2:$B$472=$F489,'學員資料-三重商工'!$G$2:$G$472,""))</f>
        <v>0926882435</v>
      </c>
      <c r="T489">
        <f t="shared" si="7"/>
        <v>1</v>
      </c>
    </row>
    <row r="490" spans="1:20" ht="43.5" hidden="1" customHeight="1">
      <c r="A490" s="15">
        <v>489</v>
      </c>
      <c r="B490" s="16" t="s">
        <v>1746</v>
      </c>
      <c r="C490" s="17">
        <v>46041</v>
      </c>
      <c r="D490" s="15" t="s">
        <v>1747</v>
      </c>
      <c r="E490" s="18" t="s">
        <v>83</v>
      </c>
      <c r="F490" s="19" t="s">
        <v>1748</v>
      </c>
      <c r="G490" s="18" t="s">
        <v>1749</v>
      </c>
      <c r="H490" s="20" t="s">
        <v>261</v>
      </c>
      <c r="I490" s="15">
        <v>3</v>
      </c>
      <c r="J490" s="15" t="s">
        <v>23</v>
      </c>
      <c r="K490" s="15"/>
      <c r="L490" s="21" t="s">
        <v>18</v>
      </c>
      <c r="M490" s="22">
        <v>0</v>
      </c>
      <c r="N490" s="22">
        <v>-2070</v>
      </c>
      <c r="O490" s="22">
        <v>18630</v>
      </c>
      <c r="P490" s="22">
        <v>18630</v>
      </c>
      <c r="Q490" t="str" cm="1">
        <f t="array" ref="Q490">_xlfn.TEXTJOIN("、",TRUE,IF('學員資料-三民高中'!$B$2:$B$454=$F490,'學員資料-三民高中'!$G$2:$G$454,""))</f>
        <v/>
      </c>
      <c r="R490" t="str" cm="1">
        <f t="array" ref="R490">_xlfn.TEXTJOIN("、",TRUE,IF('學員資料-新北高中'!$B$2:$B$583=$F490,'學員資料-新北高中'!$G$2:$G$583,""))</f>
        <v/>
      </c>
      <c r="S490" t="str" cm="1">
        <f t="array" ref="S490">_xlfn.TEXTJOIN("、",TRUE,IF('學員資料-三重商工'!$B$2:$B$472=$F490,'學員資料-三重商工'!$G$2:$G$472,""))</f>
        <v>0916878007</v>
      </c>
      <c r="T490">
        <f t="shared" si="7"/>
        <v>1</v>
      </c>
    </row>
    <row r="491" spans="1:20" ht="43.5" hidden="1" customHeight="1">
      <c r="A491" s="15">
        <v>490</v>
      </c>
      <c r="B491" s="16" t="s">
        <v>1750</v>
      </c>
      <c r="C491" s="17">
        <v>46041</v>
      </c>
      <c r="D491" s="15" t="s">
        <v>1751</v>
      </c>
      <c r="E491" s="18" t="s">
        <v>83</v>
      </c>
      <c r="F491" s="19" t="s">
        <v>1752</v>
      </c>
      <c r="G491" s="18" t="s">
        <v>1753</v>
      </c>
      <c r="H491" s="20" t="s">
        <v>436</v>
      </c>
      <c r="I491" s="15">
        <v>3</v>
      </c>
      <c r="J491" s="15" t="s">
        <v>24</v>
      </c>
      <c r="K491" s="15"/>
      <c r="L491" s="21" t="s">
        <v>16</v>
      </c>
      <c r="M491" s="22">
        <v>0</v>
      </c>
      <c r="N491" s="22">
        <v>-4500</v>
      </c>
      <c r="O491" s="22">
        <v>18000</v>
      </c>
      <c r="P491" s="22">
        <v>18000</v>
      </c>
      <c r="Q491" t="str" cm="1">
        <f t="array" ref="Q491">_xlfn.TEXTJOIN("、",TRUE,IF('學員資料-三民高中'!$B$2:$B$454=$F491,'學員資料-三民高中'!$G$2:$G$454,""))</f>
        <v/>
      </c>
      <c r="R491" t="str" cm="1">
        <f t="array" ref="R491">_xlfn.TEXTJOIN("、",TRUE,IF('學員資料-新北高中'!$B$2:$B$583=$F491,'學員資料-新北高中'!$G$2:$G$583,""))</f>
        <v/>
      </c>
      <c r="S491" t="str" cm="1">
        <f t="array" ref="S491">_xlfn.TEXTJOIN("、",TRUE,IF('學員資料-三重商工'!$B$2:$B$472=$F491,'學員資料-三重商工'!$G$2:$G$472,""))</f>
        <v>0922825253</v>
      </c>
      <c r="T491">
        <f t="shared" si="7"/>
        <v>1</v>
      </c>
    </row>
    <row r="492" spans="1:20" ht="87" hidden="1" customHeight="1">
      <c r="A492" s="15">
        <v>491</v>
      </c>
      <c r="B492" s="16" t="s">
        <v>1754</v>
      </c>
      <c r="C492" s="17">
        <v>46041</v>
      </c>
      <c r="D492" s="15" t="s">
        <v>1755</v>
      </c>
      <c r="E492" s="18" t="s">
        <v>83</v>
      </c>
      <c r="F492" s="19" t="s">
        <v>1756</v>
      </c>
      <c r="G492" s="18" t="s">
        <v>1757</v>
      </c>
      <c r="H492" s="20" t="s">
        <v>1758</v>
      </c>
      <c r="I492" s="15">
        <v>6</v>
      </c>
      <c r="J492" s="15" t="s">
        <v>24</v>
      </c>
      <c r="K492" s="15"/>
      <c r="L492" s="21" t="s">
        <v>18</v>
      </c>
      <c r="M492" s="22">
        <v>0</v>
      </c>
      <c r="N492" s="22">
        <v>-9000</v>
      </c>
      <c r="O492" s="22">
        <v>36000</v>
      </c>
      <c r="P492" s="22">
        <v>36000</v>
      </c>
      <c r="Q492" t="str" cm="1">
        <f t="array" ref="Q492">_xlfn.TEXTJOIN("、",TRUE,IF('學員資料-三民高中'!$B$2:$B$454=$F492,'學員資料-三民高中'!$G$2:$G$454,""))</f>
        <v/>
      </c>
      <c r="R492" t="str" cm="1">
        <f t="array" ref="R492">_xlfn.TEXTJOIN("、",TRUE,IF('學員資料-新北高中'!$B$2:$B$583=$F492,'學員資料-新北高中'!$G$2:$G$583,""))</f>
        <v/>
      </c>
      <c r="S492" t="str" cm="1">
        <f t="array" ref="S492">_xlfn.TEXTJOIN("、",TRUE,IF('學員資料-三重商工'!$B$2:$B$472=$F492,'學員資料-三重商工'!$G$2:$G$472,""))</f>
        <v>0975650503</v>
      </c>
      <c r="T492">
        <f t="shared" si="7"/>
        <v>1</v>
      </c>
    </row>
    <row r="493" spans="1:20" ht="14.25" hidden="1" customHeight="1">
      <c r="A493" s="15">
        <v>492</v>
      </c>
      <c r="B493" s="16" t="s">
        <v>1759</v>
      </c>
      <c r="C493" s="17">
        <v>46041</v>
      </c>
      <c r="D493" s="15" t="s">
        <v>1760</v>
      </c>
      <c r="E493" s="18" t="s">
        <v>78</v>
      </c>
      <c r="F493" s="19" t="s">
        <v>1761</v>
      </c>
      <c r="G493" s="18" t="s">
        <v>1762</v>
      </c>
      <c r="H493" s="20" t="s">
        <v>52</v>
      </c>
      <c r="I493" s="15">
        <v>1</v>
      </c>
      <c r="J493" s="15" t="s">
        <v>24</v>
      </c>
      <c r="K493" s="15"/>
      <c r="L493" s="21" t="s">
        <v>16</v>
      </c>
      <c r="M493" s="22">
        <v>0</v>
      </c>
      <c r="N493" s="22">
        <v>0</v>
      </c>
      <c r="O493" s="22">
        <v>7500</v>
      </c>
      <c r="P493" s="22">
        <v>7500</v>
      </c>
      <c r="Q493" t="str" cm="1">
        <f t="array" ref="Q493">_xlfn.TEXTJOIN("、",TRUE,IF('學員資料-三民高中'!$B$2:$B$454=$F493,'學員資料-三民高中'!$G$2:$G$454,""))</f>
        <v/>
      </c>
      <c r="R493" t="str" cm="1">
        <f t="array" ref="R493">_xlfn.TEXTJOIN("、",TRUE,IF('學員資料-新北高中'!$B$2:$B$583=$F493,'學員資料-新北高中'!$G$2:$G$583,""))</f>
        <v>0918491807</v>
      </c>
      <c r="S493" t="str" cm="1">
        <f t="array" ref="S493">_xlfn.TEXTJOIN("、",TRUE,IF('學員資料-三重商工'!$B$2:$B$472=$F493,'學員資料-三重商工'!$G$2:$G$472,""))</f>
        <v/>
      </c>
      <c r="T493">
        <f t="shared" si="7"/>
        <v>1</v>
      </c>
    </row>
    <row r="494" spans="1:20" ht="14.25" hidden="1" customHeight="1">
      <c r="A494" s="15">
        <v>493</v>
      </c>
      <c r="B494" s="16" t="s">
        <v>1763</v>
      </c>
      <c r="C494" s="17">
        <v>46041</v>
      </c>
      <c r="D494" s="15" t="s">
        <v>1764</v>
      </c>
      <c r="E494" s="18" t="s">
        <v>78</v>
      </c>
      <c r="F494" s="19" t="s">
        <v>1761</v>
      </c>
      <c r="G494" s="18" t="s">
        <v>1762</v>
      </c>
      <c r="H494" s="20" t="s">
        <v>52</v>
      </c>
      <c r="I494" s="15">
        <v>1</v>
      </c>
      <c r="J494" s="15" t="s">
        <v>24</v>
      </c>
      <c r="K494" s="15"/>
      <c r="L494" s="21" t="s">
        <v>16</v>
      </c>
      <c r="M494" s="22">
        <v>0</v>
      </c>
      <c r="N494" s="22">
        <v>0</v>
      </c>
      <c r="O494" s="22">
        <v>7500</v>
      </c>
      <c r="P494" s="22">
        <v>7500</v>
      </c>
      <c r="Q494" t="str" cm="1">
        <f t="array" ref="Q494">_xlfn.TEXTJOIN("、",TRUE,IF('學員資料-三民高中'!$B$2:$B$454=$F494,'學員資料-三民高中'!$G$2:$G$454,""))</f>
        <v/>
      </c>
      <c r="R494" t="str" cm="1">
        <f t="array" ref="R494">_xlfn.TEXTJOIN("、",TRUE,IF('學員資料-新北高中'!$B$2:$B$583=$F494,'學員資料-新北高中'!$G$2:$G$583,""))</f>
        <v>0918491807</v>
      </c>
      <c r="S494" t="str" cm="1">
        <f t="array" ref="S494">_xlfn.TEXTJOIN("、",TRUE,IF('學員資料-三重商工'!$B$2:$B$472=$F494,'學員資料-三重商工'!$G$2:$G$472,""))</f>
        <v/>
      </c>
      <c r="T494">
        <f t="shared" si="7"/>
        <v>1</v>
      </c>
    </row>
    <row r="495" spans="1:20" ht="14.25" hidden="1" customHeight="1">
      <c r="A495" s="15">
        <v>494</v>
      </c>
      <c r="B495" s="16" t="s">
        <v>1765</v>
      </c>
      <c r="C495" s="17">
        <v>46041</v>
      </c>
      <c r="D495" s="15" t="s">
        <v>1766</v>
      </c>
      <c r="E495" s="18" t="s">
        <v>78</v>
      </c>
      <c r="F495" s="19" t="s">
        <v>1761</v>
      </c>
      <c r="G495" s="18" t="s">
        <v>1762</v>
      </c>
      <c r="H495" s="20" t="s">
        <v>52</v>
      </c>
      <c r="I495" s="15">
        <v>1</v>
      </c>
      <c r="J495" s="15" t="s">
        <v>24</v>
      </c>
      <c r="K495" s="15"/>
      <c r="L495" s="21" t="s">
        <v>16</v>
      </c>
      <c r="M495" s="22">
        <v>0</v>
      </c>
      <c r="N495" s="22">
        <v>-4500</v>
      </c>
      <c r="O495" s="22">
        <v>3000</v>
      </c>
      <c r="P495" s="22">
        <v>3000</v>
      </c>
      <c r="Q495" t="str" cm="1">
        <f t="array" ref="Q495">_xlfn.TEXTJOIN("、",TRUE,IF('學員資料-三民高中'!$B$2:$B$454=$F495,'學員資料-三民高中'!$G$2:$G$454,""))</f>
        <v/>
      </c>
      <c r="R495" t="str" cm="1">
        <f t="array" ref="R495">_xlfn.TEXTJOIN("、",TRUE,IF('學員資料-新北高中'!$B$2:$B$583=$F495,'學員資料-新北高中'!$G$2:$G$583,""))</f>
        <v>0918491807</v>
      </c>
      <c r="S495" t="str" cm="1">
        <f t="array" ref="S495">_xlfn.TEXTJOIN("、",TRUE,IF('學員資料-三重商工'!$B$2:$B$472=$F495,'學員資料-三重商工'!$G$2:$G$472,""))</f>
        <v/>
      </c>
      <c r="T495">
        <f t="shared" si="7"/>
        <v>1</v>
      </c>
    </row>
    <row r="496" spans="1:20" ht="14.25" customHeight="1">
      <c r="A496" s="15">
        <v>495</v>
      </c>
      <c r="B496" s="16" t="s">
        <v>1767</v>
      </c>
      <c r="C496" s="17">
        <v>46041</v>
      </c>
      <c r="D496" s="15" t="s">
        <v>1768</v>
      </c>
      <c r="E496" s="18" t="s">
        <v>78</v>
      </c>
      <c r="F496" s="19" t="s">
        <v>866</v>
      </c>
      <c r="G496" s="18" t="s">
        <v>867</v>
      </c>
      <c r="H496" s="20" t="s">
        <v>66</v>
      </c>
      <c r="I496" s="15">
        <v>1</v>
      </c>
      <c r="J496" s="15" t="s">
        <v>23</v>
      </c>
      <c r="K496" s="15"/>
      <c r="L496" s="21" t="s">
        <v>16</v>
      </c>
      <c r="M496" s="22">
        <v>0</v>
      </c>
      <c r="N496" s="22">
        <v>-345</v>
      </c>
      <c r="O496" s="22">
        <v>6555</v>
      </c>
      <c r="P496" s="22">
        <v>6555</v>
      </c>
      <c r="Q496" t="str" cm="1">
        <f t="array" ref="Q496">_xlfn.TEXTJOIN("、",TRUE,IF('學員資料-三民高中'!$B$2:$B$454=$F496,'學員資料-三民高中'!$G$2:$G$454,""))</f>
        <v/>
      </c>
      <c r="R496" t="str" cm="1">
        <f t="array" ref="R496">_xlfn.TEXTJOIN("、",TRUE,IF('學員資料-新北高中'!$B$2:$B$583=$F496,'學員資料-新北高中'!$G$2:$G$583,""))</f>
        <v/>
      </c>
      <c r="S496" t="str" cm="1">
        <f t="array" ref="S496">_xlfn.TEXTJOIN("、",TRUE,IF('學員資料-三重商工'!$B$2:$B$472=$F496,'學員資料-三重商工'!$G$2:$G$472,""))</f>
        <v/>
      </c>
      <c r="T496">
        <f t="shared" si="7"/>
        <v>0</v>
      </c>
    </row>
    <row r="497" spans="1:20" ht="14.25" hidden="1" customHeight="1">
      <c r="A497" s="15">
        <v>496</v>
      </c>
      <c r="B497" s="16" t="s">
        <v>1769</v>
      </c>
      <c r="C497" s="17">
        <v>46040</v>
      </c>
      <c r="D497" s="15" t="s">
        <v>1770</v>
      </c>
      <c r="E497" s="18" t="s">
        <v>78</v>
      </c>
      <c r="F497" s="19" t="s">
        <v>778</v>
      </c>
      <c r="G497" s="18" t="s">
        <v>779</v>
      </c>
      <c r="H497" s="20" t="s">
        <v>52</v>
      </c>
      <c r="I497" s="15">
        <v>1</v>
      </c>
      <c r="J497" s="15" t="s">
        <v>24</v>
      </c>
      <c r="K497" s="15"/>
      <c r="L497" s="21" t="s">
        <v>16</v>
      </c>
      <c r="M497" s="22">
        <v>0</v>
      </c>
      <c r="N497" s="22">
        <v>0</v>
      </c>
      <c r="O497" s="22">
        <v>7500</v>
      </c>
      <c r="P497" s="22">
        <v>7500</v>
      </c>
      <c r="Q497" t="str" cm="1">
        <f t="array" ref="Q497">_xlfn.TEXTJOIN("、",TRUE,IF('學員資料-三民高中'!$B$2:$B$454=$F497,'學員資料-三民高中'!$G$2:$G$454,""))</f>
        <v/>
      </c>
      <c r="R497" t="str" cm="1">
        <f t="array" ref="R497">_xlfn.TEXTJOIN("、",TRUE,IF('學員資料-新北高中'!$B$2:$B$583=$F497,'學員資料-新北高中'!$G$2:$G$583,""))</f>
        <v>0972103256</v>
      </c>
      <c r="S497" t="str" cm="1">
        <f t="array" ref="S497">_xlfn.TEXTJOIN("、",TRUE,IF('學員資料-三重商工'!$B$2:$B$472=$F497,'學員資料-三重商工'!$G$2:$G$472,""))</f>
        <v/>
      </c>
      <c r="T497">
        <f t="shared" si="7"/>
        <v>1</v>
      </c>
    </row>
    <row r="498" spans="1:20" ht="28.5" hidden="1" customHeight="1">
      <c r="A498" s="15">
        <v>497</v>
      </c>
      <c r="B498" s="16" t="s">
        <v>1771</v>
      </c>
      <c r="C498" s="17">
        <v>46040</v>
      </c>
      <c r="D498" s="15" t="s">
        <v>1772</v>
      </c>
      <c r="E498" s="18" t="s">
        <v>763</v>
      </c>
      <c r="F498" s="19" t="s">
        <v>1773</v>
      </c>
      <c r="G498" s="18" t="s">
        <v>1774</v>
      </c>
      <c r="H498" s="20" t="s">
        <v>75</v>
      </c>
      <c r="I498" s="15">
        <v>2</v>
      </c>
      <c r="J498" s="15" t="s">
        <v>23</v>
      </c>
      <c r="K498" s="15"/>
      <c r="L498" s="21" t="s">
        <v>16</v>
      </c>
      <c r="M498" s="22">
        <v>0</v>
      </c>
      <c r="N498" s="22">
        <v>-2070</v>
      </c>
      <c r="O498" s="22">
        <v>11730</v>
      </c>
      <c r="P498" s="22">
        <v>11730</v>
      </c>
      <c r="Q498" t="str" cm="1">
        <f t="array" ref="Q498">_xlfn.TEXTJOIN("、",TRUE,IF('學員資料-三民高中'!$B$2:$B$454=$F498,'學員資料-三民高中'!$G$2:$G$454,""))</f>
        <v>0928514787</v>
      </c>
      <c r="R498" t="str" cm="1">
        <f t="array" ref="R498">_xlfn.TEXTJOIN("、",TRUE,IF('學員資料-新北高中'!$B$2:$B$583=$F498,'學員資料-新北高中'!$G$2:$G$583,""))</f>
        <v/>
      </c>
      <c r="S498" t="str" cm="1">
        <f t="array" ref="S498">_xlfn.TEXTJOIN("、",TRUE,IF('學員資料-三重商工'!$B$2:$B$472=$F498,'學員資料-三重商工'!$G$2:$G$472,""))</f>
        <v/>
      </c>
      <c r="T498">
        <f t="shared" si="7"/>
        <v>1</v>
      </c>
    </row>
    <row r="499" spans="1:20" ht="72" hidden="1" customHeight="1">
      <c r="A499" s="15">
        <v>498</v>
      </c>
      <c r="B499" s="16" t="s">
        <v>1775</v>
      </c>
      <c r="C499" s="17">
        <v>46040</v>
      </c>
      <c r="D499" s="15" t="s">
        <v>1776</v>
      </c>
      <c r="E499" s="18" t="s">
        <v>44</v>
      </c>
      <c r="F499" s="19" t="s">
        <v>1740</v>
      </c>
      <c r="G499" s="18" t="s">
        <v>1741</v>
      </c>
      <c r="H499" s="20" t="s">
        <v>1581</v>
      </c>
      <c r="I499" s="15">
        <v>5</v>
      </c>
      <c r="J499" s="15" t="s">
        <v>25</v>
      </c>
      <c r="K499" s="15"/>
      <c r="L499" s="21" t="s">
        <v>16</v>
      </c>
      <c r="M499" s="22">
        <v>0</v>
      </c>
      <c r="N499" s="22">
        <v>-9900</v>
      </c>
      <c r="O499" s="22">
        <v>39600</v>
      </c>
      <c r="P499" s="22">
        <v>39600</v>
      </c>
      <c r="Q499" t="str" cm="1">
        <f t="array" ref="Q499">_xlfn.TEXTJOIN("、",TRUE,IF('學員資料-三民高中'!$B$2:$B$454=$F499,'學員資料-三民高中'!$G$2:$G$454,""))</f>
        <v/>
      </c>
      <c r="R499" t="str" cm="1">
        <f t="array" ref="R499">_xlfn.TEXTJOIN("、",TRUE,IF('學員資料-新北高中'!$B$2:$B$583=$F499,'學員資料-新北高中'!$G$2:$G$583,""))</f>
        <v>0960755204</v>
      </c>
      <c r="S499" t="str" cm="1">
        <f t="array" ref="S499">_xlfn.TEXTJOIN("、",TRUE,IF('學員資料-三重商工'!$B$2:$B$472=$F499,'學員資料-三重商工'!$G$2:$G$472,""))</f>
        <v/>
      </c>
      <c r="T499">
        <f t="shared" si="7"/>
        <v>1</v>
      </c>
    </row>
    <row r="500" spans="1:20" ht="72" hidden="1" customHeight="1">
      <c r="A500" s="15">
        <v>499</v>
      </c>
      <c r="B500" s="16" t="s">
        <v>1777</v>
      </c>
      <c r="C500" s="17">
        <v>46040</v>
      </c>
      <c r="D500" s="15" t="s">
        <v>1778</v>
      </c>
      <c r="E500" s="18" t="s">
        <v>44</v>
      </c>
      <c r="F500" s="19" t="s">
        <v>1779</v>
      </c>
      <c r="G500" s="18" t="s">
        <v>1780</v>
      </c>
      <c r="H500" s="20" t="s">
        <v>414</v>
      </c>
      <c r="I500" s="15">
        <v>5</v>
      </c>
      <c r="J500" s="15" t="s">
        <v>24</v>
      </c>
      <c r="K500" s="15"/>
      <c r="L500" s="21" t="s">
        <v>16</v>
      </c>
      <c r="M500" s="22">
        <v>0</v>
      </c>
      <c r="N500" s="22">
        <v>-7500</v>
      </c>
      <c r="O500" s="22">
        <v>30000</v>
      </c>
      <c r="P500" s="22">
        <v>30000</v>
      </c>
      <c r="Q500" t="str" cm="1">
        <f t="array" ref="Q500">_xlfn.TEXTJOIN("、",TRUE,IF('學員資料-三民高中'!$B$2:$B$454=$F500,'學員資料-三民高中'!$G$2:$G$454,""))</f>
        <v/>
      </c>
      <c r="R500" t="str" cm="1">
        <f t="array" ref="R500">_xlfn.TEXTJOIN("、",TRUE,IF('學員資料-新北高中'!$B$2:$B$583=$F500,'學員資料-新北高中'!$G$2:$G$583,""))</f>
        <v/>
      </c>
      <c r="S500" t="str" cm="1">
        <f t="array" ref="S500">_xlfn.TEXTJOIN("、",TRUE,IF('學員資料-三重商工'!$B$2:$B$472=$F500,'學員資料-三重商工'!$G$2:$G$472,""))</f>
        <v>0930303929</v>
      </c>
      <c r="T500">
        <f t="shared" si="7"/>
        <v>1</v>
      </c>
    </row>
    <row r="501" spans="1:20" ht="43.5" hidden="1" customHeight="1">
      <c r="A501" s="15">
        <v>500</v>
      </c>
      <c r="B501" s="16" t="s">
        <v>1781</v>
      </c>
      <c r="C501" s="17">
        <v>46040</v>
      </c>
      <c r="D501" s="15" t="s">
        <v>1782</v>
      </c>
      <c r="E501" s="18" t="s">
        <v>44</v>
      </c>
      <c r="F501" s="19" t="s">
        <v>1783</v>
      </c>
      <c r="G501" s="18" t="s">
        <v>1784</v>
      </c>
      <c r="H501" s="20" t="s">
        <v>436</v>
      </c>
      <c r="I501" s="15">
        <v>3</v>
      </c>
      <c r="J501" s="15" t="s">
        <v>24</v>
      </c>
      <c r="K501" s="15"/>
      <c r="L501" s="21" t="s">
        <v>16</v>
      </c>
      <c r="M501" s="22">
        <v>0</v>
      </c>
      <c r="N501" s="22">
        <v>-4500</v>
      </c>
      <c r="O501" s="22">
        <v>18000</v>
      </c>
      <c r="P501" s="22">
        <v>18000</v>
      </c>
      <c r="Q501" t="str" cm="1">
        <f t="array" ref="Q501">_xlfn.TEXTJOIN("、",TRUE,IF('學員資料-三民高中'!$B$2:$B$454=$F501,'學員資料-三民高中'!$G$2:$G$454,""))</f>
        <v/>
      </c>
      <c r="R501" t="str" cm="1">
        <f t="array" ref="R501">_xlfn.TEXTJOIN("、",TRUE,IF('學員資料-新北高中'!$B$2:$B$583=$F501,'學員資料-新北高中'!$G$2:$G$583,""))</f>
        <v/>
      </c>
      <c r="S501" t="str" cm="1">
        <f t="array" ref="S501">_xlfn.TEXTJOIN("、",TRUE,IF('學員資料-三重商工'!$B$2:$B$472=$F501,'學員資料-三重商工'!$G$2:$G$472,""))</f>
        <v>09219306899</v>
      </c>
      <c r="T501">
        <f t="shared" si="7"/>
        <v>1</v>
      </c>
    </row>
    <row r="502" spans="1:20" ht="43.5" hidden="1" customHeight="1">
      <c r="A502" s="15">
        <v>501</v>
      </c>
      <c r="B502" s="16" t="s">
        <v>1785</v>
      </c>
      <c r="C502" s="17">
        <v>46040</v>
      </c>
      <c r="D502" s="15" t="s">
        <v>1786</v>
      </c>
      <c r="E502" s="18" t="s">
        <v>44</v>
      </c>
      <c r="F502" s="19" t="s">
        <v>1787</v>
      </c>
      <c r="G502" s="18" t="s">
        <v>1788</v>
      </c>
      <c r="H502" s="20" t="s">
        <v>436</v>
      </c>
      <c r="I502" s="15">
        <v>3</v>
      </c>
      <c r="J502" s="15" t="s">
        <v>24</v>
      </c>
      <c r="K502" s="15"/>
      <c r="L502" s="21" t="s">
        <v>16</v>
      </c>
      <c r="M502" s="22">
        <v>0</v>
      </c>
      <c r="N502" s="22">
        <v>-4500</v>
      </c>
      <c r="O502" s="22">
        <v>18000</v>
      </c>
      <c r="P502" s="22">
        <v>18000</v>
      </c>
      <c r="Q502" t="str" cm="1">
        <f t="array" ref="Q502">_xlfn.TEXTJOIN("、",TRUE,IF('學員資料-三民高中'!$B$2:$B$454=$F502,'學員資料-三民高中'!$G$2:$G$454,""))</f>
        <v/>
      </c>
      <c r="R502" t="str" cm="1">
        <f t="array" ref="R502">_xlfn.TEXTJOIN("、",TRUE,IF('學員資料-新北高中'!$B$2:$B$583=$F502,'學員資料-新北高中'!$G$2:$G$583,""))</f>
        <v/>
      </c>
      <c r="S502" t="str" cm="1">
        <f t="array" ref="S502">_xlfn.TEXTJOIN("、",TRUE,IF('學員資料-三重商工'!$B$2:$B$472=$F502,'學員資料-三重商工'!$G$2:$G$472,""))</f>
        <v>0988797796</v>
      </c>
      <c r="T502">
        <f t="shared" si="7"/>
        <v>1</v>
      </c>
    </row>
    <row r="503" spans="1:20" ht="43.5" hidden="1" customHeight="1">
      <c r="A503" s="15">
        <v>502</v>
      </c>
      <c r="B503" s="16" t="s">
        <v>1789</v>
      </c>
      <c r="C503" s="17">
        <v>46040</v>
      </c>
      <c r="D503" s="15" t="s">
        <v>1790</v>
      </c>
      <c r="E503" s="18" t="s">
        <v>44</v>
      </c>
      <c r="F503" s="19" t="s">
        <v>1791</v>
      </c>
      <c r="G503" s="18" t="s">
        <v>1792</v>
      </c>
      <c r="H503" s="20" t="s">
        <v>261</v>
      </c>
      <c r="I503" s="15">
        <v>3</v>
      </c>
      <c r="J503" s="15" t="s">
        <v>23</v>
      </c>
      <c r="K503" s="15"/>
      <c r="L503" s="21" t="s">
        <v>16</v>
      </c>
      <c r="M503" s="22">
        <v>0</v>
      </c>
      <c r="N503" s="22">
        <v>-2070</v>
      </c>
      <c r="O503" s="22">
        <v>18630</v>
      </c>
      <c r="P503" s="22">
        <v>18630</v>
      </c>
      <c r="Q503" t="str" cm="1">
        <f t="array" ref="Q503">_xlfn.TEXTJOIN("、",TRUE,IF('學員資料-三民高中'!$B$2:$B$454=$F503,'學員資料-三民高中'!$G$2:$G$454,""))</f>
        <v/>
      </c>
      <c r="R503" t="str" cm="1">
        <f t="array" ref="R503">_xlfn.TEXTJOIN("、",TRUE,IF('學員資料-新北高中'!$B$2:$B$583=$F503,'學員資料-新北高中'!$G$2:$G$583,""))</f>
        <v/>
      </c>
      <c r="S503" t="str" cm="1">
        <f t="array" ref="S503">_xlfn.TEXTJOIN("、",TRUE,IF('學員資料-三重商工'!$B$2:$B$472=$F503,'學員資料-三重商工'!$G$2:$G$472,""))</f>
        <v>0912188682</v>
      </c>
      <c r="T503">
        <f t="shared" si="7"/>
        <v>1</v>
      </c>
    </row>
    <row r="504" spans="1:20" ht="87" hidden="1" customHeight="1">
      <c r="A504" s="15">
        <v>503</v>
      </c>
      <c r="B504" s="16" t="s">
        <v>1793</v>
      </c>
      <c r="C504" s="17">
        <v>46039</v>
      </c>
      <c r="D504" s="15" t="s">
        <v>1794</v>
      </c>
      <c r="E504" s="18" t="s">
        <v>763</v>
      </c>
      <c r="F504" s="19" t="s">
        <v>1795</v>
      </c>
      <c r="G504" s="18" t="s">
        <v>1796</v>
      </c>
      <c r="H504" s="20" t="s">
        <v>1758</v>
      </c>
      <c r="I504" s="15">
        <v>6</v>
      </c>
      <c r="J504" s="15" t="s">
        <v>24</v>
      </c>
      <c r="K504" s="15"/>
      <c r="L504" s="21" t="s">
        <v>16</v>
      </c>
      <c r="M504" s="22">
        <v>0</v>
      </c>
      <c r="N504" s="22">
        <v>-9000</v>
      </c>
      <c r="O504" s="22">
        <v>36000</v>
      </c>
      <c r="P504" s="22">
        <v>36000</v>
      </c>
      <c r="Q504" t="str" cm="1">
        <f t="array" ref="Q504">_xlfn.TEXTJOIN("、",TRUE,IF('學員資料-三民高中'!$B$2:$B$454=$F504,'學員資料-三民高中'!$G$2:$G$454,""))</f>
        <v>0935242518</v>
      </c>
      <c r="R504" t="str" cm="1">
        <f t="array" ref="R504">_xlfn.TEXTJOIN("、",TRUE,IF('學員資料-新北高中'!$B$2:$B$583=$F504,'學員資料-新北高中'!$G$2:$G$583,""))</f>
        <v/>
      </c>
      <c r="S504" t="str" cm="1">
        <f t="array" ref="S504">_xlfn.TEXTJOIN("、",TRUE,IF('學員資料-三重商工'!$B$2:$B$472=$F504,'學員資料-三重商工'!$G$2:$G$472,""))</f>
        <v/>
      </c>
      <c r="T504">
        <f t="shared" si="7"/>
        <v>1</v>
      </c>
    </row>
    <row r="505" spans="1:20" ht="43.5" hidden="1" customHeight="1">
      <c r="A505" s="15">
        <v>504</v>
      </c>
      <c r="B505" s="16" t="s">
        <v>1797</v>
      </c>
      <c r="C505" s="17">
        <v>46038</v>
      </c>
      <c r="D505" s="15" t="s">
        <v>1798</v>
      </c>
      <c r="E505" s="18" t="s">
        <v>83</v>
      </c>
      <c r="F505" s="19" t="s">
        <v>1799</v>
      </c>
      <c r="G505" s="18" t="s">
        <v>1800</v>
      </c>
      <c r="H505" s="20" t="s">
        <v>261</v>
      </c>
      <c r="I505" s="15">
        <v>3</v>
      </c>
      <c r="J505" s="15" t="s">
        <v>23</v>
      </c>
      <c r="K505" s="15"/>
      <c r="L505" s="21" t="s">
        <v>18</v>
      </c>
      <c r="M505" s="22">
        <v>0</v>
      </c>
      <c r="N505" s="22">
        <v>-2070</v>
      </c>
      <c r="O505" s="22">
        <v>18630</v>
      </c>
      <c r="P505" s="22">
        <v>18630</v>
      </c>
      <c r="Q505" t="str" cm="1">
        <f t="array" ref="Q505">_xlfn.TEXTJOIN("、",TRUE,IF('學員資料-三民高中'!$B$2:$B$454=$F505,'學員資料-三民高中'!$G$2:$G$454,""))</f>
        <v/>
      </c>
      <c r="R505" t="str" cm="1">
        <f t="array" ref="R505">_xlfn.TEXTJOIN("、",TRUE,IF('學員資料-新北高中'!$B$2:$B$583=$F505,'學員資料-新北高中'!$G$2:$G$583,""))</f>
        <v/>
      </c>
      <c r="S505" t="str" cm="1">
        <f t="array" ref="S505">_xlfn.TEXTJOIN("、",TRUE,IF('學員資料-三重商工'!$B$2:$B$472=$F505,'學員資料-三重商工'!$G$2:$G$472,""))</f>
        <v>0939676718</v>
      </c>
      <c r="T505">
        <f t="shared" si="7"/>
        <v>1</v>
      </c>
    </row>
    <row r="506" spans="1:20" ht="43.5" hidden="1" customHeight="1">
      <c r="A506" s="15">
        <v>505</v>
      </c>
      <c r="B506" s="16" t="s">
        <v>1801</v>
      </c>
      <c r="C506" s="17">
        <v>46038</v>
      </c>
      <c r="D506" s="15" t="s">
        <v>1802</v>
      </c>
      <c r="E506" s="18" t="s">
        <v>83</v>
      </c>
      <c r="F506" s="19" t="s">
        <v>1803</v>
      </c>
      <c r="G506" s="18" t="s">
        <v>1804</v>
      </c>
      <c r="H506" s="20" t="s">
        <v>1536</v>
      </c>
      <c r="I506" s="15">
        <v>3</v>
      </c>
      <c r="J506" s="15" t="s">
        <v>26</v>
      </c>
      <c r="K506" s="15"/>
      <c r="L506" s="21" t="s">
        <v>16</v>
      </c>
      <c r="M506" s="22">
        <v>0</v>
      </c>
      <c r="N506" s="22">
        <v>-7200</v>
      </c>
      <c r="O506" s="22">
        <v>28800</v>
      </c>
      <c r="P506" s="22">
        <v>28800</v>
      </c>
      <c r="Q506" t="str" cm="1">
        <f t="array" ref="Q506">_xlfn.TEXTJOIN("、",TRUE,IF('學員資料-三民高中'!$B$2:$B$454=$F506,'學員資料-三民高中'!$G$2:$G$454,""))</f>
        <v/>
      </c>
      <c r="R506" t="str" cm="1">
        <f t="array" ref="R506">_xlfn.TEXTJOIN("、",TRUE,IF('學員資料-新北高中'!$B$2:$B$583=$F506,'學員資料-新北高中'!$G$2:$G$583,""))</f>
        <v/>
      </c>
      <c r="S506" t="str" cm="1">
        <f t="array" ref="S506">_xlfn.TEXTJOIN("、",TRUE,IF('學員資料-三重商工'!$B$2:$B$472=$F506,'學員資料-三重商工'!$G$2:$G$472,""))</f>
        <v>0972699623</v>
      </c>
      <c r="T506">
        <f t="shared" si="7"/>
        <v>1</v>
      </c>
    </row>
    <row r="507" spans="1:20" ht="43.5" hidden="1" customHeight="1">
      <c r="A507" s="15">
        <v>506</v>
      </c>
      <c r="B507" s="16" t="s">
        <v>1805</v>
      </c>
      <c r="C507" s="17">
        <v>46038</v>
      </c>
      <c r="D507" s="15" t="s">
        <v>1806</v>
      </c>
      <c r="E507" s="18" t="s">
        <v>83</v>
      </c>
      <c r="F507" s="19" t="s">
        <v>1807</v>
      </c>
      <c r="G507" s="18" t="s">
        <v>1808</v>
      </c>
      <c r="H507" s="20" t="s">
        <v>436</v>
      </c>
      <c r="I507" s="15">
        <v>3</v>
      </c>
      <c r="J507" s="15" t="s">
        <v>24</v>
      </c>
      <c r="K507" s="15"/>
      <c r="L507" s="21" t="s">
        <v>18</v>
      </c>
      <c r="M507" s="22">
        <v>0</v>
      </c>
      <c r="N507" s="22">
        <v>-4500</v>
      </c>
      <c r="O507" s="22">
        <v>18000</v>
      </c>
      <c r="P507" s="22">
        <v>18000</v>
      </c>
      <c r="Q507" t="str" cm="1">
        <f t="array" ref="Q507">_xlfn.TEXTJOIN("、",TRUE,IF('學員資料-三民高中'!$B$2:$B$454=$F507,'學員資料-三民高中'!$G$2:$G$454,""))</f>
        <v/>
      </c>
      <c r="R507" t="str" cm="1">
        <f t="array" ref="R507">_xlfn.TEXTJOIN("、",TRUE,IF('學員資料-新北高中'!$B$2:$B$583=$F507,'學員資料-新北高中'!$G$2:$G$583,""))</f>
        <v/>
      </c>
      <c r="S507" t="str" cm="1">
        <f t="array" ref="S507">_xlfn.TEXTJOIN("、",TRUE,IF('學員資料-三重商工'!$B$2:$B$472=$F507,'學員資料-三重商工'!$G$2:$G$472,""))</f>
        <v>0937459789-1</v>
      </c>
      <c r="T507">
        <f t="shared" si="7"/>
        <v>1</v>
      </c>
    </row>
    <row r="508" spans="1:20" ht="14.25" hidden="1" customHeight="1">
      <c r="A508" s="15">
        <v>507</v>
      </c>
      <c r="B508" s="16" t="s">
        <v>1809</v>
      </c>
      <c r="C508" s="17">
        <v>46038</v>
      </c>
      <c r="D508" s="15" t="s">
        <v>1810</v>
      </c>
      <c r="E508" s="18" t="s">
        <v>78</v>
      </c>
      <c r="F508" s="19" t="s">
        <v>1811</v>
      </c>
      <c r="G508" s="18" t="s">
        <v>1812</v>
      </c>
      <c r="H508" s="20" t="s">
        <v>683</v>
      </c>
      <c r="I508" s="15">
        <v>1</v>
      </c>
      <c r="J508" s="15" t="s">
        <v>23</v>
      </c>
      <c r="K508" s="15"/>
      <c r="L508" s="21" t="s">
        <v>16</v>
      </c>
      <c r="M508" s="22">
        <v>0</v>
      </c>
      <c r="N508" s="22">
        <v>0</v>
      </c>
      <c r="O508" s="22">
        <v>9000</v>
      </c>
      <c r="P508" s="22">
        <v>9000</v>
      </c>
      <c r="Q508" t="str" cm="1">
        <f t="array" ref="Q508">_xlfn.TEXTJOIN("、",TRUE,IF('學員資料-三民高中'!$B$2:$B$454=$F508,'學員資料-三民高中'!$G$2:$G$454,""))</f>
        <v/>
      </c>
      <c r="R508" t="str" cm="1">
        <f t="array" ref="R508">_xlfn.TEXTJOIN("、",TRUE,IF('學員資料-新北高中'!$B$2:$B$583=$F508,'學員資料-新北高中'!$G$2:$G$583,""))</f>
        <v>0921387692</v>
      </c>
      <c r="S508" t="str" cm="1">
        <f t="array" ref="S508">_xlfn.TEXTJOIN("、",TRUE,IF('學員資料-三重商工'!$B$2:$B$472=$F508,'學員資料-三重商工'!$G$2:$G$472,""))</f>
        <v/>
      </c>
      <c r="T508">
        <f t="shared" si="7"/>
        <v>1</v>
      </c>
    </row>
    <row r="509" spans="1:20" ht="14.25" hidden="1" customHeight="1">
      <c r="A509" s="15">
        <v>508</v>
      </c>
      <c r="B509" s="16" t="s">
        <v>1813</v>
      </c>
      <c r="C509" s="17">
        <v>46038</v>
      </c>
      <c r="D509" s="15" t="s">
        <v>1814</v>
      </c>
      <c r="E509" s="18" t="s">
        <v>78</v>
      </c>
      <c r="F509" s="19" t="s">
        <v>1811</v>
      </c>
      <c r="G509" s="18" t="s">
        <v>1812</v>
      </c>
      <c r="H509" s="20" t="s">
        <v>683</v>
      </c>
      <c r="I509" s="15">
        <v>1</v>
      </c>
      <c r="J509" s="15" t="s">
        <v>23</v>
      </c>
      <c r="K509" s="15"/>
      <c r="L509" s="21" t="s">
        <v>16</v>
      </c>
      <c r="M509" s="22">
        <v>0</v>
      </c>
      <c r="N509" s="22">
        <v>0</v>
      </c>
      <c r="O509" s="22">
        <v>9000</v>
      </c>
      <c r="P509" s="22">
        <v>9000</v>
      </c>
      <c r="Q509" t="str" cm="1">
        <f t="array" ref="Q509">_xlfn.TEXTJOIN("、",TRUE,IF('學員資料-三民高中'!$B$2:$B$454=$F509,'學員資料-三民高中'!$G$2:$G$454,""))</f>
        <v/>
      </c>
      <c r="R509" t="str" cm="1">
        <f t="array" ref="R509">_xlfn.TEXTJOIN("、",TRUE,IF('學員資料-新北高中'!$B$2:$B$583=$F509,'學員資料-新北高中'!$G$2:$G$583,""))</f>
        <v>0921387692</v>
      </c>
      <c r="S509" t="str" cm="1">
        <f t="array" ref="S509">_xlfn.TEXTJOIN("、",TRUE,IF('學員資料-三重商工'!$B$2:$B$472=$F509,'學員資料-三重商工'!$G$2:$G$472,""))</f>
        <v/>
      </c>
      <c r="T509">
        <f t="shared" si="7"/>
        <v>1</v>
      </c>
    </row>
    <row r="510" spans="1:20" ht="14.25" hidden="1" customHeight="1">
      <c r="A510" s="15">
        <v>509</v>
      </c>
      <c r="B510" s="16" t="s">
        <v>1815</v>
      </c>
      <c r="C510" s="17">
        <v>46038</v>
      </c>
      <c r="D510" s="15" t="s">
        <v>1816</v>
      </c>
      <c r="E510" s="18" t="s">
        <v>78</v>
      </c>
      <c r="F510" s="19" t="s">
        <v>1811</v>
      </c>
      <c r="G510" s="18" t="s">
        <v>1812</v>
      </c>
      <c r="H510" s="20" t="s">
        <v>683</v>
      </c>
      <c r="I510" s="15">
        <v>1</v>
      </c>
      <c r="J510" s="15" t="s">
        <v>23</v>
      </c>
      <c r="K510" s="15"/>
      <c r="L510" s="21" t="s">
        <v>16</v>
      </c>
      <c r="M510" s="22">
        <v>0</v>
      </c>
      <c r="N510" s="22">
        <v>-2700</v>
      </c>
      <c r="O510" s="22">
        <v>6300</v>
      </c>
      <c r="P510" s="22">
        <v>6300</v>
      </c>
      <c r="Q510" t="str" cm="1">
        <f t="array" ref="Q510">_xlfn.TEXTJOIN("、",TRUE,IF('學員資料-三民高中'!$B$2:$B$454=$F510,'學員資料-三民高中'!$G$2:$G$454,""))</f>
        <v/>
      </c>
      <c r="R510" t="str" cm="1">
        <f t="array" ref="R510">_xlfn.TEXTJOIN("、",TRUE,IF('學員資料-新北高中'!$B$2:$B$583=$F510,'學員資料-新北高中'!$G$2:$G$583,""))</f>
        <v>0921387692</v>
      </c>
      <c r="S510" t="str" cm="1">
        <f t="array" ref="S510">_xlfn.TEXTJOIN("、",TRUE,IF('學員資料-三重商工'!$B$2:$B$472=$F510,'學員資料-三重商工'!$G$2:$G$472,""))</f>
        <v/>
      </c>
      <c r="T510">
        <f t="shared" si="7"/>
        <v>1</v>
      </c>
    </row>
    <row r="511" spans="1:20" ht="14.25" hidden="1" customHeight="1">
      <c r="A511" s="15">
        <v>510</v>
      </c>
      <c r="B511" s="16" t="s">
        <v>1817</v>
      </c>
      <c r="C511" s="17">
        <v>46038</v>
      </c>
      <c r="D511" s="15" t="s">
        <v>1818</v>
      </c>
      <c r="E511" s="18" t="s">
        <v>78</v>
      </c>
      <c r="F511" s="19" t="s">
        <v>1819</v>
      </c>
      <c r="G511" s="18" t="s">
        <v>1820</v>
      </c>
      <c r="H511" s="20" t="s">
        <v>266</v>
      </c>
      <c r="I511" s="15">
        <v>1</v>
      </c>
      <c r="J511" s="15" t="s">
        <v>24</v>
      </c>
      <c r="K511" s="15"/>
      <c r="L511" s="21" t="s">
        <v>16</v>
      </c>
      <c r="M511" s="22">
        <v>0</v>
      </c>
      <c r="N511" s="22">
        <v>0</v>
      </c>
      <c r="O511" s="22">
        <v>10800</v>
      </c>
      <c r="P511" s="22">
        <v>10800</v>
      </c>
      <c r="Q511" t="str" cm="1">
        <f t="array" ref="Q511">_xlfn.TEXTJOIN("、",TRUE,IF('學員資料-三民高中'!$B$2:$B$454=$F511,'學員資料-三民高中'!$G$2:$G$454,""))</f>
        <v/>
      </c>
      <c r="R511" t="str" cm="1">
        <f t="array" ref="R511">_xlfn.TEXTJOIN("、",TRUE,IF('學員資料-新北高中'!$B$2:$B$583=$F511,'學員資料-新北高中'!$G$2:$G$583,""))</f>
        <v>0958715328</v>
      </c>
      <c r="S511" t="str" cm="1">
        <f t="array" ref="S511">_xlfn.TEXTJOIN("、",TRUE,IF('學員資料-三重商工'!$B$2:$B$472=$F511,'學員資料-三重商工'!$G$2:$G$472,""))</f>
        <v/>
      </c>
      <c r="T511">
        <f t="shared" si="7"/>
        <v>1</v>
      </c>
    </row>
    <row r="512" spans="1:20" ht="14.25" hidden="1" customHeight="1">
      <c r="A512" s="15">
        <v>511</v>
      </c>
      <c r="B512" s="16" t="s">
        <v>1821</v>
      </c>
      <c r="C512" s="17">
        <v>46038</v>
      </c>
      <c r="D512" s="15" t="s">
        <v>1822</v>
      </c>
      <c r="E512" s="18" t="s">
        <v>78</v>
      </c>
      <c r="F512" s="19" t="s">
        <v>1819</v>
      </c>
      <c r="G512" s="18" t="s">
        <v>1820</v>
      </c>
      <c r="H512" s="20" t="s">
        <v>266</v>
      </c>
      <c r="I512" s="15">
        <v>1</v>
      </c>
      <c r="J512" s="15" t="s">
        <v>24</v>
      </c>
      <c r="K512" s="15"/>
      <c r="L512" s="21" t="s">
        <v>16</v>
      </c>
      <c r="M512" s="22">
        <v>0</v>
      </c>
      <c r="N512" s="22">
        <v>0</v>
      </c>
      <c r="O512" s="22">
        <v>10800</v>
      </c>
      <c r="P512" s="22">
        <v>10800</v>
      </c>
      <c r="Q512" t="str" cm="1">
        <f t="array" ref="Q512">_xlfn.TEXTJOIN("、",TRUE,IF('學員資料-三民高中'!$B$2:$B$454=$F512,'學員資料-三民高中'!$G$2:$G$454,""))</f>
        <v/>
      </c>
      <c r="R512" t="str" cm="1">
        <f t="array" ref="R512">_xlfn.TEXTJOIN("、",TRUE,IF('學員資料-新北高中'!$B$2:$B$583=$F512,'學員資料-新北高中'!$G$2:$G$583,""))</f>
        <v>0958715328</v>
      </c>
      <c r="S512" t="str" cm="1">
        <f t="array" ref="S512">_xlfn.TEXTJOIN("、",TRUE,IF('學員資料-三重商工'!$B$2:$B$472=$F512,'學員資料-三重商工'!$G$2:$G$472,""))</f>
        <v/>
      </c>
      <c r="T512">
        <f t="shared" si="7"/>
        <v>1</v>
      </c>
    </row>
    <row r="513" spans="1:20" ht="14.25" hidden="1" customHeight="1">
      <c r="A513" s="15">
        <v>512</v>
      </c>
      <c r="B513" s="16" t="s">
        <v>1823</v>
      </c>
      <c r="C513" s="17">
        <v>46038</v>
      </c>
      <c r="D513" s="15" t="s">
        <v>1824</v>
      </c>
      <c r="E513" s="18" t="s">
        <v>78</v>
      </c>
      <c r="F513" s="19" t="s">
        <v>1819</v>
      </c>
      <c r="G513" s="18" t="s">
        <v>1820</v>
      </c>
      <c r="H513" s="20" t="s">
        <v>266</v>
      </c>
      <c r="I513" s="15">
        <v>1</v>
      </c>
      <c r="J513" s="15" t="s">
        <v>24</v>
      </c>
      <c r="K513" s="15"/>
      <c r="L513" s="21" t="s">
        <v>16</v>
      </c>
      <c r="M513" s="22">
        <v>0</v>
      </c>
      <c r="N513" s="22">
        <v>-6480</v>
      </c>
      <c r="O513" s="22">
        <v>4320</v>
      </c>
      <c r="P513" s="22">
        <v>4320</v>
      </c>
      <c r="Q513" t="str" cm="1">
        <f t="array" ref="Q513">_xlfn.TEXTJOIN("、",TRUE,IF('學員資料-三民高中'!$B$2:$B$454=$F513,'學員資料-三民高中'!$G$2:$G$454,""))</f>
        <v/>
      </c>
      <c r="R513" t="str" cm="1">
        <f t="array" ref="R513">_xlfn.TEXTJOIN("、",TRUE,IF('學員資料-新北高中'!$B$2:$B$583=$F513,'學員資料-新北高中'!$G$2:$G$583,""))</f>
        <v>0958715328</v>
      </c>
      <c r="S513" t="str" cm="1">
        <f t="array" ref="S513">_xlfn.TEXTJOIN("、",TRUE,IF('學員資料-三重商工'!$B$2:$B$472=$F513,'學員資料-三重商工'!$G$2:$G$472,""))</f>
        <v/>
      </c>
      <c r="T513">
        <f t="shared" si="7"/>
        <v>1</v>
      </c>
    </row>
    <row r="514" spans="1:20" ht="87" hidden="1" customHeight="1">
      <c r="A514" s="15">
        <v>513</v>
      </c>
      <c r="B514" s="16" t="s">
        <v>1825</v>
      </c>
      <c r="C514" s="17">
        <v>46037</v>
      </c>
      <c r="D514" s="15" t="s">
        <v>1826</v>
      </c>
      <c r="E514" s="18" t="s">
        <v>83</v>
      </c>
      <c r="F514" s="19" t="s">
        <v>1827</v>
      </c>
      <c r="G514" s="18" t="s">
        <v>1828</v>
      </c>
      <c r="H514" s="20" t="s">
        <v>1829</v>
      </c>
      <c r="I514" s="15">
        <v>6</v>
      </c>
      <c r="J514" s="15" t="s">
        <v>25</v>
      </c>
      <c r="K514" s="15"/>
      <c r="L514" s="21" t="s">
        <v>18</v>
      </c>
      <c r="M514" s="22">
        <v>0</v>
      </c>
      <c r="N514" s="22">
        <v>-11880</v>
      </c>
      <c r="O514" s="22">
        <v>47520</v>
      </c>
      <c r="P514" s="22">
        <v>47520</v>
      </c>
      <c r="Q514" t="str" cm="1">
        <f t="array" ref="Q514">_xlfn.TEXTJOIN("、",TRUE,IF('學員資料-三民高中'!$B$2:$B$454=$F514,'學員資料-三民高中'!$G$2:$G$454,""))</f>
        <v/>
      </c>
      <c r="R514" t="str" cm="1">
        <f t="array" ref="R514">_xlfn.TEXTJOIN("、",TRUE,IF('學員資料-新北高中'!$B$2:$B$583=$F514,'學員資料-新北高中'!$G$2:$G$583,""))</f>
        <v/>
      </c>
      <c r="S514" t="str" cm="1">
        <f t="array" ref="S514">_xlfn.TEXTJOIN("、",TRUE,IF('學員資料-三重商工'!$B$2:$B$472=$F514,'學員資料-三重商工'!$G$2:$G$472,""))</f>
        <v>0905191938-1</v>
      </c>
      <c r="T514">
        <f t="shared" si="7"/>
        <v>1</v>
      </c>
    </row>
    <row r="515" spans="1:20" ht="43.5" hidden="1" customHeight="1">
      <c r="A515" s="15">
        <v>514</v>
      </c>
      <c r="B515" s="16" t="s">
        <v>1830</v>
      </c>
      <c r="C515" s="17">
        <v>46037</v>
      </c>
      <c r="D515" s="15" t="s">
        <v>1831</v>
      </c>
      <c r="E515" s="18" t="s">
        <v>83</v>
      </c>
      <c r="F515" s="19" t="s">
        <v>1832</v>
      </c>
      <c r="G515" s="18" t="s">
        <v>1833</v>
      </c>
      <c r="H515" s="20" t="s">
        <v>436</v>
      </c>
      <c r="I515" s="15">
        <v>3</v>
      </c>
      <c r="J515" s="15" t="s">
        <v>24</v>
      </c>
      <c r="K515" s="15"/>
      <c r="L515" s="21" t="s">
        <v>18</v>
      </c>
      <c r="M515" s="22">
        <v>0</v>
      </c>
      <c r="N515" s="22">
        <v>-4500</v>
      </c>
      <c r="O515" s="22">
        <v>18000</v>
      </c>
      <c r="P515" s="22">
        <v>18000</v>
      </c>
      <c r="Q515" t="str" cm="1">
        <f t="array" ref="Q515">_xlfn.TEXTJOIN("、",TRUE,IF('學員資料-三民高中'!$B$2:$B$454=$F515,'學員資料-三民高中'!$G$2:$G$454,""))</f>
        <v/>
      </c>
      <c r="R515" t="str" cm="1">
        <f t="array" ref="R515">_xlfn.TEXTJOIN("、",TRUE,IF('學員資料-新北高中'!$B$2:$B$583=$F515,'學員資料-新北高中'!$G$2:$G$583,""))</f>
        <v/>
      </c>
      <c r="S515" t="str" cm="1">
        <f t="array" ref="S515">_xlfn.TEXTJOIN("、",TRUE,IF('學員資料-三重商工'!$B$2:$B$472=$F515,'學員資料-三重商工'!$G$2:$G$472,""))</f>
        <v>0930980802</v>
      </c>
      <c r="T515">
        <f t="shared" ref="T515:T578" si="8">3-COUNTBLANK(Q515:S515)</f>
        <v>1</v>
      </c>
    </row>
    <row r="516" spans="1:20" ht="28.5" hidden="1" customHeight="1">
      <c r="A516" s="15">
        <v>515</v>
      </c>
      <c r="B516" s="16" t="s">
        <v>1834</v>
      </c>
      <c r="C516" s="17">
        <v>46037</v>
      </c>
      <c r="D516" s="15" t="s">
        <v>1835</v>
      </c>
      <c r="E516" s="18" t="s">
        <v>78</v>
      </c>
      <c r="F516" s="19" t="s">
        <v>1836</v>
      </c>
      <c r="G516" s="18" t="s">
        <v>1837</v>
      </c>
      <c r="H516" s="20" t="s">
        <v>1838</v>
      </c>
      <c r="I516" s="15">
        <v>2</v>
      </c>
      <c r="J516" s="15" t="s">
        <v>24</v>
      </c>
      <c r="K516" s="15"/>
      <c r="L516" s="21" t="s">
        <v>16</v>
      </c>
      <c r="M516" s="22">
        <v>0</v>
      </c>
      <c r="N516" s="22">
        <v>0</v>
      </c>
      <c r="O516" s="22">
        <v>21600</v>
      </c>
      <c r="P516" s="22">
        <v>21600</v>
      </c>
      <c r="Q516" t="str" cm="1">
        <f t="array" ref="Q516">_xlfn.TEXTJOIN("、",TRUE,IF('學員資料-三民高中'!$B$2:$B$454=$F516,'學員資料-三民高中'!$G$2:$G$454,""))</f>
        <v/>
      </c>
      <c r="R516" t="str" cm="1">
        <f t="array" ref="R516">_xlfn.TEXTJOIN("、",TRUE,IF('學員資料-新北高中'!$B$2:$B$583=$F516,'學員資料-新北高中'!$G$2:$G$583,""))</f>
        <v>0919982200</v>
      </c>
      <c r="S516" t="str" cm="1">
        <f t="array" ref="S516">_xlfn.TEXTJOIN("、",TRUE,IF('學員資料-三重商工'!$B$2:$B$472=$F516,'學員資料-三重商工'!$G$2:$G$472,""))</f>
        <v/>
      </c>
      <c r="T516">
        <f t="shared" si="8"/>
        <v>1</v>
      </c>
    </row>
    <row r="517" spans="1:20" ht="14.25" hidden="1" customHeight="1">
      <c r="A517" s="15">
        <v>516</v>
      </c>
      <c r="B517" s="16" t="s">
        <v>1839</v>
      </c>
      <c r="C517" s="17">
        <v>46037</v>
      </c>
      <c r="D517" s="15" t="s">
        <v>1840</v>
      </c>
      <c r="E517" s="18" t="s">
        <v>78</v>
      </c>
      <c r="F517" s="19" t="s">
        <v>1836</v>
      </c>
      <c r="G517" s="18" t="s">
        <v>1837</v>
      </c>
      <c r="H517" s="20" t="s">
        <v>266</v>
      </c>
      <c r="I517" s="15">
        <v>1</v>
      </c>
      <c r="J517" s="15" t="s">
        <v>24</v>
      </c>
      <c r="K517" s="15"/>
      <c r="L517" s="21" t="s">
        <v>16</v>
      </c>
      <c r="M517" s="22">
        <v>0</v>
      </c>
      <c r="N517" s="22">
        <v>-6480</v>
      </c>
      <c r="O517" s="22">
        <v>4320</v>
      </c>
      <c r="P517" s="22">
        <v>4320</v>
      </c>
      <c r="Q517" t="str" cm="1">
        <f t="array" ref="Q517">_xlfn.TEXTJOIN("、",TRUE,IF('學員資料-三民高中'!$B$2:$B$454=$F517,'學員資料-三民高中'!$G$2:$G$454,""))</f>
        <v/>
      </c>
      <c r="R517" t="str" cm="1">
        <f t="array" ref="R517">_xlfn.TEXTJOIN("、",TRUE,IF('學員資料-新北高中'!$B$2:$B$583=$F517,'學員資料-新北高中'!$G$2:$G$583,""))</f>
        <v>0919982200</v>
      </c>
      <c r="S517" t="str" cm="1">
        <f t="array" ref="S517">_xlfn.TEXTJOIN("、",TRUE,IF('學員資料-三重商工'!$B$2:$B$472=$F517,'學員資料-三重商工'!$G$2:$G$472,""))</f>
        <v/>
      </c>
      <c r="T517">
        <f t="shared" si="8"/>
        <v>1</v>
      </c>
    </row>
    <row r="518" spans="1:20" ht="43.5" hidden="1" customHeight="1">
      <c r="A518" s="15">
        <v>517</v>
      </c>
      <c r="B518" s="16" t="s">
        <v>1841</v>
      </c>
      <c r="C518" s="17">
        <v>46037</v>
      </c>
      <c r="D518" s="15" t="s">
        <v>1842</v>
      </c>
      <c r="E518" s="18" t="s">
        <v>83</v>
      </c>
      <c r="F518" s="19" t="s">
        <v>1843</v>
      </c>
      <c r="G518" s="18" t="s">
        <v>1844</v>
      </c>
      <c r="H518" s="20" t="s">
        <v>405</v>
      </c>
      <c r="I518" s="15">
        <v>3</v>
      </c>
      <c r="J518" s="15" t="s">
        <v>25</v>
      </c>
      <c r="K518" s="15"/>
      <c r="L518" s="21" t="s">
        <v>18</v>
      </c>
      <c r="M518" s="22">
        <v>0</v>
      </c>
      <c r="N518" s="22">
        <v>-5940</v>
      </c>
      <c r="O518" s="22">
        <v>23760</v>
      </c>
      <c r="P518" s="22">
        <v>23760</v>
      </c>
      <c r="Q518" t="str" cm="1">
        <f t="array" ref="Q518">_xlfn.TEXTJOIN("、",TRUE,IF('學員資料-三民高中'!$B$2:$B$454=$F518,'學員資料-三民高中'!$G$2:$G$454,""))</f>
        <v/>
      </c>
      <c r="R518" t="str" cm="1">
        <f t="array" ref="R518">_xlfn.TEXTJOIN("、",TRUE,IF('學員資料-新北高中'!$B$2:$B$583=$F518,'學員資料-新北高中'!$G$2:$G$583,""))</f>
        <v/>
      </c>
      <c r="S518" t="str" cm="1">
        <f t="array" ref="S518">_xlfn.TEXTJOIN("、",TRUE,IF('學員資料-三重商工'!$B$2:$B$472=$F518,'學員資料-三重商工'!$G$2:$G$472,""))</f>
        <v>0981643377-1</v>
      </c>
      <c r="T518">
        <f t="shared" si="8"/>
        <v>1</v>
      </c>
    </row>
    <row r="519" spans="1:20" ht="14.25" hidden="1" customHeight="1">
      <c r="A519" s="15">
        <v>518</v>
      </c>
      <c r="B519" s="16" t="s">
        <v>1845</v>
      </c>
      <c r="C519" s="17">
        <v>46037</v>
      </c>
      <c r="D519" s="15" t="s">
        <v>1846</v>
      </c>
      <c r="E519" s="18" t="s">
        <v>78</v>
      </c>
      <c r="F519" s="19" t="s">
        <v>1847</v>
      </c>
      <c r="G519" s="18" t="s">
        <v>1848</v>
      </c>
      <c r="H519" s="20" t="s">
        <v>683</v>
      </c>
      <c r="I519" s="15">
        <v>1</v>
      </c>
      <c r="J519" s="15" t="s">
        <v>23</v>
      </c>
      <c r="K519" s="15"/>
      <c r="L519" s="21" t="s">
        <v>16</v>
      </c>
      <c r="M519" s="22">
        <v>0</v>
      </c>
      <c r="N519" s="22">
        <v>0</v>
      </c>
      <c r="O519" s="22">
        <v>9000</v>
      </c>
      <c r="P519" s="22">
        <v>9000</v>
      </c>
      <c r="Q519" t="str" cm="1">
        <f t="array" ref="Q519">_xlfn.TEXTJOIN("、",TRUE,IF('學員資料-三民高中'!$B$2:$B$454=$F519,'學員資料-三民高中'!$G$2:$G$454,""))</f>
        <v/>
      </c>
      <c r="R519" t="str" cm="1">
        <f t="array" ref="R519">_xlfn.TEXTJOIN("、",TRUE,IF('學員資料-新北高中'!$B$2:$B$583=$F519,'學員資料-新北高中'!$G$2:$G$583,""))</f>
        <v>0955171617</v>
      </c>
      <c r="S519" t="str" cm="1">
        <f t="array" ref="S519">_xlfn.TEXTJOIN("、",TRUE,IF('學員資料-三重商工'!$B$2:$B$472=$F519,'學員資料-三重商工'!$G$2:$G$472,""))</f>
        <v/>
      </c>
      <c r="T519">
        <f t="shared" si="8"/>
        <v>1</v>
      </c>
    </row>
    <row r="520" spans="1:20" ht="14.25" hidden="1" customHeight="1">
      <c r="A520" s="15">
        <v>519</v>
      </c>
      <c r="B520" s="16" t="s">
        <v>1849</v>
      </c>
      <c r="C520" s="17">
        <v>46037</v>
      </c>
      <c r="D520" s="15" t="s">
        <v>1850</v>
      </c>
      <c r="E520" s="18" t="s">
        <v>83</v>
      </c>
      <c r="F520" s="19" t="s">
        <v>979</v>
      </c>
      <c r="G520" s="18" t="s">
        <v>980</v>
      </c>
      <c r="H520" s="20" t="s">
        <v>66</v>
      </c>
      <c r="I520" s="15">
        <v>1</v>
      </c>
      <c r="J520" s="15" t="s">
        <v>23</v>
      </c>
      <c r="K520" s="15"/>
      <c r="L520" s="21" t="s">
        <v>16</v>
      </c>
      <c r="M520" s="22">
        <v>0</v>
      </c>
      <c r="N520" s="22">
        <v>-345</v>
      </c>
      <c r="O520" s="22">
        <v>6555</v>
      </c>
      <c r="P520" s="22">
        <v>6555</v>
      </c>
      <c r="Q520" t="str" cm="1">
        <f t="array" ref="Q520">_xlfn.TEXTJOIN("、",TRUE,IF('學員資料-三民高中'!$B$2:$B$454=$F520,'學員資料-三民高中'!$G$2:$G$454,""))</f>
        <v/>
      </c>
      <c r="R520" t="str" cm="1">
        <f t="array" ref="R520">_xlfn.TEXTJOIN("、",TRUE,IF('學員資料-新北高中'!$B$2:$B$583=$F520,'學員資料-新北高中'!$G$2:$G$583,""))</f>
        <v/>
      </c>
      <c r="S520" t="str" cm="1">
        <f t="array" ref="S520">_xlfn.TEXTJOIN("、",TRUE,IF('學員資料-三重商工'!$B$2:$B$472=$F520,'學員資料-三重商工'!$G$2:$G$472,""))</f>
        <v>0928948206</v>
      </c>
      <c r="T520">
        <f t="shared" si="8"/>
        <v>1</v>
      </c>
    </row>
    <row r="521" spans="1:20" ht="14.25" hidden="1" customHeight="1">
      <c r="A521" s="15">
        <v>520</v>
      </c>
      <c r="B521" s="16" t="s">
        <v>1851</v>
      </c>
      <c r="C521" s="17">
        <v>46037</v>
      </c>
      <c r="D521" s="15" t="s">
        <v>1852</v>
      </c>
      <c r="E521" s="18" t="s">
        <v>78</v>
      </c>
      <c r="F521" s="19" t="s">
        <v>1847</v>
      </c>
      <c r="G521" s="18" t="s">
        <v>1848</v>
      </c>
      <c r="H521" s="20" t="s">
        <v>683</v>
      </c>
      <c r="I521" s="15">
        <v>1</v>
      </c>
      <c r="J521" s="15" t="s">
        <v>23</v>
      </c>
      <c r="K521" s="15"/>
      <c r="L521" s="21" t="s">
        <v>16</v>
      </c>
      <c r="M521" s="22">
        <v>0</v>
      </c>
      <c r="N521" s="22">
        <v>0</v>
      </c>
      <c r="O521" s="22">
        <v>9000</v>
      </c>
      <c r="P521" s="22">
        <v>9000</v>
      </c>
      <c r="Q521" t="str" cm="1">
        <f t="array" ref="Q521">_xlfn.TEXTJOIN("、",TRUE,IF('學員資料-三民高中'!$B$2:$B$454=$F521,'學員資料-三民高中'!$G$2:$G$454,""))</f>
        <v/>
      </c>
      <c r="R521" t="str" cm="1">
        <f t="array" ref="R521">_xlfn.TEXTJOIN("、",TRUE,IF('學員資料-新北高中'!$B$2:$B$583=$F521,'學員資料-新北高中'!$G$2:$G$583,""))</f>
        <v>0955171617</v>
      </c>
      <c r="S521" t="str" cm="1">
        <f t="array" ref="S521">_xlfn.TEXTJOIN("、",TRUE,IF('學員資料-三重商工'!$B$2:$B$472=$F521,'學員資料-三重商工'!$G$2:$G$472,""))</f>
        <v/>
      </c>
      <c r="T521">
        <f t="shared" si="8"/>
        <v>1</v>
      </c>
    </row>
    <row r="522" spans="1:20" ht="14.25" hidden="1" customHeight="1">
      <c r="A522" s="15">
        <v>521</v>
      </c>
      <c r="B522" s="16" t="s">
        <v>1853</v>
      </c>
      <c r="C522" s="17">
        <v>46037</v>
      </c>
      <c r="D522" s="15" t="s">
        <v>1854</v>
      </c>
      <c r="E522" s="18" t="s">
        <v>78</v>
      </c>
      <c r="F522" s="19" t="s">
        <v>1847</v>
      </c>
      <c r="G522" s="18" t="s">
        <v>1848</v>
      </c>
      <c r="H522" s="20" t="s">
        <v>683</v>
      </c>
      <c r="I522" s="15">
        <v>1</v>
      </c>
      <c r="J522" s="15" t="s">
        <v>23</v>
      </c>
      <c r="K522" s="15"/>
      <c r="L522" s="21" t="s">
        <v>16</v>
      </c>
      <c r="M522" s="22">
        <v>0</v>
      </c>
      <c r="N522" s="22">
        <v>0</v>
      </c>
      <c r="O522" s="22">
        <v>9000</v>
      </c>
      <c r="P522" s="22">
        <v>9000</v>
      </c>
      <c r="Q522" t="str" cm="1">
        <f t="array" ref="Q522">_xlfn.TEXTJOIN("、",TRUE,IF('學員資料-三民高中'!$B$2:$B$454=$F522,'學員資料-三民高中'!$G$2:$G$454,""))</f>
        <v/>
      </c>
      <c r="R522" t="str" cm="1">
        <f t="array" ref="R522">_xlfn.TEXTJOIN("、",TRUE,IF('學員資料-新北高中'!$B$2:$B$583=$F522,'學員資料-新北高中'!$G$2:$G$583,""))</f>
        <v>0955171617</v>
      </c>
      <c r="S522" t="str" cm="1">
        <f t="array" ref="S522">_xlfn.TEXTJOIN("、",TRUE,IF('學員資料-三重商工'!$B$2:$B$472=$F522,'學員資料-三重商工'!$G$2:$G$472,""))</f>
        <v/>
      </c>
      <c r="T522">
        <f t="shared" si="8"/>
        <v>1</v>
      </c>
    </row>
    <row r="523" spans="1:20" ht="14.25" hidden="1" customHeight="1">
      <c r="A523" s="15">
        <v>522</v>
      </c>
      <c r="B523" s="16" t="s">
        <v>1855</v>
      </c>
      <c r="C523" s="17">
        <v>46037</v>
      </c>
      <c r="D523" s="15" t="s">
        <v>1856</v>
      </c>
      <c r="E523" s="18" t="s">
        <v>78</v>
      </c>
      <c r="F523" s="19" t="s">
        <v>1847</v>
      </c>
      <c r="G523" s="18" t="s">
        <v>1848</v>
      </c>
      <c r="H523" s="20" t="s">
        <v>683</v>
      </c>
      <c r="I523" s="15">
        <v>1</v>
      </c>
      <c r="J523" s="15" t="s">
        <v>23</v>
      </c>
      <c r="K523" s="15"/>
      <c r="L523" s="21" t="s">
        <v>16</v>
      </c>
      <c r="M523" s="22">
        <v>0</v>
      </c>
      <c r="N523" s="22">
        <v>0</v>
      </c>
      <c r="O523" s="22">
        <v>9000</v>
      </c>
      <c r="P523" s="22">
        <v>9000</v>
      </c>
      <c r="Q523" t="str" cm="1">
        <f t="array" ref="Q523">_xlfn.TEXTJOIN("、",TRUE,IF('學員資料-三民高中'!$B$2:$B$454=$F523,'學員資料-三民高中'!$G$2:$G$454,""))</f>
        <v/>
      </c>
      <c r="R523" t="str" cm="1">
        <f t="array" ref="R523">_xlfn.TEXTJOIN("、",TRUE,IF('學員資料-新北高中'!$B$2:$B$583=$F523,'學員資料-新北高中'!$G$2:$G$583,""))</f>
        <v>0955171617</v>
      </c>
      <c r="S523" t="str" cm="1">
        <f t="array" ref="S523">_xlfn.TEXTJOIN("、",TRUE,IF('學員資料-三重商工'!$B$2:$B$472=$F523,'學員資料-三重商工'!$G$2:$G$472,""))</f>
        <v/>
      </c>
      <c r="T523">
        <f t="shared" si="8"/>
        <v>1</v>
      </c>
    </row>
    <row r="524" spans="1:20" ht="72" hidden="1" customHeight="1">
      <c r="A524" s="15">
        <v>523</v>
      </c>
      <c r="B524" s="16" t="s">
        <v>1857</v>
      </c>
      <c r="C524" s="17">
        <v>46037</v>
      </c>
      <c r="D524" s="15" t="s">
        <v>1858</v>
      </c>
      <c r="E524" s="18" t="s">
        <v>83</v>
      </c>
      <c r="F524" s="19" t="s">
        <v>1859</v>
      </c>
      <c r="G524" s="18" t="s">
        <v>1860</v>
      </c>
      <c r="H524" s="20" t="s">
        <v>414</v>
      </c>
      <c r="I524" s="15">
        <v>5</v>
      </c>
      <c r="J524" s="15" t="s">
        <v>24</v>
      </c>
      <c r="K524" s="15"/>
      <c r="L524" s="21" t="s">
        <v>18</v>
      </c>
      <c r="M524" s="22">
        <v>0</v>
      </c>
      <c r="N524" s="22">
        <v>-7500</v>
      </c>
      <c r="O524" s="22">
        <v>30000</v>
      </c>
      <c r="P524" s="22">
        <v>30000</v>
      </c>
      <c r="Q524" t="str" cm="1">
        <f t="array" ref="Q524">_xlfn.TEXTJOIN("、",TRUE,IF('學員資料-三民高中'!$B$2:$B$454=$F524,'學員資料-三民高中'!$G$2:$G$454,""))</f>
        <v/>
      </c>
      <c r="R524" t="str" cm="1">
        <f t="array" ref="R524">_xlfn.TEXTJOIN("、",TRUE,IF('學員資料-新北高中'!$B$2:$B$583=$F524,'學員資料-新北高中'!$G$2:$G$583,""))</f>
        <v>0989022869</v>
      </c>
      <c r="S524" t="str" cm="1">
        <f t="array" ref="S524">_xlfn.TEXTJOIN("、",TRUE,IF('學員資料-三重商工'!$B$2:$B$472=$F524,'學員資料-三重商工'!$G$2:$G$472,""))</f>
        <v/>
      </c>
      <c r="T524">
        <f t="shared" si="8"/>
        <v>1</v>
      </c>
    </row>
    <row r="525" spans="1:20" ht="14.25" hidden="1" customHeight="1">
      <c r="A525" s="15">
        <v>524</v>
      </c>
      <c r="B525" s="16" t="s">
        <v>1861</v>
      </c>
      <c r="C525" s="17">
        <v>46037</v>
      </c>
      <c r="D525" s="15" t="s">
        <v>1862</v>
      </c>
      <c r="E525" s="18" t="s">
        <v>78</v>
      </c>
      <c r="F525" s="19" t="s">
        <v>1847</v>
      </c>
      <c r="G525" s="18" t="s">
        <v>1848</v>
      </c>
      <c r="H525" s="20" t="s">
        <v>683</v>
      </c>
      <c r="I525" s="15">
        <v>1</v>
      </c>
      <c r="J525" s="15" t="s">
        <v>23</v>
      </c>
      <c r="K525" s="15"/>
      <c r="L525" s="21" t="s">
        <v>16</v>
      </c>
      <c r="M525" s="22">
        <v>0</v>
      </c>
      <c r="N525" s="22">
        <v>0</v>
      </c>
      <c r="O525" s="22">
        <v>9000</v>
      </c>
      <c r="P525" s="22">
        <v>9000</v>
      </c>
      <c r="Q525" t="str" cm="1">
        <f t="array" ref="Q525">_xlfn.TEXTJOIN("、",TRUE,IF('學員資料-三民高中'!$B$2:$B$454=$F525,'學員資料-三民高中'!$G$2:$G$454,""))</f>
        <v/>
      </c>
      <c r="R525" t="str" cm="1">
        <f t="array" ref="R525">_xlfn.TEXTJOIN("、",TRUE,IF('學員資料-新北高中'!$B$2:$B$583=$F525,'學員資料-新北高中'!$G$2:$G$583,""))</f>
        <v>0955171617</v>
      </c>
      <c r="S525" t="str" cm="1">
        <f t="array" ref="S525">_xlfn.TEXTJOIN("、",TRUE,IF('學員資料-三重商工'!$B$2:$B$472=$F525,'學員資料-三重商工'!$G$2:$G$472,""))</f>
        <v/>
      </c>
      <c r="T525">
        <f t="shared" si="8"/>
        <v>1</v>
      </c>
    </row>
    <row r="526" spans="1:20" ht="14.25" hidden="1" customHeight="1">
      <c r="A526" s="15">
        <v>525</v>
      </c>
      <c r="B526" s="16" t="s">
        <v>1863</v>
      </c>
      <c r="C526" s="17">
        <v>46037</v>
      </c>
      <c r="D526" s="15" t="s">
        <v>1864</v>
      </c>
      <c r="E526" s="18" t="s">
        <v>78</v>
      </c>
      <c r="F526" s="19" t="s">
        <v>1847</v>
      </c>
      <c r="G526" s="18" t="s">
        <v>1848</v>
      </c>
      <c r="H526" s="20" t="s">
        <v>683</v>
      </c>
      <c r="I526" s="15">
        <v>1</v>
      </c>
      <c r="J526" s="15" t="s">
        <v>23</v>
      </c>
      <c r="K526" s="15"/>
      <c r="L526" s="21" t="s">
        <v>16</v>
      </c>
      <c r="M526" s="22">
        <v>0</v>
      </c>
      <c r="N526" s="22">
        <v>0</v>
      </c>
      <c r="O526" s="22">
        <v>9000</v>
      </c>
      <c r="P526" s="22">
        <v>9000</v>
      </c>
      <c r="Q526" t="str" cm="1">
        <f t="array" ref="Q526">_xlfn.TEXTJOIN("、",TRUE,IF('學員資料-三民高中'!$B$2:$B$454=$F526,'學員資料-三民高中'!$G$2:$G$454,""))</f>
        <v/>
      </c>
      <c r="R526" t="str" cm="1">
        <f t="array" ref="R526">_xlfn.TEXTJOIN("、",TRUE,IF('學員資料-新北高中'!$B$2:$B$583=$F526,'學員資料-新北高中'!$G$2:$G$583,""))</f>
        <v>0955171617</v>
      </c>
      <c r="S526" t="str" cm="1">
        <f t="array" ref="S526">_xlfn.TEXTJOIN("、",TRUE,IF('學員資料-三重商工'!$B$2:$B$472=$F526,'學員資料-三重商工'!$G$2:$G$472,""))</f>
        <v/>
      </c>
      <c r="T526">
        <f t="shared" si="8"/>
        <v>1</v>
      </c>
    </row>
    <row r="527" spans="1:20" ht="14.25" hidden="1" customHeight="1">
      <c r="A527" s="15">
        <v>526</v>
      </c>
      <c r="B527" s="16" t="s">
        <v>1865</v>
      </c>
      <c r="C527" s="17">
        <v>46037</v>
      </c>
      <c r="D527" s="15" t="s">
        <v>1866</v>
      </c>
      <c r="E527" s="18" t="s">
        <v>78</v>
      </c>
      <c r="F527" s="19" t="s">
        <v>1847</v>
      </c>
      <c r="G527" s="18" t="s">
        <v>1848</v>
      </c>
      <c r="H527" s="20" t="s">
        <v>683</v>
      </c>
      <c r="I527" s="15">
        <v>1</v>
      </c>
      <c r="J527" s="15" t="s">
        <v>23</v>
      </c>
      <c r="K527" s="15"/>
      <c r="L527" s="21" t="s">
        <v>16</v>
      </c>
      <c r="M527" s="22">
        <v>0</v>
      </c>
      <c r="N527" s="22">
        <v>-6300</v>
      </c>
      <c r="O527" s="22">
        <v>2700</v>
      </c>
      <c r="P527" s="22">
        <v>2700</v>
      </c>
      <c r="Q527" t="str" cm="1">
        <f t="array" ref="Q527">_xlfn.TEXTJOIN("、",TRUE,IF('學員資料-三民高中'!$B$2:$B$454=$F527,'學員資料-三民高中'!$G$2:$G$454,""))</f>
        <v/>
      </c>
      <c r="R527" t="str" cm="1">
        <f t="array" ref="R527">_xlfn.TEXTJOIN("、",TRUE,IF('學員資料-新北高中'!$B$2:$B$583=$F527,'學員資料-新北高中'!$G$2:$G$583,""))</f>
        <v>0955171617</v>
      </c>
      <c r="S527" t="str" cm="1">
        <f t="array" ref="S527">_xlfn.TEXTJOIN("、",TRUE,IF('學員資料-三重商工'!$B$2:$B$472=$F527,'學員資料-三重商工'!$G$2:$G$472,""))</f>
        <v/>
      </c>
      <c r="T527">
        <f t="shared" si="8"/>
        <v>1</v>
      </c>
    </row>
    <row r="528" spans="1:20" ht="43.5" hidden="1" customHeight="1">
      <c r="A528" s="15">
        <v>527</v>
      </c>
      <c r="B528" s="16" t="s">
        <v>1867</v>
      </c>
      <c r="C528" s="17">
        <v>46037</v>
      </c>
      <c r="D528" s="15" t="s">
        <v>1868</v>
      </c>
      <c r="E528" s="18" t="s">
        <v>83</v>
      </c>
      <c r="F528" s="19" t="s">
        <v>1869</v>
      </c>
      <c r="G528" s="18" t="s">
        <v>1870</v>
      </c>
      <c r="H528" s="20" t="s">
        <v>436</v>
      </c>
      <c r="I528" s="15">
        <v>3</v>
      </c>
      <c r="J528" s="15" t="s">
        <v>24</v>
      </c>
      <c r="K528" s="15"/>
      <c r="L528" s="21" t="s">
        <v>16</v>
      </c>
      <c r="M528" s="22">
        <v>0</v>
      </c>
      <c r="N528" s="22">
        <v>-4500</v>
      </c>
      <c r="O528" s="22">
        <v>18000</v>
      </c>
      <c r="P528" s="22">
        <v>18000</v>
      </c>
      <c r="Q528" t="str" cm="1">
        <f t="array" ref="Q528">_xlfn.TEXTJOIN("、",TRUE,IF('學員資料-三民高中'!$B$2:$B$454=$F528,'學員資料-三民高中'!$G$2:$G$454,""))</f>
        <v/>
      </c>
      <c r="R528" t="str" cm="1">
        <f t="array" ref="R528">_xlfn.TEXTJOIN("、",TRUE,IF('學員資料-新北高中'!$B$2:$B$583=$F528,'學員資料-新北高中'!$G$2:$G$583,""))</f>
        <v/>
      </c>
      <c r="S528" t="str" cm="1">
        <f t="array" ref="S528">_xlfn.TEXTJOIN("、",TRUE,IF('學員資料-三重商工'!$B$2:$B$472=$F528,'學員資料-三重商工'!$G$2:$G$472,""))</f>
        <v>0912566557</v>
      </c>
      <c r="T528">
        <f t="shared" si="8"/>
        <v>1</v>
      </c>
    </row>
    <row r="529" spans="1:20" ht="14.25" hidden="1" customHeight="1">
      <c r="A529" s="15">
        <v>528</v>
      </c>
      <c r="B529" s="16" t="s">
        <v>1871</v>
      </c>
      <c r="C529" s="17">
        <v>46037</v>
      </c>
      <c r="D529" s="15" t="s">
        <v>1872</v>
      </c>
      <c r="E529" s="18" t="s">
        <v>83</v>
      </c>
      <c r="F529" s="19" t="s">
        <v>759</v>
      </c>
      <c r="G529" s="18" t="s">
        <v>760</v>
      </c>
      <c r="H529" s="20" t="s">
        <v>52</v>
      </c>
      <c r="I529" s="15">
        <v>1</v>
      </c>
      <c r="J529" s="15" t="s">
        <v>24</v>
      </c>
      <c r="K529" s="15"/>
      <c r="L529" s="21" t="s">
        <v>16</v>
      </c>
      <c r="M529" s="22">
        <v>0</v>
      </c>
      <c r="N529" s="22">
        <v>-900</v>
      </c>
      <c r="O529" s="22">
        <v>6600</v>
      </c>
      <c r="P529" s="22">
        <v>6600</v>
      </c>
      <c r="Q529" t="str" cm="1">
        <f t="array" ref="Q529">_xlfn.TEXTJOIN("、",TRUE,IF('學員資料-三民高中'!$B$2:$B$454=$F529,'學員資料-三民高中'!$G$2:$G$454,""))</f>
        <v/>
      </c>
      <c r="R529" t="str" cm="1">
        <f t="array" ref="R529">_xlfn.TEXTJOIN("、",TRUE,IF('學員資料-新北高中'!$B$2:$B$583=$F529,'學員資料-新北高中'!$G$2:$G$583,""))</f>
        <v/>
      </c>
      <c r="S529" t="str" cm="1">
        <f t="array" ref="S529">_xlfn.TEXTJOIN("、",TRUE,IF('學員資料-三重商工'!$B$2:$B$472=$F529,'學員資料-三重商工'!$G$2:$G$472,""))</f>
        <v>0913561677</v>
      </c>
      <c r="T529">
        <f t="shared" si="8"/>
        <v>1</v>
      </c>
    </row>
    <row r="530" spans="1:20" ht="14.25" hidden="1" customHeight="1">
      <c r="A530" s="15">
        <v>529</v>
      </c>
      <c r="B530" s="16" t="s">
        <v>1873</v>
      </c>
      <c r="C530" s="17">
        <v>46037</v>
      </c>
      <c r="D530" s="15" t="s">
        <v>1874</v>
      </c>
      <c r="E530" s="18" t="s">
        <v>763</v>
      </c>
      <c r="F530" s="19" t="s">
        <v>1875</v>
      </c>
      <c r="G530" s="18" t="s">
        <v>1876</v>
      </c>
      <c r="H530" s="20" t="s">
        <v>52</v>
      </c>
      <c r="I530" s="15">
        <v>1</v>
      </c>
      <c r="J530" s="15" t="s">
        <v>24</v>
      </c>
      <c r="K530" s="15"/>
      <c r="L530" s="21" t="s">
        <v>16</v>
      </c>
      <c r="M530" s="22">
        <v>0</v>
      </c>
      <c r="N530" s="22">
        <v>0</v>
      </c>
      <c r="O530" s="22">
        <v>7500</v>
      </c>
      <c r="P530" s="22">
        <v>7500</v>
      </c>
      <c r="Q530" t="str" cm="1">
        <f t="array" ref="Q530">_xlfn.TEXTJOIN("、",TRUE,IF('學員資料-三民高中'!$B$2:$B$454=$F530,'學員資料-三民高中'!$G$2:$G$454,""))</f>
        <v>0916331753</v>
      </c>
      <c r="R530" t="str" cm="1">
        <f t="array" ref="R530">_xlfn.TEXTJOIN("、",TRUE,IF('學員資料-新北高中'!$B$2:$B$583=$F530,'學員資料-新北高中'!$G$2:$G$583,""))</f>
        <v/>
      </c>
      <c r="S530" t="str" cm="1">
        <f t="array" ref="S530">_xlfn.TEXTJOIN("、",TRUE,IF('學員資料-三重商工'!$B$2:$B$472=$F530,'學員資料-三重商工'!$G$2:$G$472,""))</f>
        <v/>
      </c>
      <c r="T530">
        <f t="shared" si="8"/>
        <v>1</v>
      </c>
    </row>
    <row r="531" spans="1:20" ht="43.5" hidden="1" customHeight="1">
      <c r="A531" s="15">
        <v>530</v>
      </c>
      <c r="B531" s="16" t="s">
        <v>1877</v>
      </c>
      <c r="C531" s="17">
        <v>46037</v>
      </c>
      <c r="D531" s="15" t="s">
        <v>1878</v>
      </c>
      <c r="E531" s="18" t="s">
        <v>763</v>
      </c>
      <c r="F531" s="19" t="s">
        <v>1879</v>
      </c>
      <c r="G531" s="18" t="s">
        <v>1880</v>
      </c>
      <c r="H531" s="20" t="s">
        <v>436</v>
      </c>
      <c r="I531" s="15">
        <v>3</v>
      </c>
      <c r="J531" s="15" t="s">
        <v>24</v>
      </c>
      <c r="K531" s="15"/>
      <c r="L531" s="21" t="s">
        <v>16</v>
      </c>
      <c r="M531" s="22">
        <v>0</v>
      </c>
      <c r="N531" s="22">
        <v>-4500</v>
      </c>
      <c r="O531" s="22">
        <v>18000</v>
      </c>
      <c r="P531" s="22">
        <v>18000</v>
      </c>
      <c r="Q531" t="str" cm="1">
        <f t="array" ref="Q531">_xlfn.TEXTJOIN("、",TRUE,IF('學員資料-三民高中'!$B$2:$B$454=$F531,'學員資料-三民高中'!$G$2:$G$454,""))</f>
        <v>0928223634</v>
      </c>
      <c r="R531" t="str" cm="1">
        <f t="array" ref="R531">_xlfn.TEXTJOIN("、",TRUE,IF('學員資料-新北高中'!$B$2:$B$583=$F531,'學員資料-新北高中'!$G$2:$G$583,""))</f>
        <v/>
      </c>
      <c r="S531" t="str" cm="1">
        <f t="array" ref="S531">_xlfn.TEXTJOIN("、",TRUE,IF('學員資料-三重商工'!$B$2:$B$472=$F531,'學員資料-三重商工'!$G$2:$G$472,""))</f>
        <v/>
      </c>
      <c r="T531">
        <f t="shared" si="8"/>
        <v>1</v>
      </c>
    </row>
    <row r="532" spans="1:20" ht="14.25" hidden="1" customHeight="1">
      <c r="A532" s="15">
        <v>531</v>
      </c>
      <c r="B532" s="16" t="s">
        <v>1881</v>
      </c>
      <c r="C532" s="17">
        <v>46037</v>
      </c>
      <c r="D532" s="15" t="s">
        <v>1882</v>
      </c>
      <c r="E532" s="18" t="s">
        <v>763</v>
      </c>
      <c r="F532" s="19" t="s">
        <v>1883</v>
      </c>
      <c r="G532" s="18" t="s">
        <v>1884</v>
      </c>
      <c r="H532" s="20" t="s">
        <v>52</v>
      </c>
      <c r="I532" s="15">
        <v>1</v>
      </c>
      <c r="J532" s="15" t="s">
        <v>24</v>
      </c>
      <c r="K532" s="15"/>
      <c r="L532" s="21" t="s">
        <v>16</v>
      </c>
      <c r="M532" s="22">
        <v>0</v>
      </c>
      <c r="N532" s="22">
        <v>-900</v>
      </c>
      <c r="O532" s="22">
        <v>6600</v>
      </c>
      <c r="P532" s="22">
        <v>6600</v>
      </c>
      <c r="Q532" t="str" cm="1">
        <f t="array" ref="Q532">_xlfn.TEXTJOIN("、",TRUE,IF('學員資料-三民高中'!$B$2:$B$454=$F532,'學員資料-三民高中'!$G$2:$G$454,""))</f>
        <v>0910530241</v>
      </c>
      <c r="R532" t="str" cm="1">
        <f t="array" ref="R532">_xlfn.TEXTJOIN("、",TRUE,IF('學員資料-新北高中'!$B$2:$B$583=$F532,'學員資料-新北高中'!$G$2:$G$583,""))</f>
        <v/>
      </c>
      <c r="S532" t="str" cm="1">
        <f t="array" ref="S532">_xlfn.TEXTJOIN("、",TRUE,IF('學員資料-三重商工'!$B$2:$B$472=$F532,'學員資料-三重商工'!$G$2:$G$472,""))</f>
        <v/>
      </c>
      <c r="T532">
        <f t="shared" si="8"/>
        <v>1</v>
      </c>
    </row>
    <row r="533" spans="1:20" ht="43.5" hidden="1" customHeight="1">
      <c r="A533" s="15">
        <v>532</v>
      </c>
      <c r="B533" s="16" t="s">
        <v>1885</v>
      </c>
      <c r="C533" s="17">
        <v>46037</v>
      </c>
      <c r="D533" s="15" t="s">
        <v>1886</v>
      </c>
      <c r="E533" s="18" t="s">
        <v>763</v>
      </c>
      <c r="F533" s="19" t="s">
        <v>1887</v>
      </c>
      <c r="G533" s="18" t="s">
        <v>1888</v>
      </c>
      <c r="H533" s="20" t="s">
        <v>261</v>
      </c>
      <c r="I533" s="15">
        <v>3</v>
      </c>
      <c r="J533" s="15" t="s">
        <v>23</v>
      </c>
      <c r="K533" s="15"/>
      <c r="L533" s="21" t="s">
        <v>16</v>
      </c>
      <c r="M533" s="22">
        <v>0</v>
      </c>
      <c r="N533" s="22">
        <v>-2070</v>
      </c>
      <c r="O533" s="22">
        <v>18630</v>
      </c>
      <c r="P533" s="22">
        <v>18630</v>
      </c>
      <c r="Q533" t="str" cm="1">
        <f t="array" ref="Q533">_xlfn.TEXTJOIN("、",TRUE,IF('學員資料-三民高中'!$B$2:$B$454=$F533,'學員資料-三民高中'!$G$2:$G$454,""))</f>
        <v>0935716123</v>
      </c>
      <c r="R533" t="str" cm="1">
        <f t="array" ref="R533">_xlfn.TEXTJOIN("、",TRUE,IF('學員資料-新北高中'!$B$2:$B$583=$F533,'學員資料-新北高中'!$G$2:$G$583,""))</f>
        <v/>
      </c>
      <c r="S533" t="str" cm="1">
        <f t="array" ref="S533">_xlfn.TEXTJOIN("、",TRUE,IF('學員資料-三重商工'!$B$2:$B$472=$F533,'學員資料-三重商工'!$G$2:$G$472,""))</f>
        <v/>
      </c>
      <c r="T533">
        <f t="shared" si="8"/>
        <v>1</v>
      </c>
    </row>
    <row r="534" spans="1:20" ht="43.5" hidden="1" customHeight="1">
      <c r="A534" s="15">
        <v>533</v>
      </c>
      <c r="B534" s="16" t="s">
        <v>1889</v>
      </c>
      <c r="C534" s="17">
        <v>46037</v>
      </c>
      <c r="D534" s="15" t="s">
        <v>1890</v>
      </c>
      <c r="E534" s="18" t="s">
        <v>763</v>
      </c>
      <c r="F534" s="19" t="s">
        <v>1891</v>
      </c>
      <c r="G534" s="18" t="s">
        <v>1892</v>
      </c>
      <c r="H534" s="20" t="s">
        <v>436</v>
      </c>
      <c r="I534" s="15">
        <v>3</v>
      </c>
      <c r="J534" s="15" t="s">
        <v>24</v>
      </c>
      <c r="K534" s="15"/>
      <c r="L534" s="21" t="s">
        <v>16</v>
      </c>
      <c r="M534" s="22">
        <v>0</v>
      </c>
      <c r="N534" s="22">
        <v>-4500</v>
      </c>
      <c r="O534" s="22">
        <v>18000</v>
      </c>
      <c r="P534" s="22">
        <v>18000</v>
      </c>
      <c r="Q534" t="str" cm="1">
        <f t="array" ref="Q534">_xlfn.TEXTJOIN("、",TRUE,IF('學員資料-三民高中'!$B$2:$B$454=$F534,'學員資料-三民高中'!$G$2:$G$454,""))</f>
        <v>0921856822</v>
      </c>
      <c r="R534" t="str" cm="1">
        <f t="array" ref="R534">_xlfn.TEXTJOIN("、",TRUE,IF('學員資料-新北高中'!$B$2:$B$583=$F534,'學員資料-新北高中'!$G$2:$G$583,""))</f>
        <v/>
      </c>
      <c r="S534" t="str" cm="1">
        <f t="array" ref="S534">_xlfn.TEXTJOIN("、",TRUE,IF('學員資料-三重商工'!$B$2:$B$472=$F534,'學員資料-三重商工'!$G$2:$G$472,""))</f>
        <v/>
      </c>
      <c r="T534">
        <f t="shared" si="8"/>
        <v>1</v>
      </c>
    </row>
    <row r="535" spans="1:20" ht="14.25" hidden="1" customHeight="1">
      <c r="A535" s="15">
        <v>534</v>
      </c>
      <c r="B535" s="16" t="s">
        <v>1893</v>
      </c>
      <c r="C535" s="17">
        <v>46037</v>
      </c>
      <c r="D535" s="15" t="s">
        <v>1894</v>
      </c>
      <c r="E535" s="18" t="s">
        <v>763</v>
      </c>
      <c r="F535" s="19" t="s">
        <v>1773</v>
      </c>
      <c r="G535" s="18" t="s">
        <v>1774</v>
      </c>
      <c r="H535" s="20" t="s">
        <v>66</v>
      </c>
      <c r="I535" s="15">
        <v>1</v>
      </c>
      <c r="J535" s="15" t="s">
        <v>23</v>
      </c>
      <c r="K535" s="15"/>
      <c r="L535" s="21" t="s">
        <v>16</v>
      </c>
      <c r="M535" s="22">
        <v>0</v>
      </c>
      <c r="N535" s="22">
        <v>0</v>
      </c>
      <c r="O535" s="22">
        <v>6900</v>
      </c>
      <c r="P535" s="22">
        <v>6900</v>
      </c>
      <c r="Q535" t="str" cm="1">
        <f t="array" ref="Q535">_xlfn.TEXTJOIN("、",TRUE,IF('學員資料-三民高中'!$B$2:$B$454=$F535,'學員資料-三民高中'!$G$2:$G$454,""))</f>
        <v>0928514787</v>
      </c>
      <c r="R535" t="str" cm="1">
        <f t="array" ref="R535">_xlfn.TEXTJOIN("、",TRUE,IF('學員資料-新北高中'!$B$2:$B$583=$F535,'學員資料-新北高中'!$G$2:$G$583,""))</f>
        <v/>
      </c>
      <c r="S535" t="str" cm="1">
        <f t="array" ref="S535">_xlfn.TEXTJOIN("、",TRUE,IF('學員資料-三重商工'!$B$2:$B$472=$F535,'學員資料-三重商工'!$G$2:$G$472,""))</f>
        <v/>
      </c>
      <c r="T535">
        <f t="shared" si="8"/>
        <v>1</v>
      </c>
    </row>
    <row r="536" spans="1:20" ht="43.5" hidden="1" customHeight="1">
      <c r="A536" s="15">
        <v>535</v>
      </c>
      <c r="B536" s="16" t="s">
        <v>1895</v>
      </c>
      <c r="C536" s="17">
        <v>46037</v>
      </c>
      <c r="D536" s="15" t="s">
        <v>1896</v>
      </c>
      <c r="E536" s="18" t="s">
        <v>763</v>
      </c>
      <c r="F536" s="19" t="s">
        <v>1897</v>
      </c>
      <c r="G536" s="18" t="s">
        <v>1898</v>
      </c>
      <c r="H536" s="20" t="s">
        <v>436</v>
      </c>
      <c r="I536" s="15">
        <v>3</v>
      </c>
      <c r="J536" s="15" t="s">
        <v>24</v>
      </c>
      <c r="K536" s="15"/>
      <c r="L536" s="21" t="s">
        <v>16</v>
      </c>
      <c r="M536" s="22">
        <v>0</v>
      </c>
      <c r="N536" s="22">
        <v>-4500</v>
      </c>
      <c r="O536" s="22">
        <v>18000</v>
      </c>
      <c r="P536" s="22">
        <v>18000</v>
      </c>
      <c r="Q536" t="str" cm="1">
        <f t="array" ref="Q536">_xlfn.TEXTJOIN("、",TRUE,IF('學員資料-三民高中'!$B$2:$B$454=$F536,'學員資料-三民高中'!$G$2:$G$454,""))</f>
        <v>0906028059</v>
      </c>
      <c r="R536" t="str" cm="1">
        <f t="array" ref="R536">_xlfn.TEXTJOIN("、",TRUE,IF('學員資料-新北高中'!$B$2:$B$583=$F536,'學員資料-新北高中'!$G$2:$G$583,""))</f>
        <v/>
      </c>
      <c r="S536" t="str" cm="1">
        <f t="array" ref="S536">_xlfn.TEXTJOIN("、",TRUE,IF('學員資料-三重商工'!$B$2:$B$472=$F536,'學員資料-三重商工'!$G$2:$G$472,""))</f>
        <v/>
      </c>
      <c r="T536">
        <f t="shared" si="8"/>
        <v>1</v>
      </c>
    </row>
    <row r="537" spans="1:20" ht="43.5" hidden="1" customHeight="1">
      <c r="A537" s="15">
        <v>536</v>
      </c>
      <c r="B537" s="16" t="s">
        <v>1899</v>
      </c>
      <c r="C537" s="17">
        <v>46037</v>
      </c>
      <c r="D537" s="15" t="s">
        <v>1900</v>
      </c>
      <c r="E537" s="18" t="s">
        <v>763</v>
      </c>
      <c r="F537" s="19" t="s">
        <v>1001</v>
      </c>
      <c r="G537" s="18" t="s">
        <v>1002</v>
      </c>
      <c r="H537" s="20" t="s">
        <v>436</v>
      </c>
      <c r="I537" s="15">
        <v>3</v>
      </c>
      <c r="J537" s="15" t="s">
        <v>24</v>
      </c>
      <c r="K537" s="15"/>
      <c r="L537" s="21" t="s">
        <v>16</v>
      </c>
      <c r="M537" s="22">
        <v>0</v>
      </c>
      <c r="N537" s="22">
        <v>-4500</v>
      </c>
      <c r="O537" s="22">
        <v>18000</v>
      </c>
      <c r="P537" s="22">
        <v>18000</v>
      </c>
      <c r="Q537" t="str" cm="1">
        <f t="array" ref="Q537">_xlfn.TEXTJOIN("、",TRUE,IF('學員資料-三民高中'!$B$2:$B$454=$F537,'學員資料-三民高中'!$G$2:$G$454,""))</f>
        <v>0955554989</v>
      </c>
      <c r="R537" t="str" cm="1">
        <f t="array" ref="R537">_xlfn.TEXTJOIN("、",TRUE,IF('學員資料-新北高中'!$B$2:$B$583=$F537,'學員資料-新北高中'!$G$2:$G$583,""))</f>
        <v/>
      </c>
      <c r="S537" t="str" cm="1">
        <f t="array" ref="S537">_xlfn.TEXTJOIN("、",TRUE,IF('學員資料-三重商工'!$B$2:$B$472=$F537,'學員資料-三重商工'!$G$2:$G$472,""))</f>
        <v/>
      </c>
      <c r="T537">
        <f t="shared" si="8"/>
        <v>1</v>
      </c>
    </row>
    <row r="538" spans="1:20" ht="87" hidden="1" customHeight="1">
      <c r="A538" s="15">
        <v>537</v>
      </c>
      <c r="B538" s="16" t="s">
        <v>1901</v>
      </c>
      <c r="C538" s="17">
        <v>46037</v>
      </c>
      <c r="D538" s="15" t="s">
        <v>1902</v>
      </c>
      <c r="E538" s="18" t="s">
        <v>763</v>
      </c>
      <c r="F538" s="19" t="s">
        <v>1903</v>
      </c>
      <c r="G538" s="18" t="s">
        <v>1904</v>
      </c>
      <c r="H538" s="20" t="s">
        <v>1758</v>
      </c>
      <c r="I538" s="15">
        <v>6</v>
      </c>
      <c r="J538" s="15" t="s">
        <v>24</v>
      </c>
      <c r="K538" s="15"/>
      <c r="L538" s="21" t="s">
        <v>16</v>
      </c>
      <c r="M538" s="22">
        <v>0</v>
      </c>
      <c r="N538" s="22">
        <v>-9000</v>
      </c>
      <c r="O538" s="22">
        <v>36000</v>
      </c>
      <c r="P538" s="22">
        <v>36000</v>
      </c>
      <c r="Q538" t="str" cm="1">
        <f t="array" ref="Q538">_xlfn.TEXTJOIN("、",TRUE,IF('學員資料-三民高中'!$B$2:$B$454=$F538,'學員資料-三民高中'!$G$2:$G$454,""))</f>
        <v>0921866024</v>
      </c>
      <c r="R538" t="str" cm="1">
        <f t="array" ref="R538">_xlfn.TEXTJOIN("、",TRUE,IF('學員資料-新北高中'!$B$2:$B$583=$F538,'學員資料-新北高中'!$G$2:$G$583,""))</f>
        <v/>
      </c>
      <c r="S538" t="str" cm="1">
        <f t="array" ref="S538">_xlfn.TEXTJOIN("、",TRUE,IF('學員資料-三重商工'!$B$2:$B$472=$F538,'學員資料-三重商工'!$G$2:$G$472,""))</f>
        <v/>
      </c>
      <c r="T538">
        <f t="shared" si="8"/>
        <v>1</v>
      </c>
    </row>
    <row r="539" spans="1:20" ht="14.25" hidden="1" customHeight="1">
      <c r="A539" s="15">
        <v>538</v>
      </c>
      <c r="B539" s="16" t="s">
        <v>1905</v>
      </c>
      <c r="C539" s="17">
        <v>46034</v>
      </c>
      <c r="D539" s="15" t="s">
        <v>1906</v>
      </c>
      <c r="E539" s="18" t="s">
        <v>83</v>
      </c>
      <c r="F539" s="19" t="s">
        <v>1907</v>
      </c>
      <c r="G539" s="18" t="s">
        <v>1908</v>
      </c>
      <c r="H539" s="20" t="s">
        <v>112</v>
      </c>
      <c r="I539" s="15">
        <v>1</v>
      </c>
      <c r="J539" s="15" t="s">
        <v>23</v>
      </c>
      <c r="K539" s="15"/>
      <c r="L539" s="21" t="s">
        <v>18</v>
      </c>
      <c r="M539" s="22">
        <v>0</v>
      </c>
      <c r="N539" s="22">
        <v>-1242</v>
      </c>
      <c r="O539" s="22">
        <v>7038</v>
      </c>
      <c r="P539" s="22">
        <v>7038</v>
      </c>
      <c r="Q539" t="str" cm="1">
        <f t="array" ref="Q539">_xlfn.TEXTJOIN("、",TRUE,IF('學員資料-三民高中'!$B$2:$B$454=$F539,'學員資料-三民高中'!$G$2:$G$454,""))</f>
        <v/>
      </c>
      <c r="R539" t="str" cm="1">
        <f t="array" ref="R539">_xlfn.TEXTJOIN("、",TRUE,IF('學員資料-新北高中'!$B$2:$B$583=$F539,'學員資料-新北高中'!$G$2:$G$583,""))</f>
        <v/>
      </c>
      <c r="S539" t="str" cm="1">
        <f t="array" ref="S539">_xlfn.TEXTJOIN("、",TRUE,IF('學員資料-三重商工'!$B$2:$B$472=$F539,'學員資料-三重商工'!$G$2:$G$472,""))</f>
        <v>0958934009</v>
      </c>
      <c r="T539">
        <f t="shared" si="8"/>
        <v>1</v>
      </c>
    </row>
    <row r="540" spans="1:20" ht="14.25" hidden="1" customHeight="1">
      <c r="A540" s="15">
        <v>539</v>
      </c>
      <c r="B540" s="16" t="s">
        <v>1909</v>
      </c>
      <c r="C540" s="17">
        <v>46034</v>
      </c>
      <c r="D540" s="15" t="s">
        <v>1910</v>
      </c>
      <c r="E540" s="18" t="s">
        <v>83</v>
      </c>
      <c r="F540" s="19" t="s">
        <v>1563</v>
      </c>
      <c r="G540" s="18" t="s">
        <v>1564</v>
      </c>
      <c r="H540" s="20" t="s">
        <v>130</v>
      </c>
      <c r="I540" s="15">
        <v>1</v>
      </c>
      <c r="J540" s="15" t="s">
        <v>25</v>
      </c>
      <c r="K540" s="15"/>
      <c r="L540" s="21" t="s">
        <v>18</v>
      </c>
      <c r="M540" s="22">
        <v>0</v>
      </c>
      <c r="N540" s="22">
        <v>0</v>
      </c>
      <c r="O540" s="22">
        <v>9900</v>
      </c>
      <c r="P540" s="22">
        <v>9900</v>
      </c>
      <c r="Q540" t="str" cm="1">
        <f t="array" ref="Q540">_xlfn.TEXTJOIN("、",TRUE,IF('學員資料-三民高中'!$B$2:$B$454=$F540,'學員資料-三民高中'!$G$2:$G$454,""))</f>
        <v/>
      </c>
      <c r="R540" t="str" cm="1">
        <f t="array" ref="R540">_xlfn.TEXTJOIN("、",TRUE,IF('學員資料-新北高中'!$B$2:$B$583=$F540,'學員資料-新北高中'!$G$2:$G$583,""))</f>
        <v/>
      </c>
      <c r="S540" t="str" cm="1">
        <f t="array" ref="S540">_xlfn.TEXTJOIN("、",TRUE,IF('學員資料-三重商工'!$B$2:$B$472=$F540,'學員資料-三重商工'!$G$2:$G$472,""))</f>
        <v>0966660003</v>
      </c>
      <c r="T540">
        <f t="shared" si="8"/>
        <v>1</v>
      </c>
    </row>
    <row r="541" spans="1:20" ht="14.25" hidden="1" customHeight="1">
      <c r="A541" s="15">
        <v>540</v>
      </c>
      <c r="B541" s="16" t="s">
        <v>1911</v>
      </c>
      <c r="C541" s="17">
        <v>46033</v>
      </c>
      <c r="D541" s="15" t="s">
        <v>1912</v>
      </c>
      <c r="E541" s="18" t="s">
        <v>44</v>
      </c>
      <c r="F541" s="19" t="s">
        <v>967</v>
      </c>
      <c r="G541" s="18" t="s">
        <v>968</v>
      </c>
      <c r="H541" s="20" t="s">
        <v>66</v>
      </c>
      <c r="I541" s="15">
        <v>1</v>
      </c>
      <c r="J541" s="15" t="s">
        <v>23</v>
      </c>
      <c r="K541" s="15"/>
      <c r="L541" s="21" t="s">
        <v>16</v>
      </c>
      <c r="M541" s="22">
        <v>0</v>
      </c>
      <c r="N541" s="22">
        <v>0</v>
      </c>
      <c r="O541" s="22">
        <v>6900</v>
      </c>
      <c r="P541" s="22">
        <v>6900</v>
      </c>
      <c r="Q541" t="str" cm="1">
        <f t="array" ref="Q541">_xlfn.TEXTJOIN("、",TRUE,IF('學員資料-三民高中'!$B$2:$B$454=$F541,'學員資料-三民高中'!$G$2:$G$454,""))</f>
        <v/>
      </c>
      <c r="R541" t="str" cm="1">
        <f t="array" ref="R541">_xlfn.TEXTJOIN("、",TRUE,IF('學員資料-新北高中'!$B$2:$B$583=$F541,'學員資料-新北高中'!$G$2:$G$583,""))</f>
        <v/>
      </c>
      <c r="S541" t="str" cm="1">
        <f t="array" ref="S541">_xlfn.TEXTJOIN("、",TRUE,IF('學員資料-三重商工'!$B$2:$B$472=$F541,'學員資料-三重商工'!$G$2:$G$472,""))</f>
        <v>0910520090</v>
      </c>
      <c r="T541">
        <f t="shared" si="8"/>
        <v>1</v>
      </c>
    </row>
    <row r="542" spans="1:20" ht="14.25" hidden="1" customHeight="1">
      <c r="A542" s="15">
        <v>541</v>
      </c>
      <c r="B542" s="16" t="s">
        <v>1913</v>
      </c>
      <c r="C542" s="17">
        <v>46026</v>
      </c>
      <c r="D542" s="15" t="s">
        <v>1914</v>
      </c>
      <c r="E542" s="18" t="s">
        <v>763</v>
      </c>
      <c r="F542" s="19" t="s">
        <v>1345</v>
      </c>
      <c r="G542" s="18" t="s">
        <v>1346</v>
      </c>
      <c r="H542" s="20" t="s">
        <v>52</v>
      </c>
      <c r="I542" s="15">
        <v>1</v>
      </c>
      <c r="J542" s="15" t="s">
        <v>24</v>
      </c>
      <c r="K542" s="15"/>
      <c r="L542" s="21" t="s">
        <v>16</v>
      </c>
      <c r="M542" s="22">
        <v>0</v>
      </c>
      <c r="N542" s="22">
        <v>0</v>
      </c>
      <c r="O542" s="22">
        <v>7500</v>
      </c>
      <c r="P542" s="22">
        <v>7500</v>
      </c>
      <c r="Q542" t="str" cm="1">
        <f t="array" ref="Q542">_xlfn.TEXTJOIN("、",TRUE,IF('學員資料-三民高中'!$B$2:$B$454=$F542,'學員資料-三民高中'!$G$2:$G$454,""))</f>
        <v>0982307834</v>
      </c>
      <c r="R542" t="str" cm="1">
        <f t="array" ref="R542">_xlfn.TEXTJOIN("、",TRUE,IF('學員資料-新北高中'!$B$2:$B$583=$F542,'學員資料-新北高中'!$G$2:$G$583,""))</f>
        <v/>
      </c>
      <c r="S542" t="str" cm="1">
        <f t="array" ref="S542">_xlfn.TEXTJOIN("、",TRUE,IF('學員資料-三重商工'!$B$2:$B$472=$F542,'學員資料-三重商工'!$G$2:$G$472,""))</f>
        <v/>
      </c>
      <c r="T542">
        <f t="shared" si="8"/>
        <v>1</v>
      </c>
    </row>
    <row r="543" spans="1:20" ht="14.25" hidden="1" customHeight="1">
      <c r="A543" s="15">
        <v>542</v>
      </c>
      <c r="B543" s="16" t="s">
        <v>1915</v>
      </c>
      <c r="C543" s="17">
        <v>46025</v>
      </c>
      <c r="D543" s="15" t="s">
        <v>1916</v>
      </c>
      <c r="E543" s="18" t="s">
        <v>44</v>
      </c>
      <c r="F543" s="19" t="s">
        <v>1039</v>
      </c>
      <c r="G543" s="18" t="s">
        <v>1040</v>
      </c>
      <c r="H543" s="20" t="s">
        <v>52</v>
      </c>
      <c r="I543" s="15">
        <v>1</v>
      </c>
      <c r="J543" s="15" t="s">
        <v>24</v>
      </c>
      <c r="K543" s="15"/>
      <c r="L543" s="21" t="s">
        <v>16</v>
      </c>
      <c r="M543" s="22">
        <v>0</v>
      </c>
      <c r="N543" s="22">
        <v>0</v>
      </c>
      <c r="O543" s="22">
        <v>7500</v>
      </c>
      <c r="P543" s="22">
        <v>7500</v>
      </c>
      <c r="Q543" t="str" cm="1">
        <f t="array" ref="Q543">_xlfn.TEXTJOIN("、",TRUE,IF('學員資料-三民高中'!$B$2:$B$454=$F543,'學員資料-三民高中'!$G$2:$G$454,""))</f>
        <v>0919475518</v>
      </c>
      <c r="R543" t="str" cm="1">
        <f t="array" ref="R543">_xlfn.TEXTJOIN("、",TRUE,IF('學員資料-新北高中'!$B$2:$B$583=$F543,'學員資料-新北高中'!$G$2:$G$583,""))</f>
        <v/>
      </c>
      <c r="S543" t="str" cm="1">
        <f t="array" ref="S543">_xlfn.TEXTJOIN("、",TRUE,IF('學員資料-三重商工'!$B$2:$B$472=$F543,'學員資料-三重商工'!$G$2:$G$472,""))</f>
        <v/>
      </c>
      <c r="T543">
        <f t="shared" si="8"/>
        <v>1</v>
      </c>
    </row>
    <row r="544" spans="1:20" ht="14.25" customHeight="1">
      <c r="A544" s="15">
        <v>543</v>
      </c>
      <c r="B544" s="16" t="s">
        <v>1917</v>
      </c>
      <c r="C544" s="17">
        <v>46024</v>
      </c>
      <c r="D544" s="15" t="s">
        <v>1918</v>
      </c>
      <c r="E544" s="18" t="s">
        <v>78</v>
      </c>
      <c r="F544" s="19" t="s">
        <v>866</v>
      </c>
      <c r="G544" s="18" t="s">
        <v>867</v>
      </c>
      <c r="H544" s="20" t="s">
        <v>66</v>
      </c>
      <c r="I544" s="15">
        <v>1</v>
      </c>
      <c r="J544" s="15" t="s">
        <v>23</v>
      </c>
      <c r="K544" s="15"/>
      <c r="L544" s="21" t="s">
        <v>16</v>
      </c>
      <c r="M544" s="22">
        <v>0</v>
      </c>
      <c r="N544" s="22">
        <v>0</v>
      </c>
      <c r="O544" s="22">
        <v>6900</v>
      </c>
      <c r="P544" s="22">
        <v>6900</v>
      </c>
      <c r="Q544" t="str" cm="1">
        <f t="array" ref="Q544">_xlfn.TEXTJOIN("、",TRUE,IF('學員資料-三民高中'!$B$2:$B$454=$F544,'學員資料-三民高中'!$G$2:$G$454,""))</f>
        <v/>
      </c>
      <c r="R544" t="str" cm="1">
        <f t="array" ref="R544">_xlfn.TEXTJOIN("、",TRUE,IF('學員資料-新北高中'!$B$2:$B$583=$F544,'學員資料-新北高中'!$G$2:$G$583,""))</f>
        <v/>
      </c>
      <c r="S544" t="str" cm="1">
        <f t="array" ref="S544">_xlfn.TEXTJOIN("、",TRUE,IF('學員資料-三重商工'!$B$2:$B$472=$F544,'學員資料-三重商工'!$G$2:$G$472,""))</f>
        <v/>
      </c>
      <c r="T544">
        <f t="shared" si="8"/>
        <v>0</v>
      </c>
    </row>
    <row r="545" spans="1:20" ht="14.25" hidden="1" customHeight="1">
      <c r="A545" s="15">
        <v>544</v>
      </c>
      <c r="B545" s="16" t="s">
        <v>1919</v>
      </c>
      <c r="C545" s="17">
        <v>46024</v>
      </c>
      <c r="D545" s="15" t="s">
        <v>1920</v>
      </c>
      <c r="E545" s="18" t="s">
        <v>78</v>
      </c>
      <c r="F545" s="19" t="s">
        <v>975</v>
      </c>
      <c r="G545" s="18" t="s">
        <v>976</v>
      </c>
      <c r="H545" s="20" t="s">
        <v>66</v>
      </c>
      <c r="I545" s="15">
        <v>1</v>
      </c>
      <c r="J545" s="15" t="s">
        <v>23</v>
      </c>
      <c r="K545" s="15"/>
      <c r="L545" s="21" t="s">
        <v>16</v>
      </c>
      <c r="M545" s="22">
        <v>0</v>
      </c>
      <c r="N545" s="22">
        <v>0</v>
      </c>
      <c r="O545" s="22">
        <v>6900</v>
      </c>
      <c r="P545" s="22">
        <v>6900</v>
      </c>
      <c r="Q545" t="str" cm="1">
        <f t="array" ref="Q545">_xlfn.TEXTJOIN("、",TRUE,IF('學員資料-三民高中'!$B$2:$B$454=$F545,'學員資料-三民高中'!$G$2:$G$454,""))</f>
        <v/>
      </c>
      <c r="R545" t="str" cm="1">
        <f t="array" ref="R545">_xlfn.TEXTJOIN("、",TRUE,IF('學員資料-新北高中'!$B$2:$B$583=$F545,'學員資料-新北高中'!$G$2:$G$583,""))</f>
        <v>0983818899</v>
      </c>
      <c r="S545" t="str" cm="1">
        <f t="array" ref="S545">_xlfn.TEXTJOIN("、",TRUE,IF('學員資料-三重商工'!$B$2:$B$472=$F545,'學員資料-三重商工'!$G$2:$G$472,""))</f>
        <v/>
      </c>
      <c r="T545">
        <f t="shared" si="8"/>
        <v>1</v>
      </c>
    </row>
    <row r="546" spans="1:20" ht="14.25" hidden="1" customHeight="1">
      <c r="A546" s="15">
        <v>545</v>
      </c>
      <c r="B546" s="16" t="s">
        <v>1921</v>
      </c>
      <c r="C546" s="17">
        <v>46024</v>
      </c>
      <c r="D546" s="15" t="s">
        <v>1922</v>
      </c>
      <c r="E546" s="18" t="s">
        <v>763</v>
      </c>
      <c r="F546" s="19" t="s">
        <v>1270</v>
      </c>
      <c r="G546" s="18" t="s">
        <v>1271</v>
      </c>
      <c r="H546" s="20" t="s">
        <v>52</v>
      </c>
      <c r="I546" s="15">
        <v>1</v>
      </c>
      <c r="J546" s="15" t="s">
        <v>24</v>
      </c>
      <c r="K546" s="15"/>
      <c r="L546" s="21" t="s">
        <v>16</v>
      </c>
      <c r="M546" s="22">
        <v>0</v>
      </c>
      <c r="N546" s="22">
        <v>0</v>
      </c>
      <c r="O546" s="22">
        <v>7500</v>
      </c>
      <c r="P546" s="22">
        <v>7500</v>
      </c>
      <c r="Q546" t="str" cm="1">
        <f t="array" ref="Q546">_xlfn.TEXTJOIN("、",TRUE,IF('學員資料-三民高中'!$B$2:$B$454=$F546,'學員資料-三民高中'!$G$2:$G$454,""))</f>
        <v>0923705658</v>
      </c>
      <c r="R546" t="str" cm="1">
        <f t="array" ref="R546">_xlfn.TEXTJOIN("、",TRUE,IF('學員資料-新北高中'!$B$2:$B$583=$F546,'學員資料-新北高中'!$G$2:$G$583,""))</f>
        <v/>
      </c>
      <c r="S546" t="str" cm="1">
        <f t="array" ref="S546">_xlfn.TEXTJOIN("、",TRUE,IF('學員資料-三重商工'!$B$2:$B$472=$F546,'學員資料-三重商工'!$G$2:$G$472,""))</f>
        <v/>
      </c>
      <c r="T546">
        <f t="shared" si="8"/>
        <v>1</v>
      </c>
    </row>
    <row r="547" spans="1:20" ht="14.25" hidden="1" customHeight="1">
      <c r="A547" s="15">
        <v>546</v>
      </c>
      <c r="B547" s="16" t="s">
        <v>1923</v>
      </c>
      <c r="C547" s="17">
        <v>46024</v>
      </c>
      <c r="D547" s="15" t="s">
        <v>1924</v>
      </c>
      <c r="E547" s="18" t="s">
        <v>83</v>
      </c>
      <c r="F547" s="19" t="s">
        <v>1925</v>
      </c>
      <c r="G547" s="18" t="s">
        <v>1926</v>
      </c>
      <c r="H547" s="20" t="s">
        <v>112</v>
      </c>
      <c r="I547" s="15">
        <v>1</v>
      </c>
      <c r="J547" s="15" t="s">
        <v>23</v>
      </c>
      <c r="K547" s="15"/>
      <c r="L547" s="21" t="s">
        <v>16</v>
      </c>
      <c r="M547" s="22">
        <v>0</v>
      </c>
      <c r="N547" s="22">
        <v>-1242</v>
      </c>
      <c r="O547" s="22">
        <v>7038</v>
      </c>
      <c r="P547" s="22">
        <v>7038</v>
      </c>
      <c r="Q547" t="str" cm="1">
        <f t="array" ref="Q547">_xlfn.TEXTJOIN("、",TRUE,IF('學員資料-三民高中'!$B$2:$B$454=$F547,'學員資料-三民高中'!$G$2:$G$454,""))</f>
        <v/>
      </c>
      <c r="R547" t="str" cm="1">
        <f t="array" ref="R547">_xlfn.TEXTJOIN("、",TRUE,IF('學員資料-新北高中'!$B$2:$B$583=$F547,'學員資料-新北高中'!$G$2:$G$583,""))</f>
        <v>0902228252</v>
      </c>
      <c r="S547" t="str" cm="1">
        <f t="array" ref="S547">_xlfn.TEXTJOIN("、",TRUE,IF('學員資料-三重商工'!$B$2:$B$472=$F547,'學員資料-三重商工'!$G$2:$G$472,""))</f>
        <v/>
      </c>
      <c r="T547">
        <f t="shared" si="8"/>
        <v>1</v>
      </c>
    </row>
    <row r="548" spans="1:20" ht="14.25" hidden="1" customHeight="1">
      <c r="A548" s="15">
        <v>547</v>
      </c>
      <c r="B548" s="16" t="s">
        <v>1927</v>
      </c>
      <c r="C548" s="17">
        <v>46024</v>
      </c>
      <c r="D548" s="15" t="s">
        <v>1928</v>
      </c>
      <c r="E548" s="18" t="s">
        <v>83</v>
      </c>
      <c r="F548" s="19" t="s">
        <v>1929</v>
      </c>
      <c r="G548" s="18" t="s">
        <v>1930</v>
      </c>
      <c r="H548" s="20" t="s">
        <v>112</v>
      </c>
      <c r="I548" s="15">
        <v>1</v>
      </c>
      <c r="J548" s="15" t="s">
        <v>23</v>
      </c>
      <c r="K548" s="15"/>
      <c r="L548" s="21" t="s">
        <v>16</v>
      </c>
      <c r="M548" s="22">
        <v>0</v>
      </c>
      <c r="N548" s="22">
        <v>-1242</v>
      </c>
      <c r="O548" s="22">
        <v>7038</v>
      </c>
      <c r="P548" s="22">
        <v>7038</v>
      </c>
      <c r="Q548" t="str" cm="1">
        <f t="array" ref="Q548">_xlfn.TEXTJOIN("、",TRUE,IF('學員資料-三民高中'!$B$2:$B$454=$F548,'學員資料-三民高中'!$G$2:$G$454,""))</f>
        <v/>
      </c>
      <c r="R548" t="str" cm="1">
        <f t="array" ref="R548">_xlfn.TEXTJOIN("、",TRUE,IF('學員資料-新北高中'!$B$2:$B$583=$F548,'學員資料-新北高中'!$G$2:$G$583,""))</f>
        <v/>
      </c>
      <c r="S548" t="str" cm="1">
        <f t="array" ref="S548">_xlfn.TEXTJOIN("、",TRUE,IF('學員資料-三重商工'!$B$2:$B$472=$F548,'學員資料-三重商工'!$G$2:$G$472,""))</f>
        <v>0988241415</v>
      </c>
      <c r="T548">
        <f t="shared" si="8"/>
        <v>1</v>
      </c>
    </row>
    <row r="549" spans="1:20" ht="14.25" hidden="1" customHeight="1">
      <c r="A549" s="15">
        <v>548</v>
      </c>
      <c r="B549" s="16" t="s">
        <v>1931</v>
      </c>
      <c r="C549" s="17">
        <v>46024</v>
      </c>
      <c r="D549" s="15" t="s">
        <v>1932</v>
      </c>
      <c r="E549" s="18" t="s">
        <v>83</v>
      </c>
      <c r="F549" s="19" t="s">
        <v>106</v>
      </c>
      <c r="G549" s="18" t="s">
        <v>107</v>
      </c>
      <c r="H549" s="20" t="s">
        <v>52</v>
      </c>
      <c r="I549" s="15">
        <v>1</v>
      </c>
      <c r="J549" s="15" t="s">
        <v>24</v>
      </c>
      <c r="K549" s="15"/>
      <c r="L549" s="21" t="s">
        <v>16</v>
      </c>
      <c r="M549" s="22">
        <v>0</v>
      </c>
      <c r="N549" s="22">
        <v>0</v>
      </c>
      <c r="O549" s="22">
        <v>7500</v>
      </c>
      <c r="P549" s="22">
        <v>7500</v>
      </c>
      <c r="Q549" t="str" cm="1">
        <f t="array" ref="Q549">_xlfn.TEXTJOIN("、",TRUE,IF('學員資料-三民高中'!$B$2:$B$454=$F549,'學員資料-三民高中'!$G$2:$G$454,""))</f>
        <v/>
      </c>
      <c r="R549" t="str" cm="1">
        <f t="array" ref="R549">_xlfn.TEXTJOIN("、",TRUE,IF('學員資料-新北高中'!$B$2:$B$583=$F549,'學員資料-新北高中'!$G$2:$G$583,""))</f>
        <v/>
      </c>
      <c r="S549" t="str" cm="1">
        <f t="array" ref="S549">_xlfn.TEXTJOIN("、",TRUE,IF('學員資料-三重商工'!$B$2:$B$472=$F549,'學員資料-三重商工'!$G$2:$G$472,""))</f>
        <v>0938718725</v>
      </c>
      <c r="T549">
        <f t="shared" si="8"/>
        <v>1</v>
      </c>
    </row>
    <row r="550" spans="1:20" ht="14.25" hidden="1" customHeight="1">
      <c r="A550" s="15">
        <v>549</v>
      </c>
      <c r="B550" s="16" t="s">
        <v>1933</v>
      </c>
      <c r="C550" s="17">
        <v>46022</v>
      </c>
      <c r="D550" s="15" t="s">
        <v>1934</v>
      </c>
      <c r="E550" s="18" t="s">
        <v>402</v>
      </c>
      <c r="F550" s="19" t="s">
        <v>1504</v>
      </c>
      <c r="G550" s="18" t="s">
        <v>1505</v>
      </c>
      <c r="H550" s="20" t="s">
        <v>683</v>
      </c>
      <c r="I550" s="15">
        <v>1</v>
      </c>
      <c r="J550" s="15" t="s">
        <v>23</v>
      </c>
      <c r="K550" s="15"/>
      <c r="L550" s="21" t="s">
        <v>16</v>
      </c>
      <c r="M550" s="22">
        <v>0</v>
      </c>
      <c r="N550" s="22">
        <v>0</v>
      </c>
      <c r="O550" s="22">
        <v>9000</v>
      </c>
      <c r="P550" s="22">
        <v>9000</v>
      </c>
      <c r="Q550" t="str" cm="1">
        <f t="array" ref="Q550">_xlfn.TEXTJOIN("、",TRUE,IF('學員資料-三民高中'!$B$2:$B$454=$F550,'學員資料-三民高中'!$G$2:$G$454,""))</f>
        <v/>
      </c>
      <c r="R550" t="str" cm="1">
        <f t="array" ref="R550">_xlfn.TEXTJOIN("、",TRUE,IF('學員資料-新北高中'!$B$2:$B$583=$F550,'學員資料-新北高中'!$G$2:$G$583,""))</f>
        <v>0955333911-1</v>
      </c>
      <c r="S550" t="str" cm="1">
        <f t="array" ref="S550">_xlfn.TEXTJOIN("、",TRUE,IF('學員資料-三重商工'!$B$2:$B$472=$F550,'學員資料-三重商工'!$G$2:$G$472,""))</f>
        <v/>
      </c>
      <c r="T550">
        <f t="shared" si="8"/>
        <v>1</v>
      </c>
    </row>
    <row r="551" spans="1:20" ht="14.25" hidden="1" customHeight="1">
      <c r="A551" s="15">
        <v>550</v>
      </c>
      <c r="B551" s="16" t="s">
        <v>1935</v>
      </c>
      <c r="C551" s="17">
        <v>46022</v>
      </c>
      <c r="D551" s="15" t="s">
        <v>1936</v>
      </c>
      <c r="E551" s="18" t="s">
        <v>763</v>
      </c>
      <c r="F551" s="19" t="s">
        <v>1937</v>
      </c>
      <c r="G551" s="18" t="s">
        <v>1938</v>
      </c>
      <c r="H551" s="20" t="s">
        <v>112</v>
      </c>
      <c r="I551" s="15">
        <v>1</v>
      </c>
      <c r="J551" s="15" t="s">
        <v>23</v>
      </c>
      <c r="K551" s="15"/>
      <c r="L551" s="21" t="s">
        <v>16</v>
      </c>
      <c r="M551" s="22">
        <v>0</v>
      </c>
      <c r="N551" s="22">
        <v>-1242</v>
      </c>
      <c r="O551" s="22">
        <v>7038</v>
      </c>
      <c r="P551" s="22">
        <v>7038</v>
      </c>
      <c r="Q551" t="str" cm="1">
        <f t="array" ref="Q551">_xlfn.TEXTJOIN("、",TRUE,IF('學員資料-三民高中'!$B$2:$B$454=$F551,'學員資料-三民高中'!$G$2:$G$454,""))</f>
        <v/>
      </c>
      <c r="R551" t="str" cm="1">
        <f t="array" ref="R551">_xlfn.TEXTJOIN("、",TRUE,IF('學員資料-新北高中'!$B$2:$B$583=$F551,'學員資料-新北高中'!$G$2:$G$583,""))</f>
        <v>0920191619</v>
      </c>
      <c r="S551" t="str" cm="1">
        <f t="array" ref="S551">_xlfn.TEXTJOIN("、",TRUE,IF('學員資料-三重商工'!$B$2:$B$472=$F551,'學員資料-三重商工'!$G$2:$G$472,""))</f>
        <v/>
      </c>
      <c r="T551">
        <f t="shared" si="8"/>
        <v>1</v>
      </c>
    </row>
    <row r="552" spans="1:20" ht="14.25" hidden="1" customHeight="1">
      <c r="A552" s="15">
        <v>551</v>
      </c>
      <c r="B552" s="16" t="s">
        <v>1939</v>
      </c>
      <c r="C552" s="17">
        <v>46021</v>
      </c>
      <c r="D552" s="15" t="s">
        <v>1940</v>
      </c>
      <c r="E552" s="18" t="s">
        <v>83</v>
      </c>
      <c r="F552" s="19" t="s">
        <v>1929</v>
      </c>
      <c r="G552" s="18" t="s">
        <v>1930</v>
      </c>
      <c r="H552" s="20" t="s">
        <v>800</v>
      </c>
      <c r="I552" s="15">
        <v>1</v>
      </c>
      <c r="J552" s="15" t="s">
        <v>23</v>
      </c>
      <c r="K552" s="21" t="s">
        <v>116</v>
      </c>
      <c r="L552" s="21" t="s">
        <v>16</v>
      </c>
      <c r="M552" s="22">
        <v>0</v>
      </c>
      <c r="N552" s="22">
        <v>0</v>
      </c>
      <c r="O552" s="22">
        <v>1440</v>
      </c>
      <c r="P552" s="22">
        <v>1440</v>
      </c>
      <c r="Q552" t="str" cm="1">
        <f t="array" ref="Q552">_xlfn.TEXTJOIN("、",TRUE,IF('學員資料-三民高中'!$B$2:$B$454=$F552,'學員資料-三民高中'!$G$2:$G$454,""))</f>
        <v/>
      </c>
      <c r="R552" t="str" cm="1">
        <f t="array" ref="R552">_xlfn.TEXTJOIN("、",TRUE,IF('學員資料-新北高中'!$B$2:$B$583=$F552,'學員資料-新北高中'!$G$2:$G$583,""))</f>
        <v/>
      </c>
      <c r="S552" t="str" cm="1">
        <f t="array" ref="S552">_xlfn.TEXTJOIN("、",TRUE,IF('學員資料-三重商工'!$B$2:$B$472=$F552,'學員資料-三重商工'!$G$2:$G$472,""))</f>
        <v>0988241415</v>
      </c>
      <c r="T552">
        <f t="shared" si="8"/>
        <v>1</v>
      </c>
    </row>
    <row r="553" spans="1:20" ht="14.25" hidden="1" customHeight="1">
      <c r="A553" s="15">
        <v>552</v>
      </c>
      <c r="B553" s="16" t="s">
        <v>1941</v>
      </c>
      <c r="C553" s="17">
        <v>46020</v>
      </c>
      <c r="D553" s="15" t="s">
        <v>1942</v>
      </c>
      <c r="E553" s="18" t="s">
        <v>83</v>
      </c>
      <c r="F553" s="19" t="s">
        <v>1652</v>
      </c>
      <c r="G553" s="18" t="s">
        <v>1653</v>
      </c>
      <c r="H553" s="20" t="s">
        <v>52</v>
      </c>
      <c r="I553" s="15">
        <v>1</v>
      </c>
      <c r="J553" s="15" t="s">
        <v>24</v>
      </c>
      <c r="K553" s="15"/>
      <c r="L553" s="21" t="s">
        <v>18</v>
      </c>
      <c r="M553" s="22">
        <v>0</v>
      </c>
      <c r="N553" s="22">
        <v>0</v>
      </c>
      <c r="O553" s="22">
        <v>7500</v>
      </c>
      <c r="P553" s="22">
        <v>7500</v>
      </c>
      <c r="Q553" t="str" cm="1">
        <f t="array" ref="Q553">_xlfn.TEXTJOIN("、",TRUE,IF('學員資料-三民高中'!$B$2:$B$454=$F553,'學員資料-三民高中'!$G$2:$G$454,""))</f>
        <v/>
      </c>
      <c r="R553" t="str" cm="1">
        <f t="array" ref="R553">_xlfn.TEXTJOIN("、",TRUE,IF('學員資料-新北高中'!$B$2:$B$583=$F553,'學員資料-新北高中'!$G$2:$G$583,""))</f>
        <v>0923113843</v>
      </c>
      <c r="S553" t="str" cm="1">
        <f t="array" ref="S553">_xlfn.TEXTJOIN("、",TRUE,IF('學員資料-三重商工'!$B$2:$B$472=$F553,'學員資料-三重商工'!$G$2:$G$472,""))</f>
        <v/>
      </c>
      <c r="T553">
        <f t="shared" si="8"/>
        <v>1</v>
      </c>
    </row>
    <row r="554" spans="1:20" ht="14.25" hidden="1" customHeight="1">
      <c r="A554" s="15">
        <v>553</v>
      </c>
      <c r="B554" s="16" t="s">
        <v>1943</v>
      </c>
      <c r="C554" s="17">
        <v>46020</v>
      </c>
      <c r="D554" s="15" t="s">
        <v>1944</v>
      </c>
      <c r="E554" s="18" t="s">
        <v>83</v>
      </c>
      <c r="F554" s="19" t="s">
        <v>1398</v>
      </c>
      <c r="G554" s="18" t="s">
        <v>1399</v>
      </c>
      <c r="H554" s="20" t="s">
        <v>130</v>
      </c>
      <c r="I554" s="15">
        <v>1</v>
      </c>
      <c r="J554" s="15" t="s">
        <v>25</v>
      </c>
      <c r="K554" s="15"/>
      <c r="L554" s="21" t="s">
        <v>18</v>
      </c>
      <c r="M554" s="22">
        <v>0</v>
      </c>
      <c r="N554" s="22">
        <v>0</v>
      </c>
      <c r="O554" s="22">
        <v>9900</v>
      </c>
      <c r="P554" s="22">
        <v>9900</v>
      </c>
      <c r="Q554" t="str" cm="1">
        <f t="array" ref="Q554">_xlfn.TEXTJOIN("、",TRUE,IF('學員資料-三民高中'!$B$2:$B$454=$F554,'學員資料-三民高中'!$G$2:$G$454,""))</f>
        <v/>
      </c>
      <c r="R554" t="str" cm="1">
        <f t="array" ref="R554">_xlfn.TEXTJOIN("、",TRUE,IF('學員資料-新北高中'!$B$2:$B$583=$F554,'學員資料-新北高中'!$G$2:$G$583,""))</f>
        <v/>
      </c>
      <c r="S554" t="str" cm="1">
        <f t="array" ref="S554">_xlfn.TEXTJOIN("、",TRUE,IF('學員資料-三重商工'!$B$2:$B$472=$F554,'學員資料-三重商工'!$G$2:$G$472,""))</f>
        <v>0922448048</v>
      </c>
      <c r="T554">
        <f t="shared" si="8"/>
        <v>1</v>
      </c>
    </row>
    <row r="555" spans="1:20" ht="14.25" hidden="1" customHeight="1">
      <c r="A555" s="15">
        <v>554</v>
      </c>
      <c r="B555" s="16" t="s">
        <v>1945</v>
      </c>
      <c r="C555" s="17">
        <v>46019</v>
      </c>
      <c r="D555" s="15" t="s">
        <v>1946</v>
      </c>
      <c r="E555" s="18" t="s">
        <v>763</v>
      </c>
      <c r="F555" s="19" t="s">
        <v>1603</v>
      </c>
      <c r="G555" s="18" t="s">
        <v>1604</v>
      </c>
      <c r="H555" s="20" t="s">
        <v>52</v>
      </c>
      <c r="I555" s="15">
        <v>1</v>
      </c>
      <c r="J555" s="15" t="s">
        <v>24</v>
      </c>
      <c r="K555" s="15"/>
      <c r="L555" s="21" t="s">
        <v>16</v>
      </c>
      <c r="M555" s="22">
        <v>0</v>
      </c>
      <c r="N555" s="22">
        <v>0</v>
      </c>
      <c r="O555" s="22">
        <v>7500</v>
      </c>
      <c r="P555" s="22">
        <v>7500</v>
      </c>
      <c r="Q555" t="str" cm="1">
        <f t="array" ref="Q555">_xlfn.TEXTJOIN("、",TRUE,IF('學員資料-三民高中'!$B$2:$B$454=$F555,'學員資料-三民高中'!$G$2:$G$454,""))</f>
        <v>0915172967-1</v>
      </c>
      <c r="R555" t="str" cm="1">
        <f t="array" ref="R555">_xlfn.TEXTJOIN("、",TRUE,IF('學員資料-新北高中'!$B$2:$B$583=$F555,'學員資料-新北高中'!$G$2:$G$583,""))</f>
        <v/>
      </c>
      <c r="S555" t="str" cm="1">
        <f t="array" ref="S555">_xlfn.TEXTJOIN("、",TRUE,IF('學員資料-三重商工'!$B$2:$B$472=$F555,'學員資料-三重商工'!$G$2:$G$472,""))</f>
        <v/>
      </c>
      <c r="T555">
        <f t="shared" si="8"/>
        <v>1</v>
      </c>
    </row>
    <row r="556" spans="1:20" ht="14.25" hidden="1" customHeight="1">
      <c r="A556" s="15">
        <v>555</v>
      </c>
      <c r="B556" s="16" t="s">
        <v>1947</v>
      </c>
      <c r="C556" s="17">
        <v>46019</v>
      </c>
      <c r="D556" s="15" t="s">
        <v>1948</v>
      </c>
      <c r="E556" s="18" t="s">
        <v>763</v>
      </c>
      <c r="F556" s="19" t="s">
        <v>334</v>
      </c>
      <c r="G556" s="18" t="s">
        <v>335</v>
      </c>
      <c r="H556" s="20" t="s">
        <v>52</v>
      </c>
      <c r="I556" s="15">
        <v>1</v>
      </c>
      <c r="J556" s="15" t="s">
        <v>24</v>
      </c>
      <c r="K556" s="15"/>
      <c r="L556" s="21" t="s">
        <v>16</v>
      </c>
      <c r="M556" s="22">
        <v>0</v>
      </c>
      <c r="N556" s="22">
        <v>0</v>
      </c>
      <c r="O556" s="22">
        <v>7500</v>
      </c>
      <c r="P556" s="22">
        <v>7500</v>
      </c>
      <c r="Q556" t="str" cm="1">
        <f t="array" ref="Q556">_xlfn.TEXTJOIN("、",TRUE,IF('學員資料-三民高中'!$B$2:$B$454=$F556,'學員資料-三民高中'!$G$2:$G$454,""))</f>
        <v>0922250325</v>
      </c>
      <c r="R556" t="str" cm="1">
        <f t="array" ref="R556">_xlfn.TEXTJOIN("、",TRUE,IF('學員資料-新北高中'!$B$2:$B$583=$F556,'學員資料-新北高中'!$G$2:$G$583,""))</f>
        <v/>
      </c>
      <c r="S556" t="str" cm="1">
        <f t="array" ref="S556">_xlfn.TEXTJOIN("、",TRUE,IF('學員資料-三重商工'!$B$2:$B$472=$F556,'學員資料-三重商工'!$G$2:$G$472,""))</f>
        <v/>
      </c>
      <c r="T556">
        <f t="shared" si="8"/>
        <v>1</v>
      </c>
    </row>
    <row r="557" spans="1:20" ht="14.25" hidden="1" customHeight="1">
      <c r="A557" s="15">
        <v>556</v>
      </c>
      <c r="B557" s="16" t="s">
        <v>1949</v>
      </c>
      <c r="C557" s="17">
        <v>46017</v>
      </c>
      <c r="D557" s="15" t="s">
        <v>1950</v>
      </c>
      <c r="E557" s="18" t="s">
        <v>763</v>
      </c>
      <c r="F557" s="19" t="s">
        <v>1951</v>
      </c>
      <c r="G557" s="18" t="s">
        <v>1952</v>
      </c>
      <c r="H557" s="20" t="s">
        <v>66</v>
      </c>
      <c r="I557" s="15">
        <v>1</v>
      </c>
      <c r="J557" s="15" t="s">
        <v>23</v>
      </c>
      <c r="K557" s="15"/>
      <c r="L557" s="21" t="s">
        <v>16</v>
      </c>
      <c r="M557" s="22">
        <v>0</v>
      </c>
      <c r="N557" s="22">
        <v>0</v>
      </c>
      <c r="O557" s="22">
        <v>6900</v>
      </c>
      <c r="P557" s="22">
        <v>6900</v>
      </c>
      <c r="Q557" t="str" cm="1">
        <f t="array" ref="Q557">_xlfn.TEXTJOIN("、",TRUE,IF('學員資料-三民高中'!$B$2:$B$454=$F557,'學員資料-三民高中'!$G$2:$G$454,""))</f>
        <v>0937399561-2</v>
      </c>
      <c r="R557" t="str" cm="1">
        <f t="array" ref="R557">_xlfn.TEXTJOIN("、",TRUE,IF('學員資料-新北高中'!$B$2:$B$583=$F557,'學員資料-新北高中'!$G$2:$G$583,""))</f>
        <v/>
      </c>
      <c r="S557" t="str" cm="1">
        <f t="array" ref="S557">_xlfn.TEXTJOIN("、",TRUE,IF('學員資料-三重商工'!$B$2:$B$472=$F557,'學員資料-三重商工'!$G$2:$G$472,""))</f>
        <v/>
      </c>
      <c r="T557">
        <f t="shared" si="8"/>
        <v>1</v>
      </c>
    </row>
    <row r="558" spans="1:20" ht="14.25" hidden="1" customHeight="1">
      <c r="A558" s="15">
        <v>557</v>
      </c>
      <c r="B558" s="16" t="s">
        <v>1953</v>
      </c>
      <c r="C558" s="17">
        <v>46017</v>
      </c>
      <c r="D558" s="15" t="s">
        <v>1954</v>
      </c>
      <c r="E558" s="18" t="s">
        <v>83</v>
      </c>
      <c r="F558" s="19" t="s">
        <v>526</v>
      </c>
      <c r="G558" s="18" t="s">
        <v>527</v>
      </c>
      <c r="H558" s="20" t="s">
        <v>112</v>
      </c>
      <c r="I558" s="15">
        <v>1</v>
      </c>
      <c r="J558" s="15" t="s">
        <v>23</v>
      </c>
      <c r="K558" s="15"/>
      <c r="L558" s="21" t="s">
        <v>18</v>
      </c>
      <c r="M558" s="22">
        <v>0</v>
      </c>
      <c r="N558" s="22">
        <v>-1242</v>
      </c>
      <c r="O558" s="22">
        <v>7038</v>
      </c>
      <c r="P558" s="22">
        <v>7038</v>
      </c>
      <c r="Q558" t="str" cm="1">
        <f t="array" ref="Q558">_xlfn.TEXTJOIN("、",TRUE,IF('學員資料-三民高中'!$B$2:$B$454=$F558,'學員資料-三民高中'!$G$2:$G$454,""))</f>
        <v/>
      </c>
      <c r="R558" t="str" cm="1">
        <f t="array" ref="R558">_xlfn.TEXTJOIN("、",TRUE,IF('學員資料-新北高中'!$B$2:$B$583=$F558,'學員資料-新北高中'!$G$2:$G$583,""))</f>
        <v/>
      </c>
      <c r="S558" t="str" cm="1">
        <f t="array" ref="S558">_xlfn.TEXTJOIN("、",TRUE,IF('學員資料-三重商工'!$B$2:$B$472=$F558,'學員資料-三重商工'!$G$2:$G$472,""))</f>
        <v>0925395167</v>
      </c>
      <c r="T558">
        <f t="shared" si="8"/>
        <v>1</v>
      </c>
    </row>
    <row r="559" spans="1:20" ht="14.25" hidden="1" customHeight="1">
      <c r="A559" s="15">
        <v>558</v>
      </c>
      <c r="B559" s="16" t="s">
        <v>1955</v>
      </c>
      <c r="C559" s="17">
        <v>46015</v>
      </c>
      <c r="D559" s="15" t="s">
        <v>1956</v>
      </c>
      <c r="E559" s="18" t="s">
        <v>763</v>
      </c>
      <c r="F559" s="19" t="s">
        <v>1957</v>
      </c>
      <c r="G559" s="18" t="s">
        <v>1958</v>
      </c>
      <c r="H559" s="20" t="s">
        <v>112</v>
      </c>
      <c r="I559" s="15">
        <v>1</v>
      </c>
      <c r="J559" s="15" t="s">
        <v>23</v>
      </c>
      <c r="K559" s="15"/>
      <c r="L559" s="21" t="s">
        <v>16</v>
      </c>
      <c r="M559" s="22">
        <v>0</v>
      </c>
      <c r="N559" s="22">
        <v>-1242</v>
      </c>
      <c r="O559" s="22">
        <v>7038</v>
      </c>
      <c r="P559" s="22">
        <v>7038</v>
      </c>
      <c r="Q559" t="str" cm="1">
        <f t="array" ref="Q559">_xlfn.TEXTJOIN("、",TRUE,IF('學員資料-三民高中'!$B$2:$B$454=$F559,'學員資料-三民高中'!$G$2:$G$454,""))</f>
        <v>0955101132-1</v>
      </c>
      <c r="R559" t="str" cm="1">
        <f t="array" ref="R559">_xlfn.TEXTJOIN("、",TRUE,IF('學員資料-新北高中'!$B$2:$B$583=$F559,'學員資料-新北高中'!$G$2:$G$583,""))</f>
        <v/>
      </c>
      <c r="S559" t="str" cm="1">
        <f t="array" ref="S559">_xlfn.TEXTJOIN("、",TRUE,IF('學員資料-三重商工'!$B$2:$B$472=$F559,'學員資料-三重商工'!$G$2:$G$472,""))</f>
        <v/>
      </c>
      <c r="T559">
        <f t="shared" si="8"/>
        <v>1</v>
      </c>
    </row>
    <row r="560" spans="1:20" ht="14.25" hidden="1" customHeight="1">
      <c r="A560" s="15">
        <v>559</v>
      </c>
      <c r="B560" s="16" t="s">
        <v>1959</v>
      </c>
      <c r="C560" s="17">
        <v>46013</v>
      </c>
      <c r="D560" s="15" t="s">
        <v>1960</v>
      </c>
      <c r="E560" s="18" t="s">
        <v>83</v>
      </c>
      <c r="F560" s="19" t="s">
        <v>1300</v>
      </c>
      <c r="G560" s="18" t="s">
        <v>1301</v>
      </c>
      <c r="H560" s="20" t="s">
        <v>130</v>
      </c>
      <c r="I560" s="15">
        <v>1</v>
      </c>
      <c r="J560" s="15" t="s">
        <v>25</v>
      </c>
      <c r="K560" s="15"/>
      <c r="L560" s="21" t="s">
        <v>18</v>
      </c>
      <c r="M560" s="22">
        <v>0</v>
      </c>
      <c r="N560" s="22">
        <v>0</v>
      </c>
      <c r="O560" s="22">
        <v>9900</v>
      </c>
      <c r="P560" s="22">
        <v>9900</v>
      </c>
      <c r="Q560" t="str" cm="1">
        <f t="array" ref="Q560">_xlfn.TEXTJOIN("、",TRUE,IF('學員資料-三民高中'!$B$2:$B$454=$F560,'學員資料-三民高中'!$G$2:$G$454,""))</f>
        <v/>
      </c>
      <c r="R560" t="str" cm="1">
        <f t="array" ref="R560">_xlfn.TEXTJOIN("、",TRUE,IF('學員資料-新北高中'!$B$2:$B$583=$F560,'學員資料-新北高中'!$G$2:$G$583,""))</f>
        <v/>
      </c>
      <c r="S560" t="str" cm="1">
        <f t="array" ref="S560">_xlfn.TEXTJOIN("、",TRUE,IF('學員資料-三重商工'!$B$2:$B$472=$F560,'學員資料-三重商工'!$G$2:$G$472,""))</f>
        <v>0939388633</v>
      </c>
      <c r="T560">
        <f t="shared" si="8"/>
        <v>1</v>
      </c>
    </row>
    <row r="561" spans="1:20" ht="14.25" hidden="1" customHeight="1">
      <c r="A561" s="15">
        <v>560</v>
      </c>
      <c r="B561" s="16" t="s">
        <v>1961</v>
      </c>
      <c r="C561" s="17">
        <v>46012</v>
      </c>
      <c r="D561" s="15" t="s">
        <v>1962</v>
      </c>
      <c r="E561" s="23"/>
      <c r="F561" s="19" t="s">
        <v>1500</v>
      </c>
      <c r="G561" s="18" t="s">
        <v>1501</v>
      </c>
      <c r="H561" s="20" t="s">
        <v>52</v>
      </c>
      <c r="I561" s="15">
        <v>1</v>
      </c>
      <c r="J561" s="15" t="s">
        <v>24</v>
      </c>
      <c r="K561" s="15"/>
      <c r="L561" s="21" t="s">
        <v>16</v>
      </c>
      <c r="M561" s="22">
        <v>0</v>
      </c>
      <c r="N561" s="22">
        <v>0</v>
      </c>
      <c r="O561" s="22">
        <v>7500</v>
      </c>
      <c r="P561" s="22">
        <v>7500</v>
      </c>
      <c r="Q561" t="str" cm="1">
        <f t="array" ref="Q561">_xlfn.TEXTJOIN("、",TRUE,IF('學員資料-三民高中'!$B$2:$B$454=$F561,'學員資料-三民高中'!$G$2:$G$454,""))</f>
        <v/>
      </c>
      <c r="R561" t="str" cm="1">
        <f t="array" ref="R561">_xlfn.TEXTJOIN("、",TRUE,IF('學員資料-新北高中'!$B$2:$B$583=$F561,'學員資料-新北高中'!$G$2:$G$583,""))</f>
        <v/>
      </c>
      <c r="S561" t="str" cm="1">
        <f t="array" ref="S561">_xlfn.TEXTJOIN("、",TRUE,IF('學員資料-三重商工'!$B$2:$B$472=$F561,'學員資料-三重商工'!$G$2:$G$472,""))</f>
        <v>0932945700</v>
      </c>
      <c r="T561">
        <f t="shared" si="8"/>
        <v>1</v>
      </c>
    </row>
    <row r="562" spans="1:20" ht="14.25" hidden="1" customHeight="1">
      <c r="A562" s="15">
        <v>561</v>
      </c>
      <c r="B562" s="16" t="s">
        <v>1963</v>
      </c>
      <c r="C562" s="17">
        <v>46012</v>
      </c>
      <c r="D562" s="15" t="s">
        <v>1964</v>
      </c>
      <c r="E562" s="23"/>
      <c r="F562" s="19" t="s">
        <v>1869</v>
      </c>
      <c r="G562" s="18" t="s">
        <v>1870</v>
      </c>
      <c r="H562" s="20" t="s">
        <v>52</v>
      </c>
      <c r="I562" s="15">
        <v>1</v>
      </c>
      <c r="J562" s="15" t="s">
        <v>24</v>
      </c>
      <c r="K562" s="15"/>
      <c r="L562" s="21" t="s">
        <v>18</v>
      </c>
      <c r="M562" s="22">
        <v>0</v>
      </c>
      <c r="N562" s="22">
        <v>0</v>
      </c>
      <c r="O562" s="22">
        <v>7500</v>
      </c>
      <c r="P562" s="22">
        <v>7500</v>
      </c>
      <c r="Q562" t="str" cm="1">
        <f t="array" ref="Q562">_xlfn.TEXTJOIN("、",TRUE,IF('學員資料-三民高中'!$B$2:$B$454=$F562,'學員資料-三民高中'!$G$2:$G$454,""))</f>
        <v/>
      </c>
      <c r="R562" t="str" cm="1">
        <f t="array" ref="R562">_xlfn.TEXTJOIN("、",TRUE,IF('學員資料-新北高中'!$B$2:$B$583=$F562,'學員資料-新北高中'!$G$2:$G$583,""))</f>
        <v/>
      </c>
      <c r="S562" t="str" cm="1">
        <f t="array" ref="S562">_xlfn.TEXTJOIN("、",TRUE,IF('學員資料-三重商工'!$B$2:$B$472=$F562,'學員資料-三重商工'!$G$2:$G$472,""))</f>
        <v>0912566557</v>
      </c>
      <c r="T562">
        <f t="shared" si="8"/>
        <v>1</v>
      </c>
    </row>
    <row r="563" spans="1:20" ht="14.25" hidden="1" customHeight="1">
      <c r="A563" s="15">
        <v>562</v>
      </c>
      <c r="B563" s="16" t="s">
        <v>1965</v>
      </c>
      <c r="C563" s="17">
        <v>46012</v>
      </c>
      <c r="D563" s="15" t="s">
        <v>1966</v>
      </c>
      <c r="E563" s="18" t="s">
        <v>763</v>
      </c>
      <c r="F563" s="19" t="s">
        <v>1951</v>
      </c>
      <c r="G563" s="18" t="s">
        <v>1952</v>
      </c>
      <c r="H563" s="20" t="s">
        <v>66</v>
      </c>
      <c r="I563" s="15">
        <v>1</v>
      </c>
      <c r="J563" s="15" t="s">
        <v>23</v>
      </c>
      <c r="K563" s="15"/>
      <c r="L563" s="21" t="s">
        <v>16</v>
      </c>
      <c r="M563" s="22">
        <v>0</v>
      </c>
      <c r="N563" s="22">
        <v>0</v>
      </c>
      <c r="O563" s="22">
        <v>6900</v>
      </c>
      <c r="P563" s="22">
        <v>6900</v>
      </c>
      <c r="Q563" t="str" cm="1">
        <f t="array" ref="Q563">_xlfn.TEXTJOIN("、",TRUE,IF('學員資料-三民高中'!$B$2:$B$454=$F563,'學員資料-三民高中'!$G$2:$G$454,""))</f>
        <v>0937399561-2</v>
      </c>
      <c r="R563" t="str" cm="1">
        <f t="array" ref="R563">_xlfn.TEXTJOIN("、",TRUE,IF('學員資料-新北高中'!$B$2:$B$583=$F563,'學員資料-新北高中'!$G$2:$G$583,""))</f>
        <v/>
      </c>
      <c r="S563" t="str" cm="1">
        <f t="array" ref="S563">_xlfn.TEXTJOIN("、",TRUE,IF('學員資料-三重商工'!$B$2:$B$472=$F563,'學員資料-三重商工'!$G$2:$G$472,""))</f>
        <v/>
      </c>
      <c r="T563">
        <f t="shared" si="8"/>
        <v>1</v>
      </c>
    </row>
    <row r="564" spans="1:20" ht="14.25" hidden="1" customHeight="1">
      <c r="A564" s="15">
        <v>563</v>
      </c>
      <c r="B564" s="16" t="s">
        <v>1967</v>
      </c>
      <c r="C564" s="17">
        <v>46012</v>
      </c>
      <c r="D564" s="15" t="s">
        <v>1968</v>
      </c>
      <c r="E564" s="18" t="s">
        <v>763</v>
      </c>
      <c r="F564" s="19" t="s">
        <v>1883</v>
      </c>
      <c r="G564" s="18" t="s">
        <v>1884</v>
      </c>
      <c r="H564" s="20" t="s">
        <v>52</v>
      </c>
      <c r="I564" s="15">
        <v>1</v>
      </c>
      <c r="J564" s="15" t="s">
        <v>24</v>
      </c>
      <c r="K564" s="15"/>
      <c r="L564" s="21" t="s">
        <v>16</v>
      </c>
      <c r="M564" s="22">
        <v>0</v>
      </c>
      <c r="N564" s="22">
        <v>0</v>
      </c>
      <c r="O564" s="22">
        <v>7500</v>
      </c>
      <c r="P564" s="22">
        <v>7500</v>
      </c>
      <c r="Q564" t="str" cm="1">
        <f t="array" ref="Q564">_xlfn.TEXTJOIN("、",TRUE,IF('學員資料-三民高中'!$B$2:$B$454=$F564,'學員資料-三民高中'!$G$2:$G$454,""))</f>
        <v>0910530241</v>
      </c>
      <c r="R564" t="str" cm="1">
        <f t="array" ref="R564">_xlfn.TEXTJOIN("、",TRUE,IF('學員資料-新北高中'!$B$2:$B$583=$F564,'學員資料-新北高中'!$G$2:$G$583,""))</f>
        <v/>
      </c>
      <c r="S564" t="str" cm="1">
        <f t="array" ref="S564">_xlfn.TEXTJOIN("、",TRUE,IF('學員資料-三重商工'!$B$2:$B$472=$F564,'學員資料-三重商工'!$G$2:$G$472,""))</f>
        <v/>
      </c>
      <c r="T564">
        <f t="shared" si="8"/>
        <v>1</v>
      </c>
    </row>
    <row r="565" spans="1:20" ht="14.25" hidden="1" customHeight="1">
      <c r="A565" s="15">
        <v>564</v>
      </c>
      <c r="B565" s="16" t="s">
        <v>1969</v>
      </c>
      <c r="C565" s="17">
        <v>46012</v>
      </c>
      <c r="D565" s="15" t="s">
        <v>1970</v>
      </c>
      <c r="E565" s="18" t="s">
        <v>763</v>
      </c>
      <c r="F565" s="19" t="s">
        <v>1971</v>
      </c>
      <c r="G565" s="18" t="s">
        <v>1972</v>
      </c>
      <c r="H565" s="20" t="s">
        <v>66</v>
      </c>
      <c r="I565" s="15">
        <v>1</v>
      </c>
      <c r="J565" s="15" t="s">
        <v>23</v>
      </c>
      <c r="K565" s="15"/>
      <c r="L565" s="21" t="s">
        <v>16</v>
      </c>
      <c r="M565" s="22">
        <v>0</v>
      </c>
      <c r="N565" s="22">
        <v>0</v>
      </c>
      <c r="O565" s="22">
        <v>6900</v>
      </c>
      <c r="P565" s="22">
        <v>6900</v>
      </c>
      <c r="Q565" t="str" cm="1">
        <f t="array" ref="Q565">_xlfn.TEXTJOIN("、",TRUE,IF('學員資料-三民高中'!$B$2:$B$454=$F565,'學員資料-三民高中'!$G$2:$G$454,""))</f>
        <v>0955883271-2</v>
      </c>
      <c r="R565" t="str" cm="1">
        <f t="array" ref="R565">_xlfn.TEXTJOIN("、",TRUE,IF('學員資料-新北高中'!$B$2:$B$583=$F565,'學員資料-新北高中'!$G$2:$G$583,""))</f>
        <v/>
      </c>
      <c r="S565" t="str" cm="1">
        <f t="array" ref="S565">_xlfn.TEXTJOIN("、",TRUE,IF('學員資料-三重商工'!$B$2:$B$472=$F565,'學員資料-三重商工'!$G$2:$G$472,""))</f>
        <v/>
      </c>
      <c r="T565">
        <f t="shared" si="8"/>
        <v>1</v>
      </c>
    </row>
    <row r="566" spans="1:20" ht="14.25" hidden="1" customHeight="1">
      <c r="A566" s="15">
        <v>565</v>
      </c>
      <c r="B566" s="16" t="s">
        <v>1973</v>
      </c>
      <c r="C566" s="17">
        <v>46011</v>
      </c>
      <c r="D566" s="15" t="s">
        <v>1974</v>
      </c>
      <c r="E566" s="23"/>
      <c r="F566" s="19" t="s">
        <v>526</v>
      </c>
      <c r="G566" s="18" t="s">
        <v>527</v>
      </c>
      <c r="H566" s="20" t="s">
        <v>800</v>
      </c>
      <c r="I566" s="15">
        <v>1</v>
      </c>
      <c r="J566" s="15" t="s">
        <v>23</v>
      </c>
      <c r="K566" s="21" t="s">
        <v>116</v>
      </c>
      <c r="L566" s="21" t="s">
        <v>18</v>
      </c>
      <c r="M566" s="22">
        <v>0</v>
      </c>
      <c r="N566" s="22">
        <v>0</v>
      </c>
      <c r="O566" s="22">
        <v>1440</v>
      </c>
      <c r="P566" s="22">
        <v>1440</v>
      </c>
      <c r="Q566" t="str" cm="1">
        <f t="array" ref="Q566">_xlfn.TEXTJOIN("、",TRUE,IF('學員資料-三民高中'!$B$2:$B$454=$F566,'學員資料-三民高中'!$G$2:$G$454,""))</f>
        <v/>
      </c>
      <c r="R566" t="str" cm="1">
        <f t="array" ref="R566">_xlfn.TEXTJOIN("、",TRUE,IF('學員資料-新北高中'!$B$2:$B$583=$F566,'學員資料-新北高中'!$G$2:$G$583,""))</f>
        <v/>
      </c>
      <c r="S566" t="str" cm="1">
        <f t="array" ref="S566">_xlfn.TEXTJOIN("、",TRUE,IF('學員資料-三重商工'!$B$2:$B$472=$F566,'學員資料-三重商工'!$G$2:$G$472,""))</f>
        <v>0925395167</v>
      </c>
      <c r="T566">
        <f t="shared" si="8"/>
        <v>1</v>
      </c>
    </row>
    <row r="567" spans="1:20" ht="14.25" hidden="1" customHeight="1">
      <c r="A567" s="15">
        <v>566</v>
      </c>
      <c r="B567" s="16" t="s">
        <v>1975</v>
      </c>
      <c r="C567" s="17">
        <v>46009</v>
      </c>
      <c r="D567" s="15" t="s">
        <v>1976</v>
      </c>
      <c r="E567" s="18" t="s">
        <v>83</v>
      </c>
      <c r="F567" s="19" t="s">
        <v>1977</v>
      </c>
      <c r="G567" s="18" t="s">
        <v>1978</v>
      </c>
      <c r="H567" s="20" t="s">
        <v>124</v>
      </c>
      <c r="I567" s="15">
        <v>1</v>
      </c>
      <c r="J567" s="15" t="s">
        <v>26</v>
      </c>
      <c r="K567" s="15"/>
      <c r="L567" s="21" t="s">
        <v>18</v>
      </c>
      <c r="M567" s="22">
        <v>0</v>
      </c>
      <c r="N567" s="22">
        <v>-2160</v>
      </c>
      <c r="O567" s="22">
        <v>12240</v>
      </c>
      <c r="P567" s="22">
        <v>12240</v>
      </c>
      <c r="Q567" t="str" cm="1">
        <f t="array" ref="Q567">_xlfn.TEXTJOIN("、",TRUE,IF('學員資料-三民高中'!$B$2:$B$454=$F567,'學員資料-三民高中'!$G$2:$G$454,""))</f>
        <v/>
      </c>
      <c r="R567" t="str" cm="1">
        <f t="array" ref="R567">_xlfn.TEXTJOIN("、",TRUE,IF('學員資料-新北高中'!$B$2:$B$583=$F567,'學員資料-新北高中'!$G$2:$G$583,""))</f>
        <v/>
      </c>
      <c r="S567" t="str" cm="1">
        <f t="array" ref="S567">_xlfn.TEXTJOIN("、",TRUE,IF('學員資料-三重商工'!$B$2:$B$472=$F567,'學員資料-三重商工'!$G$2:$G$472,""))</f>
        <v>0921930689</v>
      </c>
      <c r="T567">
        <f t="shared" si="8"/>
        <v>1</v>
      </c>
    </row>
    <row r="568" spans="1:20" ht="14.25" hidden="1" customHeight="1">
      <c r="A568" s="15">
        <v>567</v>
      </c>
      <c r="B568" s="16" t="s">
        <v>1979</v>
      </c>
      <c r="C568" s="17">
        <v>46009</v>
      </c>
      <c r="D568" s="15" t="s">
        <v>1980</v>
      </c>
      <c r="E568" s="18" t="s">
        <v>83</v>
      </c>
      <c r="F568" s="19" t="s">
        <v>1145</v>
      </c>
      <c r="G568" s="18" t="s">
        <v>1146</v>
      </c>
      <c r="H568" s="20" t="s">
        <v>52</v>
      </c>
      <c r="I568" s="15">
        <v>1</v>
      </c>
      <c r="J568" s="15" t="s">
        <v>24</v>
      </c>
      <c r="K568" s="15"/>
      <c r="L568" s="21" t="s">
        <v>18</v>
      </c>
      <c r="M568" s="22">
        <v>0</v>
      </c>
      <c r="N568" s="22">
        <v>0</v>
      </c>
      <c r="O568" s="22">
        <v>7500</v>
      </c>
      <c r="P568" s="22">
        <v>7500</v>
      </c>
      <c r="Q568" t="str" cm="1">
        <f t="array" ref="Q568">_xlfn.TEXTJOIN("、",TRUE,IF('學員資料-三民高中'!$B$2:$B$454=$F568,'學員資料-三民高中'!$G$2:$G$454,""))</f>
        <v/>
      </c>
      <c r="R568" t="str" cm="1">
        <f t="array" ref="R568">_xlfn.TEXTJOIN("、",TRUE,IF('學員資料-新北高中'!$B$2:$B$583=$F568,'學員資料-新北高中'!$G$2:$G$583,""))</f>
        <v/>
      </c>
      <c r="S568" t="str" cm="1">
        <f t="array" ref="S568">_xlfn.TEXTJOIN("、",TRUE,IF('學員資料-三重商工'!$B$2:$B$472=$F568,'學員資料-三重商工'!$G$2:$G$472,""))</f>
        <v>0975127077</v>
      </c>
      <c r="T568">
        <f t="shared" si="8"/>
        <v>1</v>
      </c>
    </row>
    <row r="569" spans="1:20" ht="28.5" hidden="1" customHeight="1">
      <c r="A569" s="15">
        <v>568</v>
      </c>
      <c r="B569" s="16" t="s">
        <v>1981</v>
      </c>
      <c r="C569" s="17">
        <v>46007</v>
      </c>
      <c r="D569" s="15" t="s">
        <v>1982</v>
      </c>
      <c r="E569" s="23"/>
      <c r="F569" s="19" t="s">
        <v>1983</v>
      </c>
      <c r="G569" s="18" t="s">
        <v>1984</v>
      </c>
      <c r="H569" s="20" t="s">
        <v>1985</v>
      </c>
      <c r="I569" s="15">
        <v>2</v>
      </c>
      <c r="J569" s="15" t="s">
        <v>23</v>
      </c>
      <c r="K569" s="15"/>
      <c r="L569" s="21" t="s">
        <v>18</v>
      </c>
      <c r="M569" s="22">
        <v>0</v>
      </c>
      <c r="N569" s="22">
        <v>-1800</v>
      </c>
      <c r="O569" s="22">
        <v>16200</v>
      </c>
      <c r="P569" s="22">
        <v>16200</v>
      </c>
      <c r="Q569" t="str" cm="1">
        <f t="array" ref="Q569">_xlfn.TEXTJOIN("、",TRUE,IF('學員資料-三民高中'!$B$2:$B$454=$F569,'學員資料-三民高中'!$G$2:$G$454,""))</f>
        <v/>
      </c>
      <c r="R569" t="str" cm="1">
        <f t="array" ref="R569">_xlfn.TEXTJOIN("、",TRUE,IF('學員資料-新北高中'!$B$2:$B$583=$F569,'學員資料-新北高中'!$G$2:$G$583,""))</f>
        <v>0925385363</v>
      </c>
      <c r="S569" t="str" cm="1">
        <f t="array" ref="S569">_xlfn.TEXTJOIN("、",TRUE,IF('學員資料-三重商工'!$B$2:$B$472=$F569,'學員資料-三重商工'!$G$2:$G$472,""))</f>
        <v/>
      </c>
      <c r="T569">
        <f t="shared" si="8"/>
        <v>1</v>
      </c>
    </row>
    <row r="570" spans="1:20" ht="43.5" hidden="1" customHeight="1">
      <c r="A570" s="15">
        <v>569</v>
      </c>
      <c r="B570" s="16" t="s">
        <v>1986</v>
      </c>
      <c r="C570" s="17">
        <v>46007</v>
      </c>
      <c r="D570" s="15" t="s">
        <v>1987</v>
      </c>
      <c r="E570" s="18" t="s">
        <v>44</v>
      </c>
      <c r="F570" s="19" t="s">
        <v>1988</v>
      </c>
      <c r="G570" s="18" t="s">
        <v>1989</v>
      </c>
      <c r="H570" s="20" t="s">
        <v>624</v>
      </c>
      <c r="I570" s="15">
        <v>3</v>
      </c>
      <c r="J570" s="15" t="s">
        <v>24</v>
      </c>
      <c r="K570" s="15"/>
      <c r="L570" s="21" t="s">
        <v>16</v>
      </c>
      <c r="M570" s="22">
        <v>0</v>
      </c>
      <c r="N570" s="22">
        <v>-4050</v>
      </c>
      <c r="O570" s="22">
        <v>22950</v>
      </c>
      <c r="P570" s="22">
        <v>22950</v>
      </c>
      <c r="Q570" t="str" cm="1">
        <f t="array" ref="Q570">_xlfn.TEXTJOIN("、",TRUE,IF('學員資料-三民高中'!$B$2:$B$454=$F570,'學員資料-三民高中'!$G$2:$G$454,""))</f>
        <v/>
      </c>
      <c r="R570" t="str" cm="1">
        <f t="array" ref="R570">_xlfn.TEXTJOIN("、",TRUE,IF('學員資料-新北高中'!$B$2:$B$583=$F570,'學員資料-新北高中'!$G$2:$G$583,""))</f>
        <v/>
      </c>
      <c r="S570" t="str" cm="1">
        <f t="array" ref="S570">_xlfn.TEXTJOIN("、",TRUE,IF('學員資料-三重商工'!$B$2:$B$472=$F570,'學員資料-三重商工'!$G$2:$G$472,""))</f>
        <v>0983525968</v>
      </c>
      <c r="T570">
        <f t="shared" si="8"/>
        <v>1</v>
      </c>
    </row>
    <row r="571" spans="1:20" ht="14.25" hidden="1" customHeight="1">
      <c r="A571" s="15">
        <v>570</v>
      </c>
      <c r="B571" s="16" t="s">
        <v>1990</v>
      </c>
      <c r="C571" s="17">
        <v>46007</v>
      </c>
      <c r="D571" s="15" t="s">
        <v>1991</v>
      </c>
      <c r="E571" s="18" t="s">
        <v>44</v>
      </c>
      <c r="F571" s="19" t="s">
        <v>1977</v>
      </c>
      <c r="G571" s="18" t="s">
        <v>1978</v>
      </c>
      <c r="H571" s="20" t="s">
        <v>124</v>
      </c>
      <c r="I571" s="15">
        <v>1</v>
      </c>
      <c r="J571" s="15" t="s">
        <v>26</v>
      </c>
      <c r="K571" s="15"/>
      <c r="L571" s="21" t="s">
        <v>16</v>
      </c>
      <c r="M571" s="22">
        <v>0</v>
      </c>
      <c r="N571" s="22">
        <v>-2160</v>
      </c>
      <c r="O571" s="22">
        <v>12240</v>
      </c>
      <c r="P571" s="22">
        <v>12240</v>
      </c>
      <c r="Q571" t="str" cm="1">
        <f t="array" ref="Q571">_xlfn.TEXTJOIN("、",TRUE,IF('學員資料-三民高中'!$B$2:$B$454=$F571,'學員資料-三民高中'!$G$2:$G$454,""))</f>
        <v/>
      </c>
      <c r="R571" t="str" cm="1">
        <f t="array" ref="R571">_xlfn.TEXTJOIN("、",TRUE,IF('學員資料-新北高中'!$B$2:$B$583=$F571,'學員資料-新北高中'!$G$2:$G$583,""))</f>
        <v/>
      </c>
      <c r="S571" t="str" cm="1">
        <f t="array" ref="S571">_xlfn.TEXTJOIN("、",TRUE,IF('學員資料-三重商工'!$B$2:$B$472=$F571,'學員資料-三重商工'!$G$2:$G$472,""))</f>
        <v>0921930689</v>
      </c>
      <c r="T571">
        <f t="shared" si="8"/>
        <v>1</v>
      </c>
    </row>
    <row r="572" spans="1:20" ht="14.25" hidden="1" customHeight="1">
      <c r="A572" s="15">
        <v>571</v>
      </c>
      <c r="B572" s="16" t="s">
        <v>1992</v>
      </c>
      <c r="C572" s="17">
        <v>46007</v>
      </c>
      <c r="D572" s="15" t="s">
        <v>1993</v>
      </c>
      <c r="E572" s="18" t="s">
        <v>44</v>
      </c>
      <c r="F572" s="19" t="s">
        <v>1217</v>
      </c>
      <c r="G572" s="18" t="s">
        <v>1218</v>
      </c>
      <c r="H572" s="20" t="s">
        <v>112</v>
      </c>
      <c r="I572" s="15">
        <v>1</v>
      </c>
      <c r="J572" s="15" t="s">
        <v>23</v>
      </c>
      <c r="K572" s="15"/>
      <c r="L572" s="21" t="s">
        <v>16</v>
      </c>
      <c r="M572" s="22">
        <v>0</v>
      </c>
      <c r="N572" s="22">
        <v>-1242</v>
      </c>
      <c r="O572" s="22">
        <v>7038</v>
      </c>
      <c r="P572" s="22">
        <v>7038</v>
      </c>
      <c r="Q572" t="str" cm="1">
        <f t="array" ref="Q572">_xlfn.TEXTJOIN("、",TRUE,IF('學員資料-三民高中'!$B$2:$B$454=$F572,'學員資料-三民高中'!$G$2:$G$454,""))</f>
        <v/>
      </c>
      <c r="R572" t="str" cm="1">
        <f t="array" ref="R572">_xlfn.TEXTJOIN("、",TRUE,IF('學員資料-新北高中'!$B$2:$B$583=$F572,'學員資料-新北高中'!$G$2:$G$583,""))</f>
        <v/>
      </c>
      <c r="S572" t="str" cm="1">
        <f t="array" ref="S572">_xlfn.TEXTJOIN("、",TRUE,IF('學員資料-三重商工'!$B$2:$B$472=$F572,'學員資料-三重商工'!$G$2:$G$472,""))</f>
        <v>0955804093</v>
      </c>
      <c r="T572">
        <f t="shared" si="8"/>
        <v>1</v>
      </c>
    </row>
    <row r="573" spans="1:20" ht="14.25" hidden="1" customHeight="1">
      <c r="A573" s="15">
        <v>572</v>
      </c>
      <c r="B573" s="16" t="s">
        <v>1994</v>
      </c>
      <c r="C573" s="17">
        <v>46007</v>
      </c>
      <c r="D573" s="15" t="s">
        <v>1995</v>
      </c>
      <c r="E573" s="18" t="s">
        <v>763</v>
      </c>
      <c r="F573" s="19" t="s">
        <v>1887</v>
      </c>
      <c r="G573" s="18" t="s">
        <v>1888</v>
      </c>
      <c r="H573" s="20" t="s">
        <v>66</v>
      </c>
      <c r="I573" s="15">
        <v>1</v>
      </c>
      <c r="J573" s="15" t="s">
        <v>23</v>
      </c>
      <c r="K573" s="15"/>
      <c r="L573" s="21" t="s">
        <v>16</v>
      </c>
      <c r="M573" s="22">
        <v>0</v>
      </c>
      <c r="N573" s="22">
        <v>0</v>
      </c>
      <c r="O573" s="22">
        <v>6900</v>
      </c>
      <c r="P573" s="22">
        <v>6900</v>
      </c>
      <c r="Q573" t="str" cm="1">
        <f t="array" ref="Q573">_xlfn.TEXTJOIN("、",TRUE,IF('學員資料-三民高中'!$B$2:$B$454=$F573,'學員資料-三民高中'!$G$2:$G$454,""))</f>
        <v>0935716123</v>
      </c>
      <c r="R573" t="str" cm="1">
        <f t="array" ref="R573">_xlfn.TEXTJOIN("、",TRUE,IF('學員資料-新北高中'!$B$2:$B$583=$F573,'學員資料-新北高中'!$G$2:$G$583,""))</f>
        <v/>
      </c>
      <c r="S573" t="str" cm="1">
        <f t="array" ref="S573">_xlfn.TEXTJOIN("、",TRUE,IF('學員資料-三重商工'!$B$2:$B$472=$F573,'學員資料-三重商工'!$G$2:$G$472,""))</f>
        <v/>
      </c>
      <c r="T573">
        <f t="shared" si="8"/>
        <v>1</v>
      </c>
    </row>
    <row r="574" spans="1:20" ht="14.25" hidden="1" customHeight="1">
      <c r="A574" s="15">
        <v>573</v>
      </c>
      <c r="B574" s="16" t="s">
        <v>1996</v>
      </c>
      <c r="C574" s="17">
        <v>46007</v>
      </c>
      <c r="D574" s="15" t="s">
        <v>1997</v>
      </c>
      <c r="E574" s="18" t="s">
        <v>763</v>
      </c>
      <c r="F574" s="19" t="s">
        <v>422</v>
      </c>
      <c r="G574" s="18" t="s">
        <v>423</v>
      </c>
      <c r="H574" s="20" t="s">
        <v>66</v>
      </c>
      <c r="I574" s="15">
        <v>1</v>
      </c>
      <c r="J574" s="15" t="s">
        <v>23</v>
      </c>
      <c r="K574" s="15"/>
      <c r="L574" s="21" t="s">
        <v>16</v>
      </c>
      <c r="M574" s="22">
        <v>0</v>
      </c>
      <c r="N574" s="22">
        <v>0</v>
      </c>
      <c r="O574" s="22">
        <v>6900</v>
      </c>
      <c r="P574" s="22">
        <v>6900</v>
      </c>
      <c r="Q574" t="str" cm="1">
        <f t="array" ref="Q574">_xlfn.TEXTJOIN("、",TRUE,IF('學員資料-三民高中'!$B$2:$B$454=$F574,'學員資料-三民高中'!$G$2:$G$454,""))</f>
        <v>0975763360</v>
      </c>
      <c r="R574" t="str" cm="1">
        <f t="array" ref="R574">_xlfn.TEXTJOIN("、",TRUE,IF('學員資料-新北高中'!$B$2:$B$583=$F574,'學員資料-新北高中'!$G$2:$G$583,""))</f>
        <v/>
      </c>
      <c r="S574" t="str" cm="1">
        <f t="array" ref="S574">_xlfn.TEXTJOIN("、",TRUE,IF('學員資料-三重商工'!$B$2:$B$472=$F574,'學員資料-三重商工'!$G$2:$G$472,""))</f>
        <v/>
      </c>
      <c r="T574">
        <f t="shared" si="8"/>
        <v>1</v>
      </c>
    </row>
    <row r="575" spans="1:20" ht="14.25" hidden="1" customHeight="1">
      <c r="A575" s="15">
        <v>574</v>
      </c>
      <c r="B575" s="16" t="s">
        <v>1998</v>
      </c>
      <c r="C575" s="17">
        <v>46007</v>
      </c>
      <c r="D575" s="15" t="s">
        <v>1999</v>
      </c>
      <c r="E575" s="18" t="s">
        <v>763</v>
      </c>
      <c r="F575" s="19" t="s">
        <v>1551</v>
      </c>
      <c r="G575" s="18" t="s">
        <v>1552</v>
      </c>
      <c r="H575" s="20" t="s">
        <v>52</v>
      </c>
      <c r="I575" s="15">
        <v>1</v>
      </c>
      <c r="J575" s="15" t="s">
        <v>24</v>
      </c>
      <c r="K575" s="15"/>
      <c r="L575" s="21" t="s">
        <v>16</v>
      </c>
      <c r="M575" s="22">
        <v>0</v>
      </c>
      <c r="N575" s="22">
        <v>0</v>
      </c>
      <c r="O575" s="22">
        <v>7500</v>
      </c>
      <c r="P575" s="22">
        <v>7500</v>
      </c>
      <c r="Q575" t="str" cm="1">
        <f t="array" ref="Q575">_xlfn.TEXTJOIN("、",TRUE,IF('學員資料-三民高中'!$B$2:$B$454=$F575,'學員資料-三民高中'!$G$2:$G$454,""))</f>
        <v>0926332775</v>
      </c>
      <c r="R575" t="str" cm="1">
        <f t="array" ref="R575">_xlfn.TEXTJOIN("、",TRUE,IF('學員資料-新北高中'!$B$2:$B$583=$F575,'學員資料-新北高中'!$G$2:$G$583,""))</f>
        <v/>
      </c>
      <c r="S575" t="str" cm="1">
        <f t="array" ref="S575">_xlfn.TEXTJOIN("、",TRUE,IF('學員資料-三重商工'!$B$2:$B$472=$F575,'學員資料-三重商工'!$G$2:$G$472,""))</f>
        <v/>
      </c>
      <c r="T575">
        <f t="shared" si="8"/>
        <v>1</v>
      </c>
    </row>
    <row r="576" spans="1:20" ht="14.25" customHeight="1">
      <c r="A576" s="15">
        <v>575</v>
      </c>
      <c r="B576" s="16" t="s">
        <v>2000</v>
      </c>
      <c r="C576" s="17">
        <v>46007</v>
      </c>
      <c r="D576" s="15" t="s">
        <v>2001</v>
      </c>
      <c r="E576" s="18" t="s">
        <v>763</v>
      </c>
      <c r="F576" s="19" t="s">
        <v>2002</v>
      </c>
      <c r="G576" s="18" t="s">
        <v>2003</v>
      </c>
      <c r="H576" s="20" t="s">
        <v>66</v>
      </c>
      <c r="I576" s="15">
        <v>1</v>
      </c>
      <c r="J576" s="15" t="s">
        <v>23</v>
      </c>
      <c r="K576" s="15"/>
      <c r="L576" s="21" t="s">
        <v>16</v>
      </c>
      <c r="M576" s="22">
        <v>0</v>
      </c>
      <c r="N576" s="22">
        <v>0</v>
      </c>
      <c r="O576" s="22">
        <v>6900</v>
      </c>
      <c r="P576" s="22">
        <v>6900</v>
      </c>
      <c r="Q576" t="str" cm="1">
        <f t="array" ref="Q576">_xlfn.TEXTJOIN("、",TRUE,IF('學員資料-三民高中'!$B$2:$B$454=$F576,'學員資料-三民高中'!$G$2:$G$454,""))</f>
        <v/>
      </c>
      <c r="R576" t="str" cm="1">
        <f t="array" ref="R576">_xlfn.TEXTJOIN("、",TRUE,IF('學員資料-新北高中'!$B$2:$B$583=$F576,'學員資料-新北高中'!$G$2:$G$583,""))</f>
        <v/>
      </c>
      <c r="S576" t="str" cm="1">
        <f t="array" ref="S576">_xlfn.TEXTJOIN("、",TRUE,IF('學員資料-三重商工'!$B$2:$B$472=$F576,'學員資料-三重商工'!$G$2:$G$472,""))</f>
        <v/>
      </c>
      <c r="T576">
        <f t="shared" si="8"/>
        <v>0</v>
      </c>
    </row>
    <row r="577" spans="1:20" ht="14.25" hidden="1" customHeight="1">
      <c r="A577" s="15">
        <v>576</v>
      </c>
      <c r="B577" s="16" t="s">
        <v>2004</v>
      </c>
      <c r="C577" s="17">
        <v>46007</v>
      </c>
      <c r="D577" s="15" t="s">
        <v>2005</v>
      </c>
      <c r="E577" s="18" t="s">
        <v>763</v>
      </c>
      <c r="F577" s="19" t="s">
        <v>598</v>
      </c>
      <c r="G577" s="18" t="s">
        <v>599</v>
      </c>
      <c r="H577" s="20" t="s">
        <v>47</v>
      </c>
      <c r="I577" s="15">
        <v>1</v>
      </c>
      <c r="J577" s="15" t="s">
        <v>24</v>
      </c>
      <c r="K577" s="15"/>
      <c r="L577" s="21" t="s">
        <v>16</v>
      </c>
      <c r="M577" s="22">
        <v>0</v>
      </c>
      <c r="N577" s="22">
        <v>-1350</v>
      </c>
      <c r="O577" s="22">
        <v>7650</v>
      </c>
      <c r="P577" s="22">
        <v>7650</v>
      </c>
      <c r="Q577" t="str" cm="1">
        <f t="array" ref="Q577">_xlfn.TEXTJOIN("、",TRUE,IF('學員資料-三民高中'!$B$2:$B$454=$F577,'學員資料-三民高中'!$G$2:$G$454,""))</f>
        <v>0926821102</v>
      </c>
      <c r="R577" t="str" cm="1">
        <f t="array" ref="R577">_xlfn.TEXTJOIN("、",TRUE,IF('學員資料-新北高中'!$B$2:$B$583=$F577,'學員資料-新北高中'!$G$2:$G$583,""))</f>
        <v/>
      </c>
      <c r="S577" t="str" cm="1">
        <f t="array" ref="S577">_xlfn.TEXTJOIN("、",TRUE,IF('學員資料-三重商工'!$B$2:$B$472=$F577,'學員資料-三重商工'!$G$2:$G$472,""))</f>
        <v/>
      </c>
      <c r="T577">
        <f t="shared" si="8"/>
        <v>1</v>
      </c>
    </row>
    <row r="578" spans="1:20" ht="14.25" hidden="1" customHeight="1">
      <c r="A578" s="15">
        <v>577</v>
      </c>
      <c r="B578" s="16" t="s">
        <v>2006</v>
      </c>
      <c r="C578" s="17">
        <v>46007</v>
      </c>
      <c r="D578" s="15" t="s">
        <v>2007</v>
      </c>
      <c r="E578" s="18" t="s">
        <v>763</v>
      </c>
      <c r="F578" s="19" t="s">
        <v>904</v>
      </c>
      <c r="G578" s="18" t="s">
        <v>905</v>
      </c>
      <c r="H578" s="20" t="s">
        <v>210</v>
      </c>
      <c r="I578" s="15">
        <v>1</v>
      </c>
      <c r="J578" s="15" t="s">
        <v>26</v>
      </c>
      <c r="K578" s="15"/>
      <c r="L578" s="21" t="s">
        <v>16</v>
      </c>
      <c r="M578" s="22">
        <v>0</v>
      </c>
      <c r="N578" s="22">
        <v>0</v>
      </c>
      <c r="O578" s="22">
        <v>12000</v>
      </c>
      <c r="P578" s="22">
        <v>12000</v>
      </c>
      <c r="Q578" t="str" cm="1">
        <f t="array" ref="Q578">_xlfn.TEXTJOIN("、",TRUE,IF('學員資料-三民高中'!$B$2:$B$454=$F578,'學員資料-三民高中'!$G$2:$G$454,""))</f>
        <v/>
      </c>
      <c r="R578" t="str" cm="1">
        <f t="array" ref="R578">_xlfn.TEXTJOIN("、",TRUE,IF('學員資料-新北高中'!$B$2:$B$583=$F578,'學員資料-新北高中'!$G$2:$G$583,""))</f>
        <v>0952709408</v>
      </c>
      <c r="S578" t="str" cm="1">
        <f t="array" ref="S578">_xlfn.TEXTJOIN("、",TRUE,IF('學員資料-三重商工'!$B$2:$B$472=$F578,'學員資料-三重商工'!$G$2:$G$472,""))</f>
        <v/>
      </c>
      <c r="T578">
        <f t="shared" si="8"/>
        <v>1</v>
      </c>
    </row>
    <row r="579" spans="1:20" ht="14.25" hidden="1" customHeight="1">
      <c r="A579" s="15">
        <v>578</v>
      </c>
      <c r="B579" s="16" t="s">
        <v>2008</v>
      </c>
      <c r="C579" s="17">
        <v>46007</v>
      </c>
      <c r="D579" s="15" t="s">
        <v>2009</v>
      </c>
      <c r="E579" s="18" t="s">
        <v>763</v>
      </c>
      <c r="F579" s="19" t="s">
        <v>908</v>
      </c>
      <c r="G579" s="18" t="s">
        <v>909</v>
      </c>
      <c r="H579" s="20" t="s">
        <v>130</v>
      </c>
      <c r="I579" s="15">
        <v>1</v>
      </c>
      <c r="J579" s="15" t="s">
        <v>25</v>
      </c>
      <c r="K579" s="15"/>
      <c r="L579" s="21" t="s">
        <v>16</v>
      </c>
      <c r="M579" s="22">
        <v>0</v>
      </c>
      <c r="N579" s="22">
        <v>0</v>
      </c>
      <c r="O579" s="22">
        <v>9900</v>
      </c>
      <c r="P579" s="22">
        <v>9900</v>
      </c>
      <c r="Q579" t="str" cm="1">
        <f t="array" ref="Q579">_xlfn.TEXTJOIN("、",TRUE,IF('學員資料-三民高中'!$B$2:$B$454=$F579,'學員資料-三民高中'!$G$2:$G$454,""))</f>
        <v>0952978038</v>
      </c>
      <c r="R579" t="str" cm="1">
        <f t="array" ref="R579">_xlfn.TEXTJOIN("、",TRUE,IF('學員資料-新北高中'!$B$2:$B$583=$F579,'學員資料-新北高中'!$G$2:$G$583,""))</f>
        <v/>
      </c>
      <c r="S579" t="str" cm="1">
        <f t="array" ref="S579">_xlfn.TEXTJOIN("、",TRUE,IF('學員資料-三重商工'!$B$2:$B$472=$F579,'學員資料-三重商工'!$G$2:$G$472,""))</f>
        <v/>
      </c>
      <c r="T579">
        <f t="shared" ref="T579:T642" si="9">3-COUNTBLANK(Q579:S579)</f>
        <v>1</v>
      </c>
    </row>
    <row r="580" spans="1:20" ht="14.25" hidden="1" customHeight="1">
      <c r="A580" s="15">
        <v>579</v>
      </c>
      <c r="B580" s="16" t="s">
        <v>2010</v>
      </c>
      <c r="C580" s="17">
        <v>46007</v>
      </c>
      <c r="D580" s="15" t="s">
        <v>2011</v>
      </c>
      <c r="E580" s="18" t="s">
        <v>763</v>
      </c>
      <c r="F580" s="19" t="s">
        <v>175</v>
      </c>
      <c r="G580" s="18" t="s">
        <v>176</v>
      </c>
      <c r="H580" s="20" t="s">
        <v>130</v>
      </c>
      <c r="I580" s="15">
        <v>1</v>
      </c>
      <c r="J580" s="15" t="s">
        <v>25</v>
      </c>
      <c r="K580" s="15"/>
      <c r="L580" s="21" t="s">
        <v>16</v>
      </c>
      <c r="M580" s="22">
        <v>0</v>
      </c>
      <c r="N580" s="22">
        <v>0</v>
      </c>
      <c r="O580" s="22">
        <v>9900</v>
      </c>
      <c r="P580" s="22">
        <v>9900</v>
      </c>
      <c r="Q580" t="str" cm="1">
        <f t="array" ref="Q580">_xlfn.TEXTJOIN("、",TRUE,IF('學員資料-三民高中'!$B$2:$B$454=$F580,'學員資料-三民高中'!$G$2:$G$454,""))</f>
        <v>0919360553</v>
      </c>
      <c r="R580" t="str" cm="1">
        <f t="array" ref="R580">_xlfn.TEXTJOIN("、",TRUE,IF('學員資料-新北高中'!$B$2:$B$583=$F580,'學員資料-新北高中'!$G$2:$G$583,""))</f>
        <v/>
      </c>
      <c r="S580" t="str" cm="1">
        <f t="array" ref="S580">_xlfn.TEXTJOIN("、",TRUE,IF('學員資料-三重商工'!$B$2:$B$472=$F580,'學員資料-三重商工'!$G$2:$G$472,""))</f>
        <v/>
      </c>
      <c r="T580">
        <f t="shared" si="9"/>
        <v>1</v>
      </c>
    </row>
    <row r="581" spans="1:20" ht="14.25" hidden="1" customHeight="1">
      <c r="A581" s="15">
        <v>580</v>
      </c>
      <c r="B581" s="16" t="s">
        <v>2012</v>
      </c>
      <c r="C581" s="17">
        <v>46007</v>
      </c>
      <c r="D581" s="15" t="s">
        <v>2013</v>
      </c>
      <c r="E581" s="18" t="s">
        <v>763</v>
      </c>
      <c r="F581" s="19" t="s">
        <v>1672</v>
      </c>
      <c r="G581" s="18" t="s">
        <v>1673</v>
      </c>
      <c r="H581" s="20" t="s">
        <v>47</v>
      </c>
      <c r="I581" s="15">
        <v>1</v>
      </c>
      <c r="J581" s="15" t="s">
        <v>24</v>
      </c>
      <c r="K581" s="15"/>
      <c r="L581" s="21" t="s">
        <v>16</v>
      </c>
      <c r="M581" s="22">
        <v>0</v>
      </c>
      <c r="N581" s="22">
        <v>-1350</v>
      </c>
      <c r="O581" s="22">
        <v>7650</v>
      </c>
      <c r="P581" s="22">
        <v>7650</v>
      </c>
      <c r="Q581" t="str" cm="1">
        <f t="array" ref="Q581">_xlfn.TEXTJOIN("、",TRUE,IF('學員資料-三民高中'!$B$2:$B$454=$F581,'學員資料-三民高中'!$G$2:$G$454,""))</f>
        <v/>
      </c>
      <c r="R581" t="str" cm="1">
        <f t="array" ref="R581">_xlfn.TEXTJOIN("、",TRUE,IF('學員資料-新北高中'!$B$2:$B$583=$F581,'學員資料-新北高中'!$G$2:$G$583,""))</f>
        <v>0970977986</v>
      </c>
      <c r="S581" t="str" cm="1">
        <f t="array" ref="S581">_xlfn.TEXTJOIN("、",TRUE,IF('學員資料-三重商工'!$B$2:$B$472=$F581,'學員資料-三重商工'!$G$2:$G$472,""))</f>
        <v/>
      </c>
      <c r="T581">
        <f t="shared" si="9"/>
        <v>1</v>
      </c>
    </row>
    <row r="582" spans="1:20" ht="14.25" hidden="1" customHeight="1">
      <c r="A582" s="15">
        <v>581</v>
      </c>
      <c r="B582" s="16" t="s">
        <v>2014</v>
      </c>
      <c r="C582" s="17">
        <v>46004</v>
      </c>
      <c r="D582" s="15" t="s">
        <v>2015</v>
      </c>
      <c r="E582" s="18" t="s">
        <v>763</v>
      </c>
      <c r="F582" s="19" t="s">
        <v>2016</v>
      </c>
      <c r="G582" s="18" t="s">
        <v>2017</v>
      </c>
      <c r="H582" s="20" t="s">
        <v>130</v>
      </c>
      <c r="I582" s="15">
        <v>1</v>
      </c>
      <c r="J582" s="15" t="s">
        <v>25</v>
      </c>
      <c r="K582" s="15"/>
      <c r="L582" s="21" t="s">
        <v>16</v>
      </c>
      <c r="M582" s="22">
        <v>0</v>
      </c>
      <c r="N582" s="22">
        <v>0</v>
      </c>
      <c r="O582" s="22">
        <v>9900</v>
      </c>
      <c r="P582" s="22">
        <v>9900</v>
      </c>
      <c r="Q582" t="str" cm="1">
        <f t="array" ref="Q582">_xlfn.TEXTJOIN("、",TRUE,IF('學員資料-三民高中'!$B$2:$B$454=$F582,'學員資料-三民高中'!$G$2:$G$454,""))</f>
        <v>0935096728-1</v>
      </c>
      <c r="R582" t="str" cm="1">
        <f t="array" ref="R582">_xlfn.TEXTJOIN("、",TRUE,IF('學員資料-新北高中'!$B$2:$B$583=$F582,'學員資料-新北高中'!$G$2:$G$583,""))</f>
        <v/>
      </c>
      <c r="S582" t="str" cm="1">
        <f t="array" ref="S582">_xlfn.TEXTJOIN("、",TRUE,IF('學員資料-三重商工'!$B$2:$B$472=$F582,'學員資料-三重商工'!$G$2:$G$472,""))</f>
        <v/>
      </c>
      <c r="T582">
        <f t="shared" si="9"/>
        <v>1</v>
      </c>
    </row>
    <row r="583" spans="1:20" ht="28.5" hidden="1" customHeight="1">
      <c r="A583" s="15">
        <v>582</v>
      </c>
      <c r="B583" s="16" t="s">
        <v>2018</v>
      </c>
      <c r="C583" s="17">
        <v>46003</v>
      </c>
      <c r="D583" s="15" t="s">
        <v>2019</v>
      </c>
      <c r="E583" s="18" t="s">
        <v>763</v>
      </c>
      <c r="F583" s="19" t="s">
        <v>888</v>
      </c>
      <c r="G583" s="18" t="s">
        <v>889</v>
      </c>
      <c r="H583" s="20" t="s">
        <v>75</v>
      </c>
      <c r="I583" s="15">
        <v>2</v>
      </c>
      <c r="J583" s="15" t="s">
        <v>23</v>
      </c>
      <c r="K583" s="15"/>
      <c r="L583" s="21" t="s">
        <v>16</v>
      </c>
      <c r="M583" s="22">
        <v>0</v>
      </c>
      <c r="N583" s="22">
        <v>0</v>
      </c>
      <c r="O583" s="22">
        <v>13800</v>
      </c>
      <c r="P583" s="22">
        <v>13800</v>
      </c>
      <c r="Q583" t="str" cm="1">
        <f t="array" ref="Q583">_xlfn.TEXTJOIN("、",TRUE,IF('學員資料-三民高中'!$B$2:$B$454=$F583,'學員資料-三民高中'!$G$2:$G$454,""))</f>
        <v/>
      </c>
      <c r="R583" t="str" cm="1">
        <f t="array" ref="R583">_xlfn.TEXTJOIN("、",TRUE,IF('學員資料-新北高中'!$B$2:$B$583=$F583,'學員資料-新北高中'!$G$2:$G$583,""))</f>
        <v>0900099919</v>
      </c>
      <c r="S583" t="str" cm="1">
        <f t="array" ref="S583">_xlfn.TEXTJOIN("、",TRUE,IF('學員資料-三重商工'!$B$2:$B$472=$F583,'學員資料-三重商工'!$G$2:$G$472,""))</f>
        <v/>
      </c>
      <c r="T583">
        <f t="shared" si="9"/>
        <v>1</v>
      </c>
    </row>
    <row r="584" spans="1:20" ht="14.25" hidden="1" customHeight="1">
      <c r="A584" s="15">
        <v>583</v>
      </c>
      <c r="B584" s="16" t="s">
        <v>2020</v>
      </c>
      <c r="C584" s="17">
        <v>46003</v>
      </c>
      <c r="D584" s="15" t="s">
        <v>2021</v>
      </c>
      <c r="E584" s="18" t="s">
        <v>763</v>
      </c>
      <c r="F584" s="19" t="s">
        <v>2022</v>
      </c>
      <c r="G584" s="18" t="s">
        <v>2023</v>
      </c>
      <c r="H584" s="20" t="s">
        <v>52</v>
      </c>
      <c r="I584" s="15">
        <v>1</v>
      </c>
      <c r="J584" s="15" t="s">
        <v>24</v>
      </c>
      <c r="K584" s="15"/>
      <c r="L584" s="21" t="s">
        <v>16</v>
      </c>
      <c r="M584" s="22">
        <v>0</v>
      </c>
      <c r="N584" s="22">
        <v>0</v>
      </c>
      <c r="O584" s="22">
        <v>7500</v>
      </c>
      <c r="P584" s="22">
        <v>7500</v>
      </c>
      <c r="Q584" t="str" cm="1">
        <f t="array" ref="Q584">_xlfn.TEXTJOIN("、",TRUE,IF('學員資料-三民高中'!$B$2:$B$454=$F584,'學員資料-三民高中'!$G$2:$G$454,""))</f>
        <v>0921176762</v>
      </c>
      <c r="R584" t="str" cm="1">
        <f t="array" ref="R584">_xlfn.TEXTJOIN("、",TRUE,IF('學員資料-新北高中'!$B$2:$B$583=$F584,'學員資料-新北高中'!$G$2:$G$583,""))</f>
        <v/>
      </c>
      <c r="S584" t="str" cm="1">
        <f t="array" ref="S584">_xlfn.TEXTJOIN("、",TRUE,IF('學員資料-三重商工'!$B$2:$B$472=$F584,'學員資料-三重商工'!$G$2:$G$472,""))</f>
        <v/>
      </c>
      <c r="T584">
        <f t="shared" si="9"/>
        <v>1</v>
      </c>
    </row>
    <row r="585" spans="1:20" ht="87" hidden="1" customHeight="1">
      <c r="A585" s="15">
        <v>584</v>
      </c>
      <c r="B585" s="16" t="s">
        <v>2024</v>
      </c>
      <c r="C585" s="17">
        <v>46002</v>
      </c>
      <c r="D585" s="15" t="s">
        <v>2025</v>
      </c>
      <c r="E585" s="18" t="s">
        <v>78</v>
      </c>
      <c r="F585" s="19" t="s">
        <v>2026</v>
      </c>
      <c r="G585" s="18" t="s">
        <v>2027</v>
      </c>
      <c r="H585" s="20" t="s">
        <v>2028</v>
      </c>
      <c r="I585" s="15">
        <v>6</v>
      </c>
      <c r="J585" s="15" t="s">
        <v>24</v>
      </c>
      <c r="K585" s="15"/>
      <c r="L585" s="21" t="s">
        <v>16</v>
      </c>
      <c r="M585" s="22">
        <v>0</v>
      </c>
      <c r="N585" s="22">
        <v>-6480</v>
      </c>
      <c r="O585" s="22">
        <v>58320</v>
      </c>
      <c r="P585" s="22">
        <v>58320</v>
      </c>
      <c r="Q585" t="str" cm="1">
        <f t="array" ref="Q585">_xlfn.TEXTJOIN("、",TRUE,IF('學員資料-三民高中'!$B$2:$B$454=$F585,'學員資料-三民高中'!$G$2:$G$454,""))</f>
        <v/>
      </c>
      <c r="R585" t="str" cm="1">
        <f t="array" ref="R585">_xlfn.TEXTJOIN("、",TRUE,IF('學員資料-新北高中'!$B$2:$B$583=$F585,'學員資料-新北高中'!$G$2:$G$583,""))</f>
        <v>0953554707</v>
      </c>
      <c r="S585" t="str" cm="1">
        <f t="array" ref="S585">_xlfn.TEXTJOIN("、",TRUE,IF('學員資料-三重商工'!$B$2:$B$472=$F585,'學員資料-三重商工'!$G$2:$G$472,""))</f>
        <v/>
      </c>
      <c r="T585">
        <f t="shared" si="9"/>
        <v>1</v>
      </c>
    </row>
    <row r="586" spans="1:20" ht="72" hidden="1" customHeight="1">
      <c r="A586" s="15">
        <v>585</v>
      </c>
      <c r="B586" s="16" t="s">
        <v>2029</v>
      </c>
      <c r="C586" s="17">
        <v>46002</v>
      </c>
      <c r="D586" s="15" t="s">
        <v>2030</v>
      </c>
      <c r="E586" s="18" t="s">
        <v>78</v>
      </c>
      <c r="F586" s="19" t="s">
        <v>2031</v>
      </c>
      <c r="G586" s="18" t="s">
        <v>2032</v>
      </c>
      <c r="H586" s="20" t="s">
        <v>2033</v>
      </c>
      <c r="I586" s="15">
        <v>5</v>
      </c>
      <c r="J586" s="15" t="s">
        <v>23</v>
      </c>
      <c r="K586" s="15"/>
      <c r="L586" s="21" t="s">
        <v>16</v>
      </c>
      <c r="M586" s="22">
        <v>0</v>
      </c>
      <c r="N586" s="22">
        <v>-4500</v>
      </c>
      <c r="O586" s="22">
        <v>40500</v>
      </c>
      <c r="P586" s="22">
        <v>40500</v>
      </c>
      <c r="Q586" t="str" cm="1">
        <f t="array" ref="Q586">_xlfn.TEXTJOIN("、",TRUE,IF('學員資料-三民高中'!$B$2:$B$454=$F586,'學員資料-三民高中'!$G$2:$G$454,""))</f>
        <v/>
      </c>
      <c r="R586" t="str" cm="1">
        <f t="array" ref="R586">_xlfn.TEXTJOIN("、",TRUE,IF('學員資料-新北高中'!$B$2:$B$583=$F586,'學員資料-新北高中'!$G$2:$G$583,""))</f>
        <v>0911143119</v>
      </c>
      <c r="S586" t="str" cm="1">
        <f t="array" ref="S586">_xlfn.TEXTJOIN("、",TRUE,IF('學員資料-三重商工'!$B$2:$B$472=$F586,'學員資料-三重商工'!$G$2:$G$472,""))</f>
        <v/>
      </c>
      <c r="T586">
        <f t="shared" si="9"/>
        <v>1</v>
      </c>
    </row>
    <row r="587" spans="1:20" ht="14.25" hidden="1" customHeight="1">
      <c r="A587" s="15">
        <v>586</v>
      </c>
      <c r="B587" s="16" t="s">
        <v>2034</v>
      </c>
      <c r="C587" s="17">
        <v>46002</v>
      </c>
      <c r="D587" s="15" t="s">
        <v>2035</v>
      </c>
      <c r="E587" s="18" t="s">
        <v>78</v>
      </c>
      <c r="F587" s="19" t="s">
        <v>2036</v>
      </c>
      <c r="G587" s="18" t="s">
        <v>2037</v>
      </c>
      <c r="H587" s="20" t="s">
        <v>47</v>
      </c>
      <c r="I587" s="15">
        <v>1</v>
      </c>
      <c r="J587" s="15" t="s">
        <v>24</v>
      </c>
      <c r="K587" s="15"/>
      <c r="L587" s="21" t="s">
        <v>16</v>
      </c>
      <c r="M587" s="22">
        <v>0</v>
      </c>
      <c r="N587" s="22">
        <v>-1350</v>
      </c>
      <c r="O587" s="22">
        <v>7650</v>
      </c>
      <c r="P587" s="22">
        <v>7650</v>
      </c>
      <c r="Q587" t="str" cm="1">
        <f t="array" ref="Q587">_xlfn.TEXTJOIN("、",TRUE,IF('學員資料-三民高中'!$B$2:$B$454=$F587,'學員資料-三民高中'!$G$2:$G$454,""))</f>
        <v/>
      </c>
      <c r="R587" t="str" cm="1">
        <f t="array" ref="R587">_xlfn.TEXTJOIN("、",TRUE,IF('學員資料-新北高中'!$B$2:$B$583=$F587,'學員資料-新北高中'!$G$2:$G$583,""))</f>
        <v>0937512688</v>
      </c>
      <c r="S587" t="str" cm="1">
        <f t="array" ref="S587">_xlfn.TEXTJOIN("、",TRUE,IF('學員資料-三重商工'!$B$2:$B$472=$F587,'學員資料-三重商工'!$G$2:$G$472,""))</f>
        <v/>
      </c>
      <c r="T587">
        <f t="shared" si="9"/>
        <v>1</v>
      </c>
    </row>
    <row r="588" spans="1:20" ht="14.25" hidden="1" customHeight="1">
      <c r="A588" s="15">
        <v>587</v>
      </c>
      <c r="B588" s="16" t="s">
        <v>2038</v>
      </c>
      <c r="C588" s="17">
        <v>46002</v>
      </c>
      <c r="D588" s="15" t="s">
        <v>2039</v>
      </c>
      <c r="E588" s="18" t="s">
        <v>78</v>
      </c>
      <c r="F588" s="19" t="s">
        <v>2040</v>
      </c>
      <c r="G588" s="18" t="s">
        <v>2041</v>
      </c>
      <c r="H588" s="20" t="s">
        <v>66</v>
      </c>
      <c r="I588" s="15">
        <v>1</v>
      </c>
      <c r="J588" s="15" t="s">
        <v>23</v>
      </c>
      <c r="K588" s="15"/>
      <c r="L588" s="21" t="s">
        <v>16</v>
      </c>
      <c r="M588" s="22">
        <v>0</v>
      </c>
      <c r="N588" s="22">
        <v>0</v>
      </c>
      <c r="O588" s="22">
        <v>6900</v>
      </c>
      <c r="P588" s="22">
        <v>6900</v>
      </c>
      <c r="Q588" t="str" cm="1">
        <f t="array" ref="Q588">_xlfn.TEXTJOIN("、",TRUE,IF('學員資料-三民高中'!$B$2:$B$454=$F588,'學員資料-三民高中'!$G$2:$G$454,""))</f>
        <v/>
      </c>
      <c r="R588" t="str" cm="1">
        <f t="array" ref="R588">_xlfn.TEXTJOIN("、",TRUE,IF('學員資料-新北高中'!$B$2:$B$583=$F588,'學員資料-新北高中'!$G$2:$G$583,""))</f>
        <v>0933874768</v>
      </c>
      <c r="S588" t="str" cm="1">
        <f t="array" ref="S588">_xlfn.TEXTJOIN("、",TRUE,IF('學員資料-三重商工'!$B$2:$B$472=$F588,'學員資料-三重商工'!$G$2:$G$472,""))</f>
        <v/>
      </c>
      <c r="T588">
        <f t="shared" si="9"/>
        <v>1</v>
      </c>
    </row>
    <row r="589" spans="1:20" ht="14.25" hidden="1" customHeight="1">
      <c r="A589" s="15">
        <v>588</v>
      </c>
      <c r="B589" s="16" t="s">
        <v>2042</v>
      </c>
      <c r="C589" s="17">
        <v>46001</v>
      </c>
      <c r="D589" s="15" t="s">
        <v>2043</v>
      </c>
      <c r="E589" s="18" t="s">
        <v>83</v>
      </c>
      <c r="F589" s="19" t="s">
        <v>979</v>
      </c>
      <c r="G589" s="18" t="s">
        <v>980</v>
      </c>
      <c r="H589" s="20" t="s">
        <v>66</v>
      </c>
      <c r="I589" s="15">
        <v>1</v>
      </c>
      <c r="J589" s="15" t="s">
        <v>23</v>
      </c>
      <c r="K589" s="15"/>
      <c r="L589" s="21" t="s">
        <v>18</v>
      </c>
      <c r="M589" s="22">
        <v>0</v>
      </c>
      <c r="N589" s="22">
        <v>0</v>
      </c>
      <c r="O589" s="22">
        <v>6900</v>
      </c>
      <c r="P589" s="22">
        <v>6900</v>
      </c>
      <c r="Q589" t="str" cm="1">
        <f t="array" ref="Q589">_xlfn.TEXTJOIN("、",TRUE,IF('學員資料-三民高中'!$B$2:$B$454=$F589,'學員資料-三民高中'!$G$2:$G$454,""))</f>
        <v/>
      </c>
      <c r="R589" t="str" cm="1">
        <f t="array" ref="R589">_xlfn.TEXTJOIN("、",TRUE,IF('學員資料-新北高中'!$B$2:$B$583=$F589,'學員資料-新北高中'!$G$2:$G$583,""))</f>
        <v/>
      </c>
      <c r="S589" t="str" cm="1">
        <f t="array" ref="S589">_xlfn.TEXTJOIN("、",TRUE,IF('學員資料-三重商工'!$B$2:$B$472=$F589,'學員資料-三重商工'!$G$2:$G$472,""))</f>
        <v>0928948206</v>
      </c>
      <c r="T589">
        <f t="shared" si="9"/>
        <v>1</v>
      </c>
    </row>
    <row r="590" spans="1:20" ht="14.25" hidden="1" customHeight="1">
      <c r="A590" s="15">
        <v>589</v>
      </c>
      <c r="B590" s="16" t="s">
        <v>2044</v>
      </c>
      <c r="C590" s="17">
        <v>46001</v>
      </c>
      <c r="D590" s="15" t="s">
        <v>2045</v>
      </c>
      <c r="E590" s="18" t="s">
        <v>83</v>
      </c>
      <c r="F590" s="19" t="s">
        <v>1134</v>
      </c>
      <c r="G590" s="18" t="s">
        <v>1135</v>
      </c>
      <c r="H590" s="20" t="s">
        <v>52</v>
      </c>
      <c r="I590" s="15">
        <v>1</v>
      </c>
      <c r="J590" s="15" t="s">
        <v>24</v>
      </c>
      <c r="K590" s="15"/>
      <c r="L590" s="21" t="s">
        <v>18</v>
      </c>
      <c r="M590" s="22">
        <v>0</v>
      </c>
      <c r="N590" s="22">
        <v>0</v>
      </c>
      <c r="O590" s="22">
        <v>7500</v>
      </c>
      <c r="P590" s="22">
        <v>7500</v>
      </c>
      <c r="Q590" t="str" cm="1">
        <f t="array" ref="Q590">_xlfn.TEXTJOIN("、",TRUE,IF('學員資料-三民高中'!$B$2:$B$454=$F590,'學員資料-三民高中'!$G$2:$G$454,""))</f>
        <v/>
      </c>
      <c r="R590" t="str" cm="1">
        <f t="array" ref="R590">_xlfn.TEXTJOIN("、",TRUE,IF('學員資料-新北高中'!$B$2:$B$583=$F590,'學員資料-新北高中'!$G$2:$G$583,""))</f>
        <v/>
      </c>
      <c r="S590" t="str" cm="1">
        <f t="array" ref="S590">_xlfn.TEXTJOIN("、",TRUE,IF('學員資料-三重商工'!$B$2:$B$472=$F590,'學員資料-三重商工'!$G$2:$G$472,""))</f>
        <v>0910317925</v>
      </c>
      <c r="T590">
        <f t="shared" si="9"/>
        <v>1</v>
      </c>
    </row>
    <row r="591" spans="1:20" ht="14.25" hidden="1" customHeight="1">
      <c r="A591" s="15">
        <v>590</v>
      </c>
      <c r="B591" s="16" t="s">
        <v>2046</v>
      </c>
      <c r="C591" s="17">
        <v>46001</v>
      </c>
      <c r="D591" s="15" t="s">
        <v>2047</v>
      </c>
      <c r="E591" s="18" t="s">
        <v>83</v>
      </c>
      <c r="F591" s="19" t="s">
        <v>1925</v>
      </c>
      <c r="G591" s="18" t="s">
        <v>1926</v>
      </c>
      <c r="H591" s="20" t="s">
        <v>66</v>
      </c>
      <c r="I591" s="15">
        <v>1</v>
      </c>
      <c r="J591" s="15" t="s">
        <v>23</v>
      </c>
      <c r="K591" s="15"/>
      <c r="L591" s="21" t="s">
        <v>18</v>
      </c>
      <c r="M591" s="22">
        <v>0</v>
      </c>
      <c r="N591" s="22">
        <v>0</v>
      </c>
      <c r="O591" s="22">
        <v>6900</v>
      </c>
      <c r="P591" s="22">
        <v>6900</v>
      </c>
      <c r="Q591" t="str" cm="1">
        <f t="array" ref="Q591">_xlfn.TEXTJOIN("、",TRUE,IF('學員資料-三民高中'!$B$2:$B$454=$F591,'學員資料-三民高中'!$G$2:$G$454,""))</f>
        <v/>
      </c>
      <c r="R591" t="str" cm="1">
        <f t="array" ref="R591">_xlfn.TEXTJOIN("、",TRUE,IF('學員資料-新北高中'!$B$2:$B$583=$F591,'學員資料-新北高中'!$G$2:$G$583,""))</f>
        <v>0902228252</v>
      </c>
      <c r="S591" t="str" cm="1">
        <f t="array" ref="S591">_xlfn.TEXTJOIN("、",TRUE,IF('學員資料-三重商工'!$B$2:$B$472=$F591,'學員資料-三重商工'!$G$2:$G$472,""))</f>
        <v/>
      </c>
      <c r="T591">
        <f t="shared" si="9"/>
        <v>1</v>
      </c>
    </row>
    <row r="592" spans="1:20" ht="14.25" hidden="1" customHeight="1">
      <c r="A592" s="15">
        <v>591</v>
      </c>
      <c r="B592" s="16" t="s">
        <v>2048</v>
      </c>
      <c r="C592" s="17">
        <v>46000</v>
      </c>
      <c r="D592" s="15" t="s">
        <v>2049</v>
      </c>
      <c r="E592" s="23"/>
      <c r="F592" s="19" t="s">
        <v>975</v>
      </c>
      <c r="G592" s="18" t="s">
        <v>976</v>
      </c>
      <c r="H592" s="20" t="s">
        <v>66</v>
      </c>
      <c r="I592" s="15">
        <v>1</v>
      </c>
      <c r="J592" s="15" t="s">
        <v>23</v>
      </c>
      <c r="K592" s="15"/>
      <c r="L592" s="21" t="s">
        <v>18</v>
      </c>
      <c r="M592" s="22">
        <v>0</v>
      </c>
      <c r="N592" s="22">
        <v>0</v>
      </c>
      <c r="O592" s="22">
        <v>6900</v>
      </c>
      <c r="P592" s="22">
        <v>6900</v>
      </c>
      <c r="Q592" t="str" cm="1">
        <f t="array" ref="Q592">_xlfn.TEXTJOIN("、",TRUE,IF('學員資料-三民高中'!$B$2:$B$454=$F592,'學員資料-三民高中'!$G$2:$G$454,""))</f>
        <v/>
      </c>
      <c r="R592" t="str" cm="1">
        <f t="array" ref="R592">_xlfn.TEXTJOIN("、",TRUE,IF('學員資料-新北高中'!$B$2:$B$583=$F592,'學員資料-新北高中'!$G$2:$G$583,""))</f>
        <v>0983818899</v>
      </c>
      <c r="S592" t="str" cm="1">
        <f t="array" ref="S592">_xlfn.TEXTJOIN("、",TRUE,IF('學員資料-三重商工'!$B$2:$B$472=$F592,'學員資料-三重商工'!$G$2:$G$472,""))</f>
        <v/>
      </c>
      <c r="T592">
        <f t="shared" si="9"/>
        <v>1</v>
      </c>
    </row>
    <row r="593" spans="1:20" ht="14.25" hidden="1" customHeight="1">
      <c r="A593" s="15">
        <v>592</v>
      </c>
      <c r="B593" s="16" t="s">
        <v>2050</v>
      </c>
      <c r="C593" s="17">
        <v>46000</v>
      </c>
      <c r="D593" s="15" t="s">
        <v>2051</v>
      </c>
      <c r="E593" s="23"/>
      <c r="F593" s="19" t="s">
        <v>1325</v>
      </c>
      <c r="G593" s="18" t="s">
        <v>1326</v>
      </c>
      <c r="H593" s="20" t="s">
        <v>52</v>
      </c>
      <c r="I593" s="15">
        <v>1</v>
      </c>
      <c r="J593" s="15" t="s">
        <v>24</v>
      </c>
      <c r="K593" s="15"/>
      <c r="L593" s="21" t="s">
        <v>18</v>
      </c>
      <c r="M593" s="22">
        <v>0</v>
      </c>
      <c r="N593" s="22">
        <v>0</v>
      </c>
      <c r="O593" s="22">
        <v>7500</v>
      </c>
      <c r="P593" s="22">
        <v>7500</v>
      </c>
      <c r="Q593" t="str" cm="1">
        <f t="array" ref="Q593">_xlfn.TEXTJOIN("、",TRUE,IF('學員資料-三民高中'!$B$2:$B$454=$F593,'學員資料-三民高中'!$G$2:$G$454,""))</f>
        <v/>
      </c>
      <c r="R593" t="str" cm="1">
        <f t="array" ref="R593">_xlfn.TEXTJOIN("、",TRUE,IF('學員資料-新北高中'!$B$2:$B$583=$F593,'學員資料-新北高中'!$G$2:$G$583,""))</f>
        <v>0932984961</v>
      </c>
      <c r="S593" t="str" cm="1">
        <f t="array" ref="S593">_xlfn.TEXTJOIN("、",TRUE,IF('學員資料-三重商工'!$B$2:$B$472=$F593,'學員資料-三重商工'!$G$2:$G$472,""))</f>
        <v/>
      </c>
      <c r="T593">
        <f t="shared" si="9"/>
        <v>1</v>
      </c>
    </row>
    <row r="594" spans="1:20" ht="14.25" hidden="1" customHeight="1">
      <c r="A594" s="15">
        <v>593</v>
      </c>
      <c r="B594" s="16" t="s">
        <v>2052</v>
      </c>
      <c r="C594" s="17">
        <v>45999</v>
      </c>
      <c r="D594" s="15" t="s">
        <v>2053</v>
      </c>
      <c r="E594" s="18" t="s">
        <v>83</v>
      </c>
      <c r="F594" s="19" t="s">
        <v>1791</v>
      </c>
      <c r="G594" s="18" t="s">
        <v>1792</v>
      </c>
      <c r="H594" s="20" t="s">
        <v>66</v>
      </c>
      <c r="I594" s="15">
        <v>1</v>
      </c>
      <c r="J594" s="15" t="s">
        <v>23</v>
      </c>
      <c r="K594" s="15"/>
      <c r="L594" s="21" t="s">
        <v>18</v>
      </c>
      <c r="M594" s="22">
        <v>0</v>
      </c>
      <c r="N594" s="22">
        <v>0</v>
      </c>
      <c r="O594" s="22">
        <v>6900</v>
      </c>
      <c r="P594" s="22">
        <v>6900</v>
      </c>
      <c r="Q594" t="str" cm="1">
        <f t="array" ref="Q594">_xlfn.TEXTJOIN("、",TRUE,IF('學員資料-三民高中'!$B$2:$B$454=$F594,'學員資料-三民高中'!$G$2:$G$454,""))</f>
        <v/>
      </c>
      <c r="R594" t="str" cm="1">
        <f t="array" ref="R594">_xlfn.TEXTJOIN("、",TRUE,IF('學員資料-新北高中'!$B$2:$B$583=$F594,'學員資料-新北高中'!$G$2:$G$583,""))</f>
        <v/>
      </c>
      <c r="S594" t="str" cm="1">
        <f t="array" ref="S594">_xlfn.TEXTJOIN("、",TRUE,IF('學員資料-三重商工'!$B$2:$B$472=$F594,'學員資料-三重商工'!$G$2:$G$472,""))</f>
        <v>0912188682</v>
      </c>
      <c r="T594">
        <f t="shared" si="9"/>
        <v>1</v>
      </c>
    </row>
    <row r="595" spans="1:20" ht="14.25" hidden="1" customHeight="1">
      <c r="A595" s="15">
        <v>594</v>
      </c>
      <c r="B595" s="16" t="s">
        <v>2054</v>
      </c>
      <c r="C595" s="17">
        <v>45999</v>
      </c>
      <c r="D595" s="15" t="s">
        <v>2055</v>
      </c>
      <c r="E595" s="18" t="s">
        <v>83</v>
      </c>
      <c r="F595" s="19" t="s">
        <v>1656</v>
      </c>
      <c r="G595" s="18" t="s">
        <v>1657</v>
      </c>
      <c r="H595" s="20" t="s">
        <v>52</v>
      </c>
      <c r="I595" s="15">
        <v>1</v>
      </c>
      <c r="J595" s="15" t="s">
        <v>24</v>
      </c>
      <c r="K595" s="15"/>
      <c r="L595" s="21" t="s">
        <v>18</v>
      </c>
      <c r="M595" s="22">
        <v>0</v>
      </c>
      <c r="N595" s="22">
        <v>0</v>
      </c>
      <c r="O595" s="22">
        <v>7500</v>
      </c>
      <c r="P595" s="22">
        <v>7500</v>
      </c>
      <c r="Q595" t="str" cm="1">
        <f t="array" ref="Q595">_xlfn.TEXTJOIN("、",TRUE,IF('學員資料-三民高中'!$B$2:$B$454=$F595,'學員資料-三民高中'!$G$2:$G$454,""))</f>
        <v/>
      </c>
      <c r="R595" t="str" cm="1">
        <f t="array" ref="R595">_xlfn.TEXTJOIN("、",TRUE,IF('學員資料-新北高中'!$B$2:$B$583=$F595,'學員資料-新北高中'!$G$2:$G$583,""))</f>
        <v/>
      </c>
      <c r="S595" t="str" cm="1">
        <f t="array" ref="S595">_xlfn.TEXTJOIN("、",TRUE,IF('學員資料-三重商工'!$B$2:$B$472=$F595,'學員資料-三重商工'!$G$2:$G$472,""))</f>
        <v>0918410567</v>
      </c>
      <c r="T595">
        <f t="shared" si="9"/>
        <v>1</v>
      </c>
    </row>
    <row r="596" spans="1:20" ht="28.5" hidden="1" customHeight="1">
      <c r="A596" s="15">
        <v>595</v>
      </c>
      <c r="B596" s="16" t="s">
        <v>2056</v>
      </c>
      <c r="C596" s="17">
        <v>45997</v>
      </c>
      <c r="D596" s="15" t="s">
        <v>2057</v>
      </c>
      <c r="E596" s="18" t="s">
        <v>763</v>
      </c>
      <c r="F596" s="19" t="s">
        <v>1879</v>
      </c>
      <c r="G596" s="18" t="s">
        <v>1880</v>
      </c>
      <c r="H596" s="20" t="s">
        <v>99</v>
      </c>
      <c r="I596" s="15">
        <v>2</v>
      </c>
      <c r="J596" s="15" t="s">
        <v>24</v>
      </c>
      <c r="K596" s="15"/>
      <c r="L596" s="21" t="s">
        <v>16</v>
      </c>
      <c r="M596" s="22">
        <v>0</v>
      </c>
      <c r="N596" s="22">
        <v>-750</v>
      </c>
      <c r="O596" s="22">
        <v>14250</v>
      </c>
      <c r="P596" s="22">
        <v>14250</v>
      </c>
      <c r="Q596" t="str" cm="1">
        <f t="array" ref="Q596">_xlfn.TEXTJOIN("、",TRUE,IF('學員資料-三民高中'!$B$2:$B$454=$F596,'學員資料-三民高中'!$G$2:$G$454,""))</f>
        <v>0928223634</v>
      </c>
      <c r="R596" t="str" cm="1">
        <f t="array" ref="R596">_xlfn.TEXTJOIN("、",TRUE,IF('學員資料-新北高中'!$B$2:$B$583=$F596,'學員資料-新北高中'!$G$2:$G$583,""))</f>
        <v/>
      </c>
      <c r="S596" t="str" cm="1">
        <f t="array" ref="S596">_xlfn.TEXTJOIN("、",TRUE,IF('學員資料-三重商工'!$B$2:$B$472=$F596,'學員資料-三重商工'!$G$2:$G$472,""))</f>
        <v/>
      </c>
      <c r="T596">
        <f t="shared" si="9"/>
        <v>1</v>
      </c>
    </row>
    <row r="597" spans="1:20" ht="14.25" hidden="1" customHeight="1">
      <c r="A597" s="15">
        <v>596</v>
      </c>
      <c r="B597" s="16" t="s">
        <v>2058</v>
      </c>
      <c r="C597" s="17">
        <v>45993</v>
      </c>
      <c r="D597" s="15" t="s">
        <v>2059</v>
      </c>
      <c r="E597" s="18" t="s">
        <v>83</v>
      </c>
      <c r="F597" s="19" t="s">
        <v>1369</v>
      </c>
      <c r="G597" s="18" t="s">
        <v>1370</v>
      </c>
      <c r="H597" s="20" t="s">
        <v>52</v>
      </c>
      <c r="I597" s="15">
        <v>1</v>
      </c>
      <c r="J597" s="15" t="s">
        <v>24</v>
      </c>
      <c r="K597" s="15"/>
      <c r="L597" s="21" t="s">
        <v>18</v>
      </c>
      <c r="M597" s="22">
        <v>0</v>
      </c>
      <c r="N597" s="22">
        <v>0</v>
      </c>
      <c r="O597" s="22">
        <v>7500</v>
      </c>
      <c r="P597" s="22">
        <v>7500</v>
      </c>
      <c r="Q597" t="str" cm="1">
        <f t="array" ref="Q597">_xlfn.TEXTJOIN("、",TRUE,IF('學員資料-三民高中'!$B$2:$B$454=$F597,'學員資料-三民高中'!$G$2:$G$454,""))</f>
        <v/>
      </c>
      <c r="R597" t="str" cm="1">
        <f t="array" ref="R597">_xlfn.TEXTJOIN("、",TRUE,IF('學員資料-新北高中'!$B$2:$B$583=$F597,'學員資料-新北高中'!$G$2:$G$583,""))</f>
        <v/>
      </c>
      <c r="S597" t="str" cm="1">
        <f t="array" ref="S597">_xlfn.TEXTJOIN("、",TRUE,IF('學員資料-三重商工'!$B$2:$B$472=$F597,'學員資料-三重商工'!$G$2:$G$472,""))</f>
        <v>0928048553</v>
      </c>
      <c r="T597">
        <f t="shared" si="9"/>
        <v>1</v>
      </c>
    </row>
    <row r="598" spans="1:20" ht="14.25" hidden="1" customHeight="1">
      <c r="A598" s="15">
        <v>597</v>
      </c>
      <c r="B598" s="16" t="s">
        <v>2060</v>
      </c>
      <c r="C598" s="17">
        <v>45987</v>
      </c>
      <c r="D598" s="15" t="s">
        <v>2061</v>
      </c>
      <c r="E598" s="18" t="s">
        <v>83</v>
      </c>
      <c r="F598" s="19" t="s">
        <v>1656</v>
      </c>
      <c r="G598" s="18" t="s">
        <v>1657</v>
      </c>
      <c r="H598" s="20" t="s">
        <v>115</v>
      </c>
      <c r="I598" s="15">
        <v>1</v>
      </c>
      <c r="J598" s="15" t="s">
        <v>24</v>
      </c>
      <c r="K598" s="21" t="s">
        <v>116</v>
      </c>
      <c r="L598" s="21" t="s">
        <v>16</v>
      </c>
      <c r="M598" s="22">
        <v>0</v>
      </c>
      <c r="N598" s="22">
        <v>0</v>
      </c>
      <c r="O598" s="22">
        <v>1400</v>
      </c>
      <c r="P598" s="22">
        <v>1400</v>
      </c>
      <c r="Q598" t="str" cm="1">
        <f t="array" ref="Q598">_xlfn.TEXTJOIN("、",TRUE,IF('學員資料-三民高中'!$B$2:$B$454=$F598,'學員資料-三民高中'!$G$2:$G$454,""))</f>
        <v/>
      </c>
      <c r="R598" t="str" cm="1">
        <f t="array" ref="R598">_xlfn.TEXTJOIN("、",TRUE,IF('學員資料-新北高中'!$B$2:$B$583=$F598,'學員資料-新北高中'!$G$2:$G$583,""))</f>
        <v/>
      </c>
      <c r="S598" t="str" cm="1">
        <f t="array" ref="S598">_xlfn.TEXTJOIN("、",TRUE,IF('學員資料-三重商工'!$B$2:$B$472=$F598,'學員資料-三重商工'!$G$2:$G$472,""))</f>
        <v>0918410567</v>
      </c>
      <c r="T598">
        <f t="shared" si="9"/>
        <v>1</v>
      </c>
    </row>
    <row r="599" spans="1:20" ht="14.25" hidden="1" customHeight="1">
      <c r="A599" s="15">
        <v>598</v>
      </c>
      <c r="B599" s="16" t="s">
        <v>2062</v>
      </c>
      <c r="C599" s="17">
        <v>45987</v>
      </c>
      <c r="D599" s="15" t="s">
        <v>2063</v>
      </c>
      <c r="E599" s="18" t="s">
        <v>402</v>
      </c>
      <c r="F599" s="19" t="s">
        <v>2064</v>
      </c>
      <c r="G599" s="18" t="s">
        <v>2065</v>
      </c>
      <c r="H599" s="20" t="s">
        <v>52</v>
      </c>
      <c r="I599" s="15">
        <v>1</v>
      </c>
      <c r="J599" s="15" t="s">
        <v>24</v>
      </c>
      <c r="K599" s="15"/>
      <c r="L599" s="21" t="s">
        <v>16</v>
      </c>
      <c r="M599" s="22">
        <v>0</v>
      </c>
      <c r="N599" s="22">
        <v>0</v>
      </c>
      <c r="O599" s="22">
        <v>7500</v>
      </c>
      <c r="P599" s="22">
        <v>7500</v>
      </c>
      <c r="Q599" t="str" cm="1">
        <f t="array" ref="Q599">_xlfn.TEXTJOIN("、",TRUE,IF('學員資料-三民高中'!$B$2:$B$454=$F599,'學員資料-三民高中'!$G$2:$G$454,""))</f>
        <v/>
      </c>
      <c r="R599" t="str" cm="1">
        <f t="array" ref="R599">_xlfn.TEXTJOIN("、",TRUE,IF('學員資料-新北高中'!$B$2:$B$583=$F599,'學員資料-新北高中'!$G$2:$G$583,""))</f>
        <v>0965122697</v>
      </c>
      <c r="S599" t="str" cm="1">
        <f t="array" ref="S599">_xlfn.TEXTJOIN("、",TRUE,IF('學員資料-三重商工'!$B$2:$B$472=$F599,'學員資料-三重商工'!$G$2:$G$472,""))</f>
        <v/>
      </c>
      <c r="T599">
        <f t="shared" si="9"/>
        <v>1</v>
      </c>
    </row>
    <row r="600" spans="1:20" ht="14.25" hidden="1" customHeight="1">
      <c r="A600" s="15">
        <v>599</v>
      </c>
      <c r="B600" s="16" t="s">
        <v>2066</v>
      </c>
      <c r="C600" s="17">
        <v>45987</v>
      </c>
      <c r="D600" s="15" t="s">
        <v>2067</v>
      </c>
      <c r="E600" s="18" t="s">
        <v>402</v>
      </c>
      <c r="F600" s="19" t="s">
        <v>64</v>
      </c>
      <c r="G600" s="18" t="s">
        <v>65</v>
      </c>
      <c r="H600" s="20" t="s">
        <v>66</v>
      </c>
      <c r="I600" s="15">
        <v>1</v>
      </c>
      <c r="J600" s="15" t="s">
        <v>23</v>
      </c>
      <c r="K600" s="15"/>
      <c r="L600" s="21" t="s">
        <v>16</v>
      </c>
      <c r="M600" s="22">
        <v>0</v>
      </c>
      <c r="N600" s="22">
        <v>0</v>
      </c>
      <c r="O600" s="22">
        <v>6900</v>
      </c>
      <c r="P600" s="22">
        <v>6900</v>
      </c>
      <c r="Q600" t="str" cm="1">
        <f t="array" ref="Q600">_xlfn.TEXTJOIN("、",TRUE,IF('學員資料-三民高中'!$B$2:$B$454=$F600,'學員資料-三民高中'!$G$2:$G$454,""))</f>
        <v/>
      </c>
      <c r="R600" t="str" cm="1">
        <f t="array" ref="R600">_xlfn.TEXTJOIN("、",TRUE,IF('學員資料-新北高中'!$B$2:$B$583=$F600,'學員資料-新北高中'!$G$2:$G$583,""))</f>
        <v>0932148373</v>
      </c>
      <c r="S600" t="str" cm="1">
        <f t="array" ref="S600">_xlfn.TEXTJOIN("、",TRUE,IF('學員資料-三重商工'!$B$2:$B$472=$F600,'學員資料-三重商工'!$G$2:$G$472,""))</f>
        <v/>
      </c>
      <c r="T600">
        <f t="shared" si="9"/>
        <v>1</v>
      </c>
    </row>
    <row r="601" spans="1:20" ht="14.25" hidden="1" customHeight="1">
      <c r="A601" s="15">
        <v>600</v>
      </c>
      <c r="B601" s="16" t="s">
        <v>2068</v>
      </c>
      <c r="C601" s="17">
        <v>45987</v>
      </c>
      <c r="D601" s="15" t="s">
        <v>2069</v>
      </c>
      <c r="E601" s="18" t="s">
        <v>402</v>
      </c>
      <c r="F601" s="19" t="s">
        <v>2070</v>
      </c>
      <c r="G601" s="18" t="s">
        <v>2071</v>
      </c>
      <c r="H601" s="20" t="s">
        <v>52</v>
      </c>
      <c r="I601" s="15">
        <v>1</v>
      </c>
      <c r="J601" s="15" t="s">
        <v>24</v>
      </c>
      <c r="K601" s="15"/>
      <c r="L601" s="21" t="s">
        <v>16</v>
      </c>
      <c r="M601" s="22">
        <v>0</v>
      </c>
      <c r="N601" s="22">
        <v>0</v>
      </c>
      <c r="O601" s="22">
        <v>7500</v>
      </c>
      <c r="P601" s="22">
        <v>7500</v>
      </c>
      <c r="Q601" t="str" cm="1">
        <f t="array" ref="Q601">_xlfn.TEXTJOIN("、",TRUE,IF('學員資料-三民高中'!$B$2:$B$454=$F601,'學員資料-三民高中'!$G$2:$G$454,""))</f>
        <v/>
      </c>
      <c r="R601" t="str" cm="1">
        <f t="array" ref="R601">_xlfn.TEXTJOIN("、",TRUE,IF('學員資料-新北高中'!$B$2:$B$583=$F601,'學員資料-新北高中'!$G$2:$G$583,""))</f>
        <v>0952201131</v>
      </c>
      <c r="S601" t="str" cm="1">
        <f t="array" ref="S601">_xlfn.TEXTJOIN("、",TRUE,IF('學員資料-三重商工'!$B$2:$B$472=$F601,'學員資料-三重商工'!$G$2:$G$472,""))</f>
        <v/>
      </c>
      <c r="T601">
        <f t="shared" si="9"/>
        <v>1</v>
      </c>
    </row>
    <row r="602" spans="1:20" ht="14.25" hidden="1" customHeight="1">
      <c r="A602" s="15">
        <v>601</v>
      </c>
      <c r="B602" s="16" t="s">
        <v>2072</v>
      </c>
      <c r="C602" s="17">
        <v>45987</v>
      </c>
      <c r="D602" s="15" t="s">
        <v>2073</v>
      </c>
      <c r="E602" s="18" t="s">
        <v>402</v>
      </c>
      <c r="F602" s="19" t="s">
        <v>681</v>
      </c>
      <c r="G602" s="18" t="s">
        <v>682</v>
      </c>
      <c r="H602" s="20" t="s">
        <v>683</v>
      </c>
      <c r="I602" s="15">
        <v>1</v>
      </c>
      <c r="J602" s="15" t="s">
        <v>23</v>
      </c>
      <c r="K602" s="15"/>
      <c r="L602" s="21" t="s">
        <v>16</v>
      </c>
      <c r="M602" s="22">
        <v>0</v>
      </c>
      <c r="N602" s="22">
        <v>-3600</v>
      </c>
      <c r="O602" s="22">
        <v>5400</v>
      </c>
      <c r="P602" s="22">
        <v>5400</v>
      </c>
      <c r="Q602" t="str" cm="1">
        <f t="array" ref="Q602">_xlfn.TEXTJOIN("、",TRUE,IF('學員資料-三民高中'!$B$2:$B$454=$F602,'學員資料-三民高中'!$G$2:$G$454,""))</f>
        <v/>
      </c>
      <c r="R602" t="str" cm="1">
        <f t="array" ref="R602">_xlfn.TEXTJOIN("、",TRUE,IF('學員資料-新北高中'!$B$2:$B$583=$F602,'學員資料-新北高中'!$G$2:$G$583,""))</f>
        <v>0956888791</v>
      </c>
      <c r="S602" t="str" cm="1">
        <f t="array" ref="S602">_xlfn.TEXTJOIN("、",TRUE,IF('學員資料-三重商工'!$B$2:$B$472=$F602,'學員資料-三重商工'!$G$2:$G$472,""))</f>
        <v/>
      </c>
      <c r="T602">
        <f t="shared" si="9"/>
        <v>1</v>
      </c>
    </row>
    <row r="603" spans="1:20" ht="14.25" hidden="1" customHeight="1">
      <c r="A603" s="15">
        <v>602</v>
      </c>
      <c r="B603" s="16" t="s">
        <v>2074</v>
      </c>
      <c r="C603" s="17">
        <v>45986</v>
      </c>
      <c r="D603" s="15" t="s">
        <v>2075</v>
      </c>
      <c r="E603" s="18" t="s">
        <v>83</v>
      </c>
      <c r="F603" s="19" t="s">
        <v>2076</v>
      </c>
      <c r="G603" s="18" t="s">
        <v>2077</v>
      </c>
      <c r="H603" s="20" t="s">
        <v>52</v>
      </c>
      <c r="I603" s="15">
        <v>1</v>
      </c>
      <c r="J603" s="15" t="s">
        <v>24</v>
      </c>
      <c r="K603" s="15"/>
      <c r="L603" s="21" t="s">
        <v>18</v>
      </c>
      <c r="M603" s="22">
        <v>0</v>
      </c>
      <c r="N603" s="22">
        <v>0</v>
      </c>
      <c r="O603" s="22">
        <v>7500</v>
      </c>
      <c r="P603" s="22">
        <v>7500</v>
      </c>
      <c r="Q603" t="str" cm="1">
        <f t="array" ref="Q603">_xlfn.TEXTJOIN("、",TRUE,IF('學員資料-三民高中'!$B$2:$B$454=$F603,'學員資料-三民高中'!$G$2:$G$454,""))</f>
        <v/>
      </c>
      <c r="R603" t="str" cm="1">
        <f t="array" ref="R603">_xlfn.TEXTJOIN("、",TRUE,IF('學員資料-新北高中'!$B$2:$B$583=$F603,'學員資料-新北高中'!$G$2:$G$583,""))</f>
        <v/>
      </c>
      <c r="S603" t="str" cm="1">
        <f t="array" ref="S603">_xlfn.TEXTJOIN("、",TRUE,IF('學員資料-三重商工'!$B$2:$B$472=$F603,'學員資料-三重商工'!$G$2:$G$472,""))</f>
        <v>0972935707</v>
      </c>
      <c r="T603">
        <f t="shared" si="9"/>
        <v>1</v>
      </c>
    </row>
    <row r="604" spans="1:20" ht="14.25" hidden="1" customHeight="1">
      <c r="A604" s="15">
        <v>603</v>
      </c>
      <c r="B604" s="16" t="s">
        <v>2078</v>
      </c>
      <c r="C604" s="17">
        <v>45983</v>
      </c>
      <c r="D604" s="15" t="s">
        <v>2079</v>
      </c>
      <c r="E604" s="18" t="s">
        <v>161</v>
      </c>
      <c r="F604" s="19" t="s">
        <v>2080</v>
      </c>
      <c r="G604" s="18" t="s">
        <v>2081</v>
      </c>
      <c r="H604" s="20" t="s">
        <v>52</v>
      </c>
      <c r="I604" s="15">
        <v>1</v>
      </c>
      <c r="J604" s="15" t="s">
        <v>24</v>
      </c>
      <c r="K604" s="15"/>
      <c r="L604" s="21" t="s">
        <v>16</v>
      </c>
      <c r="M604" s="22">
        <v>0</v>
      </c>
      <c r="N604" s="22">
        <v>0</v>
      </c>
      <c r="O604" s="22">
        <v>7500</v>
      </c>
      <c r="P604" s="22">
        <v>7500</v>
      </c>
      <c r="Q604" t="str" cm="1">
        <f t="array" ref="Q604">_xlfn.TEXTJOIN("、",TRUE,IF('學員資料-三民高中'!$B$2:$B$454=$F604,'學員資料-三民高中'!$G$2:$G$454,""))</f>
        <v/>
      </c>
      <c r="R604" t="str" cm="1">
        <f t="array" ref="R604">_xlfn.TEXTJOIN("、",TRUE,IF('學員資料-新北高中'!$B$2:$B$583=$F604,'學員資料-新北高中'!$G$2:$G$583,""))</f>
        <v>0989877026</v>
      </c>
      <c r="S604" t="str" cm="1">
        <f t="array" ref="S604">_xlfn.TEXTJOIN("、",TRUE,IF('學員資料-三重商工'!$B$2:$B$472=$F604,'學員資料-三重商工'!$G$2:$G$472,""))</f>
        <v/>
      </c>
      <c r="T604">
        <f t="shared" si="9"/>
        <v>1</v>
      </c>
    </row>
    <row r="605" spans="1:20" ht="14.25" hidden="1" customHeight="1">
      <c r="A605" s="15">
        <v>604</v>
      </c>
      <c r="B605" s="16" t="s">
        <v>2082</v>
      </c>
      <c r="C605" s="17">
        <v>45983</v>
      </c>
      <c r="D605" s="15" t="s">
        <v>2083</v>
      </c>
      <c r="E605" s="18" t="s">
        <v>161</v>
      </c>
      <c r="F605" s="19" t="s">
        <v>1486</v>
      </c>
      <c r="G605" s="18" t="s">
        <v>1487</v>
      </c>
      <c r="H605" s="20" t="s">
        <v>66</v>
      </c>
      <c r="I605" s="15">
        <v>1</v>
      </c>
      <c r="J605" s="15" t="s">
        <v>23</v>
      </c>
      <c r="K605" s="15"/>
      <c r="L605" s="21" t="s">
        <v>16</v>
      </c>
      <c r="M605" s="22">
        <v>0</v>
      </c>
      <c r="N605" s="22">
        <v>0</v>
      </c>
      <c r="O605" s="22">
        <v>6900</v>
      </c>
      <c r="P605" s="22">
        <v>6900</v>
      </c>
      <c r="Q605" t="str" cm="1">
        <f t="array" ref="Q605">_xlfn.TEXTJOIN("、",TRUE,IF('學員資料-三民高中'!$B$2:$B$454=$F605,'學員資料-三民高中'!$G$2:$G$454,""))</f>
        <v/>
      </c>
      <c r="R605" t="str" cm="1">
        <f t="array" ref="R605">_xlfn.TEXTJOIN("、",TRUE,IF('學員資料-新北高中'!$B$2:$B$583=$F605,'學員資料-新北高中'!$G$2:$G$583,""))</f>
        <v>0921358153</v>
      </c>
      <c r="S605" t="str" cm="1">
        <f t="array" ref="S605">_xlfn.TEXTJOIN("、",TRUE,IF('學員資料-三重商工'!$B$2:$B$472=$F605,'學員資料-三重商工'!$G$2:$G$472,""))</f>
        <v/>
      </c>
      <c r="T605">
        <f t="shared" si="9"/>
        <v>1</v>
      </c>
    </row>
    <row r="606" spans="1:20" ht="14.25" hidden="1" customHeight="1">
      <c r="A606" s="15">
        <v>605</v>
      </c>
      <c r="B606" s="16" t="s">
        <v>2084</v>
      </c>
      <c r="C606" s="17">
        <v>45983</v>
      </c>
      <c r="D606" s="15" t="s">
        <v>2085</v>
      </c>
      <c r="E606" s="18" t="s">
        <v>161</v>
      </c>
      <c r="F606" s="19" t="s">
        <v>64</v>
      </c>
      <c r="G606" s="18" t="s">
        <v>65</v>
      </c>
      <c r="H606" s="20" t="s">
        <v>66</v>
      </c>
      <c r="I606" s="15">
        <v>1</v>
      </c>
      <c r="J606" s="15" t="s">
        <v>23</v>
      </c>
      <c r="K606" s="15"/>
      <c r="L606" s="21" t="s">
        <v>16</v>
      </c>
      <c r="M606" s="22">
        <v>0</v>
      </c>
      <c r="N606" s="22">
        <v>0</v>
      </c>
      <c r="O606" s="22">
        <v>6900</v>
      </c>
      <c r="P606" s="22">
        <v>6900</v>
      </c>
      <c r="Q606" t="str" cm="1">
        <f t="array" ref="Q606">_xlfn.TEXTJOIN("、",TRUE,IF('學員資料-三民高中'!$B$2:$B$454=$F606,'學員資料-三民高中'!$G$2:$G$454,""))</f>
        <v/>
      </c>
      <c r="R606" t="str" cm="1">
        <f t="array" ref="R606">_xlfn.TEXTJOIN("、",TRUE,IF('學員資料-新北高中'!$B$2:$B$583=$F606,'學員資料-新北高中'!$G$2:$G$583,""))</f>
        <v>0932148373</v>
      </c>
      <c r="S606" t="str" cm="1">
        <f t="array" ref="S606">_xlfn.TEXTJOIN("、",TRUE,IF('學員資料-三重商工'!$B$2:$B$472=$F606,'學員資料-三重商工'!$G$2:$G$472,""))</f>
        <v/>
      </c>
      <c r="T606">
        <f t="shared" si="9"/>
        <v>1</v>
      </c>
    </row>
    <row r="607" spans="1:20" ht="14.25" hidden="1" customHeight="1">
      <c r="A607" s="15">
        <v>606</v>
      </c>
      <c r="B607" s="16" t="s">
        <v>2086</v>
      </c>
      <c r="C607" s="17">
        <v>45982</v>
      </c>
      <c r="D607" s="15" t="s">
        <v>2087</v>
      </c>
      <c r="E607" s="18" t="s">
        <v>83</v>
      </c>
      <c r="F607" s="19" t="s">
        <v>967</v>
      </c>
      <c r="G607" s="18" t="s">
        <v>968</v>
      </c>
      <c r="H607" s="20" t="s">
        <v>66</v>
      </c>
      <c r="I607" s="15">
        <v>1</v>
      </c>
      <c r="J607" s="15" t="s">
        <v>23</v>
      </c>
      <c r="K607" s="15"/>
      <c r="L607" s="21" t="s">
        <v>16</v>
      </c>
      <c r="M607" s="22">
        <v>0</v>
      </c>
      <c r="N607" s="22">
        <v>0</v>
      </c>
      <c r="O607" s="22">
        <v>6900</v>
      </c>
      <c r="P607" s="22">
        <v>6900</v>
      </c>
      <c r="Q607" t="str" cm="1">
        <f t="array" ref="Q607">_xlfn.TEXTJOIN("、",TRUE,IF('學員資料-三民高中'!$B$2:$B$454=$F607,'學員資料-三民高中'!$G$2:$G$454,""))</f>
        <v/>
      </c>
      <c r="R607" t="str" cm="1">
        <f t="array" ref="R607">_xlfn.TEXTJOIN("、",TRUE,IF('學員資料-新北高中'!$B$2:$B$583=$F607,'學員資料-新北高中'!$G$2:$G$583,""))</f>
        <v/>
      </c>
      <c r="S607" t="str" cm="1">
        <f t="array" ref="S607">_xlfn.TEXTJOIN("、",TRUE,IF('學員資料-三重商工'!$B$2:$B$472=$F607,'學員資料-三重商工'!$G$2:$G$472,""))</f>
        <v>0910520090</v>
      </c>
      <c r="T607">
        <f t="shared" si="9"/>
        <v>1</v>
      </c>
    </row>
    <row r="608" spans="1:20" ht="14.25" hidden="1" customHeight="1">
      <c r="A608" s="15">
        <v>607</v>
      </c>
      <c r="B608" s="16" t="s">
        <v>2088</v>
      </c>
      <c r="C608" s="17">
        <v>45982</v>
      </c>
      <c r="D608" s="15" t="s">
        <v>2089</v>
      </c>
      <c r="E608" s="18" t="s">
        <v>83</v>
      </c>
      <c r="F608" s="19" t="s">
        <v>2090</v>
      </c>
      <c r="G608" s="18" t="s">
        <v>2091</v>
      </c>
      <c r="H608" s="20" t="s">
        <v>66</v>
      </c>
      <c r="I608" s="15">
        <v>1</v>
      </c>
      <c r="J608" s="15" t="s">
        <v>23</v>
      </c>
      <c r="K608" s="15"/>
      <c r="L608" s="21" t="s">
        <v>16</v>
      </c>
      <c r="M608" s="22">
        <v>0</v>
      </c>
      <c r="N608" s="22">
        <v>0</v>
      </c>
      <c r="O608" s="22">
        <v>6900</v>
      </c>
      <c r="P608" s="22">
        <v>6900</v>
      </c>
      <c r="Q608" t="str" cm="1">
        <f t="array" ref="Q608">_xlfn.TEXTJOIN("、",TRUE,IF('學員資料-三民高中'!$B$2:$B$454=$F608,'學員資料-三民高中'!$G$2:$G$454,""))</f>
        <v/>
      </c>
      <c r="R608" t="str" cm="1">
        <f t="array" ref="R608">_xlfn.TEXTJOIN("、",TRUE,IF('學員資料-新北高中'!$B$2:$B$583=$F608,'學員資料-新北高中'!$G$2:$G$583,""))</f>
        <v/>
      </c>
      <c r="S608" t="str" cm="1">
        <f t="array" ref="S608">_xlfn.TEXTJOIN("、",TRUE,IF('學員資料-三重商工'!$B$2:$B$472=$F608,'學員資料-三重商工'!$G$2:$G$472,""))</f>
        <v>0926740107</v>
      </c>
      <c r="T608">
        <f t="shared" si="9"/>
        <v>1</v>
      </c>
    </row>
    <row r="609" spans="1:20" ht="14.25" hidden="1" customHeight="1">
      <c r="A609" s="15">
        <v>608</v>
      </c>
      <c r="B609" s="16" t="s">
        <v>2092</v>
      </c>
      <c r="C609" s="17">
        <v>45981</v>
      </c>
      <c r="D609" s="15" t="s">
        <v>2093</v>
      </c>
      <c r="E609" s="18" t="s">
        <v>763</v>
      </c>
      <c r="F609" s="19" t="s">
        <v>2094</v>
      </c>
      <c r="G609" s="18" t="s">
        <v>2095</v>
      </c>
      <c r="H609" s="20" t="s">
        <v>130</v>
      </c>
      <c r="I609" s="15">
        <v>1</v>
      </c>
      <c r="J609" s="15" t="s">
        <v>25</v>
      </c>
      <c r="K609" s="15"/>
      <c r="L609" s="21" t="s">
        <v>16</v>
      </c>
      <c r="M609" s="22">
        <v>0</v>
      </c>
      <c r="N609" s="22">
        <v>0</v>
      </c>
      <c r="O609" s="22">
        <v>9900</v>
      </c>
      <c r="P609" s="22">
        <v>9900</v>
      </c>
      <c r="Q609" t="str" cm="1">
        <f t="array" ref="Q609">_xlfn.TEXTJOIN("、",TRUE,IF('學員資料-三民高中'!$B$2:$B$454=$F609,'學員資料-三民高中'!$G$2:$G$454,""))</f>
        <v>0910620154</v>
      </c>
      <c r="R609" t="str" cm="1">
        <f t="array" ref="R609">_xlfn.TEXTJOIN("、",TRUE,IF('學員資料-新北高中'!$B$2:$B$583=$F609,'學員資料-新北高中'!$G$2:$G$583,""))</f>
        <v/>
      </c>
      <c r="S609" t="str" cm="1">
        <f t="array" ref="S609">_xlfn.TEXTJOIN("、",TRUE,IF('學員資料-三重商工'!$B$2:$B$472=$F609,'學員資料-三重商工'!$G$2:$G$472,""))</f>
        <v/>
      </c>
      <c r="T609">
        <f t="shared" si="9"/>
        <v>1</v>
      </c>
    </row>
    <row r="610" spans="1:20" ht="14.25" hidden="1" customHeight="1">
      <c r="A610" s="15">
        <v>609</v>
      </c>
      <c r="B610" s="16" t="s">
        <v>2096</v>
      </c>
      <c r="C610" s="17">
        <v>45981</v>
      </c>
      <c r="D610" s="15" t="s">
        <v>2097</v>
      </c>
      <c r="E610" s="23"/>
      <c r="F610" s="19" t="s">
        <v>950</v>
      </c>
      <c r="G610" s="18" t="s">
        <v>951</v>
      </c>
      <c r="H610" s="20" t="s">
        <v>52</v>
      </c>
      <c r="I610" s="15">
        <v>1</v>
      </c>
      <c r="J610" s="15" t="s">
        <v>24</v>
      </c>
      <c r="K610" s="15"/>
      <c r="L610" s="21" t="s">
        <v>18</v>
      </c>
      <c r="M610" s="22">
        <v>0</v>
      </c>
      <c r="N610" s="22">
        <v>0</v>
      </c>
      <c r="O610" s="22">
        <v>7500</v>
      </c>
      <c r="P610" s="22">
        <v>7500</v>
      </c>
      <c r="Q610" t="str" cm="1">
        <f t="array" ref="Q610">_xlfn.TEXTJOIN("、",TRUE,IF('學員資料-三民高中'!$B$2:$B$454=$F610,'學員資料-三民高中'!$G$2:$G$454,""))</f>
        <v/>
      </c>
      <c r="R610" t="str" cm="1">
        <f t="array" ref="R610">_xlfn.TEXTJOIN("、",TRUE,IF('學員資料-新北高中'!$B$2:$B$583=$F610,'學員資料-新北高中'!$G$2:$G$583,""))</f>
        <v>0975372886</v>
      </c>
      <c r="S610" t="str" cm="1">
        <f t="array" ref="S610">_xlfn.TEXTJOIN("、",TRUE,IF('學員資料-三重商工'!$B$2:$B$472=$F610,'學員資料-三重商工'!$G$2:$G$472,""))</f>
        <v/>
      </c>
      <c r="T610">
        <f t="shared" si="9"/>
        <v>1</v>
      </c>
    </row>
    <row r="611" spans="1:20" ht="14.25" hidden="1" customHeight="1">
      <c r="A611" s="15">
        <v>610</v>
      </c>
      <c r="B611" s="16" t="s">
        <v>2098</v>
      </c>
      <c r="C611" s="17">
        <v>45980</v>
      </c>
      <c r="D611" s="15" t="s">
        <v>2099</v>
      </c>
      <c r="E611" s="18" t="s">
        <v>763</v>
      </c>
      <c r="F611" s="19" t="s">
        <v>1937</v>
      </c>
      <c r="G611" s="18" t="s">
        <v>1938</v>
      </c>
      <c r="H611" s="20" t="s">
        <v>66</v>
      </c>
      <c r="I611" s="15">
        <v>1</v>
      </c>
      <c r="J611" s="15" t="s">
        <v>23</v>
      </c>
      <c r="K611" s="15"/>
      <c r="L611" s="21" t="s">
        <v>16</v>
      </c>
      <c r="M611" s="22">
        <v>0</v>
      </c>
      <c r="N611" s="22">
        <v>0</v>
      </c>
      <c r="O611" s="22">
        <v>6900</v>
      </c>
      <c r="P611" s="22">
        <v>6900</v>
      </c>
      <c r="Q611" t="str" cm="1">
        <f t="array" ref="Q611">_xlfn.TEXTJOIN("、",TRUE,IF('學員資料-三民高中'!$B$2:$B$454=$F611,'學員資料-三民高中'!$G$2:$G$454,""))</f>
        <v/>
      </c>
      <c r="R611" t="str" cm="1">
        <f t="array" ref="R611">_xlfn.TEXTJOIN("、",TRUE,IF('學員資料-新北高中'!$B$2:$B$583=$F611,'學員資料-新北高中'!$G$2:$G$583,""))</f>
        <v>0920191619</v>
      </c>
      <c r="S611" t="str" cm="1">
        <f t="array" ref="S611">_xlfn.TEXTJOIN("、",TRUE,IF('學員資料-三重商工'!$B$2:$B$472=$F611,'學員資料-三重商工'!$G$2:$G$472,""))</f>
        <v/>
      </c>
      <c r="T611">
        <f t="shared" si="9"/>
        <v>1</v>
      </c>
    </row>
    <row r="612" spans="1:20" ht="14.25" hidden="1" customHeight="1">
      <c r="A612" s="15">
        <v>611</v>
      </c>
      <c r="B612" s="16" t="s">
        <v>2100</v>
      </c>
      <c r="C612" s="17">
        <v>45980</v>
      </c>
      <c r="D612" s="15" t="s">
        <v>2101</v>
      </c>
      <c r="E612" s="18" t="s">
        <v>763</v>
      </c>
      <c r="F612" s="19" t="s">
        <v>422</v>
      </c>
      <c r="G612" s="18" t="s">
        <v>423</v>
      </c>
      <c r="H612" s="20" t="s">
        <v>66</v>
      </c>
      <c r="I612" s="15">
        <v>1</v>
      </c>
      <c r="J612" s="15" t="s">
        <v>23</v>
      </c>
      <c r="K612" s="15"/>
      <c r="L612" s="21" t="s">
        <v>16</v>
      </c>
      <c r="M612" s="22">
        <v>0</v>
      </c>
      <c r="N612" s="22">
        <v>0</v>
      </c>
      <c r="O612" s="22">
        <v>6900</v>
      </c>
      <c r="P612" s="22">
        <v>6900</v>
      </c>
      <c r="Q612" t="str" cm="1">
        <f t="array" ref="Q612">_xlfn.TEXTJOIN("、",TRUE,IF('學員資料-三民高中'!$B$2:$B$454=$F612,'學員資料-三民高中'!$G$2:$G$454,""))</f>
        <v>0975763360</v>
      </c>
      <c r="R612" t="str" cm="1">
        <f t="array" ref="R612">_xlfn.TEXTJOIN("、",TRUE,IF('學員資料-新北高中'!$B$2:$B$583=$F612,'學員資料-新北高中'!$G$2:$G$583,""))</f>
        <v/>
      </c>
      <c r="S612" t="str" cm="1">
        <f t="array" ref="S612">_xlfn.TEXTJOIN("、",TRUE,IF('學員資料-三重商工'!$B$2:$B$472=$F612,'學員資料-三重商工'!$G$2:$G$472,""))</f>
        <v/>
      </c>
      <c r="T612">
        <f t="shared" si="9"/>
        <v>1</v>
      </c>
    </row>
    <row r="613" spans="1:20" ht="14.25" hidden="1" customHeight="1">
      <c r="A613" s="15">
        <v>612</v>
      </c>
      <c r="B613" s="16" t="s">
        <v>2102</v>
      </c>
      <c r="C613" s="17">
        <v>45977</v>
      </c>
      <c r="D613" s="15" t="s">
        <v>2103</v>
      </c>
      <c r="E613" s="18" t="s">
        <v>161</v>
      </c>
      <c r="F613" s="19" t="s">
        <v>2104</v>
      </c>
      <c r="G613" s="18" t="s">
        <v>2105</v>
      </c>
      <c r="H613" s="20" t="s">
        <v>683</v>
      </c>
      <c r="I613" s="15">
        <v>1</v>
      </c>
      <c r="J613" s="15" t="s">
        <v>23</v>
      </c>
      <c r="K613" s="15"/>
      <c r="L613" s="21" t="s">
        <v>16</v>
      </c>
      <c r="M613" s="22">
        <v>0</v>
      </c>
      <c r="N613" s="22">
        <v>0</v>
      </c>
      <c r="O613" s="22">
        <v>9000</v>
      </c>
      <c r="P613" s="22">
        <v>9000</v>
      </c>
      <c r="Q613" t="str" cm="1">
        <f t="array" ref="Q613">_xlfn.TEXTJOIN("、",TRUE,IF('學員資料-三民高中'!$B$2:$B$454=$F613,'學員資料-三民高中'!$G$2:$G$454,""))</f>
        <v/>
      </c>
      <c r="R613" t="str" cm="1">
        <f t="array" ref="R613">_xlfn.TEXTJOIN("、",TRUE,IF('學員資料-新北高中'!$B$2:$B$583=$F613,'學員資料-新北高中'!$G$2:$G$583,""))</f>
        <v>0916333432</v>
      </c>
      <c r="S613" t="str" cm="1">
        <f t="array" ref="S613">_xlfn.TEXTJOIN("、",TRUE,IF('學員資料-三重商工'!$B$2:$B$472=$F613,'學員資料-三重商工'!$G$2:$G$472,""))</f>
        <v/>
      </c>
      <c r="T613">
        <f t="shared" si="9"/>
        <v>1</v>
      </c>
    </row>
    <row r="614" spans="1:20" ht="14.25" hidden="1" customHeight="1">
      <c r="A614" s="15">
        <v>613</v>
      </c>
      <c r="B614" s="16" t="s">
        <v>2106</v>
      </c>
      <c r="C614" s="17">
        <v>45977</v>
      </c>
      <c r="D614" s="15" t="s">
        <v>2107</v>
      </c>
      <c r="E614" s="18" t="s">
        <v>161</v>
      </c>
      <c r="F614" s="19" t="s">
        <v>1308</v>
      </c>
      <c r="G614" s="18" t="s">
        <v>1309</v>
      </c>
      <c r="H614" s="20" t="s">
        <v>66</v>
      </c>
      <c r="I614" s="15">
        <v>1</v>
      </c>
      <c r="J614" s="15" t="s">
        <v>23</v>
      </c>
      <c r="K614" s="15"/>
      <c r="L614" s="21" t="s">
        <v>16</v>
      </c>
      <c r="M614" s="22">
        <v>0</v>
      </c>
      <c r="N614" s="22">
        <v>0</v>
      </c>
      <c r="O614" s="22">
        <v>6900</v>
      </c>
      <c r="P614" s="22">
        <v>6900</v>
      </c>
      <c r="Q614" t="str" cm="1">
        <f t="array" ref="Q614">_xlfn.TEXTJOIN("、",TRUE,IF('學員資料-三民高中'!$B$2:$B$454=$F614,'學員資料-三民高中'!$G$2:$G$454,""))</f>
        <v/>
      </c>
      <c r="R614" t="str" cm="1">
        <f t="array" ref="R614">_xlfn.TEXTJOIN("、",TRUE,IF('學員資料-新北高中'!$B$2:$B$583=$F614,'學員資料-新北高中'!$G$2:$G$583,""))</f>
        <v>0921991299-1</v>
      </c>
      <c r="S614" t="str" cm="1">
        <f t="array" ref="S614">_xlfn.TEXTJOIN("、",TRUE,IF('學員資料-三重商工'!$B$2:$B$472=$F614,'學員資料-三重商工'!$G$2:$G$472,""))</f>
        <v/>
      </c>
      <c r="T614">
        <f t="shared" si="9"/>
        <v>1</v>
      </c>
    </row>
    <row r="615" spans="1:20" ht="14.25" hidden="1" customHeight="1">
      <c r="A615" s="15">
        <v>614</v>
      </c>
      <c r="B615" s="16" t="s">
        <v>2108</v>
      </c>
      <c r="C615" s="17">
        <v>45976</v>
      </c>
      <c r="D615" s="15" t="s">
        <v>2109</v>
      </c>
      <c r="E615" s="18" t="s">
        <v>44</v>
      </c>
      <c r="F615" s="19" t="s">
        <v>1787</v>
      </c>
      <c r="G615" s="18" t="s">
        <v>1788</v>
      </c>
      <c r="H615" s="20" t="s">
        <v>52</v>
      </c>
      <c r="I615" s="15">
        <v>1</v>
      </c>
      <c r="J615" s="15" t="s">
        <v>24</v>
      </c>
      <c r="K615" s="15"/>
      <c r="L615" s="21" t="s">
        <v>16</v>
      </c>
      <c r="M615" s="22">
        <v>0</v>
      </c>
      <c r="N615" s="22">
        <v>0</v>
      </c>
      <c r="O615" s="22">
        <v>7500</v>
      </c>
      <c r="P615" s="22">
        <v>7500</v>
      </c>
      <c r="Q615" t="str" cm="1">
        <f t="array" ref="Q615">_xlfn.TEXTJOIN("、",TRUE,IF('學員資料-三民高中'!$B$2:$B$454=$F615,'學員資料-三民高中'!$G$2:$G$454,""))</f>
        <v/>
      </c>
      <c r="R615" t="str" cm="1">
        <f t="array" ref="R615">_xlfn.TEXTJOIN("、",TRUE,IF('學員資料-新北高中'!$B$2:$B$583=$F615,'學員資料-新北高中'!$G$2:$G$583,""))</f>
        <v/>
      </c>
      <c r="S615" t="str" cm="1">
        <f t="array" ref="S615">_xlfn.TEXTJOIN("、",TRUE,IF('學員資料-三重商工'!$B$2:$B$472=$F615,'學員資料-三重商工'!$G$2:$G$472,""))</f>
        <v>0988797796</v>
      </c>
      <c r="T615">
        <f t="shared" si="9"/>
        <v>1</v>
      </c>
    </row>
    <row r="616" spans="1:20" ht="14.25" hidden="1" customHeight="1">
      <c r="A616" s="15">
        <v>615</v>
      </c>
      <c r="B616" s="16" t="s">
        <v>2110</v>
      </c>
      <c r="C616" s="17">
        <v>45976</v>
      </c>
      <c r="D616" s="15" t="s">
        <v>2111</v>
      </c>
      <c r="E616" s="18" t="s">
        <v>954</v>
      </c>
      <c r="F616" s="19" t="s">
        <v>577</v>
      </c>
      <c r="G616" s="18" t="s">
        <v>578</v>
      </c>
      <c r="H616" s="20" t="s">
        <v>130</v>
      </c>
      <c r="I616" s="15">
        <v>1</v>
      </c>
      <c r="J616" s="15" t="s">
        <v>25</v>
      </c>
      <c r="K616" s="15"/>
      <c r="L616" s="21" t="s">
        <v>16</v>
      </c>
      <c r="M616" s="22">
        <v>0</v>
      </c>
      <c r="N616" s="22">
        <v>-3960</v>
      </c>
      <c r="O616" s="22">
        <v>5940</v>
      </c>
      <c r="P616" s="22">
        <v>5940</v>
      </c>
      <c r="Q616" t="str" cm="1">
        <f t="array" ref="Q616">_xlfn.TEXTJOIN("、",TRUE,IF('學員資料-三民高中'!$B$2:$B$454=$F616,'學員資料-三民高中'!$G$2:$G$454,""))</f>
        <v/>
      </c>
      <c r="R616" t="str" cm="1">
        <f t="array" ref="R616">_xlfn.TEXTJOIN("、",TRUE,IF('學員資料-新北高中'!$B$2:$B$583=$F616,'學員資料-新北高中'!$G$2:$G$583,""))</f>
        <v>0920310727</v>
      </c>
      <c r="S616" t="str" cm="1">
        <f t="array" ref="S616">_xlfn.TEXTJOIN("、",TRUE,IF('學員資料-三重商工'!$B$2:$B$472=$F616,'學員資料-三重商工'!$G$2:$G$472,""))</f>
        <v/>
      </c>
      <c r="T616">
        <f t="shared" si="9"/>
        <v>1</v>
      </c>
    </row>
    <row r="617" spans="1:20" ht="14.25" hidden="1" customHeight="1">
      <c r="A617" s="15">
        <v>616</v>
      </c>
      <c r="B617" s="16" t="s">
        <v>2112</v>
      </c>
      <c r="C617" s="17">
        <v>45975</v>
      </c>
      <c r="D617" s="15" t="s">
        <v>2113</v>
      </c>
      <c r="E617" s="18" t="s">
        <v>763</v>
      </c>
      <c r="F617" s="19" t="s">
        <v>1270</v>
      </c>
      <c r="G617" s="18" t="s">
        <v>1271</v>
      </c>
      <c r="H617" s="20" t="s">
        <v>52</v>
      </c>
      <c r="I617" s="15">
        <v>1</v>
      </c>
      <c r="J617" s="15" t="s">
        <v>24</v>
      </c>
      <c r="K617" s="15"/>
      <c r="L617" s="21" t="s">
        <v>16</v>
      </c>
      <c r="M617" s="22">
        <v>0</v>
      </c>
      <c r="N617" s="22">
        <v>0</v>
      </c>
      <c r="O617" s="22">
        <v>7500</v>
      </c>
      <c r="P617" s="22">
        <v>7500</v>
      </c>
      <c r="Q617" t="str" cm="1">
        <f t="array" ref="Q617">_xlfn.TEXTJOIN("、",TRUE,IF('學員資料-三民高中'!$B$2:$B$454=$F617,'學員資料-三民高中'!$G$2:$G$454,""))</f>
        <v>0923705658</v>
      </c>
      <c r="R617" t="str" cm="1">
        <f t="array" ref="R617">_xlfn.TEXTJOIN("、",TRUE,IF('學員資料-新北高中'!$B$2:$B$583=$F617,'學員資料-新北高中'!$G$2:$G$583,""))</f>
        <v/>
      </c>
      <c r="S617" t="str" cm="1">
        <f t="array" ref="S617">_xlfn.TEXTJOIN("、",TRUE,IF('學員資料-三重商工'!$B$2:$B$472=$F617,'學員資料-三重商工'!$G$2:$G$472,""))</f>
        <v/>
      </c>
      <c r="T617">
        <f t="shared" si="9"/>
        <v>1</v>
      </c>
    </row>
    <row r="618" spans="1:20" ht="14.25" hidden="1" customHeight="1">
      <c r="A618" s="15">
        <v>617</v>
      </c>
      <c r="B618" s="16" t="s">
        <v>2114</v>
      </c>
      <c r="C618" s="17">
        <v>45975</v>
      </c>
      <c r="D618" s="15" t="s">
        <v>2115</v>
      </c>
      <c r="E618" s="18" t="s">
        <v>78</v>
      </c>
      <c r="F618" s="19" t="s">
        <v>2080</v>
      </c>
      <c r="G618" s="18" t="s">
        <v>2081</v>
      </c>
      <c r="H618" s="20" t="s">
        <v>52</v>
      </c>
      <c r="I618" s="15">
        <v>1</v>
      </c>
      <c r="J618" s="15" t="s">
        <v>24</v>
      </c>
      <c r="K618" s="15"/>
      <c r="L618" s="21" t="s">
        <v>16</v>
      </c>
      <c r="M618" s="22">
        <v>0</v>
      </c>
      <c r="N618" s="22">
        <v>0</v>
      </c>
      <c r="O618" s="22">
        <v>7500</v>
      </c>
      <c r="P618" s="22">
        <v>7500</v>
      </c>
      <c r="Q618" t="str" cm="1">
        <f t="array" ref="Q618">_xlfn.TEXTJOIN("、",TRUE,IF('學員資料-三民高中'!$B$2:$B$454=$F618,'學員資料-三民高中'!$G$2:$G$454,""))</f>
        <v/>
      </c>
      <c r="R618" t="str" cm="1">
        <f t="array" ref="R618">_xlfn.TEXTJOIN("、",TRUE,IF('學員資料-新北高中'!$B$2:$B$583=$F618,'學員資料-新北高中'!$G$2:$G$583,""))</f>
        <v>0989877026</v>
      </c>
      <c r="S618" t="str" cm="1">
        <f t="array" ref="S618">_xlfn.TEXTJOIN("、",TRUE,IF('學員資料-三重商工'!$B$2:$B$472=$F618,'學員資料-三重商工'!$G$2:$G$472,""))</f>
        <v/>
      </c>
      <c r="T618">
        <f t="shared" si="9"/>
        <v>1</v>
      </c>
    </row>
    <row r="619" spans="1:20" ht="14.25" hidden="1" customHeight="1">
      <c r="A619" s="15">
        <v>618</v>
      </c>
      <c r="B619" s="16" t="s">
        <v>2116</v>
      </c>
      <c r="C619" s="17">
        <v>45975</v>
      </c>
      <c r="D619" s="15" t="s">
        <v>2117</v>
      </c>
      <c r="E619" s="18" t="s">
        <v>78</v>
      </c>
      <c r="F619" s="19" t="s">
        <v>1664</v>
      </c>
      <c r="G619" s="18" t="s">
        <v>1665</v>
      </c>
      <c r="H619" s="20" t="s">
        <v>66</v>
      </c>
      <c r="I619" s="15">
        <v>1</v>
      </c>
      <c r="J619" s="15" t="s">
        <v>23</v>
      </c>
      <c r="K619" s="15"/>
      <c r="L619" s="21" t="s">
        <v>16</v>
      </c>
      <c r="M619" s="22">
        <v>0</v>
      </c>
      <c r="N619" s="22">
        <v>0</v>
      </c>
      <c r="O619" s="22">
        <v>6900</v>
      </c>
      <c r="P619" s="22">
        <v>6900</v>
      </c>
      <c r="Q619" t="str" cm="1">
        <f t="array" ref="Q619">_xlfn.TEXTJOIN("、",TRUE,IF('學員資料-三民高中'!$B$2:$B$454=$F619,'學員資料-三民高中'!$G$2:$G$454,""))</f>
        <v/>
      </c>
      <c r="R619" t="str" cm="1">
        <f t="array" ref="R619">_xlfn.TEXTJOIN("、",TRUE,IF('學員資料-新北高中'!$B$2:$B$583=$F619,'學員資料-新北高中'!$G$2:$G$583,""))</f>
        <v>0910963339</v>
      </c>
      <c r="S619" t="str" cm="1">
        <f t="array" ref="S619">_xlfn.TEXTJOIN("、",TRUE,IF('學員資料-三重商工'!$B$2:$B$472=$F619,'學員資料-三重商工'!$G$2:$G$472,""))</f>
        <v/>
      </c>
      <c r="T619">
        <f t="shared" si="9"/>
        <v>1</v>
      </c>
    </row>
    <row r="620" spans="1:20" ht="14.25" hidden="1" customHeight="1">
      <c r="A620" s="15">
        <v>619</v>
      </c>
      <c r="B620" s="16" t="s">
        <v>2118</v>
      </c>
      <c r="C620" s="17">
        <v>45975</v>
      </c>
      <c r="D620" s="15" t="s">
        <v>2119</v>
      </c>
      <c r="E620" s="18" t="s">
        <v>78</v>
      </c>
      <c r="F620" s="19" t="s">
        <v>1652</v>
      </c>
      <c r="G620" s="18" t="s">
        <v>1653</v>
      </c>
      <c r="H620" s="20" t="s">
        <v>52</v>
      </c>
      <c r="I620" s="15">
        <v>1</v>
      </c>
      <c r="J620" s="15" t="s">
        <v>24</v>
      </c>
      <c r="K620" s="15"/>
      <c r="L620" s="21" t="s">
        <v>16</v>
      </c>
      <c r="M620" s="22">
        <v>0</v>
      </c>
      <c r="N620" s="22">
        <v>0</v>
      </c>
      <c r="O620" s="22">
        <v>7500</v>
      </c>
      <c r="P620" s="22">
        <v>7500</v>
      </c>
      <c r="Q620" t="str" cm="1">
        <f t="array" ref="Q620">_xlfn.TEXTJOIN("、",TRUE,IF('學員資料-三民高中'!$B$2:$B$454=$F620,'學員資料-三民高中'!$G$2:$G$454,""))</f>
        <v/>
      </c>
      <c r="R620" t="str" cm="1">
        <f t="array" ref="R620">_xlfn.TEXTJOIN("、",TRUE,IF('學員資料-新北高中'!$B$2:$B$583=$F620,'學員資料-新北高中'!$G$2:$G$583,""))</f>
        <v>0923113843</v>
      </c>
      <c r="S620" t="str" cm="1">
        <f t="array" ref="S620">_xlfn.TEXTJOIN("、",TRUE,IF('學員資料-三重商工'!$B$2:$B$472=$F620,'學員資料-三重商工'!$G$2:$G$472,""))</f>
        <v/>
      </c>
      <c r="T620">
        <f t="shared" si="9"/>
        <v>1</v>
      </c>
    </row>
    <row r="621" spans="1:20" ht="14.25" hidden="1" customHeight="1">
      <c r="A621" s="15">
        <v>620</v>
      </c>
      <c r="B621" s="16" t="s">
        <v>2120</v>
      </c>
      <c r="C621" s="17">
        <v>45975</v>
      </c>
      <c r="D621" s="15" t="s">
        <v>2121</v>
      </c>
      <c r="E621" s="18" t="s">
        <v>763</v>
      </c>
      <c r="F621" s="19" t="s">
        <v>2122</v>
      </c>
      <c r="G621" s="18" t="s">
        <v>2123</v>
      </c>
      <c r="H621" s="20" t="s">
        <v>66</v>
      </c>
      <c r="I621" s="15">
        <v>1</v>
      </c>
      <c r="J621" s="15" t="s">
        <v>23</v>
      </c>
      <c r="K621" s="15"/>
      <c r="L621" s="21" t="s">
        <v>16</v>
      </c>
      <c r="M621" s="22">
        <v>0</v>
      </c>
      <c r="N621" s="22">
        <v>0</v>
      </c>
      <c r="O621" s="22">
        <v>6900</v>
      </c>
      <c r="P621" s="22">
        <v>6900</v>
      </c>
      <c r="Q621" t="str" cm="1">
        <f t="array" ref="Q621">_xlfn.TEXTJOIN("、",TRUE,IF('學員資料-三民高中'!$B$2:$B$454=$F621,'學員資料-三民高中'!$G$2:$G$454,""))</f>
        <v>0939684088-2</v>
      </c>
      <c r="R621" t="str" cm="1">
        <f t="array" ref="R621">_xlfn.TEXTJOIN("、",TRUE,IF('學員資料-新北高中'!$B$2:$B$583=$F621,'學員資料-新北高中'!$G$2:$G$583,""))</f>
        <v/>
      </c>
      <c r="S621" t="str" cm="1">
        <f t="array" ref="S621">_xlfn.TEXTJOIN("、",TRUE,IF('學員資料-三重商工'!$B$2:$B$472=$F621,'學員資料-三重商工'!$G$2:$G$472,""))</f>
        <v/>
      </c>
      <c r="T621">
        <f t="shared" si="9"/>
        <v>1</v>
      </c>
    </row>
    <row r="622" spans="1:20" ht="14.25" hidden="1" customHeight="1">
      <c r="A622" s="15">
        <v>621</v>
      </c>
      <c r="B622" s="16" t="s">
        <v>2124</v>
      </c>
      <c r="C622" s="17">
        <v>45975</v>
      </c>
      <c r="D622" s="15" t="s">
        <v>2125</v>
      </c>
      <c r="E622" s="18" t="s">
        <v>763</v>
      </c>
      <c r="F622" s="19" t="s">
        <v>430</v>
      </c>
      <c r="G622" s="18" t="s">
        <v>431</v>
      </c>
      <c r="H622" s="20" t="s">
        <v>130</v>
      </c>
      <c r="I622" s="15">
        <v>1</v>
      </c>
      <c r="J622" s="15" t="s">
        <v>25</v>
      </c>
      <c r="K622" s="15"/>
      <c r="L622" s="21" t="s">
        <v>16</v>
      </c>
      <c r="M622" s="22">
        <v>0</v>
      </c>
      <c r="N622" s="22">
        <v>0</v>
      </c>
      <c r="O622" s="22">
        <v>9900</v>
      </c>
      <c r="P622" s="22">
        <v>9900</v>
      </c>
      <c r="Q622" t="str" cm="1">
        <f t="array" ref="Q622">_xlfn.TEXTJOIN("、",TRUE,IF('學員資料-三民高中'!$B$2:$B$454=$F622,'學員資料-三民高中'!$G$2:$G$454,""))</f>
        <v>0909583927</v>
      </c>
      <c r="R622" t="str" cm="1">
        <f t="array" ref="R622">_xlfn.TEXTJOIN("、",TRUE,IF('學員資料-新北高中'!$B$2:$B$583=$F622,'學員資料-新北高中'!$G$2:$G$583,""))</f>
        <v/>
      </c>
      <c r="S622" t="str" cm="1">
        <f t="array" ref="S622">_xlfn.TEXTJOIN("、",TRUE,IF('學員資料-三重商工'!$B$2:$B$472=$F622,'學員資料-三重商工'!$G$2:$G$472,""))</f>
        <v/>
      </c>
      <c r="T622">
        <f t="shared" si="9"/>
        <v>1</v>
      </c>
    </row>
    <row r="623" spans="1:20" ht="14.25" hidden="1" customHeight="1">
      <c r="A623" s="15">
        <v>622</v>
      </c>
      <c r="B623" s="16" t="s">
        <v>2126</v>
      </c>
      <c r="C623" s="17">
        <v>45973</v>
      </c>
      <c r="D623" s="15" t="s">
        <v>2127</v>
      </c>
      <c r="E623" s="18" t="s">
        <v>83</v>
      </c>
      <c r="F623" s="19" t="s">
        <v>1660</v>
      </c>
      <c r="G623" s="18" t="s">
        <v>1661</v>
      </c>
      <c r="H623" s="20" t="s">
        <v>66</v>
      </c>
      <c r="I623" s="15">
        <v>1</v>
      </c>
      <c r="J623" s="15" t="s">
        <v>23</v>
      </c>
      <c r="K623" s="15"/>
      <c r="L623" s="21" t="s">
        <v>18</v>
      </c>
      <c r="M623" s="22">
        <v>0</v>
      </c>
      <c r="N623" s="22">
        <v>0</v>
      </c>
      <c r="O623" s="22">
        <v>6900</v>
      </c>
      <c r="P623" s="22">
        <v>6900</v>
      </c>
      <c r="Q623" t="str" cm="1">
        <f t="array" ref="Q623">_xlfn.TEXTJOIN("、",TRUE,IF('學員資料-三民高中'!$B$2:$B$454=$F623,'學員資料-三民高中'!$G$2:$G$454,""))</f>
        <v/>
      </c>
      <c r="R623" t="str" cm="1">
        <f t="array" ref="R623">_xlfn.TEXTJOIN("、",TRUE,IF('學員資料-新北高中'!$B$2:$B$583=$F623,'學員資料-新北高中'!$G$2:$G$583,""))</f>
        <v/>
      </c>
      <c r="S623" t="str" cm="1">
        <f t="array" ref="S623">_xlfn.TEXTJOIN("、",TRUE,IF('學員資料-三重商工'!$B$2:$B$472=$F623,'學員資料-三重商工'!$G$2:$G$472,""))</f>
        <v>0963036703</v>
      </c>
      <c r="T623">
        <f t="shared" si="9"/>
        <v>1</v>
      </c>
    </row>
    <row r="624" spans="1:20" ht="14.25" hidden="1" customHeight="1">
      <c r="A624" s="15">
        <v>623</v>
      </c>
      <c r="B624" s="16" t="s">
        <v>2128</v>
      </c>
      <c r="C624" s="17">
        <v>45973</v>
      </c>
      <c r="D624" s="15" t="s">
        <v>2129</v>
      </c>
      <c r="E624" s="18" t="s">
        <v>83</v>
      </c>
      <c r="F624" s="19" t="s">
        <v>1807</v>
      </c>
      <c r="G624" s="18" t="s">
        <v>1808</v>
      </c>
      <c r="H624" s="20" t="s">
        <v>52</v>
      </c>
      <c r="I624" s="15">
        <v>1</v>
      </c>
      <c r="J624" s="15" t="s">
        <v>24</v>
      </c>
      <c r="K624" s="15"/>
      <c r="L624" s="21" t="s">
        <v>16</v>
      </c>
      <c r="M624" s="22">
        <v>0</v>
      </c>
      <c r="N624" s="22">
        <v>0</v>
      </c>
      <c r="O624" s="22">
        <v>7500</v>
      </c>
      <c r="P624" s="22">
        <v>7500</v>
      </c>
      <c r="Q624" t="str" cm="1">
        <f t="array" ref="Q624">_xlfn.TEXTJOIN("、",TRUE,IF('學員資料-三民高中'!$B$2:$B$454=$F624,'學員資料-三民高中'!$G$2:$G$454,""))</f>
        <v/>
      </c>
      <c r="R624" t="str" cm="1">
        <f t="array" ref="R624">_xlfn.TEXTJOIN("、",TRUE,IF('學員資料-新北高中'!$B$2:$B$583=$F624,'學員資料-新北高中'!$G$2:$G$583,""))</f>
        <v/>
      </c>
      <c r="S624" t="str" cm="1">
        <f t="array" ref="S624">_xlfn.TEXTJOIN("、",TRUE,IF('學員資料-三重商工'!$B$2:$B$472=$F624,'學員資料-三重商工'!$G$2:$G$472,""))</f>
        <v>0937459789-1</v>
      </c>
      <c r="T624">
        <f t="shared" si="9"/>
        <v>1</v>
      </c>
    </row>
    <row r="625" spans="1:20" ht="14.25" hidden="1" customHeight="1">
      <c r="A625" s="15">
        <v>624</v>
      </c>
      <c r="B625" s="16" t="s">
        <v>2130</v>
      </c>
      <c r="C625" s="17">
        <v>45973</v>
      </c>
      <c r="D625" s="15" t="s">
        <v>2131</v>
      </c>
      <c r="E625" s="18" t="s">
        <v>83</v>
      </c>
      <c r="F625" s="19" t="s">
        <v>2132</v>
      </c>
      <c r="G625" s="18" t="s">
        <v>2133</v>
      </c>
      <c r="H625" s="20" t="s">
        <v>66</v>
      </c>
      <c r="I625" s="15">
        <v>1</v>
      </c>
      <c r="J625" s="15" t="s">
        <v>23</v>
      </c>
      <c r="K625" s="15"/>
      <c r="L625" s="21" t="s">
        <v>16</v>
      </c>
      <c r="M625" s="22">
        <v>0</v>
      </c>
      <c r="N625" s="22">
        <v>0</v>
      </c>
      <c r="O625" s="22">
        <v>6900</v>
      </c>
      <c r="P625" s="22">
        <v>6900</v>
      </c>
      <c r="Q625" t="str" cm="1">
        <f t="array" ref="Q625">_xlfn.TEXTJOIN("、",TRUE,IF('學員資料-三民高中'!$B$2:$B$454=$F625,'學員資料-三民高中'!$G$2:$G$454,""))</f>
        <v/>
      </c>
      <c r="R625" t="str" cm="1">
        <f t="array" ref="R625">_xlfn.TEXTJOIN("、",TRUE,IF('學員資料-新北高中'!$B$2:$B$583=$F625,'學員資料-新北高中'!$G$2:$G$583,""))</f>
        <v/>
      </c>
      <c r="S625" t="str" cm="1">
        <f t="array" ref="S625">_xlfn.TEXTJOIN("、",TRUE,IF('學員資料-三重商工'!$B$2:$B$472=$F625,'學員資料-三重商工'!$G$2:$G$472,""))</f>
        <v>0933015110</v>
      </c>
      <c r="T625">
        <f t="shared" si="9"/>
        <v>1</v>
      </c>
    </row>
    <row r="626" spans="1:20" ht="14.25" hidden="1" customHeight="1">
      <c r="A626" s="15">
        <v>625</v>
      </c>
      <c r="B626" s="16" t="s">
        <v>2134</v>
      </c>
      <c r="C626" s="17">
        <v>45973</v>
      </c>
      <c r="D626" s="15" t="s">
        <v>2135</v>
      </c>
      <c r="E626" s="18" t="s">
        <v>83</v>
      </c>
      <c r="F626" s="19" t="s">
        <v>2136</v>
      </c>
      <c r="G626" s="18" t="s">
        <v>2137</v>
      </c>
      <c r="H626" s="20" t="s">
        <v>52</v>
      </c>
      <c r="I626" s="15">
        <v>1</v>
      </c>
      <c r="J626" s="15" t="s">
        <v>24</v>
      </c>
      <c r="K626" s="15"/>
      <c r="L626" s="21" t="s">
        <v>16</v>
      </c>
      <c r="M626" s="22">
        <v>0</v>
      </c>
      <c r="N626" s="22">
        <v>0</v>
      </c>
      <c r="O626" s="22">
        <v>7500</v>
      </c>
      <c r="P626" s="22">
        <v>7500</v>
      </c>
      <c r="Q626" t="str" cm="1">
        <f t="array" ref="Q626">_xlfn.TEXTJOIN("、",TRUE,IF('學員資料-三民高中'!$B$2:$B$454=$F626,'學員資料-三民高中'!$G$2:$G$454,""))</f>
        <v/>
      </c>
      <c r="R626" t="str" cm="1">
        <f t="array" ref="R626">_xlfn.TEXTJOIN("、",TRUE,IF('學員資料-新北高中'!$B$2:$B$583=$F626,'學員資料-新北高中'!$G$2:$G$583,""))</f>
        <v/>
      </c>
      <c r="S626" t="str" cm="1">
        <f t="array" ref="S626">_xlfn.TEXTJOIN("、",TRUE,IF('學員資料-三重商工'!$B$2:$B$472=$F626,'學員資料-三重商工'!$G$2:$G$472,""))</f>
        <v>0952322223</v>
      </c>
      <c r="T626">
        <f t="shared" si="9"/>
        <v>1</v>
      </c>
    </row>
    <row r="627" spans="1:20" ht="14.25" hidden="1" customHeight="1">
      <c r="A627" s="15">
        <v>626</v>
      </c>
      <c r="B627" s="16" t="s">
        <v>2138</v>
      </c>
      <c r="C627" s="17">
        <v>45973</v>
      </c>
      <c r="D627" s="15" t="s">
        <v>2139</v>
      </c>
      <c r="E627" s="18" t="s">
        <v>83</v>
      </c>
      <c r="F627" s="19" t="s">
        <v>1648</v>
      </c>
      <c r="G627" s="18" t="s">
        <v>1649</v>
      </c>
      <c r="H627" s="20" t="s">
        <v>52</v>
      </c>
      <c r="I627" s="15">
        <v>1</v>
      </c>
      <c r="J627" s="15" t="s">
        <v>24</v>
      </c>
      <c r="K627" s="15"/>
      <c r="L627" s="21" t="s">
        <v>16</v>
      </c>
      <c r="M627" s="22">
        <v>0</v>
      </c>
      <c r="N627" s="22">
        <v>0</v>
      </c>
      <c r="O627" s="22">
        <v>7500</v>
      </c>
      <c r="P627" s="22">
        <v>7500</v>
      </c>
      <c r="Q627" t="str" cm="1">
        <f t="array" ref="Q627">_xlfn.TEXTJOIN("、",TRUE,IF('學員資料-三民高中'!$B$2:$B$454=$F627,'學員資料-三民高中'!$G$2:$G$454,""))</f>
        <v/>
      </c>
      <c r="R627" t="str" cm="1">
        <f t="array" ref="R627">_xlfn.TEXTJOIN("、",TRUE,IF('學員資料-新北高中'!$B$2:$B$583=$F627,'學員資料-新北高中'!$G$2:$G$583,""))</f>
        <v/>
      </c>
      <c r="S627" t="str" cm="1">
        <f t="array" ref="S627">_xlfn.TEXTJOIN("、",TRUE,IF('學員資料-三重商工'!$B$2:$B$472=$F627,'學員資料-三重商工'!$G$2:$G$472,""))</f>
        <v>0915730001</v>
      </c>
      <c r="T627">
        <f t="shared" si="9"/>
        <v>1</v>
      </c>
    </row>
    <row r="628" spans="1:20" ht="14.25" hidden="1" customHeight="1">
      <c r="A628" s="15">
        <v>627</v>
      </c>
      <c r="B628" s="16" t="s">
        <v>2140</v>
      </c>
      <c r="C628" s="17">
        <v>45973</v>
      </c>
      <c r="D628" s="15" t="s">
        <v>2141</v>
      </c>
      <c r="E628" s="18" t="s">
        <v>83</v>
      </c>
      <c r="F628" s="19" t="s">
        <v>2142</v>
      </c>
      <c r="G628" s="18" t="s">
        <v>2143</v>
      </c>
      <c r="H628" s="20" t="s">
        <v>66</v>
      </c>
      <c r="I628" s="15">
        <v>1</v>
      </c>
      <c r="J628" s="15" t="s">
        <v>23</v>
      </c>
      <c r="K628" s="15"/>
      <c r="L628" s="21" t="s">
        <v>16</v>
      </c>
      <c r="M628" s="22">
        <v>0</v>
      </c>
      <c r="N628" s="22">
        <v>0</v>
      </c>
      <c r="O628" s="22">
        <v>6900</v>
      </c>
      <c r="P628" s="22">
        <v>6900</v>
      </c>
      <c r="Q628" t="str" cm="1">
        <f t="array" ref="Q628">_xlfn.TEXTJOIN("、",TRUE,IF('學員資料-三民高中'!$B$2:$B$454=$F628,'學員資料-三民高中'!$G$2:$G$454,""))</f>
        <v/>
      </c>
      <c r="R628" t="str" cm="1">
        <f t="array" ref="R628">_xlfn.TEXTJOIN("、",TRUE,IF('學員資料-新北高中'!$B$2:$B$583=$F628,'學員資料-新北高中'!$G$2:$G$583,""))</f>
        <v/>
      </c>
      <c r="S628" t="str" cm="1">
        <f t="array" ref="S628">_xlfn.TEXTJOIN("、",TRUE,IF('學員資料-三重商工'!$B$2:$B$472=$F628,'學員資料-三重商工'!$G$2:$G$472,""))</f>
        <v>0916873839</v>
      </c>
      <c r="T628">
        <f t="shared" si="9"/>
        <v>1</v>
      </c>
    </row>
    <row r="629" spans="1:20" ht="14.25" hidden="1" customHeight="1">
      <c r="A629" s="15">
        <v>628</v>
      </c>
      <c r="B629" s="16" t="s">
        <v>2144</v>
      </c>
      <c r="C629" s="17">
        <v>45973</v>
      </c>
      <c r="D629" s="15" t="s">
        <v>2145</v>
      </c>
      <c r="E629" s="18" t="s">
        <v>83</v>
      </c>
      <c r="F629" s="19" t="s">
        <v>2146</v>
      </c>
      <c r="G629" s="18" t="s">
        <v>2147</v>
      </c>
      <c r="H629" s="20" t="s">
        <v>52</v>
      </c>
      <c r="I629" s="15">
        <v>1</v>
      </c>
      <c r="J629" s="15" t="s">
        <v>24</v>
      </c>
      <c r="K629" s="15"/>
      <c r="L629" s="21" t="s">
        <v>16</v>
      </c>
      <c r="M629" s="22">
        <v>0</v>
      </c>
      <c r="N629" s="22">
        <v>0</v>
      </c>
      <c r="O629" s="22">
        <v>7500</v>
      </c>
      <c r="P629" s="22">
        <v>7500</v>
      </c>
      <c r="Q629" t="str" cm="1">
        <f t="array" ref="Q629">_xlfn.TEXTJOIN("、",TRUE,IF('學員資料-三民高中'!$B$2:$B$454=$F629,'學員資料-三民高中'!$G$2:$G$454,""))</f>
        <v/>
      </c>
      <c r="R629" t="str" cm="1">
        <f t="array" ref="R629">_xlfn.TEXTJOIN("、",TRUE,IF('學員資料-新北高中'!$B$2:$B$583=$F629,'學員資料-新北高中'!$G$2:$G$583,""))</f>
        <v/>
      </c>
      <c r="S629" t="str" cm="1">
        <f t="array" ref="S629">_xlfn.TEXTJOIN("、",TRUE,IF('學員資料-三重商工'!$B$2:$B$472=$F629,'學員資料-三重商工'!$G$2:$G$472,""))</f>
        <v>0917812721</v>
      </c>
      <c r="T629">
        <f t="shared" si="9"/>
        <v>1</v>
      </c>
    </row>
    <row r="630" spans="1:20" ht="14.25" hidden="1" customHeight="1">
      <c r="A630" s="15">
        <v>629</v>
      </c>
      <c r="B630" s="16" t="s">
        <v>2148</v>
      </c>
      <c r="C630" s="17">
        <v>45973</v>
      </c>
      <c r="D630" s="15" t="s">
        <v>2149</v>
      </c>
      <c r="E630" s="18" t="s">
        <v>763</v>
      </c>
      <c r="F630" s="19" t="s">
        <v>2150</v>
      </c>
      <c r="G630" s="18" t="s">
        <v>2151</v>
      </c>
      <c r="H630" s="20" t="s">
        <v>130</v>
      </c>
      <c r="I630" s="15">
        <v>1</v>
      </c>
      <c r="J630" s="15" t="s">
        <v>25</v>
      </c>
      <c r="K630" s="15"/>
      <c r="L630" s="21" t="s">
        <v>16</v>
      </c>
      <c r="M630" s="22">
        <v>0</v>
      </c>
      <c r="N630" s="22">
        <v>0</v>
      </c>
      <c r="O630" s="22">
        <v>9900</v>
      </c>
      <c r="P630" s="22">
        <v>9900</v>
      </c>
      <c r="Q630" t="str" cm="1">
        <f t="array" ref="Q630">_xlfn.TEXTJOIN("、",TRUE,IF('學員資料-三民高中'!$B$2:$B$454=$F630,'學員資料-三民高中'!$G$2:$G$454,""))</f>
        <v>0956558987-1</v>
      </c>
      <c r="R630" t="str" cm="1">
        <f t="array" ref="R630">_xlfn.TEXTJOIN("、",TRUE,IF('學員資料-新北高中'!$B$2:$B$583=$F630,'學員資料-新北高中'!$G$2:$G$583,""))</f>
        <v/>
      </c>
      <c r="S630" t="str" cm="1">
        <f t="array" ref="S630">_xlfn.TEXTJOIN("、",TRUE,IF('學員資料-三重商工'!$B$2:$B$472=$F630,'學員資料-三重商工'!$G$2:$G$472,""))</f>
        <v/>
      </c>
      <c r="T630">
        <f t="shared" si="9"/>
        <v>1</v>
      </c>
    </row>
    <row r="631" spans="1:20" ht="14.25" hidden="1" customHeight="1">
      <c r="A631" s="15">
        <v>630</v>
      </c>
      <c r="B631" s="16" t="s">
        <v>2152</v>
      </c>
      <c r="C631" s="17">
        <v>45973</v>
      </c>
      <c r="D631" s="15" t="s">
        <v>2153</v>
      </c>
      <c r="E631" s="18" t="s">
        <v>763</v>
      </c>
      <c r="F631" s="19" t="s">
        <v>2154</v>
      </c>
      <c r="G631" s="18" t="s">
        <v>2155</v>
      </c>
      <c r="H631" s="20" t="s">
        <v>130</v>
      </c>
      <c r="I631" s="15">
        <v>1</v>
      </c>
      <c r="J631" s="15" t="s">
        <v>25</v>
      </c>
      <c r="K631" s="15"/>
      <c r="L631" s="21" t="s">
        <v>16</v>
      </c>
      <c r="M631" s="22">
        <v>0</v>
      </c>
      <c r="N631" s="22">
        <v>0</v>
      </c>
      <c r="O631" s="22">
        <v>9900</v>
      </c>
      <c r="P631" s="22">
        <v>9900</v>
      </c>
      <c r="Q631" t="str" cm="1">
        <f t="array" ref="Q631">_xlfn.TEXTJOIN("、",TRUE,IF('學員資料-三民高中'!$B$2:$B$454=$F631,'學員資料-三民高中'!$G$2:$G$454,""))</f>
        <v>0975926988</v>
      </c>
      <c r="R631" t="str" cm="1">
        <f t="array" ref="R631">_xlfn.TEXTJOIN("、",TRUE,IF('學員資料-新北高中'!$B$2:$B$583=$F631,'學員資料-新北高中'!$G$2:$G$583,""))</f>
        <v/>
      </c>
      <c r="S631" t="str" cm="1">
        <f t="array" ref="S631">_xlfn.TEXTJOIN("、",TRUE,IF('學員資料-三重商工'!$B$2:$B$472=$F631,'學員資料-三重商工'!$G$2:$G$472,""))</f>
        <v/>
      </c>
      <c r="T631">
        <f t="shared" si="9"/>
        <v>1</v>
      </c>
    </row>
    <row r="632" spans="1:20" ht="14.25" hidden="1" customHeight="1">
      <c r="A632" s="15">
        <v>631</v>
      </c>
      <c r="B632" s="16" t="s">
        <v>2156</v>
      </c>
      <c r="C632" s="17">
        <v>45973</v>
      </c>
      <c r="D632" s="15" t="s">
        <v>2157</v>
      </c>
      <c r="E632" s="18" t="s">
        <v>763</v>
      </c>
      <c r="F632" s="19" t="s">
        <v>2158</v>
      </c>
      <c r="G632" s="18" t="s">
        <v>2159</v>
      </c>
      <c r="H632" s="20" t="s">
        <v>130</v>
      </c>
      <c r="I632" s="15">
        <v>1</v>
      </c>
      <c r="J632" s="15" t="s">
        <v>25</v>
      </c>
      <c r="K632" s="15"/>
      <c r="L632" s="21" t="s">
        <v>16</v>
      </c>
      <c r="M632" s="22">
        <v>0</v>
      </c>
      <c r="N632" s="22">
        <v>0</v>
      </c>
      <c r="O632" s="22">
        <v>9900</v>
      </c>
      <c r="P632" s="22">
        <v>9900</v>
      </c>
      <c r="Q632" t="str" cm="1">
        <f t="array" ref="Q632">_xlfn.TEXTJOIN("、",TRUE,IF('學員資料-三民高中'!$B$2:$B$454=$F632,'學員資料-三民高中'!$G$2:$G$454,""))</f>
        <v>0922600356</v>
      </c>
      <c r="R632" t="str" cm="1">
        <f t="array" ref="R632">_xlfn.TEXTJOIN("、",TRUE,IF('學員資料-新北高中'!$B$2:$B$583=$F632,'學員資料-新北高中'!$G$2:$G$583,""))</f>
        <v/>
      </c>
      <c r="S632" t="str" cm="1">
        <f t="array" ref="S632">_xlfn.TEXTJOIN("、",TRUE,IF('學員資料-三重商工'!$B$2:$B$472=$F632,'學員資料-三重商工'!$G$2:$G$472,""))</f>
        <v/>
      </c>
      <c r="T632">
        <f t="shared" si="9"/>
        <v>1</v>
      </c>
    </row>
    <row r="633" spans="1:20" ht="14.25" hidden="1" customHeight="1">
      <c r="A633" s="15">
        <v>632</v>
      </c>
      <c r="B633" s="16" t="s">
        <v>2160</v>
      </c>
      <c r="C633" s="17">
        <v>45973</v>
      </c>
      <c r="D633" s="15" t="s">
        <v>2161</v>
      </c>
      <c r="E633" s="18" t="s">
        <v>763</v>
      </c>
      <c r="F633" s="19" t="s">
        <v>1474</v>
      </c>
      <c r="G633" s="18" t="s">
        <v>1475</v>
      </c>
      <c r="H633" s="20" t="s">
        <v>52</v>
      </c>
      <c r="I633" s="15">
        <v>1</v>
      </c>
      <c r="J633" s="15" t="s">
        <v>24</v>
      </c>
      <c r="K633" s="15"/>
      <c r="L633" s="21" t="s">
        <v>16</v>
      </c>
      <c r="M633" s="22">
        <v>0</v>
      </c>
      <c r="N633" s="22">
        <v>0</v>
      </c>
      <c r="O633" s="22">
        <v>7500</v>
      </c>
      <c r="P633" s="22">
        <v>7500</v>
      </c>
      <c r="Q633" t="str" cm="1">
        <f t="array" ref="Q633">_xlfn.TEXTJOIN("、",TRUE,IF('學員資料-三民高中'!$B$2:$B$454=$F633,'學員資料-三民高中'!$G$2:$G$454,""))</f>
        <v>0958365985</v>
      </c>
      <c r="R633" t="str" cm="1">
        <f t="array" ref="R633">_xlfn.TEXTJOIN("、",TRUE,IF('學員資料-新北高中'!$B$2:$B$583=$F633,'學員資料-新北高中'!$G$2:$G$583,""))</f>
        <v/>
      </c>
      <c r="S633" t="str" cm="1">
        <f t="array" ref="S633">_xlfn.TEXTJOIN("、",TRUE,IF('學員資料-三重商工'!$B$2:$B$472=$F633,'學員資料-三重商工'!$G$2:$G$472,""))</f>
        <v/>
      </c>
      <c r="T633">
        <f t="shared" si="9"/>
        <v>1</v>
      </c>
    </row>
    <row r="634" spans="1:20" ht="14.25" hidden="1" customHeight="1">
      <c r="A634" s="15">
        <v>633</v>
      </c>
      <c r="B634" s="16" t="s">
        <v>2162</v>
      </c>
      <c r="C634" s="17">
        <v>45973</v>
      </c>
      <c r="D634" s="15" t="s">
        <v>2163</v>
      </c>
      <c r="E634" s="18" t="s">
        <v>763</v>
      </c>
      <c r="F634" s="19" t="s">
        <v>2164</v>
      </c>
      <c r="G634" s="18" t="s">
        <v>2165</v>
      </c>
      <c r="H634" s="20" t="s">
        <v>66</v>
      </c>
      <c r="I634" s="15">
        <v>1</v>
      </c>
      <c r="J634" s="15" t="s">
        <v>23</v>
      </c>
      <c r="K634" s="15"/>
      <c r="L634" s="21" t="s">
        <v>16</v>
      </c>
      <c r="M634" s="22">
        <v>0</v>
      </c>
      <c r="N634" s="22">
        <v>0</v>
      </c>
      <c r="O634" s="22">
        <v>6900</v>
      </c>
      <c r="P634" s="22">
        <v>6900</v>
      </c>
      <c r="Q634" t="str" cm="1">
        <f t="array" ref="Q634">_xlfn.TEXTJOIN("、",TRUE,IF('學員資料-三民高中'!$B$2:$B$454=$F634,'學員資料-三民高中'!$G$2:$G$454,""))</f>
        <v>0982417999</v>
      </c>
      <c r="R634" t="str" cm="1">
        <f t="array" ref="R634">_xlfn.TEXTJOIN("、",TRUE,IF('學員資料-新北高中'!$B$2:$B$583=$F634,'學員資料-新北高中'!$G$2:$G$583,""))</f>
        <v/>
      </c>
      <c r="S634" t="str" cm="1">
        <f t="array" ref="S634">_xlfn.TEXTJOIN("、",TRUE,IF('學員資料-三重商工'!$B$2:$B$472=$F634,'學員資料-三重商工'!$G$2:$G$472,""))</f>
        <v/>
      </c>
      <c r="T634">
        <f t="shared" si="9"/>
        <v>1</v>
      </c>
    </row>
    <row r="635" spans="1:20" ht="14.25" hidden="1" customHeight="1">
      <c r="A635" s="15">
        <v>634</v>
      </c>
      <c r="B635" s="16" t="s">
        <v>2166</v>
      </c>
      <c r="C635" s="17">
        <v>45973</v>
      </c>
      <c r="D635" s="15" t="s">
        <v>865</v>
      </c>
      <c r="E635" s="18" t="s">
        <v>763</v>
      </c>
      <c r="F635" s="19" t="s">
        <v>1320</v>
      </c>
      <c r="G635" s="18" t="s">
        <v>1321</v>
      </c>
      <c r="H635" s="20" t="s">
        <v>52</v>
      </c>
      <c r="I635" s="15">
        <v>1</v>
      </c>
      <c r="J635" s="15" t="s">
        <v>24</v>
      </c>
      <c r="K635" s="15"/>
      <c r="L635" s="21" t="s">
        <v>16</v>
      </c>
      <c r="M635" s="22">
        <v>0</v>
      </c>
      <c r="N635" s="22">
        <v>0</v>
      </c>
      <c r="O635" s="22">
        <v>7500</v>
      </c>
      <c r="P635" s="22">
        <v>7500</v>
      </c>
      <c r="Q635" t="str" cm="1">
        <f t="array" ref="Q635">_xlfn.TEXTJOIN("、",TRUE,IF('學員資料-三民高中'!$B$2:$B$454=$F635,'學員資料-三民高中'!$G$2:$G$454,""))</f>
        <v>0963394102</v>
      </c>
      <c r="R635" t="str" cm="1">
        <f t="array" ref="R635">_xlfn.TEXTJOIN("、",TRUE,IF('學員資料-新北高中'!$B$2:$B$583=$F635,'學員資料-新北高中'!$G$2:$G$583,""))</f>
        <v/>
      </c>
      <c r="S635" t="str" cm="1">
        <f t="array" ref="S635">_xlfn.TEXTJOIN("、",TRUE,IF('學員資料-三重商工'!$B$2:$B$472=$F635,'學員資料-三重商工'!$G$2:$G$472,""))</f>
        <v/>
      </c>
      <c r="T635">
        <f t="shared" si="9"/>
        <v>1</v>
      </c>
    </row>
    <row r="636" spans="1:20" ht="14.25" hidden="1" customHeight="1">
      <c r="A636" s="15">
        <v>635</v>
      </c>
      <c r="B636" s="16" t="s">
        <v>2167</v>
      </c>
      <c r="C636" s="17">
        <v>45973</v>
      </c>
      <c r="D636" s="15" t="s">
        <v>2168</v>
      </c>
      <c r="E636" s="18" t="s">
        <v>763</v>
      </c>
      <c r="F636" s="19" t="s">
        <v>1756</v>
      </c>
      <c r="G636" s="18" t="s">
        <v>1757</v>
      </c>
      <c r="H636" s="20" t="s">
        <v>66</v>
      </c>
      <c r="I636" s="15">
        <v>1</v>
      </c>
      <c r="J636" s="15" t="s">
        <v>23</v>
      </c>
      <c r="K636" s="15"/>
      <c r="L636" s="21" t="s">
        <v>16</v>
      </c>
      <c r="M636" s="22">
        <v>0</v>
      </c>
      <c r="N636" s="22">
        <v>0</v>
      </c>
      <c r="O636" s="22">
        <v>6900</v>
      </c>
      <c r="P636" s="22">
        <v>6900</v>
      </c>
      <c r="Q636" t="str" cm="1">
        <f t="array" ref="Q636">_xlfn.TEXTJOIN("、",TRUE,IF('學員資料-三民高中'!$B$2:$B$454=$F636,'學員資料-三民高中'!$G$2:$G$454,""))</f>
        <v/>
      </c>
      <c r="R636" t="str" cm="1">
        <f t="array" ref="R636">_xlfn.TEXTJOIN("、",TRUE,IF('學員資料-新北高中'!$B$2:$B$583=$F636,'學員資料-新北高中'!$G$2:$G$583,""))</f>
        <v/>
      </c>
      <c r="S636" t="str" cm="1">
        <f t="array" ref="S636">_xlfn.TEXTJOIN("、",TRUE,IF('學員資料-三重商工'!$B$2:$B$472=$F636,'學員資料-三重商工'!$G$2:$G$472,""))</f>
        <v>0975650503</v>
      </c>
      <c r="T636">
        <f t="shared" si="9"/>
        <v>1</v>
      </c>
    </row>
    <row r="637" spans="1:20" ht="14.25" hidden="1" customHeight="1">
      <c r="A637" s="15">
        <v>636</v>
      </c>
      <c r="B637" s="16" t="s">
        <v>2169</v>
      </c>
      <c r="C637" s="17">
        <v>45973</v>
      </c>
      <c r="D637" s="15" t="s">
        <v>2170</v>
      </c>
      <c r="E637" s="18" t="s">
        <v>763</v>
      </c>
      <c r="F637" s="19" t="s">
        <v>2171</v>
      </c>
      <c r="G637" s="18" t="s">
        <v>2172</v>
      </c>
      <c r="H637" s="20" t="s">
        <v>52</v>
      </c>
      <c r="I637" s="15">
        <v>1</v>
      </c>
      <c r="J637" s="15" t="s">
        <v>24</v>
      </c>
      <c r="K637" s="15"/>
      <c r="L637" s="21" t="s">
        <v>16</v>
      </c>
      <c r="M637" s="22">
        <v>0</v>
      </c>
      <c r="N637" s="22">
        <v>0</v>
      </c>
      <c r="O637" s="22">
        <v>7500</v>
      </c>
      <c r="P637" s="22">
        <v>7500</v>
      </c>
      <c r="Q637" t="str" cm="1">
        <f t="array" ref="Q637">_xlfn.TEXTJOIN("、",TRUE,IF('學員資料-三民高中'!$B$2:$B$454=$F637,'學員資料-三民高中'!$G$2:$G$454,""))</f>
        <v/>
      </c>
      <c r="R637" t="str" cm="1">
        <f t="array" ref="R637">_xlfn.TEXTJOIN("、",TRUE,IF('學員資料-新北高中'!$B$2:$B$583=$F637,'學員資料-新北高中'!$G$2:$G$583,""))</f>
        <v>0917631641</v>
      </c>
      <c r="S637" t="str" cm="1">
        <f t="array" ref="S637">_xlfn.TEXTJOIN("、",TRUE,IF('學員資料-三重商工'!$B$2:$B$472=$F637,'學員資料-三重商工'!$G$2:$G$472,""))</f>
        <v/>
      </c>
      <c r="T637">
        <f t="shared" si="9"/>
        <v>1</v>
      </c>
    </row>
    <row r="638" spans="1:20" ht="14.25" hidden="1" customHeight="1">
      <c r="A638" s="15">
        <v>637</v>
      </c>
      <c r="B638" s="16" t="s">
        <v>2173</v>
      </c>
      <c r="C638" s="17">
        <v>45973</v>
      </c>
      <c r="D638" s="15" t="s">
        <v>2174</v>
      </c>
      <c r="E638" s="18" t="s">
        <v>763</v>
      </c>
      <c r="F638" s="19" t="s">
        <v>878</v>
      </c>
      <c r="G638" s="18" t="s">
        <v>879</v>
      </c>
      <c r="H638" s="20" t="s">
        <v>130</v>
      </c>
      <c r="I638" s="15">
        <v>1</v>
      </c>
      <c r="J638" s="15" t="s">
        <v>25</v>
      </c>
      <c r="K638" s="15"/>
      <c r="L638" s="21" t="s">
        <v>16</v>
      </c>
      <c r="M638" s="22">
        <v>0</v>
      </c>
      <c r="N638" s="22">
        <v>0</v>
      </c>
      <c r="O638" s="22">
        <v>9900</v>
      </c>
      <c r="P638" s="22">
        <v>9900</v>
      </c>
      <c r="Q638" t="str" cm="1">
        <f t="array" ref="Q638">_xlfn.TEXTJOIN("、",TRUE,IF('學員資料-三民高中'!$B$2:$B$454=$F638,'學員資料-三民高中'!$G$2:$G$454,""))</f>
        <v>0922073003</v>
      </c>
      <c r="R638" t="str" cm="1">
        <f t="array" ref="R638">_xlfn.TEXTJOIN("、",TRUE,IF('學員資料-新北高中'!$B$2:$B$583=$F638,'學員資料-新北高中'!$G$2:$G$583,""))</f>
        <v/>
      </c>
      <c r="S638" t="str" cm="1">
        <f t="array" ref="S638">_xlfn.TEXTJOIN("、",TRUE,IF('學員資料-三重商工'!$B$2:$B$472=$F638,'學員資料-三重商工'!$G$2:$G$472,""))</f>
        <v/>
      </c>
      <c r="T638">
        <f t="shared" si="9"/>
        <v>1</v>
      </c>
    </row>
    <row r="639" spans="1:20" ht="14.25" hidden="1" customHeight="1">
      <c r="A639" s="15">
        <v>638</v>
      </c>
      <c r="B639" s="16" t="s">
        <v>2175</v>
      </c>
      <c r="C639" s="17">
        <v>45971</v>
      </c>
      <c r="D639" s="15" t="s">
        <v>2176</v>
      </c>
      <c r="E639" s="18" t="s">
        <v>83</v>
      </c>
      <c r="F639" s="19" t="s">
        <v>494</v>
      </c>
      <c r="G639" s="18" t="s">
        <v>495</v>
      </c>
      <c r="H639" s="20" t="s">
        <v>130</v>
      </c>
      <c r="I639" s="15">
        <v>1</v>
      </c>
      <c r="J639" s="15" t="s">
        <v>25</v>
      </c>
      <c r="K639" s="15"/>
      <c r="L639" s="21" t="s">
        <v>18</v>
      </c>
      <c r="M639" s="22">
        <v>0</v>
      </c>
      <c r="N639" s="22">
        <v>0</v>
      </c>
      <c r="O639" s="22">
        <v>9900</v>
      </c>
      <c r="P639" s="22">
        <v>9900</v>
      </c>
      <c r="Q639" t="str" cm="1">
        <f t="array" ref="Q639">_xlfn.TEXTJOIN("、",TRUE,IF('學員資料-三民高中'!$B$2:$B$454=$F639,'學員資料-三民高中'!$G$2:$G$454,""))</f>
        <v/>
      </c>
      <c r="R639" t="str" cm="1">
        <f t="array" ref="R639">_xlfn.TEXTJOIN("、",TRUE,IF('學員資料-新北高中'!$B$2:$B$583=$F639,'學員資料-新北高中'!$G$2:$G$583,""))</f>
        <v/>
      </c>
      <c r="S639" t="str" cm="1">
        <f t="array" ref="S639">_xlfn.TEXTJOIN("、",TRUE,IF('學員資料-三重商工'!$B$2:$B$472=$F639,'學員資料-三重商工'!$G$2:$G$472,""))</f>
        <v>0989016012</v>
      </c>
      <c r="T639">
        <f t="shared" si="9"/>
        <v>1</v>
      </c>
    </row>
    <row r="640" spans="1:20" ht="14.25" hidden="1" customHeight="1">
      <c r="A640" s="15">
        <v>639</v>
      </c>
      <c r="B640" s="16" t="s">
        <v>2177</v>
      </c>
      <c r="C640" s="17">
        <v>45971</v>
      </c>
      <c r="D640" s="15" t="s">
        <v>2178</v>
      </c>
      <c r="E640" s="18" t="s">
        <v>83</v>
      </c>
      <c r="F640" s="19" t="s">
        <v>1799</v>
      </c>
      <c r="G640" s="18" t="s">
        <v>1800</v>
      </c>
      <c r="H640" s="20" t="s">
        <v>66</v>
      </c>
      <c r="I640" s="15">
        <v>1</v>
      </c>
      <c r="J640" s="15" t="s">
        <v>23</v>
      </c>
      <c r="K640" s="15"/>
      <c r="L640" s="21" t="s">
        <v>18</v>
      </c>
      <c r="M640" s="22">
        <v>0</v>
      </c>
      <c r="N640" s="22">
        <v>0</v>
      </c>
      <c r="O640" s="22">
        <v>6900</v>
      </c>
      <c r="P640" s="22">
        <v>6900</v>
      </c>
      <c r="Q640" t="str" cm="1">
        <f t="array" ref="Q640">_xlfn.TEXTJOIN("、",TRUE,IF('學員資料-三民高中'!$B$2:$B$454=$F640,'學員資料-三民高中'!$G$2:$G$454,""))</f>
        <v/>
      </c>
      <c r="R640" t="str" cm="1">
        <f t="array" ref="R640">_xlfn.TEXTJOIN("、",TRUE,IF('學員資料-新北高中'!$B$2:$B$583=$F640,'學員資料-新北高中'!$G$2:$G$583,""))</f>
        <v/>
      </c>
      <c r="S640" t="str" cm="1">
        <f t="array" ref="S640">_xlfn.TEXTJOIN("、",TRUE,IF('學員資料-三重商工'!$B$2:$B$472=$F640,'學員資料-三重商工'!$G$2:$G$472,""))</f>
        <v>0939676718</v>
      </c>
      <c r="T640">
        <f t="shared" si="9"/>
        <v>1</v>
      </c>
    </row>
    <row r="641" spans="1:20" ht="14.25" hidden="1" customHeight="1">
      <c r="A641" s="15">
        <v>640</v>
      </c>
      <c r="B641" s="16" t="s">
        <v>2179</v>
      </c>
      <c r="C641" s="17">
        <v>45971</v>
      </c>
      <c r="D641" s="15" t="s">
        <v>2180</v>
      </c>
      <c r="E641" s="18" t="s">
        <v>83</v>
      </c>
      <c r="F641" s="19" t="s">
        <v>1490</v>
      </c>
      <c r="G641" s="18" t="s">
        <v>1491</v>
      </c>
      <c r="H641" s="20" t="s">
        <v>66</v>
      </c>
      <c r="I641" s="15">
        <v>1</v>
      </c>
      <c r="J641" s="15" t="s">
        <v>23</v>
      </c>
      <c r="K641" s="15"/>
      <c r="L641" s="21" t="s">
        <v>18</v>
      </c>
      <c r="M641" s="22">
        <v>0</v>
      </c>
      <c r="N641" s="22">
        <v>0</v>
      </c>
      <c r="O641" s="22">
        <v>6900</v>
      </c>
      <c r="P641" s="22">
        <v>6900</v>
      </c>
      <c r="Q641" t="str" cm="1">
        <f t="array" ref="Q641">_xlfn.TEXTJOIN("、",TRUE,IF('學員資料-三民高中'!$B$2:$B$454=$F641,'學員資料-三民高中'!$G$2:$G$454,""))</f>
        <v/>
      </c>
      <c r="R641" t="str" cm="1">
        <f t="array" ref="R641">_xlfn.TEXTJOIN("、",TRUE,IF('學員資料-新北高中'!$B$2:$B$583=$F641,'學員資料-新北高中'!$G$2:$G$583,""))</f>
        <v/>
      </c>
      <c r="S641" t="str" cm="1">
        <f t="array" ref="S641">_xlfn.TEXTJOIN("、",TRUE,IF('學員資料-三重商工'!$B$2:$B$472=$F641,'學員資料-三重商工'!$G$2:$G$472,""))</f>
        <v>0936554577</v>
      </c>
      <c r="T641">
        <f t="shared" si="9"/>
        <v>1</v>
      </c>
    </row>
    <row r="642" spans="1:20" ht="14.25" hidden="1" customHeight="1">
      <c r="A642" s="15">
        <v>641</v>
      </c>
      <c r="B642" s="16" t="s">
        <v>2181</v>
      </c>
      <c r="C642" s="17">
        <v>45971</v>
      </c>
      <c r="D642" s="15" t="s">
        <v>2182</v>
      </c>
      <c r="E642" s="18" t="s">
        <v>402</v>
      </c>
      <c r="F642" s="19" t="s">
        <v>1508</v>
      </c>
      <c r="G642" s="18" t="s">
        <v>1509</v>
      </c>
      <c r="H642" s="20" t="s">
        <v>52</v>
      </c>
      <c r="I642" s="15">
        <v>1</v>
      </c>
      <c r="J642" s="15" t="s">
        <v>24</v>
      </c>
      <c r="K642" s="15"/>
      <c r="L642" s="21" t="s">
        <v>16</v>
      </c>
      <c r="M642" s="22">
        <v>0</v>
      </c>
      <c r="N642" s="22">
        <v>0</v>
      </c>
      <c r="O642" s="22">
        <v>7500</v>
      </c>
      <c r="P642" s="22">
        <v>7500</v>
      </c>
      <c r="Q642" t="str" cm="1">
        <f t="array" ref="Q642">_xlfn.TEXTJOIN("、",TRUE,IF('學員資料-三民高中'!$B$2:$B$454=$F642,'學員資料-三民高中'!$G$2:$G$454,""))</f>
        <v/>
      </c>
      <c r="R642" t="str" cm="1">
        <f t="array" ref="R642">_xlfn.TEXTJOIN("、",TRUE,IF('學員資料-新北高中'!$B$2:$B$583=$F642,'學員資料-新北高中'!$G$2:$G$583,""))</f>
        <v>0935676683</v>
      </c>
      <c r="S642" t="str" cm="1">
        <f t="array" ref="S642">_xlfn.TEXTJOIN("、",TRUE,IF('學員資料-三重商工'!$B$2:$B$472=$F642,'學員資料-三重商工'!$G$2:$G$472,""))</f>
        <v/>
      </c>
      <c r="T642">
        <f t="shared" si="9"/>
        <v>1</v>
      </c>
    </row>
    <row r="643" spans="1:20" ht="14.25" hidden="1" customHeight="1">
      <c r="A643" s="15">
        <v>642</v>
      </c>
      <c r="B643" s="16" t="s">
        <v>2183</v>
      </c>
      <c r="C643" s="17">
        <v>45969</v>
      </c>
      <c r="D643" s="15" t="s">
        <v>2184</v>
      </c>
      <c r="E643" s="18" t="s">
        <v>954</v>
      </c>
      <c r="F643" s="19" t="s">
        <v>2185</v>
      </c>
      <c r="G643" s="18" t="s">
        <v>2186</v>
      </c>
      <c r="H643" s="20" t="s">
        <v>266</v>
      </c>
      <c r="I643" s="15">
        <v>1</v>
      </c>
      <c r="J643" s="15" t="s">
        <v>24</v>
      </c>
      <c r="K643" s="15"/>
      <c r="L643" s="21" t="s">
        <v>16</v>
      </c>
      <c r="M643" s="22">
        <v>0</v>
      </c>
      <c r="N643" s="22">
        <v>0</v>
      </c>
      <c r="O643" s="22">
        <v>10800</v>
      </c>
      <c r="P643" s="22">
        <v>10800</v>
      </c>
      <c r="Q643" t="str" cm="1">
        <f t="array" ref="Q643">_xlfn.TEXTJOIN("、",TRUE,IF('學員資料-三民高中'!$B$2:$B$454=$F643,'學員資料-三民高中'!$G$2:$G$454,""))</f>
        <v/>
      </c>
      <c r="R643" t="str" cm="1">
        <f t="array" ref="R643">_xlfn.TEXTJOIN("、",TRUE,IF('學員資料-新北高中'!$B$2:$B$583=$F643,'學員資料-新北高中'!$G$2:$G$583,""))</f>
        <v>0909576332</v>
      </c>
      <c r="S643" t="str" cm="1">
        <f t="array" ref="S643">_xlfn.TEXTJOIN("、",TRUE,IF('學員資料-三重商工'!$B$2:$B$472=$F643,'學員資料-三重商工'!$G$2:$G$472,""))</f>
        <v/>
      </c>
      <c r="T643">
        <f t="shared" ref="T643:T706" si="10">3-COUNTBLANK(Q643:S643)</f>
        <v>1</v>
      </c>
    </row>
    <row r="644" spans="1:20" ht="14.25" customHeight="1">
      <c r="A644" s="15">
        <v>643</v>
      </c>
      <c r="B644" s="16" t="s">
        <v>2187</v>
      </c>
      <c r="C644" s="17">
        <v>45969</v>
      </c>
      <c r="D644" s="15" t="s">
        <v>2188</v>
      </c>
      <c r="E644" s="18" t="s">
        <v>763</v>
      </c>
      <c r="F644" s="19" t="s">
        <v>581</v>
      </c>
      <c r="G644" s="18" t="s">
        <v>582</v>
      </c>
      <c r="H644" s="20" t="s">
        <v>130</v>
      </c>
      <c r="I644" s="15">
        <v>1</v>
      </c>
      <c r="J644" s="15" t="s">
        <v>25</v>
      </c>
      <c r="K644" s="15"/>
      <c r="L644" s="21" t="s">
        <v>16</v>
      </c>
      <c r="M644" s="22">
        <v>0</v>
      </c>
      <c r="N644" s="22">
        <v>0</v>
      </c>
      <c r="O644" s="22">
        <v>9900</v>
      </c>
      <c r="P644" s="22">
        <v>9900</v>
      </c>
      <c r="Q644" t="str" cm="1">
        <f t="array" ref="Q644">_xlfn.TEXTJOIN("、",TRUE,IF('學員資料-三民高中'!$B$2:$B$454=$F644,'學員資料-三民高中'!$G$2:$G$454,""))</f>
        <v/>
      </c>
      <c r="R644" t="str" cm="1">
        <f t="array" ref="R644">_xlfn.TEXTJOIN("、",TRUE,IF('學員資料-新北高中'!$B$2:$B$583=$F644,'學員資料-新北高中'!$G$2:$G$583,""))</f>
        <v/>
      </c>
      <c r="S644" t="str" cm="1">
        <f t="array" ref="S644">_xlfn.TEXTJOIN("、",TRUE,IF('學員資料-三重商工'!$B$2:$B$472=$F644,'學員資料-三重商工'!$G$2:$G$472,""))</f>
        <v/>
      </c>
      <c r="T644">
        <f t="shared" si="10"/>
        <v>0</v>
      </c>
    </row>
    <row r="645" spans="1:20" ht="14.25" hidden="1" customHeight="1">
      <c r="A645" s="15">
        <v>644</v>
      </c>
      <c r="B645" s="16" t="s">
        <v>2189</v>
      </c>
      <c r="C645" s="17">
        <v>45969</v>
      </c>
      <c r="D645" s="15" t="s">
        <v>2190</v>
      </c>
      <c r="E645" s="18" t="s">
        <v>763</v>
      </c>
      <c r="F645" s="19" t="s">
        <v>141</v>
      </c>
      <c r="G645" s="18" t="s">
        <v>142</v>
      </c>
      <c r="H645" s="20" t="s">
        <v>52</v>
      </c>
      <c r="I645" s="15">
        <v>1</v>
      </c>
      <c r="J645" s="15" t="s">
        <v>24</v>
      </c>
      <c r="K645" s="15"/>
      <c r="L645" s="21" t="s">
        <v>16</v>
      </c>
      <c r="M645" s="22">
        <v>0</v>
      </c>
      <c r="N645" s="22">
        <v>0</v>
      </c>
      <c r="O645" s="22">
        <v>7500</v>
      </c>
      <c r="P645" s="22">
        <v>7500</v>
      </c>
      <c r="Q645" t="str" cm="1">
        <f t="array" ref="Q645">_xlfn.TEXTJOIN("、",TRUE,IF('學員資料-三民高中'!$B$2:$B$454=$F645,'學員資料-三民高中'!$G$2:$G$454,""))</f>
        <v>0937147856-1</v>
      </c>
      <c r="R645" t="str" cm="1">
        <f t="array" ref="R645">_xlfn.TEXTJOIN("、",TRUE,IF('學員資料-新北高中'!$B$2:$B$583=$F645,'學員資料-新北高中'!$G$2:$G$583,""))</f>
        <v/>
      </c>
      <c r="S645" t="str" cm="1">
        <f t="array" ref="S645">_xlfn.TEXTJOIN("、",TRUE,IF('學員資料-三重商工'!$B$2:$B$472=$F645,'學員資料-三重商工'!$G$2:$G$472,""))</f>
        <v/>
      </c>
      <c r="T645">
        <f t="shared" si="10"/>
        <v>1</v>
      </c>
    </row>
    <row r="646" spans="1:20" ht="14.25" hidden="1" customHeight="1">
      <c r="A646" s="15">
        <v>645</v>
      </c>
      <c r="B646" s="16" t="s">
        <v>2191</v>
      </c>
      <c r="C646" s="17">
        <v>45967</v>
      </c>
      <c r="D646" s="15" t="s">
        <v>2192</v>
      </c>
      <c r="E646" s="18" t="s">
        <v>83</v>
      </c>
      <c r="F646" s="19" t="s">
        <v>1395</v>
      </c>
      <c r="G646" s="18" t="s">
        <v>1396</v>
      </c>
      <c r="H646" s="20" t="s">
        <v>52</v>
      </c>
      <c r="I646" s="15">
        <v>1</v>
      </c>
      <c r="J646" s="15" t="s">
        <v>24</v>
      </c>
      <c r="K646" s="15"/>
      <c r="L646" s="21" t="s">
        <v>16</v>
      </c>
      <c r="M646" s="22">
        <v>0</v>
      </c>
      <c r="N646" s="22">
        <v>0</v>
      </c>
      <c r="O646" s="22">
        <v>7500</v>
      </c>
      <c r="P646" s="22">
        <v>7500</v>
      </c>
      <c r="Q646" t="str" cm="1">
        <f t="array" ref="Q646">_xlfn.TEXTJOIN("、",TRUE,IF('學員資料-三民高中'!$B$2:$B$454=$F646,'學員資料-三民高中'!$G$2:$G$454,""))</f>
        <v/>
      </c>
      <c r="R646" t="str" cm="1">
        <f t="array" ref="R646">_xlfn.TEXTJOIN("、",TRUE,IF('學員資料-新北高中'!$B$2:$B$583=$F646,'學員資料-新北高中'!$G$2:$G$583,""))</f>
        <v/>
      </c>
      <c r="S646" t="str" cm="1">
        <f t="array" ref="S646">_xlfn.TEXTJOIN("、",TRUE,IF('學員資料-三重商工'!$B$2:$B$472=$F646,'學員資料-三重商工'!$G$2:$G$472,""))</f>
        <v>0921862236</v>
      </c>
      <c r="T646">
        <f t="shared" si="10"/>
        <v>1</v>
      </c>
    </row>
    <row r="647" spans="1:20" ht="14.25" hidden="1" customHeight="1">
      <c r="A647" s="15">
        <v>646</v>
      </c>
      <c r="B647" s="16" t="s">
        <v>2193</v>
      </c>
      <c r="C647" s="17">
        <v>45966</v>
      </c>
      <c r="D647" s="15" t="s">
        <v>2194</v>
      </c>
      <c r="E647" s="18" t="s">
        <v>763</v>
      </c>
      <c r="F647" s="19" t="s">
        <v>2195</v>
      </c>
      <c r="G647" s="18" t="s">
        <v>2196</v>
      </c>
      <c r="H647" s="20" t="s">
        <v>52</v>
      </c>
      <c r="I647" s="15">
        <v>1</v>
      </c>
      <c r="J647" s="15" t="s">
        <v>24</v>
      </c>
      <c r="K647" s="15"/>
      <c r="L647" s="21" t="s">
        <v>16</v>
      </c>
      <c r="M647" s="22">
        <v>0</v>
      </c>
      <c r="N647" s="22">
        <v>0</v>
      </c>
      <c r="O647" s="22">
        <v>7500</v>
      </c>
      <c r="P647" s="22">
        <v>7500</v>
      </c>
      <c r="Q647" t="str" cm="1">
        <f t="array" ref="Q647">_xlfn.TEXTJOIN("、",TRUE,IF('學員資料-三民高中'!$B$2:$B$454=$F647,'學員資料-三民高中'!$G$2:$G$454,""))</f>
        <v>0987870773</v>
      </c>
      <c r="R647" t="str" cm="1">
        <f t="array" ref="R647">_xlfn.TEXTJOIN("、",TRUE,IF('學員資料-新北高中'!$B$2:$B$583=$F647,'學員資料-新北高中'!$G$2:$G$583,""))</f>
        <v/>
      </c>
      <c r="S647" t="str" cm="1">
        <f t="array" ref="S647">_xlfn.TEXTJOIN("、",TRUE,IF('學員資料-三重商工'!$B$2:$B$472=$F647,'學員資料-三重商工'!$G$2:$G$472,""))</f>
        <v/>
      </c>
      <c r="T647">
        <f t="shared" si="10"/>
        <v>1</v>
      </c>
    </row>
    <row r="648" spans="1:20" ht="14.25" hidden="1" customHeight="1">
      <c r="A648" s="15">
        <v>647</v>
      </c>
      <c r="B648" s="16" t="s">
        <v>2197</v>
      </c>
      <c r="C648" s="17">
        <v>45966</v>
      </c>
      <c r="D648" s="15" t="s">
        <v>2198</v>
      </c>
      <c r="E648" s="18" t="s">
        <v>763</v>
      </c>
      <c r="F648" s="19" t="s">
        <v>1345</v>
      </c>
      <c r="G648" s="18" t="s">
        <v>1346</v>
      </c>
      <c r="H648" s="20" t="s">
        <v>52</v>
      </c>
      <c r="I648" s="15">
        <v>1</v>
      </c>
      <c r="J648" s="15" t="s">
        <v>24</v>
      </c>
      <c r="K648" s="15"/>
      <c r="L648" s="21" t="s">
        <v>16</v>
      </c>
      <c r="M648" s="22">
        <v>0</v>
      </c>
      <c r="N648" s="22">
        <v>0</v>
      </c>
      <c r="O648" s="22">
        <v>7500</v>
      </c>
      <c r="P648" s="22">
        <v>7500</v>
      </c>
      <c r="Q648" t="str" cm="1">
        <f t="array" ref="Q648">_xlfn.TEXTJOIN("、",TRUE,IF('學員資料-三民高中'!$B$2:$B$454=$F648,'學員資料-三民高中'!$G$2:$G$454,""))</f>
        <v>0982307834</v>
      </c>
      <c r="R648" t="str" cm="1">
        <f t="array" ref="R648">_xlfn.TEXTJOIN("、",TRUE,IF('學員資料-新北高中'!$B$2:$B$583=$F648,'學員資料-新北高中'!$G$2:$G$583,""))</f>
        <v/>
      </c>
      <c r="S648" t="str" cm="1">
        <f t="array" ref="S648">_xlfn.TEXTJOIN("、",TRUE,IF('學員資料-三重商工'!$B$2:$B$472=$F648,'學員資料-三重商工'!$G$2:$G$472,""))</f>
        <v/>
      </c>
      <c r="T648">
        <f t="shared" si="10"/>
        <v>1</v>
      </c>
    </row>
    <row r="649" spans="1:20" ht="14.25" hidden="1" customHeight="1">
      <c r="A649" s="15">
        <v>648</v>
      </c>
      <c r="B649" s="16" t="s">
        <v>2199</v>
      </c>
      <c r="C649" s="17">
        <v>45966</v>
      </c>
      <c r="D649" s="15" t="s">
        <v>2200</v>
      </c>
      <c r="E649" s="18" t="s">
        <v>763</v>
      </c>
      <c r="F649" s="19" t="s">
        <v>2201</v>
      </c>
      <c r="G649" s="18" t="s">
        <v>2202</v>
      </c>
      <c r="H649" s="20" t="s">
        <v>52</v>
      </c>
      <c r="I649" s="15">
        <v>1</v>
      </c>
      <c r="J649" s="15" t="s">
        <v>24</v>
      </c>
      <c r="K649" s="15"/>
      <c r="L649" s="21" t="s">
        <v>16</v>
      </c>
      <c r="M649" s="22">
        <v>0</v>
      </c>
      <c r="N649" s="22">
        <v>0</v>
      </c>
      <c r="O649" s="22">
        <v>7500</v>
      </c>
      <c r="P649" s="22">
        <v>7500</v>
      </c>
      <c r="Q649" t="str" cm="1">
        <f t="array" ref="Q649">_xlfn.TEXTJOIN("、",TRUE,IF('學員資料-三民高中'!$B$2:$B$454=$F649,'學員資料-三民高中'!$G$2:$G$454,""))</f>
        <v/>
      </c>
      <c r="R649" t="str" cm="1">
        <f t="array" ref="R649">_xlfn.TEXTJOIN("、",TRUE,IF('學員資料-新北高中'!$B$2:$B$583=$F649,'學員資料-新北高中'!$G$2:$G$583,""))</f>
        <v>0953964779</v>
      </c>
      <c r="S649" t="str" cm="1">
        <f t="array" ref="S649">_xlfn.TEXTJOIN("、",TRUE,IF('學員資料-三重商工'!$B$2:$B$472=$F649,'學員資料-三重商工'!$G$2:$G$472,""))</f>
        <v/>
      </c>
      <c r="T649">
        <f t="shared" si="10"/>
        <v>1</v>
      </c>
    </row>
    <row r="650" spans="1:20" ht="14.25" hidden="1" customHeight="1">
      <c r="A650" s="15">
        <v>649</v>
      </c>
      <c r="B650" s="16" t="s">
        <v>2203</v>
      </c>
      <c r="C650" s="17">
        <v>45966</v>
      </c>
      <c r="D650" s="15" t="s">
        <v>2204</v>
      </c>
      <c r="E650" s="18" t="s">
        <v>763</v>
      </c>
      <c r="F650" s="19" t="s">
        <v>2205</v>
      </c>
      <c r="G650" s="18" t="s">
        <v>2206</v>
      </c>
      <c r="H650" s="20" t="s">
        <v>66</v>
      </c>
      <c r="I650" s="15">
        <v>1</v>
      </c>
      <c r="J650" s="15" t="s">
        <v>23</v>
      </c>
      <c r="K650" s="15"/>
      <c r="L650" s="21" t="s">
        <v>16</v>
      </c>
      <c r="M650" s="22">
        <v>0</v>
      </c>
      <c r="N650" s="22">
        <v>-345</v>
      </c>
      <c r="O650" s="22">
        <v>6555</v>
      </c>
      <c r="P650" s="22">
        <v>6555</v>
      </c>
      <c r="Q650" t="str" cm="1">
        <f t="array" ref="Q650">_xlfn.TEXTJOIN("、",TRUE,IF('學員資料-三民高中'!$B$2:$B$454=$F650,'學員資料-三民高中'!$G$2:$G$454,""))</f>
        <v>0965178811</v>
      </c>
      <c r="R650" t="str" cm="1">
        <f t="array" ref="R650">_xlfn.TEXTJOIN("、",TRUE,IF('學員資料-新北高中'!$B$2:$B$583=$F650,'學員資料-新北高中'!$G$2:$G$583,""))</f>
        <v/>
      </c>
      <c r="S650" t="str" cm="1">
        <f t="array" ref="S650">_xlfn.TEXTJOIN("、",TRUE,IF('學員資料-三重商工'!$B$2:$B$472=$F650,'學員資料-三重商工'!$G$2:$G$472,""))</f>
        <v/>
      </c>
      <c r="T650">
        <f t="shared" si="10"/>
        <v>1</v>
      </c>
    </row>
    <row r="651" spans="1:20" ht="14.25" hidden="1" customHeight="1">
      <c r="A651" s="15">
        <v>650</v>
      </c>
      <c r="B651" s="16" t="s">
        <v>2207</v>
      </c>
      <c r="C651" s="17">
        <v>45963</v>
      </c>
      <c r="D651" s="15" t="s">
        <v>2208</v>
      </c>
      <c r="E651" s="18" t="s">
        <v>763</v>
      </c>
      <c r="F651" s="19" t="s">
        <v>2201</v>
      </c>
      <c r="G651" s="18" t="s">
        <v>2202</v>
      </c>
      <c r="H651" s="20" t="s">
        <v>52</v>
      </c>
      <c r="I651" s="15">
        <v>1</v>
      </c>
      <c r="J651" s="15" t="s">
        <v>24</v>
      </c>
      <c r="K651" s="15"/>
      <c r="L651" s="21" t="s">
        <v>16</v>
      </c>
      <c r="M651" s="22">
        <v>0</v>
      </c>
      <c r="N651" s="22">
        <v>0</v>
      </c>
      <c r="O651" s="22">
        <v>7500</v>
      </c>
      <c r="P651" s="22">
        <v>7500</v>
      </c>
      <c r="Q651" t="str" cm="1">
        <f t="array" ref="Q651">_xlfn.TEXTJOIN("、",TRUE,IF('學員資料-三民高中'!$B$2:$B$454=$F651,'學員資料-三民高中'!$G$2:$G$454,""))</f>
        <v/>
      </c>
      <c r="R651" t="str" cm="1">
        <f t="array" ref="R651">_xlfn.TEXTJOIN("、",TRUE,IF('學員資料-新北高中'!$B$2:$B$583=$F651,'學員資料-新北高中'!$G$2:$G$583,""))</f>
        <v>0953964779</v>
      </c>
      <c r="S651" t="str" cm="1">
        <f t="array" ref="S651">_xlfn.TEXTJOIN("、",TRUE,IF('學員資料-三重商工'!$B$2:$B$472=$F651,'學員資料-三重商工'!$G$2:$G$472,""))</f>
        <v/>
      </c>
      <c r="T651">
        <f t="shared" si="10"/>
        <v>1</v>
      </c>
    </row>
    <row r="652" spans="1:20" ht="14.25" hidden="1" customHeight="1">
      <c r="A652" s="15">
        <v>651</v>
      </c>
      <c r="B652" s="16" t="s">
        <v>2209</v>
      </c>
      <c r="C652" s="17">
        <v>45963</v>
      </c>
      <c r="D652" s="15" t="s">
        <v>2210</v>
      </c>
      <c r="E652" s="18" t="s">
        <v>78</v>
      </c>
      <c r="F652" s="19" t="s">
        <v>1720</v>
      </c>
      <c r="G652" s="18" t="s">
        <v>1721</v>
      </c>
      <c r="H652" s="20" t="s">
        <v>112</v>
      </c>
      <c r="I652" s="15">
        <v>1</v>
      </c>
      <c r="J652" s="15" t="s">
        <v>23</v>
      </c>
      <c r="K652" s="15"/>
      <c r="L652" s="21" t="s">
        <v>16</v>
      </c>
      <c r="M652" s="22">
        <v>0</v>
      </c>
      <c r="N652" s="22">
        <v>0</v>
      </c>
      <c r="O652" s="22">
        <v>8280</v>
      </c>
      <c r="P652" s="22">
        <v>8280</v>
      </c>
      <c r="Q652" t="str" cm="1">
        <f t="array" ref="Q652">_xlfn.TEXTJOIN("、",TRUE,IF('學員資料-三民高中'!$B$2:$B$454=$F652,'學員資料-三民高中'!$G$2:$G$454,""))</f>
        <v/>
      </c>
      <c r="R652" t="str" cm="1">
        <f t="array" ref="R652">_xlfn.TEXTJOIN("、",TRUE,IF('學員資料-新北高中'!$B$2:$B$583=$F652,'學員資料-新北高中'!$G$2:$G$583,""))</f>
        <v>0910462117</v>
      </c>
      <c r="S652" t="str" cm="1">
        <f t="array" ref="S652">_xlfn.TEXTJOIN("、",TRUE,IF('學員資料-三重商工'!$B$2:$B$472=$F652,'學員資料-三重商工'!$G$2:$G$472,""))</f>
        <v/>
      </c>
      <c r="T652">
        <f t="shared" si="10"/>
        <v>1</v>
      </c>
    </row>
    <row r="653" spans="1:20" ht="14.25" hidden="1" customHeight="1">
      <c r="A653" s="15">
        <v>652</v>
      </c>
      <c r="B653" s="16" t="s">
        <v>2211</v>
      </c>
      <c r="C653" s="17">
        <v>45963</v>
      </c>
      <c r="D653" s="15" t="s">
        <v>2212</v>
      </c>
      <c r="E653" s="18" t="s">
        <v>161</v>
      </c>
      <c r="F653" s="19" t="s">
        <v>2040</v>
      </c>
      <c r="G653" s="18" t="s">
        <v>2041</v>
      </c>
      <c r="H653" s="20" t="s">
        <v>66</v>
      </c>
      <c r="I653" s="15">
        <v>1</v>
      </c>
      <c r="J653" s="15" t="s">
        <v>23</v>
      </c>
      <c r="K653" s="15"/>
      <c r="L653" s="21" t="s">
        <v>16</v>
      </c>
      <c r="M653" s="22">
        <v>0</v>
      </c>
      <c r="N653" s="22">
        <v>0</v>
      </c>
      <c r="O653" s="22">
        <v>6900</v>
      </c>
      <c r="P653" s="22">
        <v>6900</v>
      </c>
      <c r="Q653" t="str" cm="1">
        <f t="array" ref="Q653">_xlfn.TEXTJOIN("、",TRUE,IF('學員資料-三民高中'!$B$2:$B$454=$F653,'學員資料-三民高中'!$G$2:$G$454,""))</f>
        <v/>
      </c>
      <c r="R653" t="str" cm="1">
        <f t="array" ref="R653">_xlfn.TEXTJOIN("、",TRUE,IF('學員資料-新北高中'!$B$2:$B$583=$F653,'學員資料-新北高中'!$G$2:$G$583,""))</f>
        <v>0933874768</v>
      </c>
      <c r="S653" t="str" cm="1">
        <f t="array" ref="S653">_xlfn.TEXTJOIN("、",TRUE,IF('學員資料-三重商工'!$B$2:$B$472=$F653,'學員資料-三重商工'!$G$2:$G$472,""))</f>
        <v/>
      </c>
      <c r="T653">
        <f t="shared" si="10"/>
        <v>1</v>
      </c>
    </row>
    <row r="654" spans="1:20" ht="14.25" hidden="1" customHeight="1">
      <c r="A654" s="15">
        <v>653</v>
      </c>
      <c r="B654" s="16" t="s">
        <v>2213</v>
      </c>
      <c r="C654" s="17">
        <v>45963</v>
      </c>
      <c r="D654" s="15" t="s">
        <v>2214</v>
      </c>
      <c r="E654" s="18" t="s">
        <v>44</v>
      </c>
      <c r="F654" s="19" t="s">
        <v>106</v>
      </c>
      <c r="G654" s="18" t="s">
        <v>107</v>
      </c>
      <c r="H654" s="20" t="s">
        <v>52</v>
      </c>
      <c r="I654" s="15">
        <v>1</v>
      </c>
      <c r="J654" s="15" t="s">
        <v>24</v>
      </c>
      <c r="K654" s="15"/>
      <c r="L654" s="21" t="s">
        <v>16</v>
      </c>
      <c r="M654" s="22">
        <v>0</v>
      </c>
      <c r="N654" s="22">
        <v>0</v>
      </c>
      <c r="O654" s="22">
        <v>7500</v>
      </c>
      <c r="P654" s="22">
        <v>7500</v>
      </c>
      <c r="Q654" t="str" cm="1">
        <f t="array" ref="Q654">_xlfn.TEXTJOIN("、",TRUE,IF('學員資料-三民高中'!$B$2:$B$454=$F654,'學員資料-三民高中'!$G$2:$G$454,""))</f>
        <v/>
      </c>
      <c r="R654" t="str" cm="1">
        <f t="array" ref="R654">_xlfn.TEXTJOIN("、",TRUE,IF('學員資料-新北高中'!$B$2:$B$583=$F654,'學員資料-新北高中'!$G$2:$G$583,""))</f>
        <v/>
      </c>
      <c r="S654" t="str" cm="1">
        <f t="array" ref="S654">_xlfn.TEXTJOIN("、",TRUE,IF('學員資料-三重商工'!$B$2:$B$472=$F654,'學員資料-三重商工'!$G$2:$G$472,""))</f>
        <v>0938718725</v>
      </c>
      <c r="T654">
        <f t="shared" si="10"/>
        <v>1</v>
      </c>
    </row>
    <row r="655" spans="1:20" ht="14.25" hidden="1" customHeight="1">
      <c r="A655" s="15">
        <v>654</v>
      </c>
      <c r="B655" s="16" t="s">
        <v>2215</v>
      </c>
      <c r="C655" s="17">
        <v>45963</v>
      </c>
      <c r="D655" s="15" t="s">
        <v>2216</v>
      </c>
      <c r="E655" s="18" t="s">
        <v>44</v>
      </c>
      <c r="F655" s="19" t="s">
        <v>2217</v>
      </c>
      <c r="G655" s="18" t="s">
        <v>2218</v>
      </c>
      <c r="H655" s="20" t="s">
        <v>66</v>
      </c>
      <c r="I655" s="15">
        <v>1</v>
      </c>
      <c r="J655" s="15" t="s">
        <v>23</v>
      </c>
      <c r="K655" s="15"/>
      <c r="L655" s="21" t="s">
        <v>16</v>
      </c>
      <c r="M655" s="22">
        <v>0</v>
      </c>
      <c r="N655" s="22">
        <v>0</v>
      </c>
      <c r="O655" s="22">
        <v>6900</v>
      </c>
      <c r="P655" s="22">
        <v>6900</v>
      </c>
      <c r="Q655" t="str" cm="1">
        <f t="array" ref="Q655">_xlfn.TEXTJOIN("、",TRUE,IF('學員資料-三民高中'!$B$2:$B$454=$F655,'學員資料-三民高中'!$G$2:$G$454,""))</f>
        <v/>
      </c>
      <c r="R655" t="str" cm="1">
        <f t="array" ref="R655">_xlfn.TEXTJOIN("、",TRUE,IF('學員資料-新北高中'!$B$2:$B$583=$F655,'學員資料-新北高中'!$G$2:$G$583,""))</f>
        <v/>
      </c>
      <c r="S655" t="str" cm="1">
        <f t="array" ref="S655">_xlfn.TEXTJOIN("、",TRUE,IF('學員資料-三重商工'!$B$2:$B$472=$F655,'學員資料-三重商工'!$G$2:$G$472,""))</f>
        <v>0958739859</v>
      </c>
      <c r="T655">
        <f t="shared" si="10"/>
        <v>1</v>
      </c>
    </row>
    <row r="656" spans="1:20" ht="14.25" hidden="1" customHeight="1">
      <c r="A656" s="15">
        <v>655</v>
      </c>
      <c r="B656" s="16" t="s">
        <v>2219</v>
      </c>
      <c r="C656" s="17">
        <v>45963</v>
      </c>
      <c r="D656" s="15" t="s">
        <v>2220</v>
      </c>
      <c r="E656" s="18" t="s">
        <v>44</v>
      </c>
      <c r="F656" s="19" t="s">
        <v>1567</v>
      </c>
      <c r="G656" s="18" t="s">
        <v>1568</v>
      </c>
      <c r="H656" s="20" t="s">
        <v>130</v>
      </c>
      <c r="I656" s="15">
        <v>1</v>
      </c>
      <c r="J656" s="15" t="s">
        <v>25</v>
      </c>
      <c r="K656" s="15"/>
      <c r="L656" s="21" t="s">
        <v>16</v>
      </c>
      <c r="M656" s="22">
        <v>0</v>
      </c>
      <c r="N656" s="22">
        <v>0</v>
      </c>
      <c r="O656" s="22">
        <v>9900</v>
      </c>
      <c r="P656" s="22">
        <v>9900</v>
      </c>
      <c r="Q656" t="str" cm="1">
        <f t="array" ref="Q656">_xlfn.TEXTJOIN("、",TRUE,IF('學員資料-三民高中'!$B$2:$B$454=$F656,'學員資料-三民高中'!$G$2:$G$454,""))</f>
        <v/>
      </c>
      <c r="R656" t="str" cm="1">
        <f t="array" ref="R656">_xlfn.TEXTJOIN("、",TRUE,IF('學員資料-新北高中'!$B$2:$B$583=$F656,'學員資料-新北高中'!$G$2:$G$583,""))</f>
        <v/>
      </c>
      <c r="S656" t="str" cm="1">
        <f t="array" ref="S656">_xlfn.TEXTJOIN("、",TRUE,IF('學員資料-三重商工'!$B$2:$B$472=$F656,'學員資料-三重商工'!$G$2:$G$472,""))</f>
        <v>0935565475</v>
      </c>
      <c r="T656">
        <f t="shared" si="10"/>
        <v>1</v>
      </c>
    </row>
    <row r="657" spans="1:20" ht="72" hidden="1" customHeight="1">
      <c r="A657" s="15">
        <v>656</v>
      </c>
      <c r="B657" s="16" t="s">
        <v>2221</v>
      </c>
      <c r="C657" s="17">
        <v>45963</v>
      </c>
      <c r="D657" s="15" t="s">
        <v>2222</v>
      </c>
      <c r="E657" s="18" t="s">
        <v>161</v>
      </c>
      <c r="F657" s="19" t="s">
        <v>992</v>
      </c>
      <c r="G657" s="18" t="s">
        <v>993</v>
      </c>
      <c r="H657" s="20" t="s">
        <v>2223</v>
      </c>
      <c r="I657" s="15">
        <v>5</v>
      </c>
      <c r="J657" s="15" t="s">
        <v>26</v>
      </c>
      <c r="K657" s="15"/>
      <c r="L657" s="21" t="s">
        <v>16</v>
      </c>
      <c r="M657" s="22">
        <v>0</v>
      </c>
      <c r="N657" s="22">
        <v>0</v>
      </c>
      <c r="O657" s="22">
        <v>64440</v>
      </c>
      <c r="P657" s="22">
        <v>64440</v>
      </c>
      <c r="Q657" t="str" cm="1">
        <f t="array" ref="Q657">_xlfn.TEXTJOIN("、",TRUE,IF('學員資料-三民高中'!$B$2:$B$454=$F657,'學員資料-三民高中'!$G$2:$G$454,""))</f>
        <v/>
      </c>
      <c r="R657" t="str" cm="1">
        <f t="array" ref="R657">_xlfn.TEXTJOIN("、",TRUE,IF('學員資料-新北高中'!$B$2:$B$583=$F657,'學員資料-新北高中'!$G$2:$G$583,""))</f>
        <v>0934153060</v>
      </c>
      <c r="S657" t="str" cm="1">
        <f t="array" ref="S657">_xlfn.TEXTJOIN("、",TRUE,IF('學員資料-三重商工'!$B$2:$B$472=$F657,'學員資料-三重商工'!$G$2:$G$472,""))</f>
        <v/>
      </c>
      <c r="T657">
        <f t="shared" si="10"/>
        <v>1</v>
      </c>
    </row>
    <row r="658" spans="1:20" ht="14.25" hidden="1" customHeight="1">
      <c r="A658" s="15">
        <v>657</v>
      </c>
      <c r="B658" s="16" t="s">
        <v>2224</v>
      </c>
      <c r="C658" s="17">
        <v>45961</v>
      </c>
      <c r="D658" s="15" t="s">
        <v>2225</v>
      </c>
      <c r="E658" s="18" t="s">
        <v>83</v>
      </c>
      <c r="F658" s="19" t="s">
        <v>1925</v>
      </c>
      <c r="G658" s="18" t="s">
        <v>1926</v>
      </c>
      <c r="H658" s="20" t="s">
        <v>66</v>
      </c>
      <c r="I658" s="15">
        <v>1</v>
      </c>
      <c r="J658" s="15" t="s">
        <v>23</v>
      </c>
      <c r="K658" s="15"/>
      <c r="L658" s="21" t="s">
        <v>16</v>
      </c>
      <c r="M658" s="22">
        <v>0</v>
      </c>
      <c r="N658" s="22">
        <v>0</v>
      </c>
      <c r="O658" s="22">
        <v>6900</v>
      </c>
      <c r="P658" s="22">
        <v>6900</v>
      </c>
      <c r="Q658" t="str" cm="1">
        <f t="array" ref="Q658">_xlfn.TEXTJOIN("、",TRUE,IF('學員資料-三民高中'!$B$2:$B$454=$F658,'學員資料-三民高中'!$G$2:$G$454,""))</f>
        <v/>
      </c>
      <c r="R658" t="str" cm="1">
        <f t="array" ref="R658">_xlfn.TEXTJOIN("、",TRUE,IF('學員資料-新北高中'!$B$2:$B$583=$F658,'學員資料-新北高中'!$G$2:$G$583,""))</f>
        <v>0902228252</v>
      </c>
      <c r="S658" t="str" cm="1">
        <f t="array" ref="S658">_xlfn.TEXTJOIN("、",TRUE,IF('學員資料-三重商工'!$B$2:$B$472=$F658,'學員資料-三重商工'!$G$2:$G$472,""))</f>
        <v/>
      </c>
      <c r="T658">
        <f t="shared" si="10"/>
        <v>1</v>
      </c>
    </row>
    <row r="659" spans="1:20" ht="14.25" hidden="1" customHeight="1">
      <c r="A659" s="15">
        <v>658</v>
      </c>
      <c r="B659" s="16" t="s">
        <v>2226</v>
      </c>
      <c r="C659" s="17">
        <v>45961</v>
      </c>
      <c r="D659" s="15" t="s">
        <v>2227</v>
      </c>
      <c r="E659" s="18" t="s">
        <v>763</v>
      </c>
      <c r="F659" s="19" t="s">
        <v>811</v>
      </c>
      <c r="G659" s="18" t="s">
        <v>812</v>
      </c>
      <c r="H659" s="20" t="s">
        <v>66</v>
      </c>
      <c r="I659" s="15">
        <v>1</v>
      </c>
      <c r="J659" s="15" t="s">
        <v>23</v>
      </c>
      <c r="K659" s="15"/>
      <c r="L659" s="21" t="s">
        <v>16</v>
      </c>
      <c r="M659" s="22">
        <v>0</v>
      </c>
      <c r="N659" s="22">
        <v>0</v>
      </c>
      <c r="O659" s="22">
        <v>6900</v>
      </c>
      <c r="P659" s="22">
        <v>6900</v>
      </c>
      <c r="Q659" t="str" cm="1">
        <f t="array" ref="Q659">_xlfn.TEXTJOIN("、",TRUE,IF('學員資料-三民高中'!$B$2:$B$454=$F659,'學員資料-三民高中'!$G$2:$G$454,""))</f>
        <v>0919671239</v>
      </c>
      <c r="R659" t="str" cm="1">
        <f t="array" ref="R659">_xlfn.TEXTJOIN("、",TRUE,IF('學員資料-新北高中'!$B$2:$B$583=$F659,'學員資料-新北高中'!$G$2:$G$583,""))</f>
        <v/>
      </c>
      <c r="S659" t="str" cm="1">
        <f t="array" ref="S659">_xlfn.TEXTJOIN("、",TRUE,IF('學員資料-三重商工'!$B$2:$B$472=$F659,'學員資料-三重商工'!$G$2:$G$472,""))</f>
        <v/>
      </c>
      <c r="T659">
        <f t="shared" si="10"/>
        <v>1</v>
      </c>
    </row>
    <row r="660" spans="1:20" ht="14.25" hidden="1" customHeight="1">
      <c r="A660" s="15">
        <v>659</v>
      </c>
      <c r="B660" s="16" t="s">
        <v>2228</v>
      </c>
      <c r="C660" s="17">
        <v>45960</v>
      </c>
      <c r="D660" s="15" t="s">
        <v>2229</v>
      </c>
      <c r="E660" s="18" t="s">
        <v>44</v>
      </c>
      <c r="F660" s="19" t="s">
        <v>838</v>
      </c>
      <c r="G660" s="18" t="s">
        <v>839</v>
      </c>
      <c r="H660" s="20" t="s">
        <v>130</v>
      </c>
      <c r="I660" s="15">
        <v>1</v>
      </c>
      <c r="J660" s="15" t="s">
        <v>25</v>
      </c>
      <c r="K660" s="15"/>
      <c r="L660" s="21" t="s">
        <v>16</v>
      </c>
      <c r="M660" s="22">
        <v>0</v>
      </c>
      <c r="N660" s="22">
        <v>0</v>
      </c>
      <c r="O660" s="22">
        <v>9900</v>
      </c>
      <c r="P660" s="22">
        <v>9900</v>
      </c>
      <c r="Q660" t="str" cm="1">
        <f t="array" ref="Q660">_xlfn.TEXTJOIN("、",TRUE,IF('學員資料-三民高中'!$B$2:$B$454=$F660,'學員資料-三民高中'!$G$2:$G$454,""))</f>
        <v/>
      </c>
      <c r="R660" t="str" cm="1">
        <f t="array" ref="R660">_xlfn.TEXTJOIN("、",TRUE,IF('學員資料-新北高中'!$B$2:$B$583=$F660,'學員資料-新北高中'!$G$2:$G$583,""))</f>
        <v/>
      </c>
      <c r="S660" t="str" cm="1">
        <f t="array" ref="S660">_xlfn.TEXTJOIN("、",TRUE,IF('學員資料-三重商工'!$B$2:$B$472=$F660,'學員資料-三重商工'!$G$2:$G$472,""))</f>
        <v>0926952553</v>
      </c>
      <c r="T660">
        <f t="shared" si="10"/>
        <v>1</v>
      </c>
    </row>
    <row r="661" spans="1:20" ht="14.25" hidden="1" customHeight="1">
      <c r="A661" s="15">
        <v>660</v>
      </c>
      <c r="B661" s="16" t="s">
        <v>2230</v>
      </c>
      <c r="C661" s="17">
        <v>45959</v>
      </c>
      <c r="D661" s="15" t="s">
        <v>2231</v>
      </c>
      <c r="E661" s="18" t="s">
        <v>44</v>
      </c>
      <c r="F661" s="19" t="s">
        <v>622</v>
      </c>
      <c r="G661" s="18" t="s">
        <v>623</v>
      </c>
      <c r="H661" s="20" t="s">
        <v>52</v>
      </c>
      <c r="I661" s="15">
        <v>1</v>
      </c>
      <c r="J661" s="15" t="s">
        <v>24</v>
      </c>
      <c r="K661" s="15"/>
      <c r="L661" s="21" t="s">
        <v>16</v>
      </c>
      <c r="M661" s="22">
        <v>0</v>
      </c>
      <c r="N661" s="22">
        <v>0</v>
      </c>
      <c r="O661" s="22">
        <v>7500</v>
      </c>
      <c r="P661" s="22">
        <v>7500</v>
      </c>
      <c r="Q661" t="str" cm="1">
        <f t="array" ref="Q661">_xlfn.TEXTJOIN("、",TRUE,IF('學員資料-三民高中'!$B$2:$B$454=$F661,'學員資料-三民高中'!$G$2:$G$454,""))</f>
        <v/>
      </c>
      <c r="R661" t="str" cm="1">
        <f t="array" ref="R661">_xlfn.TEXTJOIN("、",TRUE,IF('學員資料-新北高中'!$B$2:$B$583=$F661,'學員資料-新北高中'!$G$2:$G$583,""))</f>
        <v/>
      </c>
      <c r="S661" t="str" cm="1">
        <f t="array" ref="S661">_xlfn.TEXTJOIN("、",TRUE,IF('學員資料-三重商工'!$B$2:$B$472=$F661,'學員資料-三重商工'!$G$2:$G$472,""))</f>
        <v>0989564153</v>
      </c>
      <c r="T661">
        <f t="shared" si="10"/>
        <v>1</v>
      </c>
    </row>
    <row r="662" spans="1:20" ht="14.25" hidden="1" customHeight="1">
      <c r="A662" s="15">
        <v>661</v>
      </c>
      <c r="B662" s="16" t="s">
        <v>2232</v>
      </c>
      <c r="C662" s="17">
        <v>45959</v>
      </c>
      <c r="D662" s="15" t="s">
        <v>2233</v>
      </c>
      <c r="E662" s="18" t="s">
        <v>44</v>
      </c>
      <c r="F662" s="19" t="s">
        <v>1140</v>
      </c>
      <c r="G662" s="18" t="s">
        <v>1141</v>
      </c>
      <c r="H662" s="20" t="s">
        <v>1142</v>
      </c>
      <c r="I662" s="15">
        <v>1</v>
      </c>
      <c r="J662" s="15" t="s">
        <v>25</v>
      </c>
      <c r="K662" s="15"/>
      <c r="L662" s="21" t="s">
        <v>16</v>
      </c>
      <c r="M662" s="22">
        <v>0</v>
      </c>
      <c r="N662" s="22">
        <v>-5940</v>
      </c>
      <c r="O662" s="22">
        <v>5940</v>
      </c>
      <c r="P662" s="22">
        <v>5940</v>
      </c>
      <c r="Q662" t="str" cm="1">
        <f t="array" ref="Q662">_xlfn.TEXTJOIN("、",TRUE,IF('學員資料-三民高中'!$B$2:$B$454=$F662,'學員資料-三民高中'!$G$2:$G$454,""))</f>
        <v/>
      </c>
      <c r="R662" t="str" cm="1">
        <f t="array" ref="R662">_xlfn.TEXTJOIN("、",TRUE,IF('學員資料-新北高中'!$B$2:$B$583=$F662,'學員資料-新北高中'!$G$2:$G$583,""))</f>
        <v/>
      </c>
      <c r="S662" t="str" cm="1">
        <f t="array" ref="S662">_xlfn.TEXTJOIN("、",TRUE,IF('學員資料-三重商工'!$B$2:$B$472=$F662,'學員資料-三重商工'!$G$2:$G$472,""))</f>
        <v>0912094878</v>
      </c>
      <c r="T662">
        <f t="shared" si="10"/>
        <v>1</v>
      </c>
    </row>
    <row r="663" spans="1:20" ht="14.25" hidden="1" customHeight="1">
      <c r="A663" s="15">
        <v>662</v>
      </c>
      <c r="B663" s="16" t="s">
        <v>2234</v>
      </c>
      <c r="C663" s="17">
        <v>45959</v>
      </c>
      <c r="D663" s="15" t="s">
        <v>2235</v>
      </c>
      <c r="E663" s="18" t="s">
        <v>44</v>
      </c>
      <c r="F663" s="19" t="s">
        <v>997</v>
      </c>
      <c r="G663" s="18" t="s">
        <v>998</v>
      </c>
      <c r="H663" s="20" t="s">
        <v>210</v>
      </c>
      <c r="I663" s="15">
        <v>1</v>
      </c>
      <c r="J663" s="15" t="s">
        <v>26</v>
      </c>
      <c r="K663" s="15"/>
      <c r="L663" s="21" t="s">
        <v>16</v>
      </c>
      <c r="M663" s="22">
        <v>0</v>
      </c>
      <c r="N663" s="22">
        <v>0</v>
      </c>
      <c r="O663" s="22">
        <v>12000</v>
      </c>
      <c r="P663" s="22">
        <v>12000</v>
      </c>
      <c r="Q663" t="str" cm="1">
        <f t="array" ref="Q663">_xlfn.TEXTJOIN("、",TRUE,IF('學員資料-三民高中'!$B$2:$B$454=$F663,'學員資料-三民高中'!$G$2:$G$454,""))</f>
        <v/>
      </c>
      <c r="R663" t="str" cm="1">
        <f t="array" ref="R663">_xlfn.TEXTJOIN("、",TRUE,IF('學員資料-新北高中'!$B$2:$B$583=$F663,'學員資料-新北高中'!$G$2:$G$583,""))</f>
        <v/>
      </c>
      <c r="S663" t="str" cm="1">
        <f t="array" ref="S663">_xlfn.TEXTJOIN("、",TRUE,IF('學員資料-三重商工'!$B$2:$B$472=$F663,'學員資料-三重商工'!$G$2:$G$472,""))</f>
        <v>0970944931</v>
      </c>
      <c r="T663">
        <f t="shared" si="10"/>
        <v>1</v>
      </c>
    </row>
    <row r="664" spans="1:20" ht="14.25" hidden="1" customHeight="1">
      <c r="A664" s="15">
        <v>663</v>
      </c>
      <c r="B664" s="16" t="s">
        <v>2236</v>
      </c>
      <c r="C664" s="17">
        <v>45959</v>
      </c>
      <c r="D664" s="15" t="s">
        <v>2237</v>
      </c>
      <c r="E664" s="18" t="s">
        <v>44</v>
      </c>
      <c r="F664" s="19" t="s">
        <v>1832</v>
      </c>
      <c r="G664" s="18" t="s">
        <v>1833</v>
      </c>
      <c r="H664" s="20" t="s">
        <v>52</v>
      </c>
      <c r="I664" s="15">
        <v>1</v>
      </c>
      <c r="J664" s="15" t="s">
        <v>24</v>
      </c>
      <c r="K664" s="15"/>
      <c r="L664" s="21" t="s">
        <v>16</v>
      </c>
      <c r="M664" s="22">
        <v>0</v>
      </c>
      <c r="N664" s="22">
        <v>0</v>
      </c>
      <c r="O664" s="22">
        <v>7500</v>
      </c>
      <c r="P664" s="22">
        <v>7500</v>
      </c>
      <c r="Q664" t="str" cm="1">
        <f t="array" ref="Q664">_xlfn.TEXTJOIN("、",TRUE,IF('學員資料-三民高中'!$B$2:$B$454=$F664,'學員資料-三民高中'!$G$2:$G$454,""))</f>
        <v/>
      </c>
      <c r="R664" t="str" cm="1">
        <f t="array" ref="R664">_xlfn.TEXTJOIN("、",TRUE,IF('學員資料-新北高中'!$B$2:$B$583=$F664,'學員資料-新北高中'!$G$2:$G$583,""))</f>
        <v/>
      </c>
      <c r="S664" t="str" cm="1">
        <f t="array" ref="S664">_xlfn.TEXTJOIN("、",TRUE,IF('學員資料-三重商工'!$B$2:$B$472=$F664,'學員資料-三重商工'!$G$2:$G$472,""))</f>
        <v>0930980802</v>
      </c>
      <c r="T664">
        <f t="shared" si="10"/>
        <v>1</v>
      </c>
    </row>
    <row r="665" spans="1:20" ht="14.25" hidden="1" customHeight="1">
      <c r="A665" s="15">
        <v>664</v>
      </c>
      <c r="B665" s="16" t="s">
        <v>2238</v>
      </c>
      <c r="C665" s="17">
        <v>45959</v>
      </c>
      <c r="D665" s="15" t="s">
        <v>2239</v>
      </c>
      <c r="E665" s="18" t="s">
        <v>44</v>
      </c>
      <c r="F665" s="19" t="s">
        <v>1783</v>
      </c>
      <c r="G665" s="18" t="s">
        <v>1784</v>
      </c>
      <c r="H665" s="20" t="s">
        <v>52</v>
      </c>
      <c r="I665" s="15">
        <v>1</v>
      </c>
      <c r="J665" s="15" t="s">
        <v>24</v>
      </c>
      <c r="K665" s="15"/>
      <c r="L665" s="21" t="s">
        <v>16</v>
      </c>
      <c r="M665" s="22">
        <v>0</v>
      </c>
      <c r="N665" s="22">
        <v>0</v>
      </c>
      <c r="O665" s="22">
        <v>7500</v>
      </c>
      <c r="P665" s="22">
        <v>7500</v>
      </c>
      <c r="Q665" t="str" cm="1">
        <f t="array" ref="Q665">_xlfn.TEXTJOIN("、",TRUE,IF('學員資料-三民高中'!$B$2:$B$454=$F665,'學員資料-三民高中'!$G$2:$G$454,""))</f>
        <v/>
      </c>
      <c r="R665" t="str" cm="1">
        <f t="array" ref="R665">_xlfn.TEXTJOIN("、",TRUE,IF('學員資料-新北高中'!$B$2:$B$583=$F665,'學員資料-新北高中'!$G$2:$G$583,""))</f>
        <v/>
      </c>
      <c r="S665" t="str" cm="1">
        <f t="array" ref="S665">_xlfn.TEXTJOIN("、",TRUE,IF('學員資料-三重商工'!$B$2:$B$472=$F665,'學員資料-三重商工'!$G$2:$G$472,""))</f>
        <v>09219306899</v>
      </c>
      <c r="T665">
        <f t="shared" si="10"/>
        <v>1</v>
      </c>
    </row>
    <row r="666" spans="1:20" ht="14.25" hidden="1" customHeight="1">
      <c r="A666" s="15">
        <v>665</v>
      </c>
      <c r="B666" s="16" t="s">
        <v>2240</v>
      </c>
      <c r="C666" s="17">
        <v>45956</v>
      </c>
      <c r="D666" s="15" t="s">
        <v>2241</v>
      </c>
      <c r="E666" s="18" t="s">
        <v>763</v>
      </c>
      <c r="F666" s="19" t="s">
        <v>2242</v>
      </c>
      <c r="G666" s="18" t="s">
        <v>2243</v>
      </c>
      <c r="H666" s="20" t="s">
        <v>112</v>
      </c>
      <c r="I666" s="15">
        <v>1</v>
      </c>
      <c r="J666" s="15" t="s">
        <v>23</v>
      </c>
      <c r="K666" s="15"/>
      <c r="L666" s="21" t="s">
        <v>16</v>
      </c>
      <c r="M666" s="22">
        <v>0</v>
      </c>
      <c r="N666" s="22">
        <v>0</v>
      </c>
      <c r="O666" s="22">
        <v>8280</v>
      </c>
      <c r="P666" s="22">
        <v>8280</v>
      </c>
      <c r="Q666" t="str" cm="1">
        <f t="array" ref="Q666">_xlfn.TEXTJOIN("、",TRUE,IF('學員資料-三民高中'!$B$2:$B$454=$F666,'學員資料-三民高中'!$G$2:$G$454,""))</f>
        <v>0929190767</v>
      </c>
      <c r="R666" t="str" cm="1">
        <f t="array" ref="R666">_xlfn.TEXTJOIN("、",TRUE,IF('學員資料-新北高中'!$B$2:$B$583=$F666,'學員資料-新北高中'!$G$2:$G$583,""))</f>
        <v/>
      </c>
      <c r="S666" t="str" cm="1">
        <f t="array" ref="S666">_xlfn.TEXTJOIN("、",TRUE,IF('學員資料-三重商工'!$B$2:$B$472=$F666,'學員資料-三重商工'!$G$2:$G$472,""))</f>
        <v/>
      </c>
      <c r="T666">
        <f t="shared" si="10"/>
        <v>1</v>
      </c>
    </row>
    <row r="667" spans="1:20" ht="28.5" hidden="1" customHeight="1">
      <c r="A667" s="15">
        <v>666</v>
      </c>
      <c r="B667" s="16" t="s">
        <v>2244</v>
      </c>
      <c r="C667" s="17">
        <v>45956</v>
      </c>
      <c r="D667" s="15" t="s">
        <v>2245</v>
      </c>
      <c r="E667" s="18" t="s">
        <v>763</v>
      </c>
      <c r="F667" s="19" t="s">
        <v>888</v>
      </c>
      <c r="G667" s="18" t="s">
        <v>889</v>
      </c>
      <c r="H667" s="20" t="s">
        <v>75</v>
      </c>
      <c r="I667" s="15">
        <v>2</v>
      </c>
      <c r="J667" s="15" t="s">
        <v>23</v>
      </c>
      <c r="K667" s="15"/>
      <c r="L667" s="21" t="s">
        <v>16</v>
      </c>
      <c r="M667" s="22">
        <v>0</v>
      </c>
      <c r="N667" s="22">
        <v>0</v>
      </c>
      <c r="O667" s="22">
        <v>13800</v>
      </c>
      <c r="P667" s="22">
        <v>13800</v>
      </c>
      <c r="Q667" t="str" cm="1">
        <f t="array" ref="Q667">_xlfn.TEXTJOIN("、",TRUE,IF('學員資料-三民高中'!$B$2:$B$454=$F667,'學員資料-三民高中'!$G$2:$G$454,""))</f>
        <v/>
      </c>
      <c r="R667" t="str" cm="1">
        <f t="array" ref="R667">_xlfn.TEXTJOIN("、",TRUE,IF('學員資料-新北高中'!$B$2:$B$583=$F667,'學員資料-新北高中'!$G$2:$G$583,""))</f>
        <v>0900099919</v>
      </c>
      <c r="S667" t="str" cm="1">
        <f t="array" ref="S667">_xlfn.TEXTJOIN("、",TRUE,IF('學員資料-三重商工'!$B$2:$B$472=$F667,'學員資料-三重商工'!$G$2:$G$472,""))</f>
        <v/>
      </c>
      <c r="T667">
        <f t="shared" si="10"/>
        <v>1</v>
      </c>
    </row>
    <row r="668" spans="1:20" ht="14.25" hidden="1" customHeight="1">
      <c r="A668" s="15">
        <v>667</v>
      </c>
      <c r="B668" s="16" t="s">
        <v>2246</v>
      </c>
      <c r="C668" s="17">
        <v>45956</v>
      </c>
      <c r="D668" s="15" t="s">
        <v>2247</v>
      </c>
      <c r="E668" s="23"/>
      <c r="F668" s="19" t="s">
        <v>2026</v>
      </c>
      <c r="G668" s="18" t="s">
        <v>2027</v>
      </c>
      <c r="H668" s="20" t="s">
        <v>266</v>
      </c>
      <c r="I668" s="15">
        <v>1</v>
      </c>
      <c r="J668" s="15" t="s">
        <v>24</v>
      </c>
      <c r="K668" s="15"/>
      <c r="L668" s="21" t="s">
        <v>16</v>
      </c>
      <c r="M668" s="22">
        <v>0</v>
      </c>
      <c r="N668" s="22">
        <v>0</v>
      </c>
      <c r="O668" s="22">
        <v>10800</v>
      </c>
      <c r="P668" s="22">
        <v>10800</v>
      </c>
      <c r="Q668" t="str" cm="1">
        <f t="array" ref="Q668">_xlfn.TEXTJOIN("、",TRUE,IF('學員資料-三民高中'!$B$2:$B$454=$F668,'學員資料-三民高中'!$G$2:$G$454,""))</f>
        <v/>
      </c>
      <c r="R668" t="str" cm="1">
        <f t="array" ref="R668">_xlfn.TEXTJOIN("、",TRUE,IF('學員資料-新北高中'!$B$2:$B$583=$F668,'學員資料-新北高中'!$G$2:$G$583,""))</f>
        <v>0953554707</v>
      </c>
      <c r="S668" t="str" cm="1">
        <f t="array" ref="S668">_xlfn.TEXTJOIN("、",TRUE,IF('學員資料-三重商工'!$B$2:$B$472=$F668,'學員資料-三重商工'!$G$2:$G$472,""))</f>
        <v/>
      </c>
      <c r="T668">
        <f t="shared" si="10"/>
        <v>1</v>
      </c>
    </row>
    <row r="669" spans="1:20" ht="14.25" hidden="1" customHeight="1">
      <c r="A669" s="15">
        <v>668</v>
      </c>
      <c r="B669" s="16" t="s">
        <v>2248</v>
      </c>
      <c r="C669" s="17">
        <v>45956</v>
      </c>
      <c r="D669" s="15" t="s">
        <v>2249</v>
      </c>
      <c r="E669" s="18" t="s">
        <v>44</v>
      </c>
      <c r="F669" s="19" t="s">
        <v>2250</v>
      </c>
      <c r="G669" s="18" t="s">
        <v>2251</v>
      </c>
      <c r="H669" s="20" t="s">
        <v>130</v>
      </c>
      <c r="I669" s="15">
        <v>1</v>
      </c>
      <c r="J669" s="15" t="s">
        <v>25</v>
      </c>
      <c r="K669" s="15"/>
      <c r="L669" s="21" t="s">
        <v>16</v>
      </c>
      <c r="M669" s="22">
        <v>0</v>
      </c>
      <c r="N669" s="22">
        <v>0</v>
      </c>
      <c r="O669" s="22">
        <v>9900</v>
      </c>
      <c r="P669" s="22">
        <v>9900</v>
      </c>
      <c r="Q669" t="str" cm="1">
        <f t="array" ref="Q669">_xlfn.TEXTJOIN("、",TRUE,IF('學員資料-三民高中'!$B$2:$B$454=$F669,'學員資料-三民高中'!$G$2:$G$454,""))</f>
        <v/>
      </c>
      <c r="R669" t="str" cm="1">
        <f t="array" ref="R669">_xlfn.TEXTJOIN("、",TRUE,IF('學員資料-新北高中'!$B$2:$B$583=$F669,'學員資料-新北高中'!$G$2:$G$583,""))</f>
        <v/>
      </c>
      <c r="S669" t="str" cm="1">
        <f t="array" ref="S669">_xlfn.TEXTJOIN("、",TRUE,IF('學員資料-三重商工'!$B$2:$B$472=$F669,'學員資料-三重商工'!$G$2:$G$472,""))</f>
        <v>0905280677</v>
      </c>
      <c r="T669">
        <f t="shared" si="10"/>
        <v>1</v>
      </c>
    </row>
    <row r="670" spans="1:20" ht="14.25" customHeight="1">
      <c r="A670" s="15">
        <v>669</v>
      </c>
      <c r="B670" s="16" t="s">
        <v>2252</v>
      </c>
      <c r="C670" s="17">
        <v>45954</v>
      </c>
      <c r="D670" s="15" t="s">
        <v>2253</v>
      </c>
      <c r="E670" s="18" t="s">
        <v>1324</v>
      </c>
      <c r="F670" s="19" t="s">
        <v>866</v>
      </c>
      <c r="G670" s="18" t="s">
        <v>867</v>
      </c>
      <c r="H670" s="20" t="s">
        <v>66</v>
      </c>
      <c r="I670" s="15">
        <v>1</v>
      </c>
      <c r="J670" s="15" t="s">
        <v>23</v>
      </c>
      <c r="K670" s="15"/>
      <c r="L670" s="21" t="s">
        <v>17</v>
      </c>
      <c r="M670" s="22">
        <v>0</v>
      </c>
      <c r="N670" s="22">
        <v>0</v>
      </c>
      <c r="O670" s="22">
        <v>6900</v>
      </c>
      <c r="P670" s="22">
        <v>6900</v>
      </c>
      <c r="Q670" t="str" cm="1">
        <f t="array" ref="Q670">_xlfn.TEXTJOIN("、",TRUE,IF('學員資料-三民高中'!$B$2:$B$454=$F670,'學員資料-三民高中'!$G$2:$G$454,""))</f>
        <v/>
      </c>
      <c r="R670" t="str" cm="1">
        <f t="array" ref="R670">_xlfn.TEXTJOIN("、",TRUE,IF('學員資料-新北高中'!$B$2:$B$583=$F670,'學員資料-新北高中'!$G$2:$G$583,""))</f>
        <v/>
      </c>
      <c r="S670" t="str" cm="1">
        <f t="array" ref="S670">_xlfn.TEXTJOIN("、",TRUE,IF('學員資料-三重商工'!$B$2:$B$472=$F670,'學員資料-三重商工'!$G$2:$G$472,""))</f>
        <v/>
      </c>
      <c r="T670">
        <f t="shared" si="10"/>
        <v>0</v>
      </c>
    </row>
    <row r="671" spans="1:20" ht="14.25" hidden="1" customHeight="1">
      <c r="A671" s="15">
        <v>670</v>
      </c>
      <c r="B671" s="16" t="s">
        <v>2254</v>
      </c>
      <c r="C671" s="17">
        <v>45954</v>
      </c>
      <c r="D671" s="15" t="s">
        <v>2255</v>
      </c>
      <c r="E671" s="18" t="s">
        <v>1324</v>
      </c>
      <c r="F671" s="19" t="s">
        <v>2256</v>
      </c>
      <c r="G671" s="18" t="s">
        <v>2257</v>
      </c>
      <c r="H671" s="20" t="s">
        <v>112</v>
      </c>
      <c r="I671" s="15">
        <v>1</v>
      </c>
      <c r="J671" s="15" t="s">
        <v>23</v>
      </c>
      <c r="K671" s="15"/>
      <c r="L671" s="21" t="s">
        <v>16</v>
      </c>
      <c r="M671" s="22">
        <v>0</v>
      </c>
      <c r="N671" s="22">
        <v>0</v>
      </c>
      <c r="O671" s="22">
        <v>8280</v>
      </c>
      <c r="P671" s="22">
        <v>8280</v>
      </c>
      <c r="Q671" t="str" cm="1">
        <f t="array" ref="Q671">_xlfn.TEXTJOIN("、",TRUE,IF('學員資料-三民高中'!$B$2:$B$454=$F671,'學員資料-三民高中'!$G$2:$G$454,""))</f>
        <v/>
      </c>
      <c r="R671" t="str" cm="1">
        <f t="array" ref="R671">_xlfn.TEXTJOIN("、",TRUE,IF('學員資料-新北高中'!$B$2:$B$583=$F671,'學員資料-新北高中'!$G$2:$G$583,""))</f>
        <v>0937022613</v>
      </c>
      <c r="S671" t="str" cm="1">
        <f t="array" ref="S671">_xlfn.TEXTJOIN("、",TRUE,IF('學員資料-三重商工'!$B$2:$B$472=$F671,'學員資料-三重商工'!$G$2:$G$472,""))</f>
        <v/>
      </c>
      <c r="T671">
        <f t="shared" si="10"/>
        <v>1</v>
      </c>
    </row>
    <row r="672" spans="1:20" ht="14.25" hidden="1" customHeight="1">
      <c r="A672" s="15">
        <v>671</v>
      </c>
      <c r="B672" s="16" t="s">
        <v>2258</v>
      </c>
      <c r="C672" s="17">
        <v>45952</v>
      </c>
      <c r="D672" s="15" t="s">
        <v>2259</v>
      </c>
      <c r="E672" s="18" t="s">
        <v>763</v>
      </c>
      <c r="F672" s="19" t="s">
        <v>598</v>
      </c>
      <c r="G672" s="18" t="s">
        <v>599</v>
      </c>
      <c r="H672" s="20" t="s">
        <v>52</v>
      </c>
      <c r="I672" s="15">
        <v>1</v>
      </c>
      <c r="J672" s="15" t="s">
        <v>24</v>
      </c>
      <c r="K672" s="15"/>
      <c r="L672" s="21" t="s">
        <v>16</v>
      </c>
      <c r="M672" s="22">
        <v>0</v>
      </c>
      <c r="N672" s="22">
        <v>0</v>
      </c>
      <c r="O672" s="22">
        <v>7500</v>
      </c>
      <c r="P672" s="22">
        <v>7500</v>
      </c>
      <c r="Q672" t="str" cm="1">
        <f t="array" ref="Q672">_xlfn.TEXTJOIN("、",TRUE,IF('學員資料-三民高中'!$B$2:$B$454=$F672,'學員資料-三民高中'!$G$2:$G$454,""))</f>
        <v>0926821102</v>
      </c>
      <c r="R672" t="str" cm="1">
        <f t="array" ref="R672">_xlfn.TEXTJOIN("、",TRUE,IF('學員資料-新北高中'!$B$2:$B$583=$F672,'學員資料-新北高中'!$G$2:$G$583,""))</f>
        <v/>
      </c>
      <c r="S672" t="str" cm="1">
        <f t="array" ref="S672">_xlfn.TEXTJOIN("、",TRUE,IF('學員資料-三重商工'!$B$2:$B$472=$F672,'學員資料-三重商工'!$G$2:$G$472,""))</f>
        <v/>
      </c>
      <c r="T672">
        <f t="shared" si="10"/>
        <v>1</v>
      </c>
    </row>
    <row r="673" spans="1:20" ht="14.25" hidden="1" customHeight="1">
      <c r="A673" s="15">
        <v>672</v>
      </c>
      <c r="B673" s="16" t="s">
        <v>2260</v>
      </c>
      <c r="C673" s="17">
        <v>45951</v>
      </c>
      <c r="D673" s="15" t="s">
        <v>2261</v>
      </c>
      <c r="E673" s="18" t="s">
        <v>83</v>
      </c>
      <c r="F673" s="19" t="s">
        <v>2250</v>
      </c>
      <c r="G673" s="18" t="s">
        <v>2251</v>
      </c>
      <c r="H673" s="20" t="s">
        <v>2262</v>
      </c>
      <c r="I673" s="15">
        <v>1</v>
      </c>
      <c r="J673" s="15" t="s">
        <v>26</v>
      </c>
      <c r="K673" s="21" t="s">
        <v>116</v>
      </c>
      <c r="L673" s="21" t="s">
        <v>16</v>
      </c>
      <c r="M673" s="22">
        <v>0</v>
      </c>
      <c r="N673" s="22">
        <v>0</v>
      </c>
      <c r="O673" s="22">
        <v>2000</v>
      </c>
      <c r="P673" s="22">
        <v>2000</v>
      </c>
      <c r="Q673" t="str" cm="1">
        <f t="array" ref="Q673">_xlfn.TEXTJOIN("、",TRUE,IF('學員資料-三民高中'!$B$2:$B$454=$F673,'學員資料-三民高中'!$G$2:$G$454,""))</f>
        <v/>
      </c>
      <c r="R673" t="str" cm="1">
        <f t="array" ref="R673">_xlfn.TEXTJOIN("、",TRUE,IF('學員資料-新北高中'!$B$2:$B$583=$F673,'學員資料-新北高中'!$G$2:$G$583,""))</f>
        <v/>
      </c>
      <c r="S673" t="str" cm="1">
        <f t="array" ref="S673">_xlfn.TEXTJOIN("、",TRUE,IF('學員資料-三重商工'!$B$2:$B$472=$F673,'學員資料-三重商工'!$G$2:$G$472,""))</f>
        <v>0905280677</v>
      </c>
      <c r="T673">
        <f t="shared" si="10"/>
        <v>1</v>
      </c>
    </row>
    <row r="674" spans="1:20" ht="28.5" hidden="1" customHeight="1">
      <c r="A674" s="15">
        <v>673</v>
      </c>
      <c r="B674" s="16" t="s">
        <v>2263</v>
      </c>
      <c r="C674" s="17">
        <v>45951</v>
      </c>
      <c r="D674" s="15" t="s">
        <v>2264</v>
      </c>
      <c r="E674" s="18" t="s">
        <v>83</v>
      </c>
      <c r="F674" s="19" t="s">
        <v>2265</v>
      </c>
      <c r="G674" s="18" t="s">
        <v>2266</v>
      </c>
      <c r="H674" s="20" t="s">
        <v>75</v>
      </c>
      <c r="I674" s="15">
        <v>2</v>
      </c>
      <c r="J674" s="15" t="s">
        <v>23</v>
      </c>
      <c r="K674" s="15"/>
      <c r="L674" s="21" t="s">
        <v>16</v>
      </c>
      <c r="M674" s="22">
        <v>0</v>
      </c>
      <c r="N674" s="22">
        <v>0</v>
      </c>
      <c r="O674" s="22">
        <v>13800</v>
      </c>
      <c r="P674" s="22">
        <v>13800</v>
      </c>
      <c r="Q674" t="str" cm="1">
        <f t="array" ref="Q674">_xlfn.TEXTJOIN("、",TRUE,IF('學員資料-三民高中'!$B$2:$B$454=$F674,'學員資料-三民高中'!$G$2:$G$454,""))</f>
        <v/>
      </c>
      <c r="R674" t="str" cm="1">
        <f t="array" ref="R674">_xlfn.TEXTJOIN("、",TRUE,IF('學員資料-新北高中'!$B$2:$B$583=$F674,'學員資料-新北高中'!$G$2:$G$583,""))</f>
        <v/>
      </c>
      <c r="S674" t="str" cm="1">
        <f t="array" ref="S674">_xlfn.TEXTJOIN("、",TRUE,IF('學員資料-三重商工'!$B$2:$B$472=$F674,'學員資料-三重商工'!$G$2:$G$472,""))</f>
        <v>0987458553.1</v>
      </c>
      <c r="T674">
        <f t="shared" si="10"/>
        <v>1</v>
      </c>
    </row>
    <row r="675" spans="1:20" ht="28.5" hidden="1" customHeight="1">
      <c r="A675" s="15">
        <v>674</v>
      </c>
      <c r="B675" s="16" t="s">
        <v>2267</v>
      </c>
      <c r="C675" s="17">
        <v>45951</v>
      </c>
      <c r="D675" s="15" t="s">
        <v>2268</v>
      </c>
      <c r="E675" s="18" t="s">
        <v>83</v>
      </c>
      <c r="F675" s="19" t="s">
        <v>2269</v>
      </c>
      <c r="G675" s="18" t="s">
        <v>2270</v>
      </c>
      <c r="H675" s="20" t="s">
        <v>75</v>
      </c>
      <c r="I675" s="15">
        <v>2</v>
      </c>
      <c r="J675" s="15" t="s">
        <v>23</v>
      </c>
      <c r="K675" s="15"/>
      <c r="L675" s="21" t="s">
        <v>16</v>
      </c>
      <c r="M675" s="22">
        <v>0</v>
      </c>
      <c r="N675" s="22">
        <v>0</v>
      </c>
      <c r="O675" s="22">
        <v>13800</v>
      </c>
      <c r="P675" s="22">
        <v>13800</v>
      </c>
      <c r="Q675" t="str" cm="1">
        <f t="array" ref="Q675">_xlfn.TEXTJOIN("、",TRUE,IF('學員資料-三民高中'!$B$2:$B$454=$F675,'學員資料-三民高中'!$G$2:$G$454,""))</f>
        <v/>
      </c>
      <c r="R675" t="str" cm="1">
        <f t="array" ref="R675">_xlfn.TEXTJOIN("、",TRUE,IF('學員資料-新北高中'!$B$2:$B$583=$F675,'學員資料-新北高中'!$G$2:$G$583,""))</f>
        <v/>
      </c>
      <c r="S675" t="str" cm="1">
        <f t="array" ref="S675">_xlfn.TEXTJOIN("、",TRUE,IF('學員資料-三重商工'!$B$2:$B$472=$F675,'學員資料-三重商工'!$G$2:$G$472,""))</f>
        <v>0987458553</v>
      </c>
      <c r="T675">
        <f t="shared" si="10"/>
        <v>1</v>
      </c>
    </row>
    <row r="676" spans="1:20" ht="14.25" hidden="1" customHeight="1">
      <c r="A676" s="15">
        <v>675</v>
      </c>
      <c r="B676" s="16" t="s">
        <v>2271</v>
      </c>
      <c r="C676" s="17">
        <v>45951</v>
      </c>
      <c r="D676" s="15" t="s">
        <v>2272</v>
      </c>
      <c r="E676" s="23"/>
      <c r="F676" s="19" t="s">
        <v>1664</v>
      </c>
      <c r="G676" s="18" t="s">
        <v>1665</v>
      </c>
      <c r="H676" s="20" t="s">
        <v>66</v>
      </c>
      <c r="I676" s="15">
        <v>1</v>
      </c>
      <c r="J676" s="15" t="s">
        <v>23</v>
      </c>
      <c r="K676" s="15"/>
      <c r="L676" s="21" t="s">
        <v>18</v>
      </c>
      <c r="M676" s="22">
        <v>0</v>
      </c>
      <c r="N676" s="22">
        <v>0</v>
      </c>
      <c r="O676" s="22">
        <v>6900</v>
      </c>
      <c r="P676" s="22">
        <v>6900</v>
      </c>
      <c r="Q676" t="str" cm="1">
        <f t="array" ref="Q676">_xlfn.TEXTJOIN("、",TRUE,IF('學員資料-三民高中'!$B$2:$B$454=$F676,'學員資料-三民高中'!$G$2:$G$454,""))</f>
        <v/>
      </c>
      <c r="R676" t="str" cm="1">
        <f t="array" ref="R676">_xlfn.TEXTJOIN("、",TRUE,IF('學員資料-新北高中'!$B$2:$B$583=$F676,'學員資料-新北高中'!$G$2:$G$583,""))</f>
        <v>0910963339</v>
      </c>
      <c r="S676" t="str" cm="1">
        <f t="array" ref="S676">_xlfn.TEXTJOIN("、",TRUE,IF('學員資料-三重商工'!$B$2:$B$472=$F676,'學員資料-三重商工'!$G$2:$G$472,""))</f>
        <v/>
      </c>
      <c r="T676">
        <f t="shared" si="10"/>
        <v>1</v>
      </c>
    </row>
    <row r="677" spans="1:20" ht="14.25" hidden="1" customHeight="1">
      <c r="A677" s="15">
        <v>676</v>
      </c>
      <c r="B677" s="16" t="s">
        <v>2273</v>
      </c>
      <c r="C677" s="17">
        <v>45951</v>
      </c>
      <c r="D677" s="15" t="s">
        <v>2274</v>
      </c>
      <c r="E677" s="18" t="s">
        <v>763</v>
      </c>
      <c r="F677" s="19" t="s">
        <v>2201</v>
      </c>
      <c r="G677" s="18" t="s">
        <v>2202</v>
      </c>
      <c r="H677" s="20" t="s">
        <v>52</v>
      </c>
      <c r="I677" s="15">
        <v>1</v>
      </c>
      <c r="J677" s="15" t="s">
        <v>24</v>
      </c>
      <c r="K677" s="15"/>
      <c r="L677" s="21" t="s">
        <v>16</v>
      </c>
      <c r="M677" s="22">
        <v>0</v>
      </c>
      <c r="N677" s="22">
        <v>0</v>
      </c>
      <c r="O677" s="22">
        <v>7500</v>
      </c>
      <c r="P677" s="22">
        <v>7500</v>
      </c>
      <c r="Q677" t="str" cm="1">
        <f t="array" ref="Q677">_xlfn.TEXTJOIN("、",TRUE,IF('學員資料-三民高中'!$B$2:$B$454=$F677,'學員資料-三民高中'!$G$2:$G$454,""))</f>
        <v/>
      </c>
      <c r="R677" t="str" cm="1">
        <f t="array" ref="R677">_xlfn.TEXTJOIN("、",TRUE,IF('學員資料-新北高中'!$B$2:$B$583=$F677,'學員資料-新北高中'!$G$2:$G$583,""))</f>
        <v>0953964779</v>
      </c>
      <c r="S677" t="str" cm="1">
        <f t="array" ref="S677">_xlfn.TEXTJOIN("、",TRUE,IF('學員資料-三重商工'!$B$2:$B$472=$F677,'學員資料-三重商工'!$G$2:$G$472,""))</f>
        <v/>
      </c>
      <c r="T677">
        <f t="shared" si="10"/>
        <v>1</v>
      </c>
    </row>
    <row r="678" spans="1:20" ht="14.25" hidden="1" customHeight="1">
      <c r="A678" s="15">
        <v>677</v>
      </c>
      <c r="B678" s="16" t="s">
        <v>2275</v>
      </c>
      <c r="C678" s="17">
        <v>45951</v>
      </c>
      <c r="D678" s="15" t="s">
        <v>2276</v>
      </c>
      <c r="E678" s="18" t="s">
        <v>763</v>
      </c>
      <c r="F678" s="19" t="s">
        <v>2277</v>
      </c>
      <c r="G678" s="18" t="s">
        <v>2278</v>
      </c>
      <c r="H678" s="20" t="s">
        <v>52</v>
      </c>
      <c r="I678" s="15">
        <v>1</v>
      </c>
      <c r="J678" s="15" t="s">
        <v>24</v>
      </c>
      <c r="K678" s="15"/>
      <c r="L678" s="21" t="s">
        <v>16</v>
      </c>
      <c r="M678" s="22">
        <v>0</v>
      </c>
      <c r="N678" s="22">
        <v>0</v>
      </c>
      <c r="O678" s="22">
        <v>7500</v>
      </c>
      <c r="P678" s="22">
        <v>7500</v>
      </c>
      <c r="Q678" t="str" cm="1">
        <f t="array" ref="Q678">_xlfn.TEXTJOIN("、",TRUE,IF('學員資料-三民高中'!$B$2:$B$454=$F678,'學員資料-三民高中'!$G$2:$G$454,""))</f>
        <v>0932212128</v>
      </c>
      <c r="R678" t="str" cm="1">
        <f t="array" ref="R678">_xlfn.TEXTJOIN("、",TRUE,IF('學員資料-新北高中'!$B$2:$B$583=$F678,'學員資料-新北高中'!$G$2:$G$583,""))</f>
        <v/>
      </c>
      <c r="S678" t="str" cm="1">
        <f t="array" ref="S678">_xlfn.TEXTJOIN("、",TRUE,IF('學員資料-三重商工'!$B$2:$B$472=$F678,'學員資料-三重商工'!$G$2:$G$472,""))</f>
        <v/>
      </c>
      <c r="T678">
        <f t="shared" si="10"/>
        <v>1</v>
      </c>
    </row>
    <row r="679" spans="1:20" ht="14.25" hidden="1" customHeight="1">
      <c r="A679" s="15">
        <v>678</v>
      </c>
      <c r="B679" s="16" t="s">
        <v>2279</v>
      </c>
      <c r="C679" s="17">
        <v>45950</v>
      </c>
      <c r="D679" s="15" t="s">
        <v>2280</v>
      </c>
      <c r="E679" s="18" t="s">
        <v>83</v>
      </c>
      <c r="F679" s="19" t="s">
        <v>2281</v>
      </c>
      <c r="G679" s="18" t="s">
        <v>2282</v>
      </c>
      <c r="H679" s="20" t="s">
        <v>52</v>
      </c>
      <c r="I679" s="15">
        <v>1</v>
      </c>
      <c r="J679" s="15" t="s">
        <v>24</v>
      </c>
      <c r="K679" s="15"/>
      <c r="L679" s="21" t="s">
        <v>16</v>
      </c>
      <c r="M679" s="22">
        <v>0</v>
      </c>
      <c r="N679" s="22">
        <v>0</v>
      </c>
      <c r="O679" s="22">
        <v>7500</v>
      </c>
      <c r="P679" s="22">
        <v>7500</v>
      </c>
      <c r="Q679" t="str" cm="1">
        <f t="array" ref="Q679">_xlfn.TEXTJOIN("、",TRUE,IF('學員資料-三民高中'!$B$2:$B$454=$F679,'學員資料-三民高中'!$G$2:$G$454,""))</f>
        <v>0988835148</v>
      </c>
      <c r="R679" t="str" cm="1">
        <f t="array" ref="R679">_xlfn.TEXTJOIN("、",TRUE,IF('學員資料-新北高中'!$B$2:$B$583=$F679,'學員資料-新北高中'!$G$2:$G$583,""))</f>
        <v/>
      </c>
      <c r="S679" t="str" cm="1">
        <f t="array" ref="S679">_xlfn.TEXTJOIN("、",TRUE,IF('學員資料-三重商工'!$B$2:$B$472=$F679,'學員資料-三重商工'!$G$2:$G$472,""))</f>
        <v/>
      </c>
      <c r="T679">
        <f t="shared" si="10"/>
        <v>1</v>
      </c>
    </row>
    <row r="680" spans="1:20" ht="14.25" hidden="1" customHeight="1">
      <c r="A680" s="15">
        <v>679</v>
      </c>
      <c r="B680" s="16" t="s">
        <v>2283</v>
      </c>
      <c r="C680" s="17">
        <v>45950</v>
      </c>
      <c r="D680" s="15" t="s">
        <v>2284</v>
      </c>
      <c r="E680" s="18" t="s">
        <v>83</v>
      </c>
      <c r="F680" s="19" t="s">
        <v>1563</v>
      </c>
      <c r="G680" s="18" t="s">
        <v>1564</v>
      </c>
      <c r="H680" s="20" t="s">
        <v>52</v>
      </c>
      <c r="I680" s="15">
        <v>1</v>
      </c>
      <c r="J680" s="15" t="s">
        <v>24</v>
      </c>
      <c r="K680" s="15"/>
      <c r="L680" s="21" t="s">
        <v>16</v>
      </c>
      <c r="M680" s="22">
        <v>0</v>
      </c>
      <c r="N680" s="22">
        <v>0</v>
      </c>
      <c r="O680" s="22">
        <v>7500</v>
      </c>
      <c r="P680" s="22">
        <v>7500</v>
      </c>
      <c r="Q680" t="str" cm="1">
        <f t="array" ref="Q680">_xlfn.TEXTJOIN("、",TRUE,IF('學員資料-三民高中'!$B$2:$B$454=$F680,'學員資料-三民高中'!$G$2:$G$454,""))</f>
        <v/>
      </c>
      <c r="R680" t="str" cm="1">
        <f t="array" ref="R680">_xlfn.TEXTJOIN("、",TRUE,IF('學員資料-新北高中'!$B$2:$B$583=$F680,'學員資料-新北高中'!$G$2:$G$583,""))</f>
        <v/>
      </c>
      <c r="S680" t="str" cm="1">
        <f t="array" ref="S680">_xlfn.TEXTJOIN("、",TRUE,IF('學員資料-三重商工'!$B$2:$B$472=$F680,'學員資料-三重商工'!$G$2:$G$472,""))</f>
        <v>0966660003</v>
      </c>
      <c r="T680">
        <f t="shared" si="10"/>
        <v>1</v>
      </c>
    </row>
    <row r="681" spans="1:20" ht="14.25" hidden="1" customHeight="1">
      <c r="A681" s="15">
        <v>680</v>
      </c>
      <c r="B681" s="16" t="s">
        <v>2285</v>
      </c>
      <c r="C681" s="17">
        <v>45950</v>
      </c>
      <c r="D681" s="15" t="s">
        <v>2286</v>
      </c>
      <c r="E681" s="18" t="s">
        <v>83</v>
      </c>
      <c r="F681" s="19" t="s">
        <v>2287</v>
      </c>
      <c r="G681" s="18" t="s">
        <v>2288</v>
      </c>
      <c r="H681" s="20" t="s">
        <v>210</v>
      </c>
      <c r="I681" s="15">
        <v>1</v>
      </c>
      <c r="J681" s="15" t="s">
        <v>26</v>
      </c>
      <c r="K681" s="15"/>
      <c r="L681" s="21" t="s">
        <v>16</v>
      </c>
      <c r="M681" s="22">
        <v>0</v>
      </c>
      <c r="N681" s="22">
        <v>0</v>
      </c>
      <c r="O681" s="22">
        <v>12000</v>
      </c>
      <c r="P681" s="22">
        <v>12000</v>
      </c>
      <c r="Q681" t="str" cm="1">
        <f t="array" ref="Q681">_xlfn.TEXTJOIN("、",TRUE,IF('學員資料-三民高中'!$B$2:$B$454=$F681,'學員資料-三民高中'!$G$2:$G$454,""))</f>
        <v/>
      </c>
      <c r="R681" t="str" cm="1">
        <f t="array" ref="R681">_xlfn.TEXTJOIN("、",TRUE,IF('學員資料-新北高中'!$B$2:$B$583=$F681,'學員資料-新北高中'!$G$2:$G$583,""))</f>
        <v/>
      </c>
      <c r="S681" t="str" cm="1">
        <f t="array" ref="S681">_xlfn.TEXTJOIN("、",TRUE,IF('學員資料-三重商工'!$B$2:$B$472=$F681,'學員資料-三重商工'!$G$2:$G$472,""))</f>
        <v>0922448048.2</v>
      </c>
      <c r="T681">
        <f t="shared" si="10"/>
        <v>1</v>
      </c>
    </row>
    <row r="682" spans="1:20" ht="14.25" hidden="1" customHeight="1">
      <c r="A682" s="15">
        <v>681</v>
      </c>
      <c r="B682" s="16" t="s">
        <v>2289</v>
      </c>
      <c r="C682" s="17">
        <v>45949</v>
      </c>
      <c r="D682" s="15" t="s">
        <v>2290</v>
      </c>
      <c r="E682" s="23"/>
      <c r="F682" s="19" t="s">
        <v>1827</v>
      </c>
      <c r="G682" s="18" t="s">
        <v>1828</v>
      </c>
      <c r="H682" s="20" t="s">
        <v>130</v>
      </c>
      <c r="I682" s="15">
        <v>1</v>
      </c>
      <c r="J682" s="15" t="s">
        <v>25</v>
      </c>
      <c r="K682" s="15"/>
      <c r="L682" s="21" t="s">
        <v>18</v>
      </c>
      <c r="M682" s="22">
        <v>0</v>
      </c>
      <c r="N682" s="22">
        <v>0</v>
      </c>
      <c r="O682" s="22">
        <v>9900</v>
      </c>
      <c r="P682" s="22">
        <v>9900</v>
      </c>
      <c r="Q682" t="str" cm="1">
        <f t="array" ref="Q682">_xlfn.TEXTJOIN("、",TRUE,IF('學員資料-三民高中'!$B$2:$B$454=$F682,'學員資料-三民高中'!$G$2:$G$454,""))</f>
        <v/>
      </c>
      <c r="R682" t="str" cm="1">
        <f t="array" ref="R682">_xlfn.TEXTJOIN("、",TRUE,IF('學員資料-新北高中'!$B$2:$B$583=$F682,'學員資料-新北高中'!$G$2:$G$583,""))</f>
        <v/>
      </c>
      <c r="S682" t="str" cm="1">
        <f t="array" ref="S682">_xlfn.TEXTJOIN("、",TRUE,IF('學員資料-三重商工'!$B$2:$B$472=$F682,'學員資料-三重商工'!$G$2:$G$472,""))</f>
        <v>0905191938-1</v>
      </c>
      <c r="T682">
        <f t="shared" si="10"/>
        <v>1</v>
      </c>
    </row>
    <row r="683" spans="1:20" ht="14.25" hidden="1" customHeight="1">
      <c r="A683" s="15">
        <v>682</v>
      </c>
      <c r="B683" s="16" t="s">
        <v>2291</v>
      </c>
      <c r="C683" s="17">
        <v>45949</v>
      </c>
      <c r="D683" s="15" t="s">
        <v>2292</v>
      </c>
      <c r="E683" s="18" t="s">
        <v>44</v>
      </c>
      <c r="F683" s="19" t="s">
        <v>2293</v>
      </c>
      <c r="G683" s="18" t="s">
        <v>2294</v>
      </c>
      <c r="H683" s="20" t="s">
        <v>399</v>
      </c>
      <c r="I683" s="15">
        <v>1</v>
      </c>
      <c r="J683" s="15" t="s">
        <v>23</v>
      </c>
      <c r="K683" s="21" t="s">
        <v>116</v>
      </c>
      <c r="L683" s="21" t="s">
        <v>16</v>
      </c>
      <c r="M683" s="22">
        <v>0</v>
      </c>
      <c r="N683" s="22">
        <v>0</v>
      </c>
      <c r="O683" s="22">
        <v>1200</v>
      </c>
      <c r="P683" s="22">
        <v>1200</v>
      </c>
      <c r="Q683" t="str" cm="1">
        <f t="array" ref="Q683">_xlfn.TEXTJOIN("、",TRUE,IF('學員資料-三民高中'!$B$2:$B$454=$F683,'學員資料-三民高中'!$G$2:$G$454,""))</f>
        <v/>
      </c>
      <c r="R683" t="str" cm="1">
        <f t="array" ref="R683">_xlfn.TEXTJOIN("、",TRUE,IF('學員資料-新北高中'!$B$2:$B$583=$F683,'學員資料-新北高中'!$G$2:$G$583,""))</f>
        <v/>
      </c>
      <c r="S683" t="str" cm="1">
        <f t="array" ref="S683">_xlfn.TEXTJOIN("、",TRUE,IF('學員資料-三重商工'!$B$2:$B$472=$F683,'學員資料-三重商工'!$G$2:$G$472,""))</f>
        <v>0979909908</v>
      </c>
      <c r="T683">
        <f t="shared" si="10"/>
        <v>1</v>
      </c>
    </row>
    <row r="684" spans="1:20" ht="14.25" hidden="1" customHeight="1">
      <c r="A684" s="15">
        <v>683</v>
      </c>
      <c r="B684" s="16" t="s">
        <v>2295</v>
      </c>
      <c r="C684" s="17">
        <v>45949</v>
      </c>
      <c r="D684" s="15" t="s">
        <v>2296</v>
      </c>
      <c r="E684" s="18" t="s">
        <v>44</v>
      </c>
      <c r="F684" s="19" t="s">
        <v>2297</v>
      </c>
      <c r="G684" s="18" t="s">
        <v>2298</v>
      </c>
      <c r="H684" s="20" t="s">
        <v>2262</v>
      </c>
      <c r="I684" s="15">
        <v>1</v>
      </c>
      <c r="J684" s="15" t="s">
        <v>26</v>
      </c>
      <c r="K684" s="21" t="s">
        <v>116</v>
      </c>
      <c r="L684" s="21" t="s">
        <v>16</v>
      </c>
      <c r="M684" s="22">
        <v>0</v>
      </c>
      <c r="N684" s="22">
        <v>0</v>
      </c>
      <c r="O684" s="22">
        <v>2000</v>
      </c>
      <c r="P684" s="22">
        <v>2000</v>
      </c>
      <c r="Q684" t="str" cm="1">
        <f t="array" ref="Q684">_xlfn.TEXTJOIN("、",TRUE,IF('學員資料-三民高中'!$B$2:$B$454=$F684,'學員資料-三民高中'!$G$2:$G$454,""))</f>
        <v/>
      </c>
      <c r="R684" t="str" cm="1">
        <f t="array" ref="R684">_xlfn.TEXTJOIN("、",TRUE,IF('學員資料-新北高中'!$B$2:$B$583=$F684,'學員資料-新北高中'!$G$2:$G$583,""))</f>
        <v/>
      </c>
      <c r="S684" t="str" cm="1">
        <f t="array" ref="S684">_xlfn.TEXTJOIN("、",TRUE,IF('學員資料-三重商工'!$B$2:$B$472=$F684,'學員資料-三重商工'!$G$2:$G$472,""))</f>
        <v>0952110224</v>
      </c>
      <c r="T684">
        <f t="shared" si="10"/>
        <v>1</v>
      </c>
    </row>
    <row r="685" spans="1:20" ht="43.5" hidden="1" customHeight="1">
      <c r="A685" s="15">
        <v>684</v>
      </c>
      <c r="B685" s="16" t="s">
        <v>2299</v>
      </c>
      <c r="C685" s="17">
        <v>45949</v>
      </c>
      <c r="D685" s="15" t="s">
        <v>2300</v>
      </c>
      <c r="E685" s="18" t="s">
        <v>161</v>
      </c>
      <c r="F685" s="19" t="s">
        <v>2301</v>
      </c>
      <c r="G685" s="18" t="s">
        <v>2302</v>
      </c>
      <c r="H685" s="20" t="s">
        <v>436</v>
      </c>
      <c r="I685" s="15">
        <v>3</v>
      </c>
      <c r="J685" s="15" t="s">
        <v>24</v>
      </c>
      <c r="K685" s="15"/>
      <c r="L685" s="21" t="s">
        <v>16</v>
      </c>
      <c r="M685" s="22">
        <v>0</v>
      </c>
      <c r="N685" s="22">
        <v>0</v>
      </c>
      <c r="O685" s="22">
        <v>22500</v>
      </c>
      <c r="P685" s="22">
        <v>22500</v>
      </c>
      <c r="Q685" t="str" cm="1">
        <f t="array" ref="Q685">_xlfn.TEXTJOIN("、",TRUE,IF('學員資料-三民高中'!$B$2:$B$454=$F685,'學員資料-三民高中'!$G$2:$G$454,""))</f>
        <v/>
      </c>
      <c r="R685" t="str" cm="1">
        <f t="array" ref="R685">_xlfn.TEXTJOIN("、",TRUE,IF('學員資料-新北高中'!$B$2:$B$583=$F685,'學員資料-新北高中'!$G$2:$G$583,""))</f>
        <v>0958224885</v>
      </c>
      <c r="S685" t="str" cm="1">
        <f t="array" ref="S685">_xlfn.TEXTJOIN("、",TRUE,IF('學員資料-三重商工'!$B$2:$B$472=$F685,'學員資料-三重商工'!$G$2:$G$472,""))</f>
        <v/>
      </c>
      <c r="T685">
        <f t="shared" si="10"/>
        <v>1</v>
      </c>
    </row>
    <row r="686" spans="1:20" ht="43.5" hidden="1" customHeight="1">
      <c r="A686" s="15">
        <v>685</v>
      </c>
      <c r="B686" s="16" t="s">
        <v>2303</v>
      </c>
      <c r="C686" s="17">
        <v>45949</v>
      </c>
      <c r="D686" s="15" t="s">
        <v>2304</v>
      </c>
      <c r="E686" s="18" t="s">
        <v>161</v>
      </c>
      <c r="F686" s="19" t="s">
        <v>2301</v>
      </c>
      <c r="G686" s="18" t="s">
        <v>2302</v>
      </c>
      <c r="H686" s="20" t="s">
        <v>436</v>
      </c>
      <c r="I686" s="15">
        <v>3</v>
      </c>
      <c r="J686" s="15" t="s">
        <v>24</v>
      </c>
      <c r="K686" s="15"/>
      <c r="L686" s="21" t="s">
        <v>16</v>
      </c>
      <c r="M686" s="22">
        <v>0</v>
      </c>
      <c r="N686" s="22">
        <v>0</v>
      </c>
      <c r="O686" s="22">
        <v>22500</v>
      </c>
      <c r="P686" s="22">
        <v>22500</v>
      </c>
      <c r="Q686" t="str" cm="1">
        <f t="array" ref="Q686">_xlfn.TEXTJOIN("、",TRUE,IF('學員資料-三民高中'!$B$2:$B$454=$F686,'學員資料-三民高中'!$G$2:$G$454,""))</f>
        <v/>
      </c>
      <c r="R686" t="str" cm="1">
        <f t="array" ref="R686">_xlfn.TEXTJOIN("、",TRUE,IF('學員資料-新北高中'!$B$2:$B$583=$F686,'學員資料-新北高中'!$G$2:$G$583,""))</f>
        <v>0958224885</v>
      </c>
      <c r="S686" t="str" cm="1">
        <f t="array" ref="S686">_xlfn.TEXTJOIN("、",TRUE,IF('學員資料-三重商工'!$B$2:$B$472=$F686,'學員資料-三重商工'!$G$2:$G$472,""))</f>
        <v/>
      </c>
      <c r="T686">
        <f t="shared" si="10"/>
        <v>1</v>
      </c>
    </row>
    <row r="687" spans="1:20" ht="14.25" hidden="1" customHeight="1">
      <c r="A687" s="15">
        <v>686</v>
      </c>
      <c r="B687" s="16" t="s">
        <v>2305</v>
      </c>
      <c r="C687" s="17">
        <v>45948</v>
      </c>
      <c r="D687" s="15" t="s">
        <v>2306</v>
      </c>
      <c r="E687" s="18" t="s">
        <v>44</v>
      </c>
      <c r="F687" s="19" t="s">
        <v>2287</v>
      </c>
      <c r="G687" s="18" t="s">
        <v>2288</v>
      </c>
      <c r="H687" s="20" t="s">
        <v>2262</v>
      </c>
      <c r="I687" s="15">
        <v>1</v>
      </c>
      <c r="J687" s="15" t="s">
        <v>26</v>
      </c>
      <c r="K687" s="21" t="s">
        <v>116</v>
      </c>
      <c r="L687" s="21" t="s">
        <v>16</v>
      </c>
      <c r="M687" s="22">
        <v>0</v>
      </c>
      <c r="N687" s="22">
        <v>0</v>
      </c>
      <c r="O687" s="22">
        <v>2000</v>
      </c>
      <c r="P687" s="22">
        <v>2000</v>
      </c>
      <c r="Q687" t="str" cm="1">
        <f t="array" ref="Q687">_xlfn.TEXTJOIN("、",TRUE,IF('學員資料-三民高中'!$B$2:$B$454=$F687,'學員資料-三民高中'!$G$2:$G$454,""))</f>
        <v/>
      </c>
      <c r="R687" t="str" cm="1">
        <f t="array" ref="R687">_xlfn.TEXTJOIN("、",TRUE,IF('學員資料-新北高中'!$B$2:$B$583=$F687,'學員資料-新北高中'!$G$2:$G$583,""))</f>
        <v/>
      </c>
      <c r="S687" t="str" cm="1">
        <f t="array" ref="S687">_xlfn.TEXTJOIN("、",TRUE,IF('學員資料-三重商工'!$B$2:$B$472=$F687,'學員資料-三重商工'!$G$2:$G$472,""))</f>
        <v>0922448048.2</v>
      </c>
      <c r="T687">
        <f t="shared" si="10"/>
        <v>1</v>
      </c>
    </row>
    <row r="688" spans="1:20" ht="14.25" hidden="1" customHeight="1">
      <c r="A688" s="15">
        <v>687</v>
      </c>
      <c r="B688" s="16" t="s">
        <v>2307</v>
      </c>
      <c r="C688" s="17">
        <v>45948</v>
      </c>
      <c r="D688" s="15" t="s">
        <v>2308</v>
      </c>
      <c r="E688" s="23"/>
      <c r="F688" s="19" t="s">
        <v>1555</v>
      </c>
      <c r="G688" s="18" t="s">
        <v>1556</v>
      </c>
      <c r="H688" s="20" t="s">
        <v>130</v>
      </c>
      <c r="I688" s="15">
        <v>1</v>
      </c>
      <c r="J688" s="15" t="s">
        <v>25</v>
      </c>
      <c r="K688" s="15"/>
      <c r="L688" s="21" t="s">
        <v>18</v>
      </c>
      <c r="M688" s="22">
        <v>0</v>
      </c>
      <c r="N688" s="22">
        <v>0</v>
      </c>
      <c r="O688" s="22">
        <v>9900</v>
      </c>
      <c r="P688" s="22">
        <v>9900</v>
      </c>
      <c r="Q688" t="str" cm="1">
        <f t="array" ref="Q688">_xlfn.TEXTJOIN("、",TRUE,IF('學員資料-三民高中'!$B$2:$B$454=$F688,'學員資料-三民高中'!$G$2:$G$454,""))</f>
        <v>0928240053</v>
      </c>
      <c r="R688" t="str" cm="1">
        <f t="array" ref="R688">_xlfn.TEXTJOIN("、",TRUE,IF('學員資料-新北高中'!$B$2:$B$583=$F688,'學員資料-新北高中'!$G$2:$G$583,""))</f>
        <v/>
      </c>
      <c r="S688" t="str" cm="1">
        <f t="array" ref="S688">_xlfn.TEXTJOIN("、",TRUE,IF('學員資料-三重商工'!$B$2:$B$472=$F688,'學員資料-三重商工'!$G$2:$G$472,""))</f>
        <v/>
      </c>
      <c r="T688">
        <f t="shared" si="10"/>
        <v>1</v>
      </c>
    </row>
    <row r="689" spans="1:20" ht="14.25" hidden="1" customHeight="1">
      <c r="A689" s="15">
        <v>688</v>
      </c>
      <c r="B689" s="16" t="s">
        <v>2309</v>
      </c>
      <c r="C689" s="17">
        <v>45948</v>
      </c>
      <c r="D689" s="15" t="s">
        <v>2310</v>
      </c>
      <c r="E689" s="18" t="s">
        <v>44</v>
      </c>
      <c r="F689" s="19" t="s">
        <v>2311</v>
      </c>
      <c r="G689" s="18" t="s">
        <v>2312</v>
      </c>
      <c r="H689" s="20" t="s">
        <v>587</v>
      </c>
      <c r="I689" s="15">
        <v>1</v>
      </c>
      <c r="J689" s="15" t="s">
        <v>25</v>
      </c>
      <c r="K689" s="21" t="s">
        <v>116</v>
      </c>
      <c r="L689" s="21" t="s">
        <v>16</v>
      </c>
      <c r="M689" s="22">
        <v>0</v>
      </c>
      <c r="N689" s="22">
        <v>0</v>
      </c>
      <c r="O689" s="22">
        <v>1650</v>
      </c>
      <c r="P689" s="22">
        <v>1650</v>
      </c>
      <c r="Q689" t="str" cm="1">
        <f t="array" ref="Q689">_xlfn.TEXTJOIN("、",TRUE,IF('學員資料-三民高中'!$B$2:$B$454=$F689,'學員資料-三民高中'!$G$2:$G$454,""))</f>
        <v/>
      </c>
      <c r="R689" t="str" cm="1">
        <f t="array" ref="R689">_xlfn.TEXTJOIN("、",TRUE,IF('學員資料-新北高中'!$B$2:$B$583=$F689,'學員資料-新北高中'!$G$2:$G$583,""))</f>
        <v/>
      </c>
      <c r="S689" t="str" cm="1">
        <f t="array" ref="S689">_xlfn.TEXTJOIN("、",TRUE,IF('學員資料-三重商工'!$B$2:$B$472=$F689,'學員資料-三重商工'!$G$2:$G$472,""))</f>
        <v>0911103376</v>
      </c>
      <c r="T689">
        <f t="shared" si="10"/>
        <v>1</v>
      </c>
    </row>
    <row r="690" spans="1:20" ht="14.25" hidden="1" customHeight="1">
      <c r="A690" s="15">
        <v>689</v>
      </c>
      <c r="B690" s="16" t="s">
        <v>2313</v>
      </c>
      <c r="C690" s="17">
        <v>45947</v>
      </c>
      <c r="D690" s="15" t="s">
        <v>2314</v>
      </c>
      <c r="E690" s="18" t="s">
        <v>83</v>
      </c>
      <c r="F690" s="19" t="s">
        <v>1736</v>
      </c>
      <c r="G690" s="18" t="s">
        <v>1737</v>
      </c>
      <c r="H690" s="20" t="s">
        <v>130</v>
      </c>
      <c r="I690" s="15">
        <v>1</v>
      </c>
      <c r="J690" s="15" t="s">
        <v>25</v>
      </c>
      <c r="K690" s="15"/>
      <c r="L690" s="21" t="s">
        <v>18</v>
      </c>
      <c r="M690" s="22">
        <v>0</v>
      </c>
      <c r="N690" s="22">
        <v>-2640</v>
      </c>
      <c r="O690" s="22">
        <v>7260</v>
      </c>
      <c r="P690" s="22">
        <v>7260</v>
      </c>
      <c r="Q690" t="str" cm="1">
        <f t="array" ref="Q690">_xlfn.TEXTJOIN("、",TRUE,IF('學員資料-三民高中'!$B$2:$B$454=$F690,'學員資料-三民高中'!$G$2:$G$454,""))</f>
        <v/>
      </c>
      <c r="R690" t="str" cm="1">
        <f t="array" ref="R690">_xlfn.TEXTJOIN("、",TRUE,IF('學員資料-新北高中'!$B$2:$B$583=$F690,'學員資料-新北高中'!$G$2:$G$583,""))</f>
        <v/>
      </c>
      <c r="S690" t="str" cm="1">
        <f t="array" ref="S690">_xlfn.TEXTJOIN("、",TRUE,IF('學員資料-三重商工'!$B$2:$B$472=$F690,'學員資料-三重商工'!$G$2:$G$472,""))</f>
        <v>0952189532</v>
      </c>
      <c r="T690">
        <f t="shared" si="10"/>
        <v>1</v>
      </c>
    </row>
    <row r="691" spans="1:20" ht="14.25" hidden="1" customHeight="1">
      <c r="A691" s="15">
        <v>690</v>
      </c>
      <c r="B691" s="16" t="s">
        <v>2315</v>
      </c>
      <c r="C691" s="17">
        <v>45947</v>
      </c>
      <c r="D691" s="15" t="s">
        <v>2316</v>
      </c>
      <c r="E691" s="18" t="s">
        <v>78</v>
      </c>
      <c r="F691" s="19" t="s">
        <v>2317</v>
      </c>
      <c r="G691" s="18" t="s">
        <v>2318</v>
      </c>
      <c r="H691" s="20" t="s">
        <v>266</v>
      </c>
      <c r="I691" s="15">
        <v>1</v>
      </c>
      <c r="J691" s="15" t="s">
        <v>24</v>
      </c>
      <c r="K691" s="15"/>
      <c r="L691" s="21" t="s">
        <v>16</v>
      </c>
      <c r="M691" s="22">
        <v>0</v>
      </c>
      <c r="N691" s="22">
        <v>0</v>
      </c>
      <c r="O691" s="22">
        <v>10800</v>
      </c>
      <c r="P691" s="22">
        <v>10800</v>
      </c>
      <c r="Q691" t="str" cm="1">
        <f t="array" ref="Q691">_xlfn.TEXTJOIN("、",TRUE,IF('學員資料-三民高中'!$B$2:$B$454=$F691,'學員資料-三民高中'!$G$2:$G$454,""))</f>
        <v/>
      </c>
      <c r="R691" t="str" cm="1">
        <f t="array" ref="R691">_xlfn.TEXTJOIN("、",TRUE,IF('學員資料-新北高中'!$B$2:$B$583=$F691,'學員資料-新北高中'!$G$2:$G$583,""))</f>
        <v>0937027629</v>
      </c>
      <c r="S691" t="str" cm="1">
        <f t="array" ref="S691">_xlfn.TEXTJOIN("、",TRUE,IF('學員資料-三重商工'!$B$2:$B$472=$F691,'學員資料-三重商工'!$G$2:$G$472,""))</f>
        <v/>
      </c>
      <c r="T691">
        <f t="shared" si="10"/>
        <v>1</v>
      </c>
    </row>
    <row r="692" spans="1:20" ht="14.25" hidden="1" customHeight="1">
      <c r="A692" s="15">
        <v>691</v>
      </c>
      <c r="B692" s="16" t="s">
        <v>2319</v>
      </c>
      <c r="C692" s="17">
        <v>45947</v>
      </c>
      <c r="D692" s="15" t="s">
        <v>2320</v>
      </c>
      <c r="E692" s="18" t="s">
        <v>78</v>
      </c>
      <c r="F692" s="19" t="s">
        <v>2321</v>
      </c>
      <c r="G692" s="18" t="s">
        <v>2322</v>
      </c>
      <c r="H692" s="20" t="s">
        <v>52</v>
      </c>
      <c r="I692" s="15">
        <v>1</v>
      </c>
      <c r="J692" s="15" t="s">
        <v>24</v>
      </c>
      <c r="K692" s="15"/>
      <c r="L692" s="21" t="s">
        <v>16</v>
      </c>
      <c r="M692" s="22">
        <v>0</v>
      </c>
      <c r="N692" s="22">
        <v>0</v>
      </c>
      <c r="O692" s="22">
        <v>7500</v>
      </c>
      <c r="P692" s="22">
        <v>7500</v>
      </c>
      <c r="Q692" t="str" cm="1">
        <f t="array" ref="Q692">_xlfn.TEXTJOIN("、",TRUE,IF('學員資料-三民高中'!$B$2:$B$454=$F692,'學員資料-三民高中'!$G$2:$G$454,""))</f>
        <v/>
      </c>
      <c r="R692" t="str" cm="1">
        <f t="array" ref="R692">_xlfn.TEXTJOIN("、",TRUE,IF('學員資料-新北高中'!$B$2:$B$583=$F692,'學員資料-新北高中'!$G$2:$G$583,""))</f>
        <v>0970061461</v>
      </c>
      <c r="S692" t="str" cm="1">
        <f t="array" ref="S692">_xlfn.TEXTJOIN("、",TRUE,IF('學員資料-三重商工'!$B$2:$B$472=$F692,'學員資料-三重商工'!$G$2:$G$472,""))</f>
        <v/>
      </c>
      <c r="T692">
        <f t="shared" si="10"/>
        <v>1</v>
      </c>
    </row>
    <row r="693" spans="1:20" ht="14.25" hidden="1" customHeight="1">
      <c r="A693" s="15">
        <v>692</v>
      </c>
      <c r="B693" s="16" t="s">
        <v>2323</v>
      </c>
      <c r="C693" s="17">
        <v>45947</v>
      </c>
      <c r="D693" s="15" t="s">
        <v>2324</v>
      </c>
      <c r="E693" s="18" t="s">
        <v>763</v>
      </c>
      <c r="F693" s="19" t="s">
        <v>1410</v>
      </c>
      <c r="G693" s="18" t="s">
        <v>1411</v>
      </c>
      <c r="H693" s="20" t="s">
        <v>52</v>
      </c>
      <c r="I693" s="15">
        <v>1</v>
      </c>
      <c r="J693" s="15" t="s">
        <v>24</v>
      </c>
      <c r="K693" s="15"/>
      <c r="L693" s="21" t="s">
        <v>16</v>
      </c>
      <c r="M693" s="22">
        <v>0</v>
      </c>
      <c r="N693" s="22">
        <v>0</v>
      </c>
      <c r="O693" s="22">
        <v>7500</v>
      </c>
      <c r="P693" s="22">
        <v>7500</v>
      </c>
      <c r="Q693" t="str" cm="1">
        <f t="array" ref="Q693">_xlfn.TEXTJOIN("、",TRUE,IF('學員資料-三民高中'!$B$2:$B$454=$F693,'學員資料-三民高中'!$G$2:$G$454,""))</f>
        <v>0972227077</v>
      </c>
      <c r="R693" t="str" cm="1">
        <f t="array" ref="R693">_xlfn.TEXTJOIN("、",TRUE,IF('學員資料-新北高中'!$B$2:$B$583=$F693,'學員資料-新北高中'!$G$2:$G$583,""))</f>
        <v/>
      </c>
      <c r="S693" t="str" cm="1">
        <f t="array" ref="S693">_xlfn.TEXTJOIN("、",TRUE,IF('學員資料-三重商工'!$B$2:$B$472=$F693,'學員資料-三重商工'!$G$2:$G$472,""))</f>
        <v/>
      </c>
      <c r="T693">
        <f t="shared" si="10"/>
        <v>1</v>
      </c>
    </row>
    <row r="694" spans="1:20" ht="14.25" hidden="1" customHeight="1">
      <c r="A694" s="15">
        <v>693</v>
      </c>
      <c r="B694" s="16" t="s">
        <v>2325</v>
      </c>
      <c r="C694" s="17">
        <v>45947</v>
      </c>
      <c r="D694" s="15" t="s">
        <v>2326</v>
      </c>
      <c r="E694" s="18" t="s">
        <v>763</v>
      </c>
      <c r="F694" s="19" t="s">
        <v>2327</v>
      </c>
      <c r="G694" s="18" t="s">
        <v>2328</v>
      </c>
      <c r="H694" s="20" t="s">
        <v>130</v>
      </c>
      <c r="I694" s="15">
        <v>1</v>
      </c>
      <c r="J694" s="15" t="s">
        <v>25</v>
      </c>
      <c r="K694" s="15"/>
      <c r="L694" s="21" t="s">
        <v>16</v>
      </c>
      <c r="M694" s="22">
        <v>0</v>
      </c>
      <c r="N694" s="22">
        <v>0</v>
      </c>
      <c r="O694" s="22">
        <v>9900</v>
      </c>
      <c r="P694" s="22">
        <v>9900</v>
      </c>
      <c r="Q694" t="str" cm="1">
        <f t="array" ref="Q694">_xlfn.TEXTJOIN("、",TRUE,IF('學員資料-三民高中'!$B$2:$B$454=$F694,'學員資料-三民高中'!$G$2:$G$454,""))</f>
        <v>0980123946</v>
      </c>
      <c r="R694" t="str" cm="1">
        <f t="array" ref="R694">_xlfn.TEXTJOIN("、",TRUE,IF('學員資料-新北高中'!$B$2:$B$583=$F694,'學員資料-新北高中'!$G$2:$G$583,""))</f>
        <v/>
      </c>
      <c r="S694" t="str" cm="1">
        <f t="array" ref="S694">_xlfn.TEXTJOIN("、",TRUE,IF('學員資料-三重商工'!$B$2:$B$472=$F694,'學員資料-三重商工'!$G$2:$G$472,""))</f>
        <v/>
      </c>
      <c r="T694">
        <f t="shared" si="10"/>
        <v>1</v>
      </c>
    </row>
    <row r="695" spans="1:20" ht="14.25" hidden="1" customHeight="1">
      <c r="A695" s="15">
        <v>694</v>
      </c>
      <c r="B695" s="16" t="s">
        <v>2329</v>
      </c>
      <c r="C695" s="17">
        <v>45947</v>
      </c>
      <c r="D695" s="15" t="s">
        <v>2330</v>
      </c>
      <c r="E695" s="18" t="s">
        <v>763</v>
      </c>
      <c r="F695" s="19" t="s">
        <v>1539</v>
      </c>
      <c r="G695" s="18" t="s">
        <v>1540</v>
      </c>
      <c r="H695" s="20" t="s">
        <v>66</v>
      </c>
      <c r="I695" s="15">
        <v>1</v>
      </c>
      <c r="J695" s="15" t="s">
        <v>23</v>
      </c>
      <c r="K695" s="15"/>
      <c r="L695" s="21" t="s">
        <v>16</v>
      </c>
      <c r="M695" s="22">
        <v>0</v>
      </c>
      <c r="N695" s="22">
        <v>0</v>
      </c>
      <c r="O695" s="22">
        <v>6900</v>
      </c>
      <c r="P695" s="22">
        <v>6900</v>
      </c>
      <c r="Q695" t="str" cm="1">
        <f t="array" ref="Q695">_xlfn.TEXTJOIN("、",TRUE,IF('學員資料-三民高中'!$B$2:$B$454=$F695,'學員資料-三民高中'!$G$2:$G$454,""))</f>
        <v>0939173830</v>
      </c>
      <c r="R695" t="str" cm="1">
        <f t="array" ref="R695">_xlfn.TEXTJOIN("、",TRUE,IF('學員資料-新北高中'!$B$2:$B$583=$F695,'學員資料-新北高中'!$G$2:$G$583,""))</f>
        <v/>
      </c>
      <c r="S695" t="str" cm="1">
        <f t="array" ref="S695">_xlfn.TEXTJOIN("、",TRUE,IF('學員資料-三重商工'!$B$2:$B$472=$F695,'學員資料-三重商工'!$G$2:$G$472,""))</f>
        <v/>
      </c>
      <c r="T695">
        <f t="shared" si="10"/>
        <v>1</v>
      </c>
    </row>
    <row r="696" spans="1:20" ht="14.25" hidden="1" customHeight="1">
      <c r="A696" s="15">
        <v>695</v>
      </c>
      <c r="B696" s="16" t="s">
        <v>2331</v>
      </c>
      <c r="C696" s="17">
        <v>45947</v>
      </c>
      <c r="D696" s="15" t="s">
        <v>2332</v>
      </c>
      <c r="E696" s="18" t="s">
        <v>763</v>
      </c>
      <c r="F696" s="19" t="s">
        <v>1637</v>
      </c>
      <c r="G696" s="18" t="s">
        <v>1641</v>
      </c>
      <c r="H696" s="20" t="s">
        <v>210</v>
      </c>
      <c r="I696" s="15">
        <v>1</v>
      </c>
      <c r="J696" s="15" t="s">
        <v>26</v>
      </c>
      <c r="K696" s="15"/>
      <c r="L696" s="21" t="s">
        <v>16</v>
      </c>
      <c r="M696" s="22">
        <v>0</v>
      </c>
      <c r="N696" s="22">
        <v>0</v>
      </c>
      <c r="O696" s="22">
        <v>12000</v>
      </c>
      <c r="P696" s="22">
        <v>12000</v>
      </c>
      <c r="Q696" t="str" cm="1">
        <f t="array" ref="Q696">_xlfn.TEXTJOIN("、",TRUE,IF('學員資料-三民高中'!$B$2:$B$454=$F696,'學員資料-三民高中'!$G$2:$G$454,""))</f>
        <v>0926909998</v>
      </c>
      <c r="R696" t="str" cm="1">
        <f t="array" ref="R696">_xlfn.TEXTJOIN("、",TRUE,IF('學員資料-新北高中'!$B$2:$B$583=$F696,'學員資料-新北高中'!$G$2:$G$583,""))</f>
        <v/>
      </c>
      <c r="S696" t="str" cm="1">
        <f t="array" ref="S696">_xlfn.TEXTJOIN("、",TRUE,IF('學員資料-三重商工'!$B$2:$B$472=$F696,'學員資料-三重商工'!$G$2:$G$472,""))</f>
        <v/>
      </c>
      <c r="T696">
        <f t="shared" si="10"/>
        <v>1</v>
      </c>
    </row>
    <row r="697" spans="1:20" ht="28.5" hidden="1" customHeight="1">
      <c r="A697" s="15">
        <v>696</v>
      </c>
      <c r="B697" s="16" t="s">
        <v>2333</v>
      </c>
      <c r="C697" s="17">
        <v>45947</v>
      </c>
      <c r="D697" s="15" t="s">
        <v>2334</v>
      </c>
      <c r="E697" s="18" t="s">
        <v>763</v>
      </c>
      <c r="F697" s="19" t="s">
        <v>1175</v>
      </c>
      <c r="G697" s="18" t="s">
        <v>1176</v>
      </c>
      <c r="H697" s="20" t="s">
        <v>75</v>
      </c>
      <c r="I697" s="15">
        <v>2</v>
      </c>
      <c r="J697" s="15" t="s">
        <v>23</v>
      </c>
      <c r="K697" s="15"/>
      <c r="L697" s="21" t="s">
        <v>16</v>
      </c>
      <c r="M697" s="22">
        <v>0</v>
      </c>
      <c r="N697" s="22">
        <v>0</v>
      </c>
      <c r="O697" s="22">
        <v>13800</v>
      </c>
      <c r="P697" s="22">
        <v>13800</v>
      </c>
      <c r="Q697" t="str" cm="1">
        <f t="array" ref="Q697">_xlfn.TEXTJOIN("、",TRUE,IF('學員資料-三民高中'!$B$2:$B$454=$F697,'學員資料-三民高中'!$G$2:$G$454,""))</f>
        <v>0963008351</v>
      </c>
      <c r="R697" t="str" cm="1">
        <f t="array" ref="R697">_xlfn.TEXTJOIN("、",TRUE,IF('學員資料-新北高中'!$B$2:$B$583=$F697,'學員資料-新北高中'!$G$2:$G$583,""))</f>
        <v/>
      </c>
      <c r="S697" t="str" cm="1">
        <f t="array" ref="S697">_xlfn.TEXTJOIN("、",TRUE,IF('學員資料-三重商工'!$B$2:$B$472=$F697,'學員資料-三重商工'!$G$2:$G$472,""))</f>
        <v/>
      </c>
      <c r="T697">
        <f t="shared" si="10"/>
        <v>1</v>
      </c>
    </row>
    <row r="698" spans="1:20" ht="14.25" hidden="1" customHeight="1">
      <c r="A698" s="15">
        <v>697</v>
      </c>
      <c r="B698" s="16" t="s">
        <v>2335</v>
      </c>
      <c r="C698" s="17">
        <v>45947</v>
      </c>
      <c r="D698" s="15" t="s">
        <v>2336</v>
      </c>
      <c r="E698" s="18" t="s">
        <v>763</v>
      </c>
      <c r="F698" s="19" t="s">
        <v>2337</v>
      </c>
      <c r="G698" s="18" t="s">
        <v>2338</v>
      </c>
      <c r="H698" s="20" t="s">
        <v>130</v>
      </c>
      <c r="I698" s="15">
        <v>1</v>
      </c>
      <c r="J698" s="15" t="s">
        <v>25</v>
      </c>
      <c r="K698" s="15"/>
      <c r="L698" s="21" t="s">
        <v>16</v>
      </c>
      <c r="M698" s="22">
        <v>0</v>
      </c>
      <c r="N698" s="22">
        <v>0</v>
      </c>
      <c r="O698" s="22">
        <v>9900</v>
      </c>
      <c r="P698" s="22">
        <v>9900</v>
      </c>
      <c r="Q698" t="str" cm="1">
        <f t="array" ref="Q698">_xlfn.TEXTJOIN("、",TRUE,IF('學員資料-三民高中'!$B$2:$B$454=$F698,'學員資料-三民高中'!$G$2:$G$454,""))</f>
        <v>0989637222</v>
      </c>
      <c r="R698" t="str" cm="1">
        <f t="array" ref="R698">_xlfn.TEXTJOIN("、",TRUE,IF('學員資料-新北高中'!$B$2:$B$583=$F698,'學員資料-新北高中'!$G$2:$G$583,""))</f>
        <v/>
      </c>
      <c r="S698" t="str" cm="1">
        <f t="array" ref="S698">_xlfn.TEXTJOIN("、",TRUE,IF('學員資料-三重商工'!$B$2:$B$472=$F698,'學員資料-三重商工'!$G$2:$G$472,""))</f>
        <v/>
      </c>
      <c r="T698">
        <f t="shared" si="10"/>
        <v>1</v>
      </c>
    </row>
    <row r="699" spans="1:20" ht="14.25" hidden="1" customHeight="1">
      <c r="A699" s="15">
        <v>698</v>
      </c>
      <c r="B699" s="16" t="s">
        <v>2339</v>
      </c>
      <c r="C699" s="17">
        <v>45947</v>
      </c>
      <c r="D699" s="15" t="s">
        <v>2340</v>
      </c>
      <c r="E699" s="18" t="s">
        <v>763</v>
      </c>
      <c r="F699" s="19" t="s">
        <v>79</v>
      </c>
      <c r="G699" s="18" t="s">
        <v>80</v>
      </c>
      <c r="H699" s="20" t="s">
        <v>66</v>
      </c>
      <c r="I699" s="15">
        <v>1</v>
      </c>
      <c r="J699" s="15" t="s">
        <v>23</v>
      </c>
      <c r="K699" s="15"/>
      <c r="L699" s="21" t="s">
        <v>16</v>
      </c>
      <c r="M699" s="22">
        <v>0</v>
      </c>
      <c r="N699" s="22">
        <v>0</v>
      </c>
      <c r="O699" s="22">
        <v>6900</v>
      </c>
      <c r="P699" s="22">
        <v>6900</v>
      </c>
      <c r="Q699" t="str" cm="1">
        <f t="array" ref="Q699">_xlfn.TEXTJOIN("、",TRUE,IF('學員資料-三民高中'!$B$2:$B$454=$F699,'學員資料-三民高中'!$G$2:$G$454,""))</f>
        <v>0926037987</v>
      </c>
      <c r="R699" t="str" cm="1">
        <f t="array" ref="R699">_xlfn.TEXTJOIN("、",TRUE,IF('學員資料-新北高中'!$B$2:$B$583=$F699,'學員資料-新北高中'!$G$2:$G$583,""))</f>
        <v/>
      </c>
      <c r="S699" t="str" cm="1">
        <f t="array" ref="S699">_xlfn.TEXTJOIN("、",TRUE,IF('學員資料-三重商工'!$B$2:$B$472=$F699,'學員資料-三重商工'!$G$2:$G$472,""))</f>
        <v/>
      </c>
      <c r="T699">
        <f t="shared" si="10"/>
        <v>1</v>
      </c>
    </row>
    <row r="700" spans="1:20" ht="14.25" hidden="1" customHeight="1">
      <c r="A700" s="15">
        <v>699</v>
      </c>
      <c r="B700" s="16" t="s">
        <v>2341</v>
      </c>
      <c r="C700" s="17">
        <v>45947</v>
      </c>
      <c r="D700" s="15" t="s">
        <v>2342</v>
      </c>
      <c r="E700" s="18" t="s">
        <v>763</v>
      </c>
      <c r="F700" s="19" t="s">
        <v>2343</v>
      </c>
      <c r="G700" s="18" t="s">
        <v>2344</v>
      </c>
      <c r="H700" s="20" t="s">
        <v>52</v>
      </c>
      <c r="I700" s="15">
        <v>1</v>
      </c>
      <c r="J700" s="15" t="s">
        <v>24</v>
      </c>
      <c r="K700" s="15"/>
      <c r="L700" s="21" t="s">
        <v>16</v>
      </c>
      <c r="M700" s="22">
        <v>0</v>
      </c>
      <c r="N700" s="22">
        <v>0</v>
      </c>
      <c r="O700" s="22">
        <v>7500</v>
      </c>
      <c r="P700" s="22">
        <v>7500</v>
      </c>
      <c r="Q700" t="str" cm="1">
        <f t="array" ref="Q700">_xlfn.TEXTJOIN("、",TRUE,IF('學員資料-三民高中'!$B$2:$B$454=$F700,'學員資料-三民高中'!$G$2:$G$454,""))</f>
        <v>0916704002</v>
      </c>
      <c r="R700" t="str" cm="1">
        <f t="array" ref="R700">_xlfn.TEXTJOIN("、",TRUE,IF('學員資料-新北高中'!$B$2:$B$583=$F700,'學員資料-新北高中'!$G$2:$G$583,""))</f>
        <v/>
      </c>
      <c r="S700" t="str" cm="1">
        <f t="array" ref="S700">_xlfn.TEXTJOIN("、",TRUE,IF('學員資料-三重商工'!$B$2:$B$472=$F700,'學員資料-三重商工'!$G$2:$G$472,""))</f>
        <v/>
      </c>
      <c r="T700">
        <f t="shared" si="10"/>
        <v>1</v>
      </c>
    </row>
    <row r="701" spans="1:20" ht="14.25" hidden="1" customHeight="1">
      <c r="A701" s="15">
        <v>700</v>
      </c>
      <c r="B701" s="16" t="s">
        <v>2345</v>
      </c>
      <c r="C701" s="17">
        <v>45944</v>
      </c>
      <c r="D701" s="15" t="s">
        <v>2346</v>
      </c>
      <c r="E701" s="18" t="s">
        <v>44</v>
      </c>
      <c r="F701" s="19" t="s">
        <v>2142</v>
      </c>
      <c r="G701" s="18" t="s">
        <v>2143</v>
      </c>
      <c r="H701" s="20" t="s">
        <v>66</v>
      </c>
      <c r="I701" s="15">
        <v>1</v>
      </c>
      <c r="J701" s="15" t="s">
        <v>23</v>
      </c>
      <c r="K701" s="15"/>
      <c r="L701" s="21" t="s">
        <v>16</v>
      </c>
      <c r="M701" s="22">
        <v>0</v>
      </c>
      <c r="N701" s="22">
        <v>0</v>
      </c>
      <c r="O701" s="22">
        <v>6900</v>
      </c>
      <c r="P701" s="22">
        <v>6900</v>
      </c>
      <c r="Q701" t="str" cm="1">
        <f t="array" ref="Q701">_xlfn.TEXTJOIN("、",TRUE,IF('學員資料-三民高中'!$B$2:$B$454=$F701,'學員資料-三民高中'!$G$2:$G$454,""))</f>
        <v/>
      </c>
      <c r="R701" t="str" cm="1">
        <f t="array" ref="R701">_xlfn.TEXTJOIN("、",TRUE,IF('學員資料-新北高中'!$B$2:$B$583=$F701,'學員資料-新北高中'!$G$2:$G$583,""))</f>
        <v/>
      </c>
      <c r="S701" t="str" cm="1">
        <f t="array" ref="S701">_xlfn.TEXTJOIN("、",TRUE,IF('學員資料-三重商工'!$B$2:$B$472=$F701,'學員資料-三重商工'!$G$2:$G$472,""))</f>
        <v>0916873839</v>
      </c>
      <c r="T701">
        <f t="shared" si="10"/>
        <v>1</v>
      </c>
    </row>
    <row r="702" spans="1:20" ht="14.25" hidden="1" customHeight="1">
      <c r="A702" s="15">
        <v>701</v>
      </c>
      <c r="B702" s="16" t="s">
        <v>2347</v>
      </c>
      <c r="C702" s="17">
        <v>45942</v>
      </c>
      <c r="D702" s="15" t="s">
        <v>2348</v>
      </c>
      <c r="E702" s="23"/>
      <c r="F702" s="19" t="s">
        <v>2349</v>
      </c>
      <c r="G702" s="18" t="s">
        <v>2350</v>
      </c>
      <c r="H702" s="20" t="s">
        <v>66</v>
      </c>
      <c r="I702" s="15">
        <v>1</v>
      </c>
      <c r="J702" s="15" t="s">
        <v>23</v>
      </c>
      <c r="K702" s="15"/>
      <c r="L702" s="21" t="s">
        <v>16</v>
      </c>
      <c r="M702" s="22">
        <v>0</v>
      </c>
      <c r="N702" s="22">
        <v>0</v>
      </c>
      <c r="O702" s="22">
        <v>6900</v>
      </c>
      <c r="P702" s="22">
        <v>6900</v>
      </c>
      <c r="Q702" t="str" cm="1">
        <f t="array" ref="Q702">_xlfn.TEXTJOIN("、",TRUE,IF('學員資料-三民高中'!$B$2:$B$454=$F702,'學員資料-三民高中'!$G$2:$G$454,""))</f>
        <v/>
      </c>
      <c r="R702" t="str" cm="1">
        <f t="array" ref="R702">_xlfn.TEXTJOIN("、",TRUE,IF('學員資料-新北高中'!$B$2:$B$583=$F702,'學員資料-新北高中'!$G$2:$G$583,""))</f>
        <v>0917395316</v>
      </c>
      <c r="S702" t="str" cm="1">
        <f t="array" ref="S702">_xlfn.TEXTJOIN("、",TRUE,IF('學員資料-三重商工'!$B$2:$B$472=$F702,'學員資料-三重商工'!$G$2:$G$472,""))</f>
        <v/>
      </c>
      <c r="T702">
        <f t="shared" si="10"/>
        <v>1</v>
      </c>
    </row>
    <row r="703" spans="1:20" ht="14.25" hidden="1" customHeight="1">
      <c r="A703" s="15">
        <v>702</v>
      </c>
      <c r="B703" s="16" t="s">
        <v>2351</v>
      </c>
      <c r="C703" s="17">
        <v>45942</v>
      </c>
      <c r="D703" s="15" t="s">
        <v>2352</v>
      </c>
      <c r="E703" s="23"/>
      <c r="F703" s="19" t="s">
        <v>2353</v>
      </c>
      <c r="G703" s="18" t="s">
        <v>2354</v>
      </c>
      <c r="H703" s="20" t="s">
        <v>52</v>
      </c>
      <c r="I703" s="15">
        <v>1</v>
      </c>
      <c r="J703" s="15" t="s">
        <v>24</v>
      </c>
      <c r="K703" s="15"/>
      <c r="L703" s="21" t="s">
        <v>18</v>
      </c>
      <c r="M703" s="22">
        <v>0</v>
      </c>
      <c r="N703" s="22">
        <v>0</v>
      </c>
      <c r="O703" s="22">
        <v>7500</v>
      </c>
      <c r="P703" s="22">
        <v>7500</v>
      </c>
      <c r="Q703" t="str" cm="1">
        <f t="array" ref="Q703">_xlfn.TEXTJOIN("、",TRUE,IF('學員資料-三民高中'!$B$2:$B$454=$F703,'學員資料-三民高中'!$G$2:$G$454,""))</f>
        <v>0916879116-1</v>
      </c>
      <c r="R703" t="str" cm="1">
        <f t="array" ref="R703">_xlfn.TEXTJOIN("、",TRUE,IF('學員資料-新北高中'!$B$2:$B$583=$F703,'學員資料-新北高中'!$G$2:$G$583,""))</f>
        <v/>
      </c>
      <c r="S703" t="str" cm="1">
        <f t="array" ref="S703">_xlfn.TEXTJOIN("、",TRUE,IF('學員資料-三重商工'!$B$2:$B$472=$F703,'學員資料-三重商工'!$G$2:$G$472,""))</f>
        <v/>
      </c>
      <c r="T703">
        <f t="shared" si="10"/>
        <v>1</v>
      </c>
    </row>
    <row r="704" spans="1:20" ht="14.25" hidden="1" customHeight="1">
      <c r="A704" s="15">
        <v>703</v>
      </c>
      <c r="B704" s="16" t="s">
        <v>2355</v>
      </c>
      <c r="C704" s="17">
        <v>45942</v>
      </c>
      <c r="D704" s="15" t="s">
        <v>2356</v>
      </c>
      <c r="E704" s="23"/>
      <c r="F704" s="19" t="s">
        <v>894</v>
      </c>
      <c r="G704" s="18" t="s">
        <v>895</v>
      </c>
      <c r="H704" s="20" t="s">
        <v>66</v>
      </c>
      <c r="I704" s="15">
        <v>1</v>
      </c>
      <c r="J704" s="15" t="s">
        <v>23</v>
      </c>
      <c r="K704" s="15"/>
      <c r="L704" s="21" t="s">
        <v>18</v>
      </c>
      <c r="M704" s="22">
        <v>0</v>
      </c>
      <c r="N704" s="22">
        <v>0</v>
      </c>
      <c r="O704" s="22">
        <v>6900</v>
      </c>
      <c r="P704" s="22">
        <v>6900</v>
      </c>
      <c r="Q704" t="str" cm="1">
        <f t="array" ref="Q704">_xlfn.TEXTJOIN("、",TRUE,IF('學員資料-三民高中'!$B$2:$B$454=$F704,'學員資料-三民高中'!$G$2:$G$454,""))</f>
        <v>0937883593</v>
      </c>
      <c r="R704" t="str" cm="1">
        <f t="array" ref="R704">_xlfn.TEXTJOIN("、",TRUE,IF('學員資料-新北高中'!$B$2:$B$583=$F704,'學員資料-新北高中'!$G$2:$G$583,""))</f>
        <v/>
      </c>
      <c r="S704" t="str" cm="1">
        <f t="array" ref="S704">_xlfn.TEXTJOIN("、",TRUE,IF('學員資料-三重商工'!$B$2:$B$472=$F704,'學員資料-三重商工'!$G$2:$G$472,""))</f>
        <v/>
      </c>
      <c r="T704">
        <f t="shared" si="10"/>
        <v>1</v>
      </c>
    </row>
    <row r="705" spans="1:20" ht="14.25" hidden="1" customHeight="1">
      <c r="A705" s="15">
        <v>704</v>
      </c>
      <c r="B705" s="16" t="s">
        <v>2357</v>
      </c>
      <c r="C705" s="17">
        <v>45942</v>
      </c>
      <c r="D705" s="15" t="s">
        <v>2358</v>
      </c>
      <c r="E705" s="23"/>
      <c r="F705" s="19" t="s">
        <v>2359</v>
      </c>
      <c r="G705" s="18" t="s">
        <v>2360</v>
      </c>
      <c r="H705" s="20" t="s">
        <v>52</v>
      </c>
      <c r="I705" s="15">
        <v>1</v>
      </c>
      <c r="J705" s="15" t="s">
        <v>24</v>
      </c>
      <c r="K705" s="15"/>
      <c r="L705" s="21" t="s">
        <v>18</v>
      </c>
      <c r="M705" s="22">
        <v>0</v>
      </c>
      <c r="N705" s="22">
        <v>0</v>
      </c>
      <c r="O705" s="22">
        <v>7500</v>
      </c>
      <c r="P705" s="22">
        <v>7500</v>
      </c>
      <c r="Q705" t="str" cm="1">
        <f t="array" ref="Q705">_xlfn.TEXTJOIN("、",TRUE,IF('學員資料-三民高中'!$B$2:$B$454=$F705,'學員資料-三民高中'!$G$2:$G$454,""))</f>
        <v>0937017975</v>
      </c>
      <c r="R705" t="str" cm="1">
        <f t="array" ref="R705">_xlfn.TEXTJOIN("、",TRUE,IF('學員資料-新北高中'!$B$2:$B$583=$F705,'學員資料-新北高中'!$G$2:$G$583,""))</f>
        <v/>
      </c>
      <c r="S705" t="str" cm="1">
        <f t="array" ref="S705">_xlfn.TEXTJOIN("、",TRUE,IF('學員資料-三重商工'!$B$2:$B$472=$F705,'學員資料-三重商工'!$G$2:$G$472,""))</f>
        <v/>
      </c>
      <c r="T705">
        <f t="shared" si="10"/>
        <v>1</v>
      </c>
    </row>
    <row r="706" spans="1:20" ht="14.25" hidden="1" customHeight="1">
      <c r="A706" s="15">
        <v>705</v>
      </c>
      <c r="B706" s="16" t="s">
        <v>2361</v>
      </c>
      <c r="C706" s="17">
        <v>45942</v>
      </c>
      <c r="D706" s="15" t="s">
        <v>2362</v>
      </c>
      <c r="E706" s="23"/>
      <c r="F706" s="19" t="s">
        <v>1672</v>
      </c>
      <c r="G706" s="18" t="s">
        <v>1673</v>
      </c>
      <c r="H706" s="20" t="s">
        <v>52</v>
      </c>
      <c r="I706" s="15">
        <v>1</v>
      </c>
      <c r="J706" s="15" t="s">
        <v>24</v>
      </c>
      <c r="K706" s="15"/>
      <c r="L706" s="21" t="s">
        <v>18</v>
      </c>
      <c r="M706" s="22">
        <v>0</v>
      </c>
      <c r="N706" s="22">
        <v>0</v>
      </c>
      <c r="O706" s="22">
        <v>7500</v>
      </c>
      <c r="P706" s="22">
        <v>7500</v>
      </c>
      <c r="Q706" t="str" cm="1">
        <f t="array" ref="Q706">_xlfn.TEXTJOIN("、",TRUE,IF('學員資料-三民高中'!$B$2:$B$454=$F706,'學員資料-三民高中'!$G$2:$G$454,""))</f>
        <v/>
      </c>
      <c r="R706" t="str" cm="1">
        <f t="array" ref="R706">_xlfn.TEXTJOIN("、",TRUE,IF('學員資料-新北高中'!$B$2:$B$583=$F706,'學員資料-新北高中'!$G$2:$G$583,""))</f>
        <v>0970977986</v>
      </c>
      <c r="S706" t="str" cm="1">
        <f t="array" ref="S706">_xlfn.TEXTJOIN("、",TRUE,IF('學員資料-三重商工'!$B$2:$B$472=$F706,'學員資料-三重商工'!$G$2:$G$472,""))</f>
        <v/>
      </c>
      <c r="T706">
        <f t="shared" si="10"/>
        <v>1</v>
      </c>
    </row>
    <row r="707" spans="1:20" ht="28.5" hidden="1" customHeight="1">
      <c r="A707" s="15">
        <v>706</v>
      </c>
      <c r="B707" s="16" t="s">
        <v>2363</v>
      </c>
      <c r="C707" s="17">
        <v>45942</v>
      </c>
      <c r="D707" s="15" t="s">
        <v>2364</v>
      </c>
      <c r="E707" s="18" t="s">
        <v>44</v>
      </c>
      <c r="F707" s="19" t="s">
        <v>1977</v>
      </c>
      <c r="G707" s="18" t="s">
        <v>1978</v>
      </c>
      <c r="H707" s="20" t="s">
        <v>2365</v>
      </c>
      <c r="I707" s="15">
        <v>2</v>
      </c>
      <c r="J707" s="15" t="s">
        <v>26</v>
      </c>
      <c r="K707" s="15"/>
      <c r="L707" s="21" t="s">
        <v>16</v>
      </c>
      <c r="M707" s="22">
        <v>0</v>
      </c>
      <c r="N707" s="22">
        <v>-2880</v>
      </c>
      <c r="O707" s="22">
        <v>25920</v>
      </c>
      <c r="P707" s="22">
        <v>25920</v>
      </c>
      <c r="Q707" t="str" cm="1">
        <f t="array" ref="Q707">_xlfn.TEXTJOIN("、",TRUE,IF('學員資料-三民高中'!$B$2:$B$454=$F707,'學員資料-三民高中'!$G$2:$G$454,""))</f>
        <v/>
      </c>
      <c r="R707" t="str" cm="1">
        <f t="array" ref="R707">_xlfn.TEXTJOIN("、",TRUE,IF('學員資料-新北高中'!$B$2:$B$583=$F707,'學員資料-新北高中'!$G$2:$G$583,""))</f>
        <v/>
      </c>
      <c r="S707" t="str" cm="1">
        <f t="array" ref="S707">_xlfn.TEXTJOIN("、",TRUE,IF('學員資料-三重商工'!$B$2:$B$472=$F707,'學員資料-三重商工'!$G$2:$G$472,""))</f>
        <v>0921930689</v>
      </c>
      <c r="T707">
        <f t="shared" ref="T707:T770" si="11">3-COUNTBLANK(Q707:S707)</f>
        <v>1</v>
      </c>
    </row>
    <row r="708" spans="1:20" ht="14.25" hidden="1" customHeight="1">
      <c r="A708" s="15">
        <v>707</v>
      </c>
      <c r="B708" s="16" t="s">
        <v>2366</v>
      </c>
      <c r="C708" s="17">
        <v>45942</v>
      </c>
      <c r="D708" s="15" t="s">
        <v>2367</v>
      </c>
      <c r="E708" s="23"/>
      <c r="F708" s="19" t="s">
        <v>2368</v>
      </c>
      <c r="G708" s="18" t="s">
        <v>2369</v>
      </c>
      <c r="H708" s="20" t="s">
        <v>52</v>
      </c>
      <c r="I708" s="15">
        <v>1</v>
      </c>
      <c r="J708" s="15" t="s">
        <v>24</v>
      </c>
      <c r="K708" s="15"/>
      <c r="L708" s="21" t="s">
        <v>18</v>
      </c>
      <c r="M708" s="22">
        <v>0</v>
      </c>
      <c r="N708" s="22">
        <v>0</v>
      </c>
      <c r="O708" s="22">
        <v>7500</v>
      </c>
      <c r="P708" s="22">
        <v>7500</v>
      </c>
      <c r="Q708" t="str" cm="1">
        <f t="array" ref="Q708">_xlfn.TEXTJOIN("、",TRUE,IF('學員資料-三民高中'!$B$2:$B$454=$F708,'學員資料-三民高中'!$G$2:$G$454,""))</f>
        <v>0931043831</v>
      </c>
      <c r="R708" t="str" cm="1">
        <f t="array" ref="R708">_xlfn.TEXTJOIN("、",TRUE,IF('學員資料-新北高中'!$B$2:$B$583=$F708,'學員資料-新北高中'!$G$2:$G$583,""))</f>
        <v/>
      </c>
      <c r="S708" t="str" cm="1">
        <f t="array" ref="S708">_xlfn.TEXTJOIN("、",TRUE,IF('學員資料-三重商工'!$B$2:$B$472=$F708,'學員資料-三重商工'!$G$2:$G$472,""))</f>
        <v/>
      </c>
      <c r="T708">
        <f t="shared" si="11"/>
        <v>1</v>
      </c>
    </row>
    <row r="709" spans="1:20" ht="14.25" hidden="1" customHeight="1">
      <c r="A709" s="15">
        <v>708</v>
      </c>
      <c r="B709" s="16" t="s">
        <v>2370</v>
      </c>
      <c r="C709" s="17">
        <v>45941</v>
      </c>
      <c r="D709" s="15" t="s">
        <v>2371</v>
      </c>
      <c r="E709" s="23"/>
      <c r="F709" s="19" t="s">
        <v>1680</v>
      </c>
      <c r="G709" s="18" t="s">
        <v>1681</v>
      </c>
      <c r="H709" s="20" t="s">
        <v>52</v>
      </c>
      <c r="I709" s="15">
        <v>1</v>
      </c>
      <c r="J709" s="15" t="s">
        <v>24</v>
      </c>
      <c r="K709" s="15"/>
      <c r="L709" s="21" t="s">
        <v>18</v>
      </c>
      <c r="M709" s="22">
        <v>0</v>
      </c>
      <c r="N709" s="22">
        <v>0</v>
      </c>
      <c r="O709" s="22">
        <v>7500</v>
      </c>
      <c r="P709" s="22">
        <v>7500</v>
      </c>
      <c r="Q709" t="str" cm="1">
        <f t="array" ref="Q709">_xlfn.TEXTJOIN("、",TRUE,IF('學員資料-三民高中'!$B$2:$B$454=$F709,'學員資料-三民高中'!$G$2:$G$454,""))</f>
        <v>0926750010</v>
      </c>
      <c r="R709" t="str" cm="1">
        <f t="array" ref="R709">_xlfn.TEXTJOIN("、",TRUE,IF('學員資料-新北高中'!$B$2:$B$583=$F709,'學員資料-新北高中'!$G$2:$G$583,""))</f>
        <v/>
      </c>
      <c r="S709" t="str" cm="1">
        <f t="array" ref="S709">_xlfn.TEXTJOIN("、",TRUE,IF('學員資料-三重商工'!$B$2:$B$472=$F709,'學員資料-三重商工'!$G$2:$G$472,""))</f>
        <v/>
      </c>
      <c r="T709">
        <f t="shared" si="11"/>
        <v>1</v>
      </c>
    </row>
    <row r="710" spans="1:20" ht="14.25" hidden="1" customHeight="1">
      <c r="A710" s="15">
        <v>709</v>
      </c>
      <c r="B710" s="16" t="s">
        <v>2372</v>
      </c>
      <c r="C710" s="17">
        <v>45941</v>
      </c>
      <c r="D710" s="15" t="s">
        <v>2373</v>
      </c>
      <c r="E710" s="23"/>
      <c r="F710" s="19" t="s">
        <v>1474</v>
      </c>
      <c r="G710" s="18" t="s">
        <v>1475</v>
      </c>
      <c r="H710" s="20" t="s">
        <v>115</v>
      </c>
      <c r="I710" s="15">
        <v>1</v>
      </c>
      <c r="J710" s="15" t="s">
        <v>24</v>
      </c>
      <c r="K710" s="21" t="s">
        <v>116</v>
      </c>
      <c r="L710" s="21" t="s">
        <v>18</v>
      </c>
      <c r="M710" s="22">
        <v>0</v>
      </c>
      <c r="N710" s="22">
        <v>0</v>
      </c>
      <c r="O710" s="22">
        <v>1400</v>
      </c>
      <c r="P710" s="22">
        <v>1400</v>
      </c>
      <c r="Q710" t="str" cm="1">
        <f t="array" ref="Q710">_xlfn.TEXTJOIN("、",TRUE,IF('學員資料-三民高中'!$B$2:$B$454=$F710,'學員資料-三民高中'!$G$2:$G$454,""))</f>
        <v>0958365985</v>
      </c>
      <c r="R710" t="str" cm="1">
        <f t="array" ref="R710">_xlfn.TEXTJOIN("、",TRUE,IF('學員資料-新北高中'!$B$2:$B$583=$F710,'學員資料-新北高中'!$G$2:$G$583,""))</f>
        <v/>
      </c>
      <c r="S710" t="str" cm="1">
        <f t="array" ref="S710">_xlfn.TEXTJOIN("、",TRUE,IF('學員資料-三重商工'!$B$2:$B$472=$F710,'學員資料-三重商工'!$G$2:$G$472,""))</f>
        <v/>
      </c>
      <c r="T710">
        <f t="shared" si="11"/>
        <v>1</v>
      </c>
    </row>
    <row r="711" spans="1:20" ht="14.25" hidden="1" customHeight="1">
      <c r="A711" s="15">
        <v>710</v>
      </c>
      <c r="B711" s="16" t="s">
        <v>2374</v>
      </c>
      <c r="C711" s="17">
        <v>45939</v>
      </c>
      <c r="D711" s="15" t="s">
        <v>2375</v>
      </c>
      <c r="E711" s="18" t="s">
        <v>763</v>
      </c>
      <c r="F711" s="19" t="s">
        <v>2122</v>
      </c>
      <c r="G711" s="18" t="s">
        <v>2123</v>
      </c>
      <c r="H711" s="20" t="s">
        <v>66</v>
      </c>
      <c r="I711" s="15">
        <v>1</v>
      </c>
      <c r="J711" s="15" t="s">
        <v>23</v>
      </c>
      <c r="K711" s="15"/>
      <c r="L711" s="21" t="s">
        <v>16</v>
      </c>
      <c r="M711" s="22">
        <v>0</v>
      </c>
      <c r="N711" s="22">
        <v>0</v>
      </c>
      <c r="O711" s="22">
        <v>6900</v>
      </c>
      <c r="P711" s="22">
        <v>6900</v>
      </c>
      <c r="Q711" t="str" cm="1">
        <f t="array" ref="Q711">_xlfn.TEXTJOIN("、",TRUE,IF('學員資料-三民高中'!$B$2:$B$454=$F711,'學員資料-三民高中'!$G$2:$G$454,""))</f>
        <v>0939684088-2</v>
      </c>
      <c r="R711" t="str" cm="1">
        <f t="array" ref="R711">_xlfn.TEXTJOIN("、",TRUE,IF('學員資料-新北高中'!$B$2:$B$583=$F711,'學員資料-新北高中'!$G$2:$G$583,""))</f>
        <v/>
      </c>
      <c r="S711" t="str" cm="1">
        <f t="array" ref="S711">_xlfn.TEXTJOIN("、",TRUE,IF('學員資料-三重商工'!$B$2:$B$472=$F711,'學員資料-三重商工'!$G$2:$G$472,""))</f>
        <v/>
      </c>
      <c r="T711">
        <f t="shared" si="11"/>
        <v>1</v>
      </c>
    </row>
    <row r="712" spans="1:20" ht="14.25" hidden="1" customHeight="1">
      <c r="A712" s="15">
        <v>711</v>
      </c>
      <c r="B712" s="16" t="s">
        <v>2376</v>
      </c>
      <c r="C712" s="17">
        <v>45938</v>
      </c>
      <c r="D712" s="15" t="s">
        <v>2377</v>
      </c>
      <c r="E712" s="18" t="s">
        <v>83</v>
      </c>
      <c r="F712" s="19" t="s">
        <v>759</v>
      </c>
      <c r="G712" s="18" t="s">
        <v>760</v>
      </c>
      <c r="H712" s="20" t="s">
        <v>52</v>
      </c>
      <c r="I712" s="15">
        <v>1</v>
      </c>
      <c r="J712" s="15" t="s">
        <v>24</v>
      </c>
      <c r="K712" s="15"/>
      <c r="L712" s="21" t="s">
        <v>16</v>
      </c>
      <c r="M712" s="22">
        <v>0</v>
      </c>
      <c r="N712" s="22">
        <v>0</v>
      </c>
      <c r="O712" s="22">
        <v>7500</v>
      </c>
      <c r="P712" s="22">
        <v>7500</v>
      </c>
      <c r="Q712" t="str" cm="1">
        <f t="array" ref="Q712">_xlfn.TEXTJOIN("、",TRUE,IF('學員資料-三民高中'!$B$2:$B$454=$F712,'學員資料-三民高中'!$G$2:$G$454,""))</f>
        <v/>
      </c>
      <c r="R712" t="str" cm="1">
        <f t="array" ref="R712">_xlfn.TEXTJOIN("、",TRUE,IF('學員資料-新北高中'!$B$2:$B$583=$F712,'學員資料-新北高中'!$G$2:$G$583,""))</f>
        <v/>
      </c>
      <c r="S712" t="str" cm="1">
        <f t="array" ref="S712">_xlfn.TEXTJOIN("、",TRUE,IF('學員資料-三重商工'!$B$2:$B$472=$F712,'學員資料-三重商工'!$G$2:$G$472,""))</f>
        <v>0913561677</v>
      </c>
      <c r="T712">
        <f t="shared" si="11"/>
        <v>1</v>
      </c>
    </row>
    <row r="713" spans="1:20" ht="14.25" hidden="1" customHeight="1">
      <c r="A713" s="15">
        <v>712</v>
      </c>
      <c r="B713" s="16" t="s">
        <v>2378</v>
      </c>
      <c r="C713" s="17">
        <v>45938</v>
      </c>
      <c r="D713" s="15" t="s">
        <v>2379</v>
      </c>
      <c r="E713" s="18" t="s">
        <v>83</v>
      </c>
      <c r="F713" s="19" t="s">
        <v>1791</v>
      </c>
      <c r="G713" s="18" t="s">
        <v>1792</v>
      </c>
      <c r="H713" s="20" t="s">
        <v>66</v>
      </c>
      <c r="I713" s="15">
        <v>1</v>
      </c>
      <c r="J713" s="15" t="s">
        <v>23</v>
      </c>
      <c r="K713" s="15"/>
      <c r="L713" s="21" t="s">
        <v>16</v>
      </c>
      <c r="M713" s="22">
        <v>0</v>
      </c>
      <c r="N713" s="22">
        <v>0</v>
      </c>
      <c r="O713" s="22">
        <v>6900</v>
      </c>
      <c r="P713" s="22">
        <v>6900</v>
      </c>
      <c r="Q713" t="str" cm="1">
        <f t="array" ref="Q713">_xlfn.TEXTJOIN("、",TRUE,IF('學員資料-三民高中'!$B$2:$B$454=$F713,'學員資料-三民高中'!$G$2:$G$454,""))</f>
        <v/>
      </c>
      <c r="R713" t="str" cm="1">
        <f t="array" ref="R713">_xlfn.TEXTJOIN("、",TRUE,IF('學員資料-新北高中'!$B$2:$B$583=$F713,'學員資料-新北高中'!$G$2:$G$583,""))</f>
        <v/>
      </c>
      <c r="S713" t="str" cm="1">
        <f t="array" ref="S713">_xlfn.TEXTJOIN("、",TRUE,IF('學員資料-三重商工'!$B$2:$B$472=$F713,'學員資料-三重商工'!$G$2:$G$472,""))</f>
        <v>0912188682</v>
      </c>
      <c r="T713">
        <f t="shared" si="11"/>
        <v>1</v>
      </c>
    </row>
    <row r="714" spans="1:20" ht="14.25" hidden="1" customHeight="1">
      <c r="A714" s="15">
        <v>713</v>
      </c>
      <c r="B714" s="16" t="s">
        <v>2380</v>
      </c>
      <c r="C714" s="17">
        <v>45938</v>
      </c>
      <c r="D714" s="15" t="s">
        <v>2381</v>
      </c>
      <c r="E714" s="18" t="s">
        <v>83</v>
      </c>
      <c r="F714" s="19" t="s">
        <v>1575</v>
      </c>
      <c r="G714" s="18" t="s">
        <v>1576</v>
      </c>
      <c r="H714" s="20" t="s">
        <v>52</v>
      </c>
      <c r="I714" s="15">
        <v>1</v>
      </c>
      <c r="J714" s="15" t="s">
        <v>24</v>
      </c>
      <c r="K714" s="15"/>
      <c r="L714" s="21" t="s">
        <v>16</v>
      </c>
      <c r="M714" s="22">
        <v>0</v>
      </c>
      <c r="N714" s="22">
        <v>0</v>
      </c>
      <c r="O714" s="22">
        <v>7500</v>
      </c>
      <c r="P714" s="22">
        <v>7500</v>
      </c>
      <c r="Q714" t="str" cm="1">
        <f t="array" ref="Q714">_xlfn.TEXTJOIN("、",TRUE,IF('學員資料-三民高中'!$B$2:$B$454=$F714,'學員資料-三民高中'!$G$2:$G$454,""))</f>
        <v/>
      </c>
      <c r="R714" t="str" cm="1">
        <f t="array" ref="R714">_xlfn.TEXTJOIN("、",TRUE,IF('學員資料-新北高中'!$B$2:$B$583=$F714,'學員資料-新北高中'!$G$2:$G$583,""))</f>
        <v/>
      </c>
      <c r="S714" t="str" cm="1">
        <f t="array" ref="S714">_xlfn.TEXTJOIN("、",TRUE,IF('學員資料-三重商工'!$B$2:$B$472=$F714,'學員資料-三重商工'!$G$2:$G$472,""))</f>
        <v>0925900932</v>
      </c>
      <c r="T714">
        <f t="shared" si="11"/>
        <v>1</v>
      </c>
    </row>
    <row r="715" spans="1:20" ht="14.25" hidden="1" customHeight="1">
      <c r="A715" s="15">
        <v>714</v>
      </c>
      <c r="B715" s="16" t="s">
        <v>2382</v>
      </c>
      <c r="C715" s="17">
        <v>45938</v>
      </c>
      <c r="D715" s="15" t="s">
        <v>2383</v>
      </c>
      <c r="E715" s="18" t="s">
        <v>83</v>
      </c>
      <c r="F715" s="19" t="s">
        <v>1752</v>
      </c>
      <c r="G715" s="18" t="s">
        <v>1753</v>
      </c>
      <c r="H715" s="20" t="s">
        <v>52</v>
      </c>
      <c r="I715" s="15">
        <v>1</v>
      </c>
      <c r="J715" s="15" t="s">
        <v>24</v>
      </c>
      <c r="K715" s="15"/>
      <c r="L715" s="21" t="s">
        <v>16</v>
      </c>
      <c r="M715" s="22">
        <v>0</v>
      </c>
      <c r="N715" s="22">
        <v>0</v>
      </c>
      <c r="O715" s="22">
        <v>7500</v>
      </c>
      <c r="P715" s="22">
        <v>7500</v>
      </c>
      <c r="Q715" t="str" cm="1">
        <f t="array" ref="Q715">_xlfn.TEXTJOIN("、",TRUE,IF('學員資料-三民高中'!$B$2:$B$454=$F715,'學員資料-三民高中'!$G$2:$G$454,""))</f>
        <v/>
      </c>
      <c r="R715" t="str" cm="1">
        <f t="array" ref="R715">_xlfn.TEXTJOIN("、",TRUE,IF('學員資料-新北高中'!$B$2:$B$583=$F715,'學員資料-新北高中'!$G$2:$G$583,""))</f>
        <v/>
      </c>
      <c r="S715" t="str" cm="1">
        <f t="array" ref="S715">_xlfn.TEXTJOIN("、",TRUE,IF('學員資料-三重商工'!$B$2:$B$472=$F715,'學員資料-三重商工'!$G$2:$G$472,""))</f>
        <v>0922825253</v>
      </c>
      <c r="T715">
        <f t="shared" si="11"/>
        <v>1</v>
      </c>
    </row>
    <row r="716" spans="1:20" ht="14.25" hidden="1" customHeight="1">
      <c r="A716" s="15">
        <v>715</v>
      </c>
      <c r="B716" s="16" t="s">
        <v>2384</v>
      </c>
      <c r="C716" s="17">
        <v>45938</v>
      </c>
      <c r="D716" s="15" t="s">
        <v>2385</v>
      </c>
      <c r="E716" s="18" t="s">
        <v>83</v>
      </c>
      <c r="F716" s="19" t="s">
        <v>2386</v>
      </c>
      <c r="G716" s="18" t="s">
        <v>2387</v>
      </c>
      <c r="H716" s="20" t="s">
        <v>52</v>
      </c>
      <c r="I716" s="15">
        <v>1</v>
      </c>
      <c r="J716" s="15" t="s">
        <v>24</v>
      </c>
      <c r="K716" s="15"/>
      <c r="L716" s="21" t="s">
        <v>16</v>
      </c>
      <c r="M716" s="22">
        <v>0</v>
      </c>
      <c r="N716" s="22">
        <v>-750</v>
      </c>
      <c r="O716" s="22">
        <v>6750</v>
      </c>
      <c r="P716" s="22">
        <v>6750</v>
      </c>
      <c r="Q716" t="str" cm="1">
        <f t="array" ref="Q716">_xlfn.TEXTJOIN("、",TRUE,IF('學員資料-三民高中'!$B$2:$B$454=$F716,'學員資料-三民高中'!$G$2:$G$454,""))</f>
        <v/>
      </c>
      <c r="R716" t="str" cm="1">
        <f t="array" ref="R716">_xlfn.TEXTJOIN("、",TRUE,IF('學員資料-新北高中'!$B$2:$B$583=$F716,'學員資料-新北高中'!$G$2:$G$583,""))</f>
        <v/>
      </c>
      <c r="S716" t="str" cm="1">
        <f t="array" ref="S716">_xlfn.TEXTJOIN("、",TRUE,IF('學員資料-三重商工'!$B$2:$B$472=$F716,'學員資料-三重商工'!$G$2:$G$472,""))</f>
        <v>0972189520</v>
      </c>
      <c r="T716">
        <f t="shared" si="11"/>
        <v>1</v>
      </c>
    </row>
    <row r="717" spans="1:20" ht="14.25" hidden="1" customHeight="1">
      <c r="A717" s="15">
        <v>716</v>
      </c>
      <c r="B717" s="16" t="s">
        <v>2388</v>
      </c>
      <c r="C717" s="17">
        <v>45938</v>
      </c>
      <c r="D717" s="15" t="s">
        <v>2389</v>
      </c>
      <c r="E717" s="18" t="s">
        <v>83</v>
      </c>
      <c r="F717" s="19" t="s">
        <v>2390</v>
      </c>
      <c r="G717" s="18" t="s">
        <v>2391</v>
      </c>
      <c r="H717" s="20" t="s">
        <v>1087</v>
      </c>
      <c r="I717" s="15">
        <v>1</v>
      </c>
      <c r="J717" s="15" t="s">
        <v>27</v>
      </c>
      <c r="K717" s="15"/>
      <c r="L717" s="21" t="s">
        <v>16</v>
      </c>
      <c r="M717" s="22">
        <v>0</v>
      </c>
      <c r="N717" s="22">
        <v>-1500</v>
      </c>
      <c r="O717" s="22">
        <v>13500</v>
      </c>
      <c r="P717" s="22">
        <v>13500</v>
      </c>
      <c r="Q717" t="str" cm="1">
        <f t="array" ref="Q717">_xlfn.TEXTJOIN("、",TRUE,IF('學員資料-三民高中'!$B$2:$B$454=$F717,'學員資料-三民高中'!$G$2:$G$454,""))</f>
        <v/>
      </c>
      <c r="R717" t="str" cm="1">
        <f t="array" ref="R717">_xlfn.TEXTJOIN("、",TRUE,IF('學員資料-新北高中'!$B$2:$B$583=$F717,'學員資料-新北高中'!$G$2:$G$583,""))</f>
        <v/>
      </c>
      <c r="S717" t="str" cm="1">
        <f t="array" ref="S717">_xlfn.TEXTJOIN("、",TRUE,IF('學員資料-三重商工'!$B$2:$B$472=$F717,'學員資料-三重商工'!$G$2:$G$472,""))</f>
        <v>0939937686</v>
      </c>
      <c r="T717">
        <f t="shared" si="11"/>
        <v>1</v>
      </c>
    </row>
    <row r="718" spans="1:20" ht="14.25" hidden="1" customHeight="1">
      <c r="A718" s="15">
        <v>717</v>
      </c>
      <c r="B718" s="16" t="s">
        <v>2392</v>
      </c>
      <c r="C718" s="17">
        <v>45938</v>
      </c>
      <c r="D718" s="15" t="s">
        <v>2393</v>
      </c>
      <c r="E718" s="18" t="s">
        <v>83</v>
      </c>
      <c r="F718" s="19" t="s">
        <v>1391</v>
      </c>
      <c r="G718" s="18" t="s">
        <v>1392</v>
      </c>
      <c r="H718" s="20" t="s">
        <v>52</v>
      </c>
      <c r="I718" s="15">
        <v>1</v>
      </c>
      <c r="J718" s="15" t="s">
        <v>24</v>
      </c>
      <c r="K718" s="15"/>
      <c r="L718" s="21" t="s">
        <v>16</v>
      </c>
      <c r="M718" s="22">
        <v>0</v>
      </c>
      <c r="N718" s="22">
        <v>0</v>
      </c>
      <c r="O718" s="22">
        <v>7500</v>
      </c>
      <c r="P718" s="22">
        <v>7500</v>
      </c>
      <c r="Q718" t="str" cm="1">
        <f t="array" ref="Q718">_xlfn.TEXTJOIN("、",TRUE,IF('學員資料-三民高中'!$B$2:$B$454=$F718,'學員資料-三民高中'!$G$2:$G$454,""))</f>
        <v/>
      </c>
      <c r="R718" t="str" cm="1">
        <f t="array" ref="R718">_xlfn.TEXTJOIN("、",TRUE,IF('學員資料-新北高中'!$B$2:$B$583=$F718,'學員資料-新北高中'!$G$2:$G$583,""))</f>
        <v/>
      </c>
      <c r="S718" t="str" cm="1">
        <f t="array" ref="S718">_xlfn.TEXTJOIN("、",TRUE,IF('學員資料-三重商工'!$B$2:$B$472=$F718,'學員資料-三重商工'!$G$2:$G$472,""))</f>
        <v>0921116744</v>
      </c>
      <c r="T718">
        <f t="shared" si="11"/>
        <v>1</v>
      </c>
    </row>
    <row r="719" spans="1:20" ht="14.25" hidden="1" customHeight="1">
      <c r="A719" s="15">
        <v>718</v>
      </c>
      <c r="B719" s="16" t="s">
        <v>2394</v>
      </c>
      <c r="C719" s="17">
        <v>45938</v>
      </c>
      <c r="D719" s="15" t="s">
        <v>2395</v>
      </c>
      <c r="E719" s="18" t="s">
        <v>83</v>
      </c>
      <c r="F719" s="19" t="s">
        <v>2396</v>
      </c>
      <c r="G719" s="18" t="s">
        <v>2397</v>
      </c>
      <c r="H719" s="20" t="s">
        <v>66</v>
      </c>
      <c r="I719" s="15">
        <v>1</v>
      </c>
      <c r="J719" s="15" t="s">
        <v>23</v>
      </c>
      <c r="K719" s="15"/>
      <c r="L719" s="21" t="s">
        <v>16</v>
      </c>
      <c r="M719" s="22">
        <v>0</v>
      </c>
      <c r="N719" s="22">
        <v>-2760</v>
      </c>
      <c r="O719" s="22">
        <v>4140</v>
      </c>
      <c r="P719" s="22">
        <v>4140</v>
      </c>
      <c r="Q719" t="str" cm="1">
        <f t="array" ref="Q719">_xlfn.TEXTJOIN("、",TRUE,IF('學員資料-三民高中'!$B$2:$B$454=$F719,'學員資料-三民高中'!$G$2:$G$454,""))</f>
        <v/>
      </c>
      <c r="R719" t="str" cm="1">
        <f t="array" ref="R719">_xlfn.TEXTJOIN("、",TRUE,IF('學員資料-新北高中'!$B$2:$B$583=$F719,'學員資料-新北高中'!$G$2:$G$583,""))</f>
        <v/>
      </c>
      <c r="S719" t="str" cm="1">
        <f t="array" ref="S719">_xlfn.TEXTJOIN("、",TRUE,IF('學員資料-三重商工'!$B$2:$B$472=$F719,'學員資料-三重商工'!$G$2:$G$472,""))</f>
        <v>0916688755.2</v>
      </c>
      <c r="T719">
        <f t="shared" si="11"/>
        <v>1</v>
      </c>
    </row>
    <row r="720" spans="1:20" ht="14.25" hidden="1" customHeight="1">
      <c r="A720" s="15">
        <v>719</v>
      </c>
      <c r="B720" s="16" t="s">
        <v>2398</v>
      </c>
      <c r="C720" s="17">
        <v>45938</v>
      </c>
      <c r="D720" s="15" t="s">
        <v>2399</v>
      </c>
      <c r="E720" s="18" t="s">
        <v>763</v>
      </c>
      <c r="F720" s="19" t="s">
        <v>1951</v>
      </c>
      <c r="G720" s="18" t="s">
        <v>1952</v>
      </c>
      <c r="H720" s="20" t="s">
        <v>66</v>
      </c>
      <c r="I720" s="15">
        <v>1</v>
      </c>
      <c r="J720" s="15" t="s">
        <v>23</v>
      </c>
      <c r="K720" s="15"/>
      <c r="L720" s="21" t="s">
        <v>16</v>
      </c>
      <c r="M720" s="22">
        <v>0</v>
      </c>
      <c r="N720" s="22">
        <v>0</v>
      </c>
      <c r="O720" s="22">
        <v>6900</v>
      </c>
      <c r="P720" s="22">
        <v>6900</v>
      </c>
      <c r="Q720" t="str" cm="1">
        <f t="array" ref="Q720">_xlfn.TEXTJOIN("、",TRUE,IF('學員資料-三民高中'!$B$2:$B$454=$F720,'學員資料-三民高中'!$G$2:$G$454,""))</f>
        <v>0937399561-2</v>
      </c>
      <c r="R720" t="str" cm="1">
        <f t="array" ref="R720">_xlfn.TEXTJOIN("、",TRUE,IF('學員資料-新北高中'!$B$2:$B$583=$F720,'學員資料-新北高中'!$G$2:$G$583,""))</f>
        <v/>
      </c>
      <c r="S720" t="str" cm="1">
        <f t="array" ref="S720">_xlfn.TEXTJOIN("、",TRUE,IF('學員資料-三重商工'!$B$2:$B$472=$F720,'學員資料-三重商工'!$G$2:$G$472,""))</f>
        <v/>
      </c>
      <c r="T720">
        <f t="shared" si="11"/>
        <v>1</v>
      </c>
    </row>
    <row r="721" spans="1:20" ht="14.25" hidden="1" customHeight="1">
      <c r="A721" s="15">
        <v>720</v>
      </c>
      <c r="B721" s="16" t="s">
        <v>2400</v>
      </c>
      <c r="C721" s="17">
        <v>45935</v>
      </c>
      <c r="D721" s="15" t="s">
        <v>2401</v>
      </c>
      <c r="E721" s="18" t="s">
        <v>161</v>
      </c>
      <c r="F721" s="19" t="s">
        <v>2402</v>
      </c>
      <c r="G721" s="18" t="s">
        <v>2403</v>
      </c>
      <c r="H721" s="20" t="s">
        <v>52</v>
      </c>
      <c r="I721" s="15">
        <v>1</v>
      </c>
      <c r="J721" s="15" t="s">
        <v>24</v>
      </c>
      <c r="K721" s="15"/>
      <c r="L721" s="21" t="s">
        <v>16</v>
      </c>
      <c r="M721" s="22">
        <v>0</v>
      </c>
      <c r="N721" s="22">
        <v>0</v>
      </c>
      <c r="O721" s="22">
        <v>7500</v>
      </c>
      <c r="P721" s="22">
        <v>7500</v>
      </c>
      <c r="Q721" t="str" cm="1">
        <f t="array" ref="Q721">_xlfn.TEXTJOIN("、",TRUE,IF('學員資料-三民高中'!$B$2:$B$454=$F721,'學員資料-三民高中'!$G$2:$G$454,""))</f>
        <v/>
      </c>
      <c r="R721" t="str" cm="1">
        <f t="array" ref="R721">_xlfn.TEXTJOIN("、",TRUE,IF('學員資料-新北高中'!$B$2:$B$583=$F721,'學員資料-新北高中'!$G$2:$G$583,""))</f>
        <v>0922639775</v>
      </c>
      <c r="S721" t="str" cm="1">
        <f t="array" ref="S721">_xlfn.TEXTJOIN("、",TRUE,IF('學員資料-三重商工'!$B$2:$B$472=$F721,'學員資料-三重商工'!$G$2:$G$472,""))</f>
        <v/>
      </c>
      <c r="T721">
        <f t="shared" si="11"/>
        <v>1</v>
      </c>
    </row>
    <row r="722" spans="1:20" ht="14.25" hidden="1" customHeight="1">
      <c r="A722" s="15">
        <v>721</v>
      </c>
      <c r="B722" s="16" t="s">
        <v>2404</v>
      </c>
      <c r="C722" s="17">
        <v>45934</v>
      </c>
      <c r="D722" s="15" t="s">
        <v>2405</v>
      </c>
      <c r="E722" s="18" t="s">
        <v>1324</v>
      </c>
      <c r="F722" s="19" t="s">
        <v>2406</v>
      </c>
      <c r="G722" s="18" t="s">
        <v>2407</v>
      </c>
      <c r="H722" s="20" t="s">
        <v>66</v>
      </c>
      <c r="I722" s="15">
        <v>1</v>
      </c>
      <c r="J722" s="15" t="s">
        <v>23</v>
      </c>
      <c r="K722" s="15"/>
      <c r="L722" s="21" t="s">
        <v>16</v>
      </c>
      <c r="M722" s="22">
        <v>0</v>
      </c>
      <c r="N722" s="22">
        <v>0</v>
      </c>
      <c r="O722" s="22">
        <v>6900</v>
      </c>
      <c r="P722" s="22">
        <v>6900</v>
      </c>
      <c r="Q722" t="str" cm="1">
        <f t="array" ref="Q722">_xlfn.TEXTJOIN("、",TRUE,IF('學員資料-三民高中'!$B$2:$B$454=$F722,'學員資料-三民高中'!$G$2:$G$454,""))</f>
        <v>0988391808</v>
      </c>
      <c r="R722" t="str" cm="1">
        <f t="array" ref="R722">_xlfn.TEXTJOIN("、",TRUE,IF('學員資料-新北高中'!$B$2:$B$583=$F722,'學員資料-新北高中'!$G$2:$G$583,""))</f>
        <v/>
      </c>
      <c r="S722" t="str" cm="1">
        <f t="array" ref="S722">_xlfn.TEXTJOIN("、",TRUE,IF('學員資料-三重商工'!$B$2:$B$472=$F722,'學員資料-三重商工'!$G$2:$G$472,""))</f>
        <v/>
      </c>
      <c r="T722">
        <f t="shared" si="11"/>
        <v>1</v>
      </c>
    </row>
    <row r="723" spans="1:20" ht="14.25" hidden="1" customHeight="1">
      <c r="A723" s="15">
        <v>722</v>
      </c>
      <c r="B723" s="16" t="s">
        <v>2408</v>
      </c>
      <c r="C723" s="17">
        <v>45934</v>
      </c>
      <c r="D723" s="15" t="s">
        <v>2409</v>
      </c>
      <c r="E723" s="18" t="s">
        <v>161</v>
      </c>
      <c r="F723" s="19" t="s">
        <v>2410</v>
      </c>
      <c r="G723" s="18" t="s">
        <v>2411</v>
      </c>
      <c r="H723" s="20" t="s">
        <v>130</v>
      </c>
      <c r="I723" s="15">
        <v>1</v>
      </c>
      <c r="J723" s="15" t="s">
        <v>25</v>
      </c>
      <c r="K723" s="15"/>
      <c r="L723" s="21" t="s">
        <v>16</v>
      </c>
      <c r="M723" s="22">
        <v>0</v>
      </c>
      <c r="N723" s="22">
        <v>-3960</v>
      </c>
      <c r="O723" s="22">
        <v>5940</v>
      </c>
      <c r="P723" s="22">
        <v>5940</v>
      </c>
      <c r="Q723" t="str" cm="1">
        <f t="array" ref="Q723">_xlfn.TEXTJOIN("、",TRUE,IF('學員資料-三民高中'!$B$2:$B$454=$F723,'學員資料-三民高中'!$G$2:$G$454,""))</f>
        <v/>
      </c>
      <c r="R723" t="str" cm="1">
        <f t="array" ref="R723">_xlfn.TEXTJOIN("、",TRUE,IF('學員資料-新北高中'!$B$2:$B$583=$F723,'學員資料-新北高中'!$G$2:$G$583,""))</f>
        <v>0952058379</v>
      </c>
      <c r="S723" t="str" cm="1">
        <f t="array" ref="S723">_xlfn.TEXTJOIN("、",TRUE,IF('學員資料-三重商工'!$B$2:$B$472=$F723,'學員資料-三重商工'!$G$2:$G$472,""))</f>
        <v/>
      </c>
      <c r="T723">
        <f t="shared" si="11"/>
        <v>1</v>
      </c>
    </row>
    <row r="724" spans="1:20" ht="14.25" hidden="1" customHeight="1">
      <c r="A724" s="15">
        <v>723</v>
      </c>
      <c r="B724" s="16" t="s">
        <v>2412</v>
      </c>
      <c r="C724" s="17">
        <v>45934</v>
      </c>
      <c r="D724" s="15" t="s">
        <v>2413</v>
      </c>
      <c r="E724" s="18" t="s">
        <v>44</v>
      </c>
      <c r="F724" s="19" t="s">
        <v>979</v>
      </c>
      <c r="G724" s="18" t="s">
        <v>980</v>
      </c>
      <c r="H724" s="20" t="s">
        <v>66</v>
      </c>
      <c r="I724" s="15">
        <v>1</v>
      </c>
      <c r="J724" s="15" t="s">
        <v>23</v>
      </c>
      <c r="K724" s="15"/>
      <c r="L724" s="21" t="s">
        <v>16</v>
      </c>
      <c r="M724" s="22">
        <v>0</v>
      </c>
      <c r="N724" s="22">
        <v>0</v>
      </c>
      <c r="O724" s="22">
        <v>6900</v>
      </c>
      <c r="P724" s="22">
        <v>6900</v>
      </c>
      <c r="Q724" t="str" cm="1">
        <f t="array" ref="Q724">_xlfn.TEXTJOIN("、",TRUE,IF('學員資料-三民高中'!$B$2:$B$454=$F724,'學員資料-三民高中'!$G$2:$G$454,""))</f>
        <v/>
      </c>
      <c r="R724" t="str" cm="1">
        <f t="array" ref="R724">_xlfn.TEXTJOIN("、",TRUE,IF('學員資料-新北高中'!$B$2:$B$583=$F724,'學員資料-新北高中'!$G$2:$G$583,""))</f>
        <v/>
      </c>
      <c r="S724" t="str" cm="1">
        <f t="array" ref="S724">_xlfn.TEXTJOIN("、",TRUE,IF('學員資料-三重商工'!$B$2:$B$472=$F724,'學員資料-三重商工'!$G$2:$G$472,""))</f>
        <v>0928948206</v>
      </c>
      <c r="T724">
        <f t="shared" si="11"/>
        <v>1</v>
      </c>
    </row>
    <row r="725" spans="1:20" ht="14.25" hidden="1" customHeight="1">
      <c r="A725" s="15">
        <v>724</v>
      </c>
      <c r="B725" s="16" t="s">
        <v>2414</v>
      </c>
      <c r="C725" s="17">
        <v>45934</v>
      </c>
      <c r="D725" s="15" t="s">
        <v>2415</v>
      </c>
      <c r="E725" s="18" t="s">
        <v>44</v>
      </c>
      <c r="F725" s="19" t="s">
        <v>1807</v>
      </c>
      <c r="G725" s="18" t="s">
        <v>1808</v>
      </c>
      <c r="H725" s="20" t="s">
        <v>52</v>
      </c>
      <c r="I725" s="15">
        <v>1</v>
      </c>
      <c r="J725" s="15" t="s">
        <v>24</v>
      </c>
      <c r="K725" s="15"/>
      <c r="L725" s="21" t="s">
        <v>16</v>
      </c>
      <c r="M725" s="22">
        <v>0</v>
      </c>
      <c r="N725" s="22">
        <v>0</v>
      </c>
      <c r="O725" s="22">
        <v>7500</v>
      </c>
      <c r="P725" s="22">
        <v>7500</v>
      </c>
      <c r="Q725" t="str" cm="1">
        <f t="array" ref="Q725">_xlfn.TEXTJOIN("、",TRUE,IF('學員資料-三民高中'!$B$2:$B$454=$F725,'學員資料-三民高中'!$G$2:$G$454,""))</f>
        <v/>
      </c>
      <c r="R725" t="str" cm="1">
        <f t="array" ref="R725">_xlfn.TEXTJOIN("、",TRUE,IF('學員資料-新北高中'!$B$2:$B$583=$F725,'學員資料-新北高中'!$G$2:$G$583,""))</f>
        <v/>
      </c>
      <c r="S725" t="str" cm="1">
        <f t="array" ref="S725">_xlfn.TEXTJOIN("、",TRUE,IF('學員資料-三重商工'!$B$2:$B$472=$F725,'學員資料-三重商工'!$G$2:$G$472,""))</f>
        <v>0937459789-1</v>
      </c>
      <c r="T725">
        <f t="shared" si="11"/>
        <v>1</v>
      </c>
    </row>
    <row r="726" spans="1:20" ht="14.25" hidden="1" customHeight="1">
      <c r="A726" s="15">
        <v>725</v>
      </c>
      <c r="B726" s="16" t="s">
        <v>2416</v>
      </c>
      <c r="C726" s="17">
        <v>45934</v>
      </c>
      <c r="D726" s="15" t="s">
        <v>2417</v>
      </c>
      <c r="E726" s="18" t="s">
        <v>44</v>
      </c>
      <c r="F726" s="19" t="s">
        <v>1869</v>
      </c>
      <c r="G726" s="18" t="s">
        <v>1870</v>
      </c>
      <c r="H726" s="20" t="s">
        <v>52</v>
      </c>
      <c r="I726" s="15">
        <v>1</v>
      </c>
      <c r="J726" s="15" t="s">
        <v>24</v>
      </c>
      <c r="K726" s="15"/>
      <c r="L726" s="21" t="s">
        <v>16</v>
      </c>
      <c r="M726" s="22">
        <v>0</v>
      </c>
      <c r="N726" s="22">
        <v>0</v>
      </c>
      <c r="O726" s="22">
        <v>7500</v>
      </c>
      <c r="P726" s="22">
        <v>7500</v>
      </c>
      <c r="Q726" t="str" cm="1">
        <f t="array" ref="Q726">_xlfn.TEXTJOIN("、",TRUE,IF('學員資料-三民高中'!$B$2:$B$454=$F726,'學員資料-三民高中'!$G$2:$G$454,""))</f>
        <v/>
      </c>
      <c r="R726" t="str" cm="1">
        <f t="array" ref="R726">_xlfn.TEXTJOIN("、",TRUE,IF('學員資料-新北高中'!$B$2:$B$583=$F726,'學員資料-新北高中'!$G$2:$G$583,""))</f>
        <v/>
      </c>
      <c r="S726" t="str" cm="1">
        <f t="array" ref="S726">_xlfn.TEXTJOIN("、",TRUE,IF('學員資料-三重商工'!$B$2:$B$472=$F726,'學員資料-三重商工'!$G$2:$G$472,""))</f>
        <v>0912566557</v>
      </c>
      <c r="T726">
        <f t="shared" si="11"/>
        <v>1</v>
      </c>
    </row>
    <row r="727" spans="1:20" ht="14.25" hidden="1" customHeight="1">
      <c r="A727" s="15">
        <v>726</v>
      </c>
      <c r="B727" s="16" t="s">
        <v>2418</v>
      </c>
      <c r="C727" s="17">
        <v>45934</v>
      </c>
      <c r="D727" s="15" t="s">
        <v>2419</v>
      </c>
      <c r="E727" s="18" t="s">
        <v>161</v>
      </c>
      <c r="F727" s="19" t="s">
        <v>950</v>
      </c>
      <c r="G727" s="18" t="s">
        <v>951</v>
      </c>
      <c r="H727" s="20" t="s">
        <v>52</v>
      </c>
      <c r="I727" s="15">
        <v>1</v>
      </c>
      <c r="J727" s="15" t="s">
        <v>24</v>
      </c>
      <c r="K727" s="15"/>
      <c r="L727" s="21" t="s">
        <v>16</v>
      </c>
      <c r="M727" s="22">
        <v>0</v>
      </c>
      <c r="N727" s="22">
        <v>0</v>
      </c>
      <c r="O727" s="22">
        <v>7500</v>
      </c>
      <c r="P727" s="22">
        <v>7500</v>
      </c>
      <c r="Q727" t="str" cm="1">
        <f t="array" ref="Q727">_xlfn.TEXTJOIN("、",TRUE,IF('學員資料-三民高中'!$B$2:$B$454=$F727,'學員資料-三民高中'!$G$2:$G$454,""))</f>
        <v/>
      </c>
      <c r="R727" t="str" cm="1">
        <f t="array" ref="R727">_xlfn.TEXTJOIN("、",TRUE,IF('學員資料-新北高中'!$B$2:$B$583=$F727,'學員資料-新北高中'!$G$2:$G$583,""))</f>
        <v>0975372886</v>
      </c>
      <c r="S727" t="str" cm="1">
        <f t="array" ref="S727">_xlfn.TEXTJOIN("、",TRUE,IF('學員資料-三重商工'!$B$2:$B$472=$F727,'學員資料-三重商工'!$G$2:$G$472,""))</f>
        <v/>
      </c>
      <c r="T727">
        <f t="shared" si="11"/>
        <v>1</v>
      </c>
    </row>
    <row r="728" spans="1:20" ht="14.25" hidden="1" customHeight="1">
      <c r="A728" s="15">
        <v>727</v>
      </c>
      <c r="B728" s="16" t="s">
        <v>2420</v>
      </c>
      <c r="C728" s="17">
        <v>45932</v>
      </c>
      <c r="D728" s="15" t="s">
        <v>2421</v>
      </c>
      <c r="E728" s="23"/>
      <c r="F728" s="19" t="s">
        <v>2422</v>
      </c>
      <c r="G728" s="18" t="s">
        <v>2423</v>
      </c>
      <c r="H728" s="20" t="s">
        <v>210</v>
      </c>
      <c r="I728" s="15">
        <v>1</v>
      </c>
      <c r="J728" s="15" t="s">
        <v>26</v>
      </c>
      <c r="K728" s="15"/>
      <c r="L728" s="21" t="s">
        <v>18</v>
      </c>
      <c r="M728" s="22">
        <v>0</v>
      </c>
      <c r="N728" s="22">
        <v>0</v>
      </c>
      <c r="O728" s="22">
        <v>12000</v>
      </c>
      <c r="P728" s="22">
        <v>12000</v>
      </c>
      <c r="Q728" t="str" cm="1">
        <f t="array" ref="Q728">_xlfn.TEXTJOIN("、",TRUE,IF('學員資料-三民高中'!$B$2:$B$454=$F728,'學員資料-三民高中'!$G$2:$G$454,""))</f>
        <v>0926822264</v>
      </c>
      <c r="R728" t="str" cm="1">
        <f t="array" ref="R728">_xlfn.TEXTJOIN("、",TRUE,IF('學員資料-新北高中'!$B$2:$B$583=$F728,'學員資料-新北高中'!$G$2:$G$583,""))</f>
        <v/>
      </c>
      <c r="S728" t="str" cm="1">
        <f t="array" ref="S728">_xlfn.TEXTJOIN("、",TRUE,IF('學員資料-三重商工'!$B$2:$B$472=$F728,'學員資料-三重商工'!$G$2:$G$472,""))</f>
        <v/>
      </c>
      <c r="T728">
        <f t="shared" si="11"/>
        <v>1</v>
      </c>
    </row>
    <row r="729" spans="1:20" ht="14.25" hidden="1" customHeight="1">
      <c r="A729" s="15">
        <v>728</v>
      </c>
      <c r="B729" s="16" t="s">
        <v>2424</v>
      </c>
      <c r="C729" s="17">
        <v>45932</v>
      </c>
      <c r="D729" s="15" t="s">
        <v>2425</v>
      </c>
      <c r="E729" s="23"/>
      <c r="F729" s="19" t="s">
        <v>334</v>
      </c>
      <c r="G729" s="18" t="s">
        <v>335</v>
      </c>
      <c r="H729" s="20" t="s">
        <v>52</v>
      </c>
      <c r="I729" s="15">
        <v>1</v>
      </c>
      <c r="J729" s="15" t="s">
        <v>24</v>
      </c>
      <c r="K729" s="15"/>
      <c r="L729" s="21" t="s">
        <v>18</v>
      </c>
      <c r="M729" s="22">
        <v>0</v>
      </c>
      <c r="N729" s="22">
        <v>0</v>
      </c>
      <c r="O729" s="22">
        <v>7500</v>
      </c>
      <c r="P729" s="22">
        <v>7500</v>
      </c>
      <c r="Q729" t="str" cm="1">
        <f t="array" ref="Q729">_xlfn.TEXTJOIN("、",TRUE,IF('學員資料-三民高中'!$B$2:$B$454=$F729,'學員資料-三民高中'!$G$2:$G$454,""))</f>
        <v>0922250325</v>
      </c>
      <c r="R729" t="str" cm="1">
        <f t="array" ref="R729">_xlfn.TEXTJOIN("、",TRUE,IF('學員資料-新北高中'!$B$2:$B$583=$F729,'學員資料-新北高中'!$G$2:$G$583,""))</f>
        <v/>
      </c>
      <c r="S729" t="str" cm="1">
        <f t="array" ref="S729">_xlfn.TEXTJOIN("、",TRUE,IF('學員資料-三重商工'!$B$2:$B$472=$F729,'學員資料-三重商工'!$G$2:$G$472,""))</f>
        <v/>
      </c>
      <c r="T729">
        <f t="shared" si="11"/>
        <v>1</v>
      </c>
    </row>
    <row r="730" spans="1:20" ht="14.25" hidden="1" customHeight="1">
      <c r="A730" s="15">
        <v>729</v>
      </c>
      <c r="B730" s="16" t="s">
        <v>2426</v>
      </c>
      <c r="C730" s="17">
        <v>45932</v>
      </c>
      <c r="D730" s="15" t="s">
        <v>2427</v>
      </c>
      <c r="E730" s="23"/>
      <c r="F730" s="19" t="s">
        <v>627</v>
      </c>
      <c r="G730" s="18" t="s">
        <v>628</v>
      </c>
      <c r="H730" s="20" t="s">
        <v>52</v>
      </c>
      <c r="I730" s="15">
        <v>1</v>
      </c>
      <c r="J730" s="15" t="s">
        <v>24</v>
      </c>
      <c r="K730" s="15"/>
      <c r="L730" s="21" t="s">
        <v>18</v>
      </c>
      <c r="M730" s="22">
        <v>0</v>
      </c>
      <c r="N730" s="22">
        <v>0</v>
      </c>
      <c r="O730" s="22">
        <v>7500</v>
      </c>
      <c r="P730" s="22">
        <v>7500</v>
      </c>
      <c r="Q730" t="str" cm="1">
        <f t="array" ref="Q730">_xlfn.TEXTJOIN("、",TRUE,IF('學員資料-三民高中'!$B$2:$B$454=$F730,'學員資料-三民高中'!$G$2:$G$454,""))</f>
        <v>0921777655-1</v>
      </c>
      <c r="R730" t="str" cm="1">
        <f t="array" ref="R730">_xlfn.TEXTJOIN("、",TRUE,IF('學員資料-新北高中'!$B$2:$B$583=$F730,'學員資料-新北高中'!$G$2:$G$583,""))</f>
        <v/>
      </c>
      <c r="S730" t="str" cm="1">
        <f t="array" ref="S730">_xlfn.TEXTJOIN("、",TRUE,IF('學員資料-三重商工'!$B$2:$B$472=$F730,'學員資料-三重商工'!$G$2:$G$472,""))</f>
        <v/>
      </c>
      <c r="T730">
        <f t="shared" si="11"/>
        <v>1</v>
      </c>
    </row>
    <row r="731" spans="1:20" ht="14.25" hidden="1" customHeight="1">
      <c r="A731" s="15">
        <v>730</v>
      </c>
      <c r="B731" s="16" t="s">
        <v>2428</v>
      </c>
      <c r="C731" s="17">
        <v>45932</v>
      </c>
      <c r="D731" s="15" t="s">
        <v>2429</v>
      </c>
      <c r="E731" s="18" t="s">
        <v>83</v>
      </c>
      <c r="F731" s="19" t="s">
        <v>2430</v>
      </c>
      <c r="G731" s="18" t="s">
        <v>2431</v>
      </c>
      <c r="H731" s="20" t="s">
        <v>52</v>
      </c>
      <c r="I731" s="15">
        <v>1</v>
      </c>
      <c r="J731" s="15" t="s">
        <v>24</v>
      </c>
      <c r="K731" s="15"/>
      <c r="L731" s="21" t="s">
        <v>16</v>
      </c>
      <c r="M731" s="22">
        <v>0</v>
      </c>
      <c r="N731" s="22">
        <v>-375</v>
      </c>
      <c r="O731" s="22">
        <v>7125</v>
      </c>
      <c r="P731" s="22">
        <v>7125</v>
      </c>
      <c r="Q731" t="str" cm="1">
        <f t="array" ref="Q731">_xlfn.TEXTJOIN("、",TRUE,IF('學員資料-三民高中'!$B$2:$B$454=$F731,'學員資料-三民高中'!$G$2:$G$454,""))</f>
        <v/>
      </c>
      <c r="R731" t="str" cm="1">
        <f t="array" ref="R731">_xlfn.TEXTJOIN("、",TRUE,IF('學員資料-新北高中'!$B$2:$B$583=$F731,'學員資料-新北高中'!$G$2:$G$583,""))</f>
        <v/>
      </c>
      <c r="S731" t="str" cm="1">
        <f t="array" ref="S731">_xlfn.TEXTJOIN("、",TRUE,IF('學員資料-三重商工'!$B$2:$B$472=$F731,'學員資料-三重商工'!$G$2:$G$472,""))</f>
        <v>0928481734</v>
      </c>
      <c r="T731">
        <f t="shared" si="11"/>
        <v>1</v>
      </c>
    </row>
    <row r="732" spans="1:20" ht="14.25" hidden="1" customHeight="1">
      <c r="A732" s="15">
        <v>731</v>
      </c>
      <c r="B732" s="16" t="s">
        <v>2432</v>
      </c>
      <c r="C732" s="17">
        <v>45931</v>
      </c>
      <c r="D732" s="15" t="s">
        <v>2433</v>
      </c>
      <c r="E732" s="18" t="s">
        <v>44</v>
      </c>
      <c r="F732" s="19" t="s">
        <v>2434</v>
      </c>
      <c r="G732" s="18" t="s">
        <v>2435</v>
      </c>
      <c r="H732" s="20" t="s">
        <v>66</v>
      </c>
      <c r="I732" s="15">
        <v>1</v>
      </c>
      <c r="J732" s="15" t="s">
        <v>23</v>
      </c>
      <c r="K732" s="15"/>
      <c r="L732" s="21" t="s">
        <v>16</v>
      </c>
      <c r="M732" s="22">
        <v>0</v>
      </c>
      <c r="N732" s="22">
        <v>0</v>
      </c>
      <c r="O732" s="22">
        <v>6900</v>
      </c>
      <c r="P732" s="22">
        <v>6900</v>
      </c>
      <c r="Q732" t="str" cm="1">
        <f t="array" ref="Q732">_xlfn.TEXTJOIN("、",TRUE,IF('學員資料-三民高中'!$B$2:$B$454=$F732,'學員資料-三民高中'!$G$2:$G$454,""))</f>
        <v/>
      </c>
      <c r="R732" t="str" cm="1">
        <f t="array" ref="R732">_xlfn.TEXTJOIN("、",TRUE,IF('學員資料-新北高中'!$B$2:$B$583=$F732,'學員資料-新北高中'!$G$2:$G$583,""))</f>
        <v/>
      </c>
      <c r="S732" t="str" cm="1">
        <f t="array" ref="S732">_xlfn.TEXTJOIN("、",TRUE,IF('學員資料-三重商工'!$B$2:$B$472=$F732,'學員資料-三重商工'!$G$2:$G$472,""))</f>
        <v>0911781978</v>
      </c>
      <c r="T732">
        <f t="shared" si="11"/>
        <v>1</v>
      </c>
    </row>
    <row r="733" spans="1:20" ht="14.25" hidden="1" customHeight="1">
      <c r="A733" s="15">
        <v>732</v>
      </c>
      <c r="B733" s="16" t="s">
        <v>2436</v>
      </c>
      <c r="C733" s="17">
        <v>45930</v>
      </c>
      <c r="D733" s="15" t="s">
        <v>2437</v>
      </c>
      <c r="E733" s="18" t="s">
        <v>44</v>
      </c>
      <c r="F733" s="19" t="s">
        <v>1134</v>
      </c>
      <c r="G733" s="18" t="s">
        <v>1135</v>
      </c>
      <c r="H733" s="20" t="s">
        <v>52</v>
      </c>
      <c r="I733" s="15">
        <v>1</v>
      </c>
      <c r="J733" s="15" t="s">
        <v>24</v>
      </c>
      <c r="K733" s="15"/>
      <c r="L733" s="21" t="s">
        <v>16</v>
      </c>
      <c r="M733" s="22">
        <v>0</v>
      </c>
      <c r="N733" s="22">
        <v>0</v>
      </c>
      <c r="O733" s="22">
        <v>7500</v>
      </c>
      <c r="P733" s="22">
        <v>7500</v>
      </c>
      <c r="Q733" t="str" cm="1">
        <f t="array" ref="Q733">_xlfn.TEXTJOIN("、",TRUE,IF('學員資料-三民高中'!$B$2:$B$454=$F733,'學員資料-三民高中'!$G$2:$G$454,""))</f>
        <v/>
      </c>
      <c r="R733" t="str" cm="1">
        <f t="array" ref="R733">_xlfn.TEXTJOIN("、",TRUE,IF('學員資料-新北高中'!$B$2:$B$583=$F733,'學員資料-新北高中'!$G$2:$G$583,""))</f>
        <v/>
      </c>
      <c r="S733" t="str" cm="1">
        <f t="array" ref="S733">_xlfn.TEXTJOIN("、",TRUE,IF('學員資料-三重商工'!$B$2:$B$472=$F733,'學員資料-三重商工'!$G$2:$G$472,""))</f>
        <v>0910317925</v>
      </c>
      <c r="T733">
        <f t="shared" si="11"/>
        <v>1</v>
      </c>
    </row>
    <row r="734" spans="1:20" ht="14.25" hidden="1" customHeight="1">
      <c r="A734" s="15">
        <v>733</v>
      </c>
      <c r="B734" s="16" t="s">
        <v>2438</v>
      </c>
      <c r="C734" s="17">
        <v>45929</v>
      </c>
      <c r="D734" s="15" t="s">
        <v>2439</v>
      </c>
      <c r="E734" s="18" t="s">
        <v>161</v>
      </c>
      <c r="F734" s="19" t="s">
        <v>60</v>
      </c>
      <c r="G734" s="18" t="s">
        <v>61</v>
      </c>
      <c r="H734" s="20" t="s">
        <v>52</v>
      </c>
      <c r="I734" s="15">
        <v>1</v>
      </c>
      <c r="J734" s="15" t="s">
        <v>24</v>
      </c>
      <c r="K734" s="15"/>
      <c r="L734" s="21" t="s">
        <v>16</v>
      </c>
      <c r="M734" s="22">
        <v>0</v>
      </c>
      <c r="N734" s="22">
        <v>0</v>
      </c>
      <c r="O734" s="22">
        <v>7500</v>
      </c>
      <c r="P734" s="22">
        <v>7500</v>
      </c>
      <c r="Q734" t="str" cm="1">
        <f t="array" ref="Q734">_xlfn.TEXTJOIN("、",TRUE,IF('學員資料-三民高中'!$B$2:$B$454=$F734,'學員資料-三民高中'!$G$2:$G$454,""))</f>
        <v/>
      </c>
      <c r="R734" t="str" cm="1">
        <f t="array" ref="R734">_xlfn.TEXTJOIN("、",TRUE,IF('學員資料-新北高中'!$B$2:$B$583=$F734,'學員資料-新北高中'!$G$2:$G$583,""))</f>
        <v/>
      </c>
      <c r="S734" t="str" cm="1">
        <f t="array" ref="S734">_xlfn.TEXTJOIN("、",TRUE,IF('學員資料-三重商工'!$B$2:$B$472=$F734,'學員資料-三重商工'!$G$2:$G$472,""))</f>
        <v>0960714198</v>
      </c>
      <c r="T734">
        <f t="shared" si="11"/>
        <v>1</v>
      </c>
    </row>
    <row r="735" spans="1:20" ht="14.25" hidden="1" customHeight="1">
      <c r="A735" s="15">
        <v>734</v>
      </c>
      <c r="B735" s="16" t="s">
        <v>2440</v>
      </c>
      <c r="C735" s="17">
        <v>45929</v>
      </c>
      <c r="D735" s="15" t="s">
        <v>2441</v>
      </c>
      <c r="E735" s="18" t="s">
        <v>161</v>
      </c>
      <c r="F735" s="19" t="s">
        <v>2146</v>
      </c>
      <c r="G735" s="18" t="s">
        <v>2147</v>
      </c>
      <c r="H735" s="20" t="s">
        <v>52</v>
      </c>
      <c r="I735" s="15">
        <v>1</v>
      </c>
      <c r="J735" s="15" t="s">
        <v>24</v>
      </c>
      <c r="K735" s="15"/>
      <c r="L735" s="21" t="s">
        <v>16</v>
      </c>
      <c r="M735" s="22">
        <v>0</v>
      </c>
      <c r="N735" s="22">
        <v>0</v>
      </c>
      <c r="O735" s="22">
        <v>7500</v>
      </c>
      <c r="P735" s="22">
        <v>7500</v>
      </c>
      <c r="Q735" t="str" cm="1">
        <f t="array" ref="Q735">_xlfn.TEXTJOIN("、",TRUE,IF('學員資料-三民高中'!$B$2:$B$454=$F735,'學員資料-三民高中'!$G$2:$G$454,""))</f>
        <v/>
      </c>
      <c r="R735" t="str" cm="1">
        <f t="array" ref="R735">_xlfn.TEXTJOIN("、",TRUE,IF('學員資料-新北高中'!$B$2:$B$583=$F735,'學員資料-新北高中'!$G$2:$G$583,""))</f>
        <v/>
      </c>
      <c r="S735" t="str" cm="1">
        <f t="array" ref="S735">_xlfn.TEXTJOIN("、",TRUE,IF('學員資料-三重商工'!$B$2:$B$472=$F735,'學員資料-三重商工'!$G$2:$G$472,""))</f>
        <v>0917812721</v>
      </c>
      <c r="T735">
        <f t="shared" si="11"/>
        <v>1</v>
      </c>
    </row>
    <row r="736" spans="1:20" ht="14.25" hidden="1" customHeight="1">
      <c r="A736" s="15">
        <v>735</v>
      </c>
      <c r="B736" s="16" t="s">
        <v>2442</v>
      </c>
      <c r="C736" s="17">
        <v>45929</v>
      </c>
      <c r="D736" s="15" t="s">
        <v>2443</v>
      </c>
      <c r="E736" s="18" t="s">
        <v>161</v>
      </c>
      <c r="F736" s="19" t="s">
        <v>2444</v>
      </c>
      <c r="G736" s="18" t="s">
        <v>2445</v>
      </c>
      <c r="H736" s="20" t="s">
        <v>66</v>
      </c>
      <c r="I736" s="15">
        <v>1</v>
      </c>
      <c r="J736" s="15" t="s">
        <v>23</v>
      </c>
      <c r="K736" s="15"/>
      <c r="L736" s="21" t="s">
        <v>16</v>
      </c>
      <c r="M736" s="22">
        <v>0</v>
      </c>
      <c r="N736" s="22">
        <v>0</v>
      </c>
      <c r="O736" s="22">
        <v>6900</v>
      </c>
      <c r="P736" s="22">
        <v>6900</v>
      </c>
      <c r="Q736" t="str" cm="1">
        <f t="array" ref="Q736">_xlfn.TEXTJOIN("、",TRUE,IF('學員資料-三民高中'!$B$2:$B$454=$F736,'學員資料-三民高中'!$G$2:$G$454,""))</f>
        <v/>
      </c>
      <c r="R736" t="str" cm="1">
        <f t="array" ref="R736">_xlfn.TEXTJOIN("、",TRUE,IF('學員資料-新北高中'!$B$2:$B$583=$F736,'學員資料-新北高中'!$G$2:$G$583,""))</f>
        <v/>
      </c>
      <c r="S736" t="str" cm="1">
        <f t="array" ref="S736">_xlfn.TEXTJOIN("、",TRUE,IF('學員資料-三重商工'!$B$2:$B$472=$F736,'學員資料-三重商工'!$G$2:$G$472,""))</f>
        <v>0930065771</v>
      </c>
      <c r="T736">
        <f t="shared" si="11"/>
        <v>1</v>
      </c>
    </row>
    <row r="737" spans="1:20" ht="28.5" hidden="1" customHeight="1">
      <c r="A737" s="15">
        <v>736</v>
      </c>
      <c r="B737" s="16" t="s">
        <v>2446</v>
      </c>
      <c r="C737" s="17">
        <v>45929</v>
      </c>
      <c r="D737" s="15" t="s">
        <v>2447</v>
      </c>
      <c r="E737" s="18" t="s">
        <v>161</v>
      </c>
      <c r="F737" s="19" t="s">
        <v>1217</v>
      </c>
      <c r="G737" s="18" t="s">
        <v>1218</v>
      </c>
      <c r="H737" s="20" t="s">
        <v>2448</v>
      </c>
      <c r="I737" s="15">
        <v>2</v>
      </c>
      <c r="J737" s="15" t="s">
        <v>23</v>
      </c>
      <c r="K737" s="21" t="s">
        <v>116</v>
      </c>
      <c r="L737" s="21" t="s">
        <v>16</v>
      </c>
      <c r="M737" s="22">
        <v>0</v>
      </c>
      <c r="N737" s="22">
        <v>0</v>
      </c>
      <c r="O737" s="22">
        <v>8100</v>
      </c>
      <c r="P737" s="22">
        <v>8100</v>
      </c>
      <c r="Q737" t="str" cm="1">
        <f t="array" ref="Q737">_xlfn.TEXTJOIN("、",TRUE,IF('學員資料-三民高中'!$B$2:$B$454=$F737,'學員資料-三民高中'!$G$2:$G$454,""))</f>
        <v/>
      </c>
      <c r="R737" t="str" cm="1">
        <f t="array" ref="R737">_xlfn.TEXTJOIN("、",TRUE,IF('學員資料-新北高中'!$B$2:$B$583=$F737,'學員資料-新北高中'!$G$2:$G$583,""))</f>
        <v/>
      </c>
      <c r="S737" t="str" cm="1">
        <f t="array" ref="S737">_xlfn.TEXTJOIN("、",TRUE,IF('學員資料-三重商工'!$B$2:$B$472=$F737,'學員資料-三重商工'!$G$2:$G$472,""))</f>
        <v>0955804093</v>
      </c>
      <c r="T737">
        <f t="shared" si="11"/>
        <v>1</v>
      </c>
    </row>
    <row r="738" spans="1:20" ht="14.25" hidden="1" customHeight="1">
      <c r="A738" s="15">
        <v>737</v>
      </c>
      <c r="B738" s="16" t="s">
        <v>2449</v>
      </c>
      <c r="C738" s="17">
        <v>45929</v>
      </c>
      <c r="D738" s="15" t="s">
        <v>2450</v>
      </c>
      <c r="E738" s="18" t="s">
        <v>161</v>
      </c>
      <c r="F738" s="19" t="s">
        <v>2451</v>
      </c>
      <c r="G738" s="18" t="s">
        <v>2452</v>
      </c>
      <c r="H738" s="20" t="s">
        <v>52</v>
      </c>
      <c r="I738" s="15">
        <v>1</v>
      </c>
      <c r="J738" s="15" t="s">
        <v>24</v>
      </c>
      <c r="K738" s="15"/>
      <c r="L738" s="21" t="s">
        <v>16</v>
      </c>
      <c r="M738" s="22">
        <v>0</v>
      </c>
      <c r="N738" s="22">
        <v>0</v>
      </c>
      <c r="O738" s="22">
        <v>7500</v>
      </c>
      <c r="P738" s="22">
        <v>7500</v>
      </c>
      <c r="Q738" t="str" cm="1">
        <f t="array" ref="Q738">_xlfn.TEXTJOIN("、",TRUE,IF('學員資料-三民高中'!$B$2:$B$454=$F738,'學員資料-三民高中'!$G$2:$G$454,""))</f>
        <v/>
      </c>
      <c r="R738" t="str" cm="1">
        <f t="array" ref="R738">_xlfn.TEXTJOIN("、",TRUE,IF('學員資料-新北高中'!$B$2:$B$583=$F738,'學員資料-新北高中'!$G$2:$G$583,""))</f>
        <v/>
      </c>
      <c r="S738" t="str" cm="1">
        <f t="array" ref="S738">_xlfn.TEXTJOIN("、",TRUE,IF('學員資料-三重商工'!$B$2:$B$472=$F738,'學員資料-三重商工'!$G$2:$G$472,""))</f>
        <v>0921969558</v>
      </c>
      <c r="T738">
        <f t="shared" si="11"/>
        <v>1</v>
      </c>
    </row>
    <row r="739" spans="1:20" ht="14.25" hidden="1" customHeight="1">
      <c r="A739" s="15">
        <v>738</v>
      </c>
      <c r="B739" s="16" t="s">
        <v>2453</v>
      </c>
      <c r="C739" s="17">
        <v>45929</v>
      </c>
      <c r="D739" s="15" t="s">
        <v>2454</v>
      </c>
      <c r="E739" s="18" t="s">
        <v>161</v>
      </c>
      <c r="F739" s="19" t="s">
        <v>1787</v>
      </c>
      <c r="G739" s="18" t="s">
        <v>1788</v>
      </c>
      <c r="H739" s="20" t="s">
        <v>52</v>
      </c>
      <c r="I739" s="15">
        <v>1</v>
      </c>
      <c r="J739" s="15" t="s">
        <v>24</v>
      </c>
      <c r="K739" s="15"/>
      <c r="L739" s="21" t="s">
        <v>16</v>
      </c>
      <c r="M739" s="22">
        <v>0</v>
      </c>
      <c r="N739" s="22">
        <v>0</v>
      </c>
      <c r="O739" s="22">
        <v>7500</v>
      </c>
      <c r="P739" s="22">
        <v>7500</v>
      </c>
      <c r="Q739" t="str" cm="1">
        <f t="array" ref="Q739">_xlfn.TEXTJOIN("、",TRUE,IF('學員資料-三民高中'!$B$2:$B$454=$F739,'學員資料-三民高中'!$G$2:$G$454,""))</f>
        <v/>
      </c>
      <c r="R739" t="str" cm="1">
        <f t="array" ref="R739">_xlfn.TEXTJOIN("、",TRUE,IF('學員資料-新北高中'!$B$2:$B$583=$F739,'學員資料-新北高中'!$G$2:$G$583,""))</f>
        <v/>
      </c>
      <c r="S739" t="str" cm="1">
        <f t="array" ref="S739">_xlfn.TEXTJOIN("、",TRUE,IF('學員資料-三重商工'!$B$2:$B$472=$F739,'學員資料-三重商工'!$G$2:$G$472,""))</f>
        <v>0988797796</v>
      </c>
      <c r="T739">
        <f t="shared" si="11"/>
        <v>1</v>
      </c>
    </row>
    <row r="740" spans="1:20" ht="14.25" hidden="1" customHeight="1">
      <c r="A740" s="15">
        <v>739</v>
      </c>
      <c r="B740" s="16" t="s">
        <v>2455</v>
      </c>
      <c r="C740" s="17">
        <v>45929</v>
      </c>
      <c r="D740" s="15" t="s">
        <v>2456</v>
      </c>
      <c r="E740" s="18" t="s">
        <v>161</v>
      </c>
      <c r="F740" s="19" t="s">
        <v>2457</v>
      </c>
      <c r="G740" s="18" t="s">
        <v>2458</v>
      </c>
      <c r="H740" s="20" t="s">
        <v>52</v>
      </c>
      <c r="I740" s="15">
        <v>1</v>
      </c>
      <c r="J740" s="15" t="s">
        <v>24</v>
      </c>
      <c r="K740" s="15"/>
      <c r="L740" s="21" t="s">
        <v>16</v>
      </c>
      <c r="M740" s="22">
        <v>0</v>
      </c>
      <c r="N740" s="22">
        <v>0</v>
      </c>
      <c r="O740" s="22">
        <v>7500</v>
      </c>
      <c r="P740" s="22">
        <v>7500</v>
      </c>
      <c r="Q740" t="str" cm="1">
        <f t="array" ref="Q740">_xlfn.TEXTJOIN("、",TRUE,IF('學員資料-三民高中'!$B$2:$B$454=$F740,'學員資料-三民高中'!$G$2:$G$454,""))</f>
        <v/>
      </c>
      <c r="R740" t="str" cm="1">
        <f t="array" ref="R740">_xlfn.TEXTJOIN("、",TRUE,IF('學員資料-新北高中'!$B$2:$B$583=$F740,'學員資料-新北高中'!$G$2:$G$583,""))</f>
        <v/>
      </c>
      <c r="S740" t="str" cm="1">
        <f t="array" ref="S740">_xlfn.TEXTJOIN("、",TRUE,IF('學員資料-三重商工'!$B$2:$B$472=$F740,'學員資料-三重商工'!$G$2:$G$472,""))</f>
        <v>0966580230</v>
      </c>
      <c r="T740">
        <f t="shared" si="11"/>
        <v>1</v>
      </c>
    </row>
    <row r="741" spans="1:20" ht="14.25" hidden="1" customHeight="1">
      <c r="A741" s="15">
        <v>740</v>
      </c>
      <c r="B741" s="16" t="s">
        <v>2459</v>
      </c>
      <c r="C741" s="17">
        <v>45929</v>
      </c>
      <c r="D741" s="15" t="s">
        <v>2460</v>
      </c>
      <c r="E741" s="18" t="s">
        <v>402</v>
      </c>
      <c r="F741" s="19" t="s">
        <v>1664</v>
      </c>
      <c r="G741" s="18" t="s">
        <v>1665</v>
      </c>
      <c r="H741" s="20" t="s">
        <v>399</v>
      </c>
      <c r="I741" s="15">
        <v>1</v>
      </c>
      <c r="J741" s="15" t="s">
        <v>23</v>
      </c>
      <c r="K741" s="21" t="s">
        <v>116</v>
      </c>
      <c r="L741" s="21" t="s">
        <v>16</v>
      </c>
      <c r="M741" s="22">
        <v>0</v>
      </c>
      <c r="N741" s="22">
        <v>0</v>
      </c>
      <c r="O741" s="22">
        <v>1200</v>
      </c>
      <c r="P741" s="22">
        <v>1200</v>
      </c>
      <c r="Q741" t="str" cm="1">
        <f t="array" ref="Q741">_xlfn.TEXTJOIN("、",TRUE,IF('學員資料-三民高中'!$B$2:$B$454=$F741,'學員資料-三民高中'!$G$2:$G$454,""))</f>
        <v/>
      </c>
      <c r="R741" t="str" cm="1">
        <f t="array" ref="R741">_xlfn.TEXTJOIN("、",TRUE,IF('學員資料-新北高中'!$B$2:$B$583=$F741,'學員資料-新北高中'!$G$2:$G$583,""))</f>
        <v>0910963339</v>
      </c>
      <c r="S741" t="str" cm="1">
        <f t="array" ref="S741">_xlfn.TEXTJOIN("、",TRUE,IF('學員資料-三重商工'!$B$2:$B$472=$F741,'學員資料-三重商工'!$G$2:$G$472,""))</f>
        <v/>
      </c>
      <c r="T741">
        <f t="shared" si="11"/>
        <v>1</v>
      </c>
    </row>
    <row r="742" spans="1:20" ht="28.5" hidden="1" customHeight="1">
      <c r="A742" s="15">
        <v>741</v>
      </c>
      <c r="B742" s="16" t="s">
        <v>2461</v>
      </c>
      <c r="C742" s="17">
        <v>45929</v>
      </c>
      <c r="D742" s="15" t="s">
        <v>2462</v>
      </c>
      <c r="E742" s="18" t="s">
        <v>402</v>
      </c>
      <c r="F742" s="19" t="s">
        <v>1702</v>
      </c>
      <c r="G742" s="18" t="s">
        <v>1703</v>
      </c>
      <c r="H742" s="20" t="s">
        <v>1838</v>
      </c>
      <c r="I742" s="15">
        <v>2</v>
      </c>
      <c r="J742" s="15" t="s">
        <v>24</v>
      </c>
      <c r="K742" s="15"/>
      <c r="L742" s="21" t="s">
        <v>16</v>
      </c>
      <c r="M742" s="22">
        <v>0</v>
      </c>
      <c r="N742" s="22">
        <v>-1080</v>
      </c>
      <c r="O742" s="22">
        <v>20520</v>
      </c>
      <c r="P742" s="22">
        <v>20520</v>
      </c>
      <c r="Q742" t="str" cm="1">
        <f t="array" ref="Q742">_xlfn.TEXTJOIN("、",TRUE,IF('學員資料-三民高中'!$B$2:$B$454=$F742,'學員資料-三民高中'!$G$2:$G$454,""))</f>
        <v/>
      </c>
      <c r="R742" t="str" cm="1">
        <f t="array" ref="R742">_xlfn.TEXTJOIN("、",TRUE,IF('學員資料-新北高中'!$B$2:$B$583=$F742,'學員資料-新北高中'!$G$2:$G$583,""))</f>
        <v>0933075099</v>
      </c>
      <c r="S742" t="str" cm="1">
        <f t="array" ref="S742">_xlfn.TEXTJOIN("、",TRUE,IF('學員資料-三重商工'!$B$2:$B$472=$F742,'學員資料-三重商工'!$G$2:$G$472,""))</f>
        <v/>
      </c>
      <c r="T742">
        <f t="shared" si="11"/>
        <v>1</v>
      </c>
    </row>
    <row r="743" spans="1:20" ht="14.25" hidden="1" customHeight="1">
      <c r="A743" s="15">
        <v>742</v>
      </c>
      <c r="B743" s="16" t="s">
        <v>2463</v>
      </c>
      <c r="C743" s="17">
        <v>45927</v>
      </c>
      <c r="D743" s="15" t="s">
        <v>2464</v>
      </c>
      <c r="E743" s="18" t="s">
        <v>161</v>
      </c>
      <c r="F743" s="19" t="s">
        <v>1229</v>
      </c>
      <c r="G743" s="18" t="s">
        <v>1230</v>
      </c>
      <c r="H743" s="20" t="s">
        <v>587</v>
      </c>
      <c r="I743" s="15">
        <v>1</v>
      </c>
      <c r="J743" s="15" t="s">
        <v>25</v>
      </c>
      <c r="K743" s="21" t="s">
        <v>116</v>
      </c>
      <c r="L743" s="21" t="s">
        <v>16</v>
      </c>
      <c r="M743" s="22">
        <v>0</v>
      </c>
      <c r="N743" s="22">
        <v>0</v>
      </c>
      <c r="O743" s="22">
        <v>1650</v>
      </c>
      <c r="P743" s="22">
        <v>1650</v>
      </c>
      <c r="Q743" t="str" cm="1">
        <f t="array" ref="Q743">_xlfn.TEXTJOIN("、",TRUE,IF('學員資料-三民高中'!$B$2:$B$454=$F743,'學員資料-三民高中'!$G$2:$G$454,""))</f>
        <v>0916879116</v>
      </c>
      <c r="R743" t="str" cm="1">
        <f t="array" ref="R743">_xlfn.TEXTJOIN("、",TRUE,IF('學員資料-新北高中'!$B$2:$B$583=$F743,'學員資料-新北高中'!$G$2:$G$583,""))</f>
        <v/>
      </c>
      <c r="S743" t="str" cm="1">
        <f t="array" ref="S743">_xlfn.TEXTJOIN("、",TRUE,IF('學員資料-三重商工'!$B$2:$B$472=$F743,'學員資料-三重商工'!$G$2:$G$472,""))</f>
        <v/>
      </c>
      <c r="T743">
        <f t="shared" si="11"/>
        <v>1</v>
      </c>
    </row>
    <row r="744" spans="1:20" ht="14.25" hidden="1" customHeight="1">
      <c r="A744" s="15">
        <v>743</v>
      </c>
      <c r="B744" s="16" t="s">
        <v>2465</v>
      </c>
      <c r="C744" s="17">
        <v>45927</v>
      </c>
      <c r="D744" s="15" t="s">
        <v>2466</v>
      </c>
      <c r="E744" s="23"/>
      <c r="F744" s="19" t="s">
        <v>2467</v>
      </c>
      <c r="G744" s="18" t="s">
        <v>2468</v>
      </c>
      <c r="H744" s="20" t="s">
        <v>52</v>
      </c>
      <c r="I744" s="15">
        <v>1</v>
      </c>
      <c r="J744" s="15" t="s">
        <v>24</v>
      </c>
      <c r="K744" s="15"/>
      <c r="L744" s="21" t="s">
        <v>18</v>
      </c>
      <c r="M744" s="22">
        <v>0</v>
      </c>
      <c r="N744" s="22">
        <v>0</v>
      </c>
      <c r="O744" s="22">
        <v>7500</v>
      </c>
      <c r="P744" s="22">
        <v>7500</v>
      </c>
      <c r="Q744" t="str" cm="1">
        <f t="array" ref="Q744">_xlfn.TEXTJOIN("、",TRUE,IF('學員資料-三民高中'!$B$2:$B$454=$F744,'學員資料-三民高中'!$G$2:$G$454,""))</f>
        <v/>
      </c>
      <c r="R744" t="str" cm="1">
        <f t="array" ref="R744">_xlfn.TEXTJOIN("、",TRUE,IF('學員資料-新北高中'!$B$2:$B$583=$F744,'學員資料-新北高中'!$G$2:$G$583,""))</f>
        <v/>
      </c>
      <c r="S744" t="str" cm="1">
        <f t="array" ref="S744">_xlfn.TEXTJOIN("、",TRUE,IF('學員資料-三重商工'!$B$2:$B$472=$F744,'學員資料-三重商工'!$G$2:$G$472,""))</f>
        <v>0953212011</v>
      </c>
      <c r="T744">
        <f t="shared" si="11"/>
        <v>1</v>
      </c>
    </row>
    <row r="745" spans="1:20" ht="14.25" hidden="1" customHeight="1">
      <c r="A745" s="15">
        <v>744</v>
      </c>
      <c r="B745" s="16" t="s">
        <v>2469</v>
      </c>
      <c r="C745" s="17">
        <v>45927</v>
      </c>
      <c r="D745" s="15" t="s">
        <v>2470</v>
      </c>
      <c r="E745" s="23"/>
      <c r="F745" s="19" t="s">
        <v>2471</v>
      </c>
      <c r="G745" s="18" t="s">
        <v>2472</v>
      </c>
      <c r="H745" s="20" t="s">
        <v>66</v>
      </c>
      <c r="I745" s="15">
        <v>1</v>
      </c>
      <c r="J745" s="15" t="s">
        <v>23</v>
      </c>
      <c r="K745" s="15"/>
      <c r="L745" s="21" t="s">
        <v>18</v>
      </c>
      <c r="M745" s="22">
        <v>0</v>
      </c>
      <c r="N745" s="22">
        <v>0</v>
      </c>
      <c r="O745" s="22">
        <v>6900</v>
      </c>
      <c r="P745" s="22">
        <v>6900</v>
      </c>
      <c r="Q745" t="str" cm="1">
        <f t="array" ref="Q745">_xlfn.TEXTJOIN("、",TRUE,IF('學員資料-三民高中'!$B$2:$B$454=$F745,'學員資料-三民高中'!$G$2:$G$454,""))</f>
        <v/>
      </c>
      <c r="R745" t="str" cm="1">
        <f t="array" ref="R745">_xlfn.TEXTJOIN("、",TRUE,IF('學員資料-新北高中'!$B$2:$B$583=$F745,'學員資料-新北高中'!$G$2:$G$583,""))</f>
        <v/>
      </c>
      <c r="S745" t="str" cm="1">
        <f t="array" ref="S745">_xlfn.TEXTJOIN("、",TRUE,IF('學員資料-三重商工'!$B$2:$B$472=$F745,'學員資料-三重商工'!$G$2:$G$472,""))</f>
        <v>0987103346</v>
      </c>
      <c r="T745">
        <f t="shared" si="11"/>
        <v>1</v>
      </c>
    </row>
    <row r="746" spans="1:20" ht="14.25" hidden="1" customHeight="1">
      <c r="A746" s="15">
        <v>745</v>
      </c>
      <c r="B746" s="16" t="s">
        <v>2473</v>
      </c>
      <c r="C746" s="17">
        <v>45927</v>
      </c>
      <c r="D746" s="15" t="s">
        <v>2474</v>
      </c>
      <c r="E746" s="23"/>
      <c r="F746" s="19" t="s">
        <v>2475</v>
      </c>
      <c r="G746" s="18" t="s">
        <v>2476</v>
      </c>
      <c r="H746" s="20" t="s">
        <v>66</v>
      </c>
      <c r="I746" s="15">
        <v>1</v>
      </c>
      <c r="J746" s="15" t="s">
        <v>23</v>
      </c>
      <c r="K746" s="15"/>
      <c r="L746" s="21" t="s">
        <v>18</v>
      </c>
      <c r="M746" s="22">
        <v>0</v>
      </c>
      <c r="N746" s="22">
        <v>0</v>
      </c>
      <c r="O746" s="22">
        <v>6900</v>
      </c>
      <c r="P746" s="22">
        <v>6900</v>
      </c>
      <c r="Q746" t="str" cm="1">
        <f t="array" ref="Q746">_xlfn.TEXTJOIN("、",TRUE,IF('學員資料-三民高中'!$B$2:$B$454=$F746,'學員資料-三民高中'!$G$2:$G$454,""))</f>
        <v/>
      </c>
      <c r="R746" t="str" cm="1">
        <f t="array" ref="R746">_xlfn.TEXTJOIN("、",TRUE,IF('學員資料-新北高中'!$B$2:$B$583=$F746,'學員資料-新北高中'!$G$2:$G$583,""))</f>
        <v/>
      </c>
      <c r="S746" t="str" cm="1">
        <f t="array" ref="S746">_xlfn.TEXTJOIN("、",TRUE,IF('學員資料-三重商工'!$B$2:$B$472=$F746,'學員資料-三重商工'!$G$2:$G$472,""))</f>
        <v>0987531025</v>
      </c>
      <c r="T746">
        <f t="shared" si="11"/>
        <v>1</v>
      </c>
    </row>
    <row r="747" spans="1:20" ht="14.25" hidden="1" customHeight="1">
      <c r="A747" s="15">
        <v>746</v>
      </c>
      <c r="B747" s="16" t="s">
        <v>2477</v>
      </c>
      <c r="C747" s="17">
        <v>45927</v>
      </c>
      <c r="D747" s="15" t="s">
        <v>2478</v>
      </c>
      <c r="E747" s="18" t="s">
        <v>161</v>
      </c>
      <c r="F747" s="19" t="s">
        <v>2479</v>
      </c>
      <c r="G747" s="18" t="s">
        <v>2480</v>
      </c>
      <c r="H747" s="20" t="s">
        <v>130</v>
      </c>
      <c r="I747" s="15">
        <v>1</v>
      </c>
      <c r="J747" s="15" t="s">
        <v>25</v>
      </c>
      <c r="K747" s="15"/>
      <c r="L747" s="21" t="s">
        <v>16</v>
      </c>
      <c r="M747" s="22">
        <v>0</v>
      </c>
      <c r="N747" s="22">
        <v>0</v>
      </c>
      <c r="O747" s="22">
        <v>9900</v>
      </c>
      <c r="P747" s="22">
        <v>9900</v>
      </c>
      <c r="Q747" t="str" cm="1">
        <f t="array" ref="Q747">_xlfn.TEXTJOIN("、",TRUE,IF('學員資料-三民高中'!$B$2:$B$454=$F747,'學員資料-三民高中'!$G$2:$G$454,""))</f>
        <v/>
      </c>
      <c r="R747" t="str" cm="1">
        <f t="array" ref="R747">_xlfn.TEXTJOIN("、",TRUE,IF('學員資料-新北高中'!$B$2:$B$583=$F747,'學員資料-新北高中'!$G$2:$G$583,""))</f>
        <v>0983220852</v>
      </c>
      <c r="S747" t="str" cm="1">
        <f t="array" ref="S747">_xlfn.TEXTJOIN("、",TRUE,IF('學員資料-三重商工'!$B$2:$B$472=$F747,'學員資料-三重商工'!$G$2:$G$472,""))</f>
        <v/>
      </c>
      <c r="T747">
        <f t="shared" si="11"/>
        <v>1</v>
      </c>
    </row>
    <row r="748" spans="1:20" ht="14.25" hidden="1" customHeight="1">
      <c r="A748" s="15">
        <v>747</v>
      </c>
      <c r="B748" s="16" t="s">
        <v>2481</v>
      </c>
      <c r="C748" s="17">
        <v>45927</v>
      </c>
      <c r="D748" s="15" t="s">
        <v>2482</v>
      </c>
      <c r="E748" s="18" t="s">
        <v>161</v>
      </c>
      <c r="F748" s="19" t="s">
        <v>2483</v>
      </c>
      <c r="G748" s="18" t="s">
        <v>2484</v>
      </c>
      <c r="H748" s="20" t="s">
        <v>52</v>
      </c>
      <c r="I748" s="15">
        <v>1</v>
      </c>
      <c r="J748" s="15" t="s">
        <v>24</v>
      </c>
      <c r="K748" s="15"/>
      <c r="L748" s="21" t="s">
        <v>16</v>
      </c>
      <c r="M748" s="22">
        <v>0</v>
      </c>
      <c r="N748" s="22">
        <v>-375</v>
      </c>
      <c r="O748" s="22">
        <v>7125</v>
      </c>
      <c r="P748" s="22">
        <v>7125</v>
      </c>
      <c r="Q748" t="str" cm="1">
        <f t="array" ref="Q748">_xlfn.TEXTJOIN("、",TRUE,IF('學員資料-三民高中'!$B$2:$B$454=$F748,'學員資料-三民高中'!$G$2:$G$454,""))</f>
        <v>0937455654</v>
      </c>
      <c r="R748" t="str" cm="1">
        <f t="array" ref="R748">_xlfn.TEXTJOIN("、",TRUE,IF('學員資料-新北高中'!$B$2:$B$583=$F748,'學員資料-新北高中'!$G$2:$G$583,""))</f>
        <v/>
      </c>
      <c r="S748" t="str" cm="1">
        <f t="array" ref="S748">_xlfn.TEXTJOIN("、",TRUE,IF('學員資料-三重商工'!$B$2:$B$472=$F748,'學員資料-三重商工'!$G$2:$G$472,""))</f>
        <v/>
      </c>
      <c r="T748">
        <f t="shared" si="11"/>
        <v>1</v>
      </c>
    </row>
    <row r="749" spans="1:20" ht="14.25" hidden="1" customHeight="1">
      <c r="A749" s="15">
        <v>748</v>
      </c>
      <c r="B749" s="16" t="s">
        <v>2485</v>
      </c>
      <c r="C749" s="17">
        <v>45925</v>
      </c>
      <c r="D749" s="15" t="s">
        <v>2486</v>
      </c>
      <c r="E749" s="18" t="s">
        <v>44</v>
      </c>
      <c r="F749" s="19" t="s">
        <v>2487</v>
      </c>
      <c r="G749" s="18" t="s">
        <v>2488</v>
      </c>
      <c r="H749" s="20" t="s">
        <v>66</v>
      </c>
      <c r="I749" s="15">
        <v>1</v>
      </c>
      <c r="J749" s="15" t="s">
        <v>23</v>
      </c>
      <c r="K749" s="15"/>
      <c r="L749" s="21" t="s">
        <v>16</v>
      </c>
      <c r="M749" s="22">
        <v>0</v>
      </c>
      <c r="N749" s="22">
        <v>0</v>
      </c>
      <c r="O749" s="22">
        <v>6900</v>
      </c>
      <c r="P749" s="22">
        <v>6900</v>
      </c>
      <c r="Q749" t="str" cm="1">
        <f t="array" ref="Q749">_xlfn.TEXTJOIN("、",TRUE,IF('學員資料-三民高中'!$B$2:$B$454=$F749,'學員資料-三民高中'!$G$2:$G$454,""))</f>
        <v/>
      </c>
      <c r="R749" t="str" cm="1">
        <f t="array" ref="R749">_xlfn.TEXTJOIN("、",TRUE,IF('學員資料-新北高中'!$B$2:$B$583=$F749,'學員資料-新北高中'!$G$2:$G$583,""))</f>
        <v>0937947965</v>
      </c>
      <c r="S749" t="str" cm="1">
        <f t="array" ref="S749">_xlfn.TEXTJOIN("、",TRUE,IF('學員資料-三重商工'!$B$2:$B$472=$F749,'學員資料-三重商工'!$G$2:$G$472,""))</f>
        <v/>
      </c>
      <c r="T749">
        <f t="shared" si="11"/>
        <v>1</v>
      </c>
    </row>
    <row r="750" spans="1:20" ht="14.25" hidden="1" customHeight="1">
      <c r="A750" s="15">
        <v>749</v>
      </c>
      <c r="B750" s="16" t="s">
        <v>2489</v>
      </c>
      <c r="C750" s="17">
        <v>45924</v>
      </c>
      <c r="D750" s="15" t="s">
        <v>2490</v>
      </c>
      <c r="E750" s="18" t="s">
        <v>44</v>
      </c>
      <c r="F750" s="19" t="s">
        <v>2434</v>
      </c>
      <c r="G750" s="18" t="s">
        <v>2435</v>
      </c>
      <c r="H750" s="20" t="s">
        <v>399</v>
      </c>
      <c r="I750" s="15">
        <v>1</v>
      </c>
      <c r="J750" s="15" t="s">
        <v>23</v>
      </c>
      <c r="K750" s="21" t="s">
        <v>116</v>
      </c>
      <c r="L750" s="21" t="s">
        <v>16</v>
      </c>
      <c r="M750" s="22">
        <v>0</v>
      </c>
      <c r="N750" s="22">
        <v>0</v>
      </c>
      <c r="O750" s="22">
        <v>1200</v>
      </c>
      <c r="P750" s="22">
        <v>1200</v>
      </c>
      <c r="Q750" t="str" cm="1">
        <f t="array" ref="Q750">_xlfn.TEXTJOIN("、",TRUE,IF('學員資料-三民高中'!$B$2:$B$454=$F750,'學員資料-三民高中'!$G$2:$G$454,""))</f>
        <v/>
      </c>
      <c r="R750" t="str" cm="1">
        <f t="array" ref="R750">_xlfn.TEXTJOIN("、",TRUE,IF('學員資料-新北高中'!$B$2:$B$583=$F750,'學員資料-新北高中'!$G$2:$G$583,""))</f>
        <v/>
      </c>
      <c r="S750" t="str" cm="1">
        <f t="array" ref="S750">_xlfn.TEXTJOIN("、",TRUE,IF('學員資料-三重商工'!$B$2:$B$472=$F750,'學員資料-三重商工'!$G$2:$G$472,""))</f>
        <v>0911781978</v>
      </c>
      <c r="T750">
        <f t="shared" si="11"/>
        <v>1</v>
      </c>
    </row>
    <row r="751" spans="1:20" ht="14.25" hidden="1" customHeight="1">
      <c r="A751" s="15">
        <v>750</v>
      </c>
      <c r="B751" s="16" t="s">
        <v>2491</v>
      </c>
      <c r="C751" s="17">
        <v>45923</v>
      </c>
      <c r="D751" s="15" t="s">
        <v>2492</v>
      </c>
      <c r="E751" s="23"/>
      <c r="F751" s="19" t="s">
        <v>1652</v>
      </c>
      <c r="G751" s="18" t="s">
        <v>1653</v>
      </c>
      <c r="H751" s="20" t="s">
        <v>52</v>
      </c>
      <c r="I751" s="15">
        <v>1</v>
      </c>
      <c r="J751" s="15" t="s">
        <v>24</v>
      </c>
      <c r="K751" s="15"/>
      <c r="L751" s="21" t="s">
        <v>18</v>
      </c>
      <c r="M751" s="22">
        <v>0</v>
      </c>
      <c r="N751" s="22">
        <v>0</v>
      </c>
      <c r="O751" s="22">
        <v>7500</v>
      </c>
      <c r="P751" s="22">
        <v>7500</v>
      </c>
      <c r="Q751" t="str" cm="1">
        <f t="array" ref="Q751">_xlfn.TEXTJOIN("、",TRUE,IF('學員資料-三民高中'!$B$2:$B$454=$F751,'學員資料-三民高中'!$G$2:$G$454,""))</f>
        <v/>
      </c>
      <c r="R751" t="str" cm="1">
        <f t="array" ref="R751">_xlfn.TEXTJOIN("、",TRUE,IF('學員資料-新北高中'!$B$2:$B$583=$F751,'學員資料-新北高中'!$G$2:$G$583,""))</f>
        <v>0923113843</v>
      </c>
      <c r="S751" t="str" cm="1">
        <f t="array" ref="S751">_xlfn.TEXTJOIN("、",TRUE,IF('學員資料-三重商工'!$B$2:$B$472=$F751,'學員資料-三重商工'!$G$2:$G$472,""))</f>
        <v/>
      </c>
      <c r="T751">
        <f t="shared" si="11"/>
        <v>1</v>
      </c>
    </row>
    <row r="752" spans="1:20" ht="14.25" hidden="1" customHeight="1">
      <c r="A752" s="15">
        <v>751</v>
      </c>
      <c r="B752" s="16" t="s">
        <v>2493</v>
      </c>
      <c r="C752" s="17">
        <v>45922</v>
      </c>
      <c r="D752" s="15" t="s">
        <v>2494</v>
      </c>
      <c r="E752" s="18" t="s">
        <v>402</v>
      </c>
      <c r="F752" s="19" t="s">
        <v>1023</v>
      </c>
      <c r="G752" s="18" t="s">
        <v>1024</v>
      </c>
      <c r="H752" s="20" t="s">
        <v>52</v>
      </c>
      <c r="I752" s="15">
        <v>1</v>
      </c>
      <c r="J752" s="15" t="s">
        <v>24</v>
      </c>
      <c r="K752" s="15"/>
      <c r="L752" s="21" t="s">
        <v>16</v>
      </c>
      <c r="M752" s="22">
        <v>0</v>
      </c>
      <c r="N752" s="22">
        <v>-375</v>
      </c>
      <c r="O752" s="22">
        <v>7125</v>
      </c>
      <c r="P752" s="22">
        <v>7125</v>
      </c>
      <c r="Q752" t="str" cm="1">
        <f t="array" ref="Q752">_xlfn.TEXTJOIN("、",TRUE,IF('學員資料-三民高中'!$B$2:$B$454=$F752,'學員資料-三民高中'!$G$2:$G$454,""))</f>
        <v>0978360915</v>
      </c>
      <c r="R752" t="str" cm="1">
        <f t="array" ref="R752">_xlfn.TEXTJOIN("、",TRUE,IF('學員資料-新北高中'!$B$2:$B$583=$F752,'學員資料-新北高中'!$G$2:$G$583,""))</f>
        <v/>
      </c>
      <c r="S752" t="str" cm="1">
        <f t="array" ref="S752">_xlfn.TEXTJOIN("、",TRUE,IF('學員資料-三重商工'!$B$2:$B$472=$F752,'學員資料-三重商工'!$G$2:$G$472,""))</f>
        <v/>
      </c>
      <c r="T752">
        <f t="shared" si="11"/>
        <v>1</v>
      </c>
    </row>
    <row r="753" spans="1:20" ht="28.5" hidden="1" customHeight="1">
      <c r="A753" s="15">
        <v>752</v>
      </c>
      <c r="B753" s="16" t="s">
        <v>2495</v>
      </c>
      <c r="C753" s="17">
        <v>45922</v>
      </c>
      <c r="D753" s="15" t="s">
        <v>2496</v>
      </c>
      <c r="E753" s="18" t="s">
        <v>83</v>
      </c>
      <c r="F753" s="19" t="s">
        <v>1660</v>
      </c>
      <c r="G753" s="18" t="s">
        <v>1661</v>
      </c>
      <c r="H753" s="20" t="s">
        <v>2497</v>
      </c>
      <c r="I753" s="15">
        <v>2</v>
      </c>
      <c r="J753" s="15" t="s">
        <v>23</v>
      </c>
      <c r="K753" s="21" t="s">
        <v>116</v>
      </c>
      <c r="L753" s="21" t="s">
        <v>16</v>
      </c>
      <c r="M753" s="22">
        <v>0</v>
      </c>
      <c r="N753" s="22">
        <v>0</v>
      </c>
      <c r="O753" s="22">
        <v>8100</v>
      </c>
      <c r="P753" s="22">
        <v>8100</v>
      </c>
      <c r="Q753" t="str" cm="1">
        <f t="array" ref="Q753">_xlfn.TEXTJOIN("、",TRUE,IF('學員資料-三民高中'!$B$2:$B$454=$F753,'學員資料-三民高中'!$G$2:$G$454,""))</f>
        <v/>
      </c>
      <c r="R753" t="str" cm="1">
        <f t="array" ref="R753">_xlfn.TEXTJOIN("、",TRUE,IF('學員資料-新北高中'!$B$2:$B$583=$F753,'學員資料-新北高中'!$G$2:$G$583,""))</f>
        <v/>
      </c>
      <c r="S753" t="str" cm="1">
        <f t="array" ref="S753">_xlfn.TEXTJOIN("、",TRUE,IF('學員資料-三重商工'!$B$2:$B$472=$F753,'學員資料-三重商工'!$G$2:$G$472,""))</f>
        <v>0963036703</v>
      </c>
      <c r="T753">
        <f t="shared" si="11"/>
        <v>1</v>
      </c>
    </row>
    <row r="754" spans="1:20" ht="14.25" hidden="1" customHeight="1">
      <c r="A754" s="15">
        <v>753</v>
      </c>
      <c r="B754" s="16" t="s">
        <v>2498</v>
      </c>
      <c r="C754" s="17">
        <v>45921</v>
      </c>
      <c r="D754" s="15" t="s">
        <v>2499</v>
      </c>
      <c r="E754" s="18" t="s">
        <v>161</v>
      </c>
      <c r="F754" s="19" t="s">
        <v>1799</v>
      </c>
      <c r="G754" s="18" t="s">
        <v>1800</v>
      </c>
      <c r="H754" s="20" t="s">
        <v>66</v>
      </c>
      <c r="I754" s="15">
        <v>1</v>
      </c>
      <c r="J754" s="15" t="s">
        <v>23</v>
      </c>
      <c r="K754" s="15"/>
      <c r="L754" s="21" t="s">
        <v>16</v>
      </c>
      <c r="M754" s="22">
        <v>0</v>
      </c>
      <c r="N754" s="22">
        <v>0</v>
      </c>
      <c r="O754" s="22">
        <v>6900</v>
      </c>
      <c r="P754" s="22">
        <v>6900</v>
      </c>
      <c r="Q754" t="str" cm="1">
        <f t="array" ref="Q754">_xlfn.TEXTJOIN("、",TRUE,IF('學員資料-三民高中'!$B$2:$B$454=$F754,'學員資料-三民高中'!$G$2:$G$454,""))</f>
        <v/>
      </c>
      <c r="R754" t="str" cm="1">
        <f t="array" ref="R754">_xlfn.TEXTJOIN("、",TRUE,IF('學員資料-新北高中'!$B$2:$B$583=$F754,'學員資料-新北高中'!$G$2:$G$583,""))</f>
        <v/>
      </c>
      <c r="S754" t="str" cm="1">
        <f t="array" ref="S754">_xlfn.TEXTJOIN("、",TRUE,IF('學員資料-三重商工'!$B$2:$B$472=$F754,'學員資料-三重商工'!$G$2:$G$472,""))</f>
        <v>0939676718</v>
      </c>
      <c r="T754">
        <f t="shared" si="11"/>
        <v>1</v>
      </c>
    </row>
    <row r="755" spans="1:20" ht="28.5" hidden="1" customHeight="1">
      <c r="A755" s="15">
        <v>754</v>
      </c>
      <c r="B755" s="16" t="s">
        <v>2500</v>
      </c>
      <c r="C755" s="17">
        <v>45921</v>
      </c>
      <c r="D755" s="15" t="s">
        <v>2501</v>
      </c>
      <c r="E755" s="18" t="s">
        <v>161</v>
      </c>
      <c r="F755" s="19" t="s">
        <v>2502</v>
      </c>
      <c r="G755" s="18" t="s">
        <v>2503</v>
      </c>
      <c r="H755" s="20" t="s">
        <v>2504</v>
      </c>
      <c r="I755" s="15">
        <v>2</v>
      </c>
      <c r="J755" s="15" t="s">
        <v>23</v>
      </c>
      <c r="K755" s="15"/>
      <c r="L755" s="21" t="s">
        <v>16</v>
      </c>
      <c r="M755" s="22">
        <v>0</v>
      </c>
      <c r="N755" s="22">
        <v>0</v>
      </c>
      <c r="O755" s="22">
        <v>14400</v>
      </c>
      <c r="P755" s="22">
        <v>14400</v>
      </c>
      <c r="Q755" t="str" cm="1">
        <f t="array" ref="Q755">_xlfn.TEXTJOIN("、",TRUE,IF('學員資料-三民高中'!$B$2:$B$454=$F755,'學員資料-三民高中'!$G$2:$G$454,""))</f>
        <v/>
      </c>
      <c r="R755" t="str" cm="1">
        <f t="array" ref="R755">_xlfn.TEXTJOIN("、",TRUE,IF('學員資料-新北高中'!$B$2:$B$583=$F755,'學員資料-新北高中'!$G$2:$G$583,""))</f>
        <v>0971858826</v>
      </c>
      <c r="S755" t="str" cm="1">
        <f t="array" ref="S755">_xlfn.TEXTJOIN("、",TRUE,IF('學員資料-三重商工'!$B$2:$B$472=$F755,'學員資料-三重商工'!$G$2:$G$472,""))</f>
        <v/>
      </c>
      <c r="T755">
        <f t="shared" si="11"/>
        <v>1</v>
      </c>
    </row>
    <row r="756" spans="1:20" ht="14.25" hidden="1" customHeight="1">
      <c r="A756" s="15">
        <v>755</v>
      </c>
      <c r="B756" s="16" t="s">
        <v>2505</v>
      </c>
      <c r="C756" s="17">
        <v>45921</v>
      </c>
      <c r="D756" s="15" t="s">
        <v>2506</v>
      </c>
      <c r="E756" s="18" t="s">
        <v>763</v>
      </c>
      <c r="F756" s="19" t="s">
        <v>1937</v>
      </c>
      <c r="G756" s="18" t="s">
        <v>1938</v>
      </c>
      <c r="H756" s="20" t="s">
        <v>66</v>
      </c>
      <c r="I756" s="15">
        <v>1</v>
      </c>
      <c r="J756" s="15" t="s">
        <v>23</v>
      </c>
      <c r="K756" s="15"/>
      <c r="L756" s="21" t="s">
        <v>16</v>
      </c>
      <c r="M756" s="22">
        <v>0</v>
      </c>
      <c r="N756" s="22">
        <v>0</v>
      </c>
      <c r="O756" s="22">
        <v>6900</v>
      </c>
      <c r="P756" s="22">
        <v>6900</v>
      </c>
      <c r="Q756" t="str" cm="1">
        <f t="array" ref="Q756">_xlfn.TEXTJOIN("、",TRUE,IF('學員資料-三民高中'!$B$2:$B$454=$F756,'學員資料-三民高中'!$G$2:$G$454,""))</f>
        <v/>
      </c>
      <c r="R756" t="str" cm="1">
        <f t="array" ref="R756">_xlfn.TEXTJOIN("、",TRUE,IF('學員資料-新北高中'!$B$2:$B$583=$F756,'學員資料-新北高中'!$G$2:$G$583,""))</f>
        <v>0920191619</v>
      </c>
      <c r="S756" t="str" cm="1">
        <f t="array" ref="S756">_xlfn.TEXTJOIN("、",TRUE,IF('學員資料-三重商工'!$B$2:$B$472=$F756,'學員資料-三重商工'!$G$2:$G$472,""))</f>
        <v/>
      </c>
      <c r="T756">
        <f t="shared" si="11"/>
        <v>1</v>
      </c>
    </row>
    <row r="757" spans="1:20" ht="14.25" hidden="1" customHeight="1">
      <c r="A757" s="15">
        <v>756</v>
      </c>
      <c r="B757" s="16" t="s">
        <v>2507</v>
      </c>
      <c r="C757" s="17">
        <v>45920</v>
      </c>
      <c r="D757" s="15" t="s">
        <v>2508</v>
      </c>
      <c r="E757" s="18" t="s">
        <v>1324</v>
      </c>
      <c r="F757" s="19" t="s">
        <v>2509</v>
      </c>
      <c r="G757" s="18" t="s">
        <v>2510</v>
      </c>
      <c r="H757" s="20" t="s">
        <v>130</v>
      </c>
      <c r="I757" s="15">
        <v>1</v>
      </c>
      <c r="J757" s="15" t="s">
        <v>25</v>
      </c>
      <c r="K757" s="15"/>
      <c r="L757" s="21" t="s">
        <v>17</v>
      </c>
      <c r="M757" s="22">
        <v>0</v>
      </c>
      <c r="N757" s="22">
        <v>-990</v>
      </c>
      <c r="O757" s="22">
        <v>8910</v>
      </c>
      <c r="P757" s="22">
        <v>8910</v>
      </c>
      <c r="Q757" t="str" cm="1">
        <f t="array" ref="Q757">_xlfn.TEXTJOIN("、",TRUE,IF('學員資料-三民高中'!$B$2:$B$454=$F757,'學員資料-三民高中'!$G$2:$G$454,""))</f>
        <v>0978773970</v>
      </c>
      <c r="R757" t="str" cm="1">
        <f t="array" ref="R757">_xlfn.TEXTJOIN("、",TRUE,IF('學員資料-新北高中'!$B$2:$B$583=$F757,'學員資料-新北高中'!$G$2:$G$583,""))</f>
        <v/>
      </c>
      <c r="S757" t="str" cm="1">
        <f t="array" ref="S757">_xlfn.TEXTJOIN("、",TRUE,IF('學員資料-三重商工'!$B$2:$B$472=$F757,'學員資料-三重商工'!$G$2:$G$472,""))</f>
        <v/>
      </c>
      <c r="T757">
        <f t="shared" si="11"/>
        <v>1</v>
      </c>
    </row>
    <row r="758" spans="1:20" ht="14.25" hidden="1" customHeight="1">
      <c r="A758" s="15">
        <v>757</v>
      </c>
      <c r="B758" s="16" t="s">
        <v>2511</v>
      </c>
      <c r="C758" s="17">
        <v>45920</v>
      </c>
      <c r="D758" s="15" t="s">
        <v>2512</v>
      </c>
      <c r="E758" s="18" t="s">
        <v>1324</v>
      </c>
      <c r="F758" s="19" t="s">
        <v>2513</v>
      </c>
      <c r="G758" s="18" t="s">
        <v>2514</v>
      </c>
      <c r="H758" s="20" t="s">
        <v>52</v>
      </c>
      <c r="I758" s="15">
        <v>1</v>
      </c>
      <c r="J758" s="15" t="s">
        <v>24</v>
      </c>
      <c r="K758" s="15"/>
      <c r="L758" s="21" t="s">
        <v>17</v>
      </c>
      <c r="M758" s="22">
        <v>0</v>
      </c>
      <c r="N758" s="22">
        <v>-375</v>
      </c>
      <c r="O758" s="22">
        <v>7125</v>
      </c>
      <c r="P758" s="22">
        <v>7125</v>
      </c>
      <c r="Q758" t="str" cm="1">
        <f t="array" ref="Q758">_xlfn.TEXTJOIN("、",TRUE,IF('學員資料-三民高中'!$B$2:$B$454=$F758,'學員資料-三民高中'!$G$2:$G$454,""))</f>
        <v>0932342638</v>
      </c>
      <c r="R758" t="str" cm="1">
        <f t="array" ref="R758">_xlfn.TEXTJOIN("、",TRUE,IF('學員資料-新北高中'!$B$2:$B$583=$F758,'學員資料-新北高中'!$G$2:$G$583,""))</f>
        <v/>
      </c>
      <c r="S758" t="str" cm="1">
        <f t="array" ref="S758">_xlfn.TEXTJOIN("、",TRUE,IF('學員資料-三重商工'!$B$2:$B$472=$F758,'學員資料-三重商工'!$G$2:$G$472,""))</f>
        <v/>
      </c>
      <c r="T758">
        <f t="shared" si="11"/>
        <v>1</v>
      </c>
    </row>
    <row r="759" spans="1:20" ht="14.25" hidden="1" customHeight="1">
      <c r="A759" s="15">
        <v>758</v>
      </c>
      <c r="B759" s="16" t="s">
        <v>2515</v>
      </c>
      <c r="C759" s="17">
        <v>45920</v>
      </c>
      <c r="D759" s="15" t="s">
        <v>2516</v>
      </c>
      <c r="E759" s="18" t="s">
        <v>1324</v>
      </c>
      <c r="F759" s="19" t="s">
        <v>2016</v>
      </c>
      <c r="G759" s="18" t="s">
        <v>2017</v>
      </c>
      <c r="H759" s="20" t="s">
        <v>130</v>
      </c>
      <c r="I759" s="15">
        <v>1</v>
      </c>
      <c r="J759" s="15" t="s">
        <v>25</v>
      </c>
      <c r="K759" s="15"/>
      <c r="L759" s="21" t="s">
        <v>17</v>
      </c>
      <c r="M759" s="22">
        <v>0</v>
      </c>
      <c r="N759" s="22">
        <v>-990</v>
      </c>
      <c r="O759" s="22">
        <v>8910</v>
      </c>
      <c r="P759" s="22">
        <v>8910</v>
      </c>
      <c r="Q759" t="str" cm="1">
        <f t="array" ref="Q759">_xlfn.TEXTJOIN("、",TRUE,IF('學員資料-三民高中'!$B$2:$B$454=$F759,'學員資料-三民高中'!$G$2:$G$454,""))</f>
        <v>0935096728-1</v>
      </c>
      <c r="R759" t="str" cm="1">
        <f t="array" ref="R759">_xlfn.TEXTJOIN("、",TRUE,IF('學員資料-新北高中'!$B$2:$B$583=$F759,'學員資料-新北高中'!$G$2:$G$583,""))</f>
        <v/>
      </c>
      <c r="S759" t="str" cm="1">
        <f t="array" ref="S759">_xlfn.TEXTJOIN("、",TRUE,IF('學員資料-三重商工'!$B$2:$B$472=$F759,'學員資料-三重商工'!$G$2:$G$472,""))</f>
        <v/>
      </c>
      <c r="T759">
        <f t="shared" si="11"/>
        <v>1</v>
      </c>
    </row>
    <row r="760" spans="1:20" ht="14.25" hidden="1" customHeight="1">
      <c r="A760" s="15">
        <v>759</v>
      </c>
      <c r="B760" s="16" t="s">
        <v>2517</v>
      </c>
      <c r="C760" s="17">
        <v>45920</v>
      </c>
      <c r="D760" s="15" t="s">
        <v>2518</v>
      </c>
      <c r="E760" s="18" t="s">
        <v>1324</v>
      </c>
      <c r="F760" s="19" t="s">
        <v>2519</v>
      </c>
      <c r="G760" s="18" t="s">
        <v>2520</v>
      </c>
      <c r="H760" s="20" t="s">
        <v>52</v>
      </c>
      <c r="I760" s="15">
        <v>1</v>
      </c>
      <c r="J760" s="15" t="s">
        <v>24</v>
      </c>
      <c r="K760" s="15"/>
      <c r="L760" s="21" t="s">
        <v>17</v>
      </c>
      <c r="M760" s="22">
        <v>0</v>
      </c>
      <c r="N760" s="22">
        <v>-375</v>
      </c>
      <c r="O760" s="22">
        <v>7125</v>
      </c>
      <c r="P760" s="22">
        <v>7125</v>
      </c>
      <c r="Q760" t="str" cm="1">
        <f t="array" ref="Q760">_xlfn.TEXTJOIN("、",TRUE,IF('學員資料-三民高中'!$B$2:$B$454=$F760,'學員資料-三民高中'!$G$2:$G$454,""))</f>
        <v>0933178605</v>
      </c>
      <c r="R760" t="str" cm="1">
        <f t="array" ref="R760">_xlfn.TEXTJOIN("、",TRUE,IF('學員資料-新北高中'!$B$2:$B$583=$F760,'學員資料-新北高中'!$G$2:$G$583,""))</f>
        <v/>
      </c>
      <c r="S760" t="str" cm="1">
        <f t="array" ref="S760">_xlfn.TEXTJOIN("、",TRUE,IF('學員資料-三重商工'!$B$2:$B$472=$F760,'學員資料-三重商工'!$G$2:$G$472,""))</f>
        <v/>
      </c>
      <c r="T760">
        <f t="shared" si="11"/>
        <v>1</v>
      </c>
    </row>
    <row r="761" spans="1:20" ht="14.25" hidden="1" customHeight="1">
      <c r="A761" s="15">
        <v>760</v>
      </c>
      <c r="B761" s="16" t="s">
        <v>2521</v>
      </c>
      <c r="C761" s="17">
        <v>45920</v>
      </c>
      <c r="D761" s="15" t="s">
        <v>2522</v>
      </c>
      <c r="E761" s="18" t="s">
        <v>1324</v>
      </c>
      <c r="F761" s="19" t="s">
        <v>128</v>
      </c>
      <c r="G761" s="18" t="s">
        <v>129</v>
      </c>
      <c r="H761" s="20" t="s">
        <v>130</v>
      </c>
      <c r="I761" s="15">
        <v>1</v>
      </c>
      <c r="J761" s="15" t="s">
        <v>25</v>
      </c>
      <c r="K761" s="15"/>
      <c r="L761" s="21" t="s">
        <v>17</v>
      </c>
      <c r="M761" s="22">
        <v>0</v>
      </c>
      <c r="N761" s="22">
        <v>0</v>
      </c>
      <c r="O761" s="22">
        <v>9900</v>
      </c>
      <c r="P761" s="22">
        <v>9900</v>
      </c>
      <c r="Q761" t="str" cm="1">
        <f t="array" ref="Q761">_xlfn.TEXTJOIN("、",TRUE,IF('學員資料-三民高中'!$B$2:$B$454=$F761,'學員資料-三民高中'!$G$2:$G$454,""))</f>
        <v>0989648031</v>
      </c>
      <c r="R761" t="str" cm="1">
        <f t="array" ref="R761">_xlfn.TEXTJOIN("、",TRUE,IF('學員資料-新北高中'!$B$2:$B$583=$F761,'學員資料-新北高中'!$G$2:$G$583,""))</f>
        <v/>
      </c>
      <c r="S761" t="str" cm="1">
        <f t="array" ref="S761">_xlfn.TEXTJOIN("、",TRUE,IF('學員資料-三重商工'!$B$2:$B$472=$F761,'學員資料-三重商工'!$G$2:$G$472,""))</f>
        <v/>
      </c>
      <c r="T761">
        <f t="shared" si="11"/>
        <v>1</v>
      </c>
    </row>
    <row r="762" spans="1:20" ht="14.25" hidden="1" customHeight="1">
      <c r="A762" s="15">
        <v>761</v>
      </c>
      <c r="B762" s="16" t="s">
        <v>2523</v>
      </c>
      <c r="C762" s="17">
        <v>45920</v>
      </c>
      <c r="D762" s="15" t="s">
        <v>2524</v>
      </c>
      <c r="E762" s="18" t="s">
        <v>161</v>
      </c>
      <c r="F762" s="19" t="s">
        <v>450</v>
      </c>
      <c r="G762" s="18" t="s">
        <v>451</v>
      </c>
      <c r="H762" s="20" t="s">
        <v>52</v>
      </c>
      <c r="I762" s="15">
        <v>1</v>
      </c>
      <c r="J762" s="15" t="s">
        <v>24</v>
      </c>
      <c r="K762" s="15"/>
      <c r="L762" s="21" t="s">
        <v>16</v>
      </c>
      <c r="M762" s="22">
        <v>0</v>
      </c>
      <c r="N762" s="22">
        <v>0</v>
      </c>
      <c r="O762" s="22">
        <v>7500</v>
      </c>
      <c r="P762" s="22">
        <v>7500</v>
      </c>
      <c r="Q762" t="str" cm="1">
        <f t="array" ref="Q762">_xlfn.TEXTJOIN("、",TRUE,IF('學員資料-三民高中'!$B$2:$B$454=$F762,'學員資料-三民高中'!$G$2:$G$454,""))</f>
        <v/>
      </c>
      <c r="R762" t="str" cm="1">
        <f t="array" ref="R762">_xlfn.TEXTJOIN("、",TRUE,IF('學員資料-新北高中'!$B$2:$B$583=$F762,'學員資料-新北高中'!$G$2:$G$583,""))</f>
        <v/>
      </c>
      <c r="S762" t="str" cm="1">
        <f t="array" ref="S762">_xlfn.TEXTJOIN("、",TRUE,IF('學員資料-三重商工'!$B$2:$B$472=$F762,'學員資料-三重商工'!$G$2:$G$472,""))</f>
        <v>0916242232</v>
      </c>
      <c r="T762">
        <f t="shared" si="11"/>
        <v>1</v>
      </c>
    </row>
    <row r="763" spans="1:20" ht="14.25" hidden="1" customHeight="1">
      <c r="A763" s="15">
        <v>762</v>
      </c>
      <c r="B763" s="16" t="s">
        <v>2525</v>
      </c>
      <c r="C763" s="17">
        <v>45920</v>
      </c>
      <c r="D763" s="15" t="s">
        <v>2526</v>
      </c>
      <c r="E763" s="18" t="s">
        <v>1324</v>
      </c>
      <c r="F763" s="19" t="s">
        <v>811</v>
      </c>
      <c r="G763" s="18" t="s">
        <v>812</v>
      </c>
      <c r="H763" s="20" t="s">
        <v>66</v>
      </c>
      <c r="I763" s="15">
        <v>1</v>
      </c>
      <c r="J763" s="15" t="s">
        <v>23</v>
      </c>
      <c r="K763" s="15"/>
      <c r="L763" s="21" t="s">
        <v>16</v>
      </c>
      <c r="M763" s="22">
        <v>0</v>
      </c>
      <c r="N763" s="22">
        <v>0</v>
      </c>
      <c r="O763" s="22">
        <v>6900</v>
      </c>
      <c r="P763" s="22">
        <v>6900</v>
      </c>
      <c r="Q763" t="str" cm="1">
        <f t="array" ref="Q763">_xlfn.TEXTJOIN("、",TRUE,IF('學員資料-三民高中'!$B$2:$B$454=$F763,'學員資料-三民高中'!$G$2:$G$454,""))</f>
        <v>0919671239</v>
      </c>
      <c r="R763" t="str" cm="1">
        <f t="array" ref="R763">_xlfn.TEXTJOIN("、",TRUE,IF('學員資料-新北高中'!$B$2:$B$583=$F763,'學員資料-新北高中'!$G$2:$G$583,""))</f>
        <v/>
      </c>
      <c r="S763" t="str" cm="1">
        <f t="array" ref="S763">_xlfn.TEXTJOIN("、",TRUE,IF('學員資料-三重商工'!$B$2:$B$472=$F763,'學員資料-三重商工'!$G$2:$G$472,""))</f>
        <v/>
      </c>
      <c r="T763">
        <f t="shared" si="11"/>
        <v>1</v>
      </c>
    </row>
    <row r="764" spans="1:20" ht="28.5" hidden="1" customHeight="1">
      <c r="A764" s="15">
        <v>763</v>
      </c>
      <c r="B764" s="16" t="s">
        <v>2527</v>
      </c>
      <c r="C764" s="17">
        <v>45920</v>
      </c>
      <c r="D764" s="15" t="s">
        <v>2528</v>
      </c>
      <c r="E764" s="18" t="s">
        <v>1324</v>
      </c>
      <c r="F764" s="19" t="s">
        <v>2529</v>
      </c>
      <c r="G764" s="18" t="s">
        <v>2530</v>
      </c>
      <c r="H764" s="20" t="s">
        <v>99</v>
      </c>
      <c r="I764" s="15">
        <v>2</v>
      </c>
      <c r="J764" s="15" t="s">
        <v>24</v>
      </c>
      <c r="K764" s="15"/>
      <c r="L764" s="21" t="s">
        <v>17</v>
      </c>
      <c r="M764" s="22">
        <v>0</v>
      </c>
      <c r="N764" s="22">
        <v>-750</v>
      </c>
      <c r="O764" s="22">
        <v>14250</v>
      </c>
      <c r="P764" s="22">
        <v>14250</v>
      </c>
      <c r="Q764" t="str" cm="1">
        <f t="array" ref="Q764">_xlfn.TEXTJOIN("、",TRUE,IF('學員資料-三民高中'!$B$2:$B$454=$F764,'學員資料-三民高中'!$G$2:$G$454,""))</f>
        <v>0975928981-1</v>
      </c>
      <c r="R764" t="str" cm="1">
        <f t="array" ref="R764">_xlfn.TEXTJOIN("、",TRUE,IF('學員資料-新北高中'!$B$2:$B$583=$F764,'學員資料-新北高中'!$G$2:$G$583,""))</f>
        <v/>
      </c>
      <c r="S764" t="str" cm="1">
        <f t="array" ref="S764">_xlfn.TEXTJOIN("、",TRUE,IF('學員資料-三重商工'!$B$2:$B$472=$F764,'學員資料-三重商工'!$G$2:$G$472,""))</f>
        <v/>
      </c>
      <c r="T764">
        <f t="shared" si="11"/>
        <v>1</v>
      </c>
    </row>
    <row r="765" spans="1:20" ht="14.25" hidden="1" customHeight="1">
      <c r="A765" s="15">
        <v>764</v>
      </c>
      <c r="B765" s="16" t="s">
        <v>2531</v>
      </c>
      <c r="C765" s="17">
        <v>45920</v>
      </c>
      <c r="D765" s="15" t="s">
        <v>2532</v>
      </c>
      <c r="E765" s="18" t="s">
        <v>1324</v>
      </c>
      <c r="F765" s="19" t="s">
        <v>2533</v>
      </c>
      <c r="G765" s="18" t="s">
        <v>2534</v>
      </c>
      <c r="H765" s="20" t="s">
        <v>52</v>
      </c>
      <c r="I765" s="15">
        <v>1</v>
      </c>
      <c r="J765" s="15" t="s">
        <v>24</v>
      </c>
      <c r="K765" s="15"/>
      <c r="L765" s="21" t="s">
        <v>16</v>
      </c>
      <c r="M765" s="22">
        <v>0</v>
      </c>
      <c r="N765" s="22">
        <v>-375</v>
      </c>
      <c r="O765" s="22">
        <v>7125</v>
      </c>
      <c r="P765" s="22">
        <v>7125</v>
      </c>
      <c r="Q765" t="str" cm="1">
        <f t="array" ref="Q765">_xlfn.TEXTJOIN("、",TRUE,IF('學員資料-三民高中'!$B$2:$B$454=$F765,'學員資料-三民高中'!$G$2:$G$454,""))</f>
        <v>0920002928-1</v>
      </c>
      <c r="R765" t="str" cm="1">
        <f t="array" ref="R765">_xlfn.TEXTJOIN("、",TRUE,IF('學員資料-新北高中'!$B$2:$B$583=$F765,'學員資料-新北高中'!$G$2:$G$583,""))</f>
        <v/>
      </c>
      <c r="S765" t="str" cm="1">
        <f t="array" ref="S765">_xlfn.TEXTJOIN("、",TRUE,IF('學員資料-三重商工'!$B$2:$B$472=$F765,'學員資料-三重商工'!$G$2:$G$472,""))</f>
        <v/>
      </c>
      <c r="T765">
        <f t="shared" si="11"/>
        <v>1</v>
      </c>
    </row>
    <row r="766" spans="1:20" ht="14.25" hidden="1" customHeight="1">
      <c r="A766" s="15">
        <v>765</v>
      </c>
      <c r="B766" s="16" t="s">
        <v>2535</v>
      </c>
      <c r="C766" s="17">
        <v>45920</v>
      </c>
      <c r="D766" s="15" t="s">
        <v>2536</v>
      </c>
      <c r="E766" s="18" t="s">
        <v>1324</v>
      </c>
      <c r="F766" s="19" t="s">
        <v>2537</v>
      </c>
      <c r="G766" s="18" t="s">
        <v>2538</v>
      </c>
      <c r="H766" s="20" t="s">
        <v>66</v>
      </c>
      <c r="I766" s="15">
        <v>1</v>
      </c>
      <c r="J766" s="15" t="s">
        <v>23</v>
      </c>
      <c r="K766" s="15"/>
      <c r="L766" s="21" t="s">
        <v>16</v>
      </c>
      <c r="M766" s="22">
        <v>0</v>
      </c>
      <c r="N766" s="22">
        <v>0</v>
      </c>
      <c r="O766" s="22">
        <v>6900</v>
      </c>
      <c r="P766" s="22">
        <v>6900</v>
      </c>
      <c r="Q766" t="str" cm="1">
        <f t="array" ref="Q766">_xlfn.TEXTJOIN("、",TRUE,IF('學員資料-三民高中'!$B$2:$B$454=$F766,'學員資料-三民高中'!$G$2:$G$454,""))</f>
        <v>0920628216</v>
      </c>
      <c r="R766" t="str" cm="1">
        <f t="array" ref="R766">_xlfn.TEXTJOIN("、",TRUE,IF('學員資料-新北高中'!$B$2:$B$583=$F766,'學員資料-新北高中'!$G$2:$G$583,""))</f>
        <v/>
      </c>
      <c r="S766" t="str" cm="1">
        <f t="array" ref="S766">_xlfn.TEXTJOIN("、",TRUE,IF('學員資料-三重商工'!$B$2:$B$472=$F766,'學員資料-三重商工'!$G$2:$G$472,""))</f>
        <v/>
      </c>
      <c r="T766">
        <f t="shared" si="11"/>
        <v>1</v>
      </c>
    </row>
    <row r="767" spans="1:20" ht="57.75" hidden="1" customHeight="1">
      <c r="A767" s="15">
        <v>766</v>
      </c>
      <c r="B767" s="16" t="s">
        <v>2539</v>
      </c>
      <c r="C767" s="17">
        <v>45919</v>
      </c>
      <c r="D767" s="15" t="s">
        <v>2540</v>
      </c>
      <c r="E767" s="18" t="s">
        <v>1324</v>
      </c>
      <c r="F767" s="19" t="s">
        <v>930</v>
      </c>
      <c r="G767" s="18" t="s">
        <v>931</v>
      </c>
      <c r="H767" s="20" t="s">
        <v>1526</v>
      </c>
      <c r="I767" s="15">
        <v>4</v>
      </c>
      <c r="J767" s="15" t="s">
        <v>23</v>
      </c>
      <c r="K767" s="15"/>
      <c r="L767" s="21" t="s">
        <v>17</v>
      </c>
      <c r="M767" s="22">
        <v>0</v>
      </c>
      <c r="N767" s="22">
        <v>-1380</v>
      </c>
      <c r="O767" s="22">
        <v>26220</v>
      </c>
      <c r="P767" s="22">
        <v>26220</v>
      </c>
      <c r="Q767" t="str" cm="1">
        <f t="array" ref="Q767">_xlfn.TEXTJOIN("、",TRUE,IF('學員資料-三民高中'!$B$2:$B$454=$F767,'學員資料-三民高中'!$G$2:$G$454,""))</f>
        <v>0935836996</v>
      </c>
      <c r="R767" t="str" cm="1">
        <f t="array" ref="R767">_xlfn.TEXTJOIN("、",TRUE,IF('學員資料-新北高中'!$B$2:$B$583=$F767,'學員資料-新北高中'!$G$2:$G$583,""))</f>
        <v/>
      </c>
      <c r="S767" t="str" cm="1">
        <f t="array" ref="S767">_xlfn.TEXTJOIN("、",TRUE,IF('學員資料-三重商工'!$B$2:$B$472=$F767,'學員資料-三重商工'!$G$2:$G$472,""))</f>
        <v/>
      </c>
      <c r="T767">
        <f t="shared" si="11"/>
        <v>1</v>
      </c>
    </row>
    <row r="768" spans="1:20" ht="14.25" hidden="1" customHeight="1">
      <c r="A768" s="15">
        <v>767</v>
      </c>
      <c r="B768" s="16" t="s">
        <v>2541</v>
      </c>
      <c r="C768" s="17">
        <v>45919</v>
      </c>
      <c r="D768" s="15" t="s">
        <v>2542</v>
      </c>
      <c r="E768" s="18" t="s">
        <v>1324</v>
      </c>
      <c r="F768" s="19" t="s">
        <v>430</v>
      </c>
      <c r="G768" s="18" t="s">
        <v>431</v>
      </c>
      <c r="H768" s="20" t="s">
        <v>130</v>
      </c>
      <c r="I768" s="15">
        <v>1</v>
      </c>
      <c r="J768" s="15" t="s">
        <v>25</v>
      </c>
      <c r="K768" s="15"/>
      <c r="L768" s="21" t="s">
        <v>17</v>
      </c>
      <c r="M768" s="22">
        <v>0</v>
      </c>
      <c r="N768" s="22">
        <v>-990</v>
      </c>
      <c r="O768" s="22">
        <v>8910</v>
      </c>
      <c r="P768" s="22">
        <v>8910</v>
      </c>
      <c r="Q768" t="str" cm="1">
        <f t="array" ref="Q768">_xlfn.TEXTJOIN("、",TRUE,IF('學員資料-三民高中'!$B$2:$B$454=$F768,'學員資料-三民高中'!$G$2:$G$454,""))</f>
        <v>0909583927</v>
      </c>
      <c r="R768" t="str" cm="1">
        <f t="array" ref="R768">_xlfn.TEXTJOIN("、",TRUE,IF('學員資料-新北高中'!$B$2:$B$583=$F768,'學員資料-新北高中'!$G$2:$G$583,""))</f>
        <v/>
      </c>
      <c r="S768" t="str" cm="1">
        <f t="array" ref="S768">_xlfn.TEXTJOIN("、",TRUE,IF('學員資料-三重商工'!$B$2:$B$472=$F768,'學員資料-三重商工'!$G$2:$G$472,""))</f>
        <v/>
      </c>
      <c r="T768">
        <f t="shared" si="11"/>
        <v>1</v>
      </c>
    </row>
    <row r="769" spans="1:20" ht="14.25" hidden="1" customHeight="1">
      <c r="A769" s="15">
        <v>768</v>
      </c>
      <c r="B769" s="16" t="s">
        <v>2543</v>
      </c>
      <c r="C769" s="17">
        <v>45919</v>
      </c>
      <c r="D769" s="15" t="s">
        <v>2544</v>
      </c>
      <c r="E769" s="18" t="s">
        <v>1324</v>
      </c>
      <c r="F769" s="19" t="s">
        <v>2545</v>
      </c>
      <c r="G769" s="18" t="s">
        <v>2546</v>
      </c>
      <c r="H769" s="20" t="s">
        <v>52</v>
      </c>
      <c r="I769" s="15">
        <v>1</v>
      </c>
      <c r="J769" s="15" t="s">
        <v>24</v>
      </c>
      <c r="K769" s="15"/>
      <c r="L769" s="21" t="s">
        <v>17</v>
      </c>
      <c r="M769" s="22">
        <v>0</v>
      </c>
      <c r="N769" s="22">
        <v>-375</v>
      </c>
      <c r="O769" s="22">
        <v>7125</v>
      </c>
      <c r="P769" s="22">
        <v>7125</v>
      </c>
      <c r="Q769" t="str" cm="1">
        <f t="array" ref="Q769">_xlfn.TEXTJOIN("、",TRUE,IF('學員資料-三民高中'!$B$2:$B$454=$F769,'學員資料-三民高中'!$G$2:$G$454,""))</f>
        <v>0926648058</v>
      </c>
      <c r="R769" t="str" cm="1">
        <f t="array" ref="R769">_xlfn.TEXTJOIN("、",TRUE,IF('學員資料-新北高中'!$B$2:$B$583=$F769,'學員資料-新北高中'!$G$2:$G$583,""))</f>
        <v/>
      </c>
      <c r="S769" t="str" cm="1">
        <f t="array" ref="S769">_xlfn.TEXTJOIN("、",TRUE,IF('學員資料-三重商工'!$B$2:$B$472=$F769,'學員資料-三重商工'!$G$2:$G$472,""))</f>
        <v/>
      </c>
      <c r="T769">
        <f t="shared" si="11"/>
        <v>1</v>
      </c>
    </row>
    <row r="770" spans="1:20" ht="28.5" hidden="1" customHeight="1">
      <c r="A770" s="15">
        <v>769</v>
      </c>
      <c r="B770" s="16" t="s">
        <v>2547</v>
      </c>
      <c r="C770" s="17">
        <v>45919</v>
      </c>
      <c r="D770" s="15" t="s">
        <v>2548</v>
      </c>
      <c r="E770" s="18" t="s">
        <v>1324</v>
      </c>
      <c r="F770" s="19" t="s">
        <v>888</v>
      </c>
      <c r="G770" s="18" t="s">
        <v>889</v>
      </c>
      <c r="H770" s="20" t="s">
        <v>75</v>
      </c>
      <c r="I770" s="15">
        <v>2</v>
      </c>
      <c r="J770" s="15" t="s">
        <v>23</v>
      </c>
      <c r="K770" s="15"/>
      <c r="L770" s="21" t="s">
        <v>17</v>
      </c>
      <c r="M770" s="22">
        <v>0</v>
      </c>
      <c r="N770" s="22">
        <v>-690</v>
      </c>
      <c r="O770" s="22">
        <v>13110</v>
      </c>
      <c r="P770" s="22">
        <v>13110</v>
      </c>
      <c r="Q770" t="str" cm="1">
        <f t="array" ref="Q770">_xlfn.TEXTJOIN("、",TRUE,IF('學員資料-三民高中'!$B$2:$B$454=$F770,'學員資料-三民高中'!$G$2:$G$454,""))</f>
        <v/>
      </c>
      <c r="R770" t="str" cm="1">
        <f t="array" ref="R770">_xlfn.TEXTJOIN("、",TRUE,IF('學員資料-新北高中'!$B$2:$B$583=$F770,'學員資料-新北高中'!$G$2:$G$583,""))</f>
        <v>0900099919</v>
      </c>
      <c r="S770" t="str" cm="1">
        <f t="array" ref="S770">_xlfn.TEXTJOIN("、",TRUE,IF('學員資料-三重商工'!$B$2:$B$472=$F770,'學員資料-三重商工'!$G$2:$G$472,""))</f>
        <v/>
      </c>
      <c r="T770">
        <f t="shared" si="11"/>
        <v>1</v>
      </c>
    </row>
    <row r="771" spans="1:20" ht="14.25" hidden="1" customHeight="1">
      <c r="A771" s="15">
        <v>770</v>
      </c>
      <c r="B771" s="16" t="s">
        <v>2549</v>
      </c>
      <c r="C771" s="17">
        <v>45919</v>
      </c>
      <c r="D771" s="15" t="s">
        <v>2550</v>
      </c>
      <c r="E771" s="18" t="s">
        <v>1324</v>
      </c>
      <c r="F771" s="19" t="s">
        <v>950</v>
      </c>
      <c r="G771" s="18" t="s">
        <v>951</v>
      </c>
      <c r="H771" s="20" t="s">
        <v>52</v>
      </c>
      <c r="I771" s="15">
        <v>1</v>
      </c>
      <c r="J771" s="15" t="s">
        <v>24</v>
      </c>
      <c r="K771" s="15"/>
      <c r="L771" s="21" t="s">
        <v>16</v>
      </c>
      <c r="M771" s="22">
        <v>0</v>
      </c>
      <c r="N771" s="22">
        <v>-375</v>
      </c>
      <c r="O771" s="22">
        <v>7125</v>
      </c>
      <c r="P771" s="22">
        <v>7125</v>
      </c>
      <c r="Q771" t="str" cm="1">
        <f t="array" ref="Q771">_xlfn.TEXTJOIN("、",TRUE,IF('學員資料-三民高中'!$B$2:$B$454=$F771,'學員資料-三民高中'!$G$2:$G$454,""))</f>
        <v/>
      </c>
      <c r="R771" t="str" cm="1">
        <f t="array" ref="R771">_xlfn.TEXTJOIN("、",TRUE,IF('學員資料-新北高中'!$B$2:$B$583=$F771,'學員資料-新北高中'!$G$2:$G$583,""))</f>
        <v>0975372886</v>
      </c>
      <c r="S771" t="str" cm="1">
        <f t="array" ref="S771">_xlfn.TEXTJOIN("、",TRUE,IF('學員資料-三重商工'!$B$2:$B$472=$F771,'學員資料-三重商工'!$G$2:$G$472,""))</f>
        <v/>
      </c>
      <c r="T771">
        <f t="shared" ref="T771:T834" si="12">3-COUNTBLANK(Q771:S771)</f>
        <v>1</v>
      </c>
    </row>
    <row r="772" spans="1:20" ht="14.25" hidden="1" customHeight="1">
      <c r="A772" s="15">
        <v>771</v>
      </c>
      <c r="B772" s="16" t="s">
        <v>2551</v>
      </c>
      <c r="C772" s="17">
        <v>45919</v>
      </c>
      <c r="D772" s="15" t="s">
        <v>2552</v>
      </c>
      <c r="E772" s="18" t="s">
        <v>1324</v>
      </c>
      <c r="F772" s="19" t="s">
        <v>175</v>
      </c>
      <c r="G772" s="18" t="s">
        <v>176</v>
      </c>
      <c r="H772" s="20" t="s">
        <v>130</v>
      </c>
      <c r="I772" s="15">
        <v>1</v>
      </c>
      <c r="J772" s="15" t="s">
        <v>25</v>
      </c>
      <c r="K772" s="15"/>
      <c r="L772" s="21" t="s">
        <v>17</v>
      </c>
      <c r="M772" s="22">
        <v>0</v>
      </c>
      <c r="N772" s="22">
        <v>-990</v>
      </c>
      <c r="O772" s="22">
        <v>8910</v>
      </c>
      <c r="P772" s="22">
        <v>8910</v>
      </c>
      <c r="Q772" t="str" cm="1">
        <f t="array" ref="Q772">_xlfn.TEXTJOIN("、",TRUE,IF('學員資料-三民高中'!$B$2:$B$454=$F772,'學員資料-三民高中'!$G$2:$G$454,""))</f>
        <v>0919360553</v>
      </c>
      <c r="R772" t="str" cm="1">
        <f t="array" ref="R772">_xlfn.TEXTJOIN("、",TRUE,IF('學員資料-新北高中'!$B$2:$B$583=$F772,'學員資料-新北高中'!$G$2:$G$583,""))</f>
        <v/>
      </c>
      <c r="S772" t="str" cm="1">
        <f t="array" ref="S772">_xlfn.TEXTJOIN("、",TRUE,IF('學員資料-三重商工'!$B$2:$B$472=$F772,'學員資料-三重商工'!$G$2:$G$472,""))</f>
        <v/>
      </c>
      <c r="T772">
        <f t="shared" si="12"/>
        <v>1</v>
      </c>
    </row>
    <row r="773" spans="1:20" ht="14.25" hidden="1" customHeight="1">
      <c r="A773" s="15">
        <v>772</v>
      </c>
      <c r="B773" s="16" t="s">
        <v>2553</v>
      </c>
      <c r="C773" s="17">
        <v>45919</v>
      </c>
      <c r="D773" s="15" t="s">
        <v>2554</v>
      </c>
      <c r="E773" s="18" t="s">
        <v>1324</v>
      </c>
      <c r="F773" s="19" t="s">
        <v>2555</v>
      </c>
      <c r="G773" s="18" t="s">
        <v>2556</v>
      </c>
      <c r="H773" s="20" t="s">
        <v>66</v>
      </c>
      <c r="I773" s="15">
        <v>1</v>
      </c>
      <c r="J773" s="15" t="s">
        <v>23</v>
      </c>
      <c r="K773" s="15"/>
      <c r="L773" s="21" t="s">
        <v>17</v>
      </c>
      <c r="M773" s="22">
        <v>0</v>
      </c>
      <c r="N773" s="22">
        <v>-345</v>
      </c>
      <c r="O773" s="22">
        <v>6555</v>
      </c>
      <c r="P773" s="22">
        <v>6555</v>
      </c>
      <c r="Q773" t="str" cm="1">
        <f t="array" ref="Q773">_xlfn.TEXTJOIN("、",TRUE,IF('學員資料-三民高中'!$B$2:$B$454=$F773,'學員資料-三民高中'!$G$2:$G$454,""))</f>
        <v>0955109120</v>
      </c>
      <c r="R773" t="str" cm="1">
        <f t="array" ref="R773">_xlfn.TEXTJOIN("、",TRUE,IF('學員資料-新北高中'!$B$2:$B$583=$F773,'學員資料-新北高中'!$G$2:$G$583,""))</f>
        <v/>
      </c>
      <c r="S773" t="str" cm="1">
        <f t="array" ref="S773">_xlfn.TEXTJOIN("、",TRUE,IF('學員資料-三重商工'!$B$2:$B$472=$F773,'學員資料-三重商工'!$G$2:$G$472,""))</f>
        <v/>
      </c>
      <c r="T773">
        <f t="shared" si="12"/>
        <v>1</v>
      </c>
    </row>
    <row r="774" spans="1:20" ht="28.5" hidden="1" customHeight="1">
      <c r="A774" s="15">
        <v>773</v>
      </c>
      <c r="B774" s="16" t="s">
        <v>2557</v>
      </c>
      <c r="C774" s="17">
        <v>45919</v>
      </c>
      <c r="D774" s="15" t="s">
        <v>2558</v>
      </c>
      <c r="E774" s="18" t="s">
        <v>78</v>
      </c>
      <c r="F774" s="19" t="s">
        <v>635</v>
      </c>
      <c r="G774" s="18" t="s">
        <v>636</v>
      </c>
      <c r="H774" s="20" t="s">
        <v>75</v>
      </c>
      <c r="I774" s="15">
        <v>2</v>
      </c>
      <c r="J774" s="15" t="s">
        <v>23</v>
      </c>
      <c r="K774" s="15"/>
      <c r="L774" s="21" t="s">
        <v>16</v>
      </c>
      <c r="M774" s="22">
        <v>0</v>
      </c>
      <c r="N774" s="22">
        <v>-690</v>
      </c>
      <c r="O774" s="22">
        <v>13110</v>
      </c>
      <c r="P774" s="22">
        <v>13110</v>
      </c>
      <c r="Q774" t="str" cm="1">
        <f t="array" ref="Q774">_xlfn.TEXTJOIN("、",TRUE,IF('學員資料-三民高中'!$B$2:$B$454=$F774,'學員資料-三民高中'!$G$2:$G$454,""))</f>
        <v/>
      </c>
      <c r="R774" t="str" cm="1">
        <f t="array" ref="R774">_xlfn.TEXTJOIN("、",TRUE,IF('學員資料-新北高中'!$B$2:$B$583=$F774,'學員資料-新北高中'!$G$2:$G$583,""))</f>
        <v>0960719183</v>
      </c>
      <c r="S774" t="str" cm="1">
        <f t="array" ref="S774">_xlfn.TEXTJOIN("、",TRUE,IF('學員資料-三重商工'!$B$2:$B$472=$F774,'學員資料-三重商工'!$G$2:$G$472,""))</f>
        <v/>
      </c>
      <c r="T774">
        <f t="shared" si="12"/>
        <v>1</v>
      </c>
    </row>
    <row r="775" spans="1:20" ht="28.5" hidden="1" customHeight="1">
      <c r="A775" s="15">
        <v>774</v>
      </c>
      <c r="B775" s="16" t="s">
        <v>2559</v>
      </c>
      <c r="C775" s="17">
        <v>45918</v>
      </c>
      <c r="D775" s="15" t="s">
        <v>2560</v>
      </c>
      <c r="E775" s="23"/>
      <c r="F775" s="19" t="s">
        <v>2529</v>
      </c>
      <c r="G775" s="18" t="s">
        <v>2530</v>
      </c>
      <c r="H775" s="20" t="s">
        <v>99</v>
      </c>
      <c r="I775" s="15">
        <v>2</v>
      </c>
      <c r="J775" s="15" t="s">
        <v>24</v>
      </c>
      <c r="K775" s="15"/>
      <c r="L775" s="21" t="s">
        <v>18</v>
      </c>
      <c r="M775" s="22">
        <v>0</v>
      </c>
      <c r="N775" s="22">
        <v>-750</v>
      </c>
      <c r="O775" s="22">
        <v>14250</v>
      </c>
      <c r="P775" s="22">
        <v>14250</v>
      </c>
      <c r="Q775" t="str" cm="1">
        <f t="array" ref="Q775">_xlfn.TEXTJOIN("、",TRUE,IF('學員資料-三民高中'!$B$2:$B$454=$F775,'學員資料-三民高中'!$G$2:$G$454,""))</f>
        <v>0975928981-1</v>
      </c>
      <c r="R775" t="str" cm="1">
        <f t="array" ref="R775">_xlfn.TEXTJOIN("、",TRUE,IF('學員資料-新北高中'!$B$2:$B$583=$F775,'學員資料-新北高中'!$G$2:$G$583,""))</f>
        <v/>
      </c>
      <c r="S775" t="str" cm="1">
        <f t="array" ref="S775">_xlfn.TEXTJOIN("、",TRUE,IF('學員資料-三重商工'!$B$2:$B$472=$F775,'學員資料-三重商工'!$G$2:$G$472,""))</f>
        <v/>
      </c>
      <c r="T775">
        <f t="shared" si="12"/>
        <v>1</v>
      </c>
    </row>
    <row r="776" spans="1:20" ht="14.25" hidden="1" customHeight="1">
      <c r="A776" s="15">
        <v>775</v>
      </c>
      <c r="B776" s="16" t="s">
        <v>2561</v>
      </c>
      <c r="C776" s="17">
        <v>45918</v>
      </c>
      <c r="D776" s="15" t="s">
        <v>2562</v>
      </c>
      <c r="E776" s="18" t="s">
        <v>83</v>
      </c>
      <c r="F776" s="19" t="s">
        <v>1925</v>
      </c>
      <c r="G776" s="18" t="s">
        <v>1926</v>
      </c>
      <c r="H776" s="20" t="s">
        <v>66</v>
      </c>
      <c r="I776" s="15">
        <v>1</v>
      </c>
      <c r="J776" s="15" t="s">
        <v>23</v>
      </c>
      <c r="K776" s="15"/>
      <c r="L776" s="21" t="s">
        <v>16</v>
      </c>
      <c r="M776" s="22">
        <v>0</v>
      </c>
      <c r="N776" s="22">
        <v>0</v>
      </c>
      <c r="O776" s="22">
        <v>6900</v>
      </c>
      <c r="P776" s="22">
        <v>6900</v>
      </c>
      <c r="Q776" t="str" cm="1">
        <f t="array" ref="Q776">_xlfn.TEXTJOIN("、",TRUE,IF('學員資料-三民高中'!$B$2:$B$454=$F776,'學員資料-三民高中'!$G$2:$G$454,""))</f>
        <v/>
      </c>
      <c r="R776" t="str" cm="1">
        <f t="array" ref="R776">_xlfn.TEXTJOIN("、",TRUE,IF('學員資料-新北高中'!$B$2:$B$583=$F776,'學員資料-新北高中'!$G$2:$G$583,""))</f>
        <v>0902228252</v>
      </c>
      <c r="S776" t="str" cm="1">
        <f t="array" ref="S776">_xlfn.TEXTJOIN("、",TRUE,IF('學員資料-三重商工'!$B$2:$B$472=$F776,'學員資料-三重商工'!$G$2:$G$472,""))</f>
        <v/>
      </c>
      <c r="T776">
        <f t="shared" si="12"/>
        <v>1</v>
      </c>
    </row>
    <row r="777" spans="1:20" ht="14.25" hidden="1" customHeight="1">
      <c r="A777" s="15">
        <v>776</v>
      </c>
      <c r="B777" s="16" t="s">
        <v>2563</v>
      </c>
      <c r="C777" s="17">
        <v>45917</v>
      </c>
      <c r="D777" s="15" t="s">
        <v>2564</v>
      </c>
      <c r="E777" s="18" t="s">
        <v>402</v>
      </c>
      <c r="F777" s="19" t="s">
        <v>2565</v>
      </c>
      <c r="G777" s="18" t="s">
        <v>2566</v>
      </c>
      <c r="H777" s="20" t="s">
        <v>683</v>
      </c>
      <c r="I777" s="15">
        <v>1</v>
      </c>
      <c r="J777" s="15" t="s">
        <v>23</v>
      </c>
      <c r="K777" s="15"/>
      <c r="L777" s="21" t="s">
        <v>16</v>
      </c>
      <c r="M777" s="22">
        <v>0</v>
      </c>
      <c r="N777" s="22">
        <v>-450</v>
      </c>
      <c r="O777" s="22">
        <v>8550</v>
      </c>
      <c r="P777" s="22">
        <v>8550</v>
      </c>
      <c r="Q777" t="str" cm="1">
        <f t="array" ref="Q777">_xlfn.TEXTJOIN("、",TRUE,IF('學員資料-三民高中'!$B$2:$B$454=$F777,'學員資料-三民高中'!$G$2:$G$454,""))</f>
        <v/>
      </c>
      <c r="R777" t="str" cm="1">
        <f t="array" ref="R777">_xlfn.TEXTJOIN("、",TRUE,IF('學員資料-新北高中'!$B$2:$B$583=$F777,'學員資料-新北高中'!$G$2:$G$583,""))</f>
        <v>0987238688</v>
      </c>
      <c r="S777" t="str" cm="1">
        <f t="array" ref="S777">_xlfn.TEXTJOIN("、",TRUE,IF('學員資料-三重商工'!$B$2:$B$472=$F777,'學員資料-三重商工'!$G$2:$G$472,""))</f>
        <v/>
      </c>
      <c r="T777">
        <f t="shared" si="12"/>
        <v>1</v>
      </c>
    </row>
    <row r="778" spans="1:20" ht="14.25" customHeight="1">
      <c r="A778" s="15">
        <v>777</v>
      </c>
      <c r="B778" s="16" t="s">
        <v>2567</v>
      </c>
      <c r="C778" s="17">
        <v>45917</v>
      </c>
      <c r="D778" s="15" t="s">
        <v>2568</v>
      </c>
      <c r="E778" s="18" t="s">
        <v>402</v>
      </c>
      <c r="F778" s="19" t="s">
        <v>2569</v>
      </c>
      <c r="G778" s="18" t="s">
        <v>2570</v>
      </c>
      <c r="H778" s="20" t="s">
        <v>66</v>
      </c>
      <c r="I778" s="15">
        <v>1</v>
      </c>
      <c r="J778" s="15" t="s">
        <v>23</v>
      </c>
      <c r="K778" s="15"/>
      <c r="L778" s="21" t="s">
        <v>16</v>
      </c>
      <c r="M778" s="22">
        <v>0</v>
      </c>
      <c r="N778" s="22">
        <v>-345</v>
      </c>
      <c r="O778" s="22">
        <v>6555</v>
      </c>
      <c r="P778" s="22">
        <v>6555</v>
      </c>
      <c r="Q778" t="str" cm="1">
        <f t="array" ref="Q778">_xlfn.TEXTJOIN("、",TRUE,IF('學員資料-三民高中'!$B$2:$B$454=$F778,'學員資料-三民高中'!$G$2:$G$454,""))</f>
        <v/>
      </c>
      <c r="R778" t="str" cm="1">
        <f t="array" ref="R778">_xlfn.TEXTJOIN("、",TRUE,IF('學員資料-新北高中'!$B$2:$B$583=$F778,'學員資料-新北高中'!$G$2:$G$583,""))</f>
        <v/>
      </c>
      <c r="S778" t="str" cm="1">
        <f t="array" ref="S778">_xlfn.TEXTJOIN("、",TRUE,IF('學員資料-三重商工'!$B$2:$B$472=$F778,'學員資料-三重商工'!$G$2:$G$472,""))</f>
        <v/>
      </c>
      <c r="T778">
        <f t="shared" si="12"/>
        <v>0</v>
      </c>
    </row>
    <row r="779" spans="1:20" ht="14.25" hidden="1" customHeight="1">
      <c r="A779" s="15">
        <v>778</v>
      </c>
      <c r="B779" s="16" t="s">
        <v>2571</v>
      </c>
      <c r="C779" s="17">
        <v>45917</v>
      </c>
      <c r="D779" s="15" t="s">
        <v>2572</v>
      </c>
      <c r="E779" s="18" t="s">
        <v>402</v>
      </c>
      <c r="F779" s="19" t="s">
        <v>2573</v>
      </c>
      <c r="G779" s="18" t="s">
        <v>2574</v>
      </c>
      <c r="H779" s="20" t="s">
        <v>66</v>
      </c>
      <c r="I779" s="15">
        <v>1</v>
      </c>
      <c r="J779" s="15" t="s">
        <v>23</v>
      </c>
      <c r="K779" s="15"/>
      <c r="L779" s="21" t="s">
        <v>16</v>
      </c>
      <c r="M779" s="22">
        <v>0</v>
      </c>
      <c r="N779" s="22">
        <v>-345</v>
      </c>
      <c r="O779" s="22">
        <v>6555</v>
      </c>
      <c r="P779" s="22">
        <v>6555</v>
      </c>
      <c r="Q779" t="str" cm="1">
        <f t="array" ref="Q779">_xlfn.TEXTJOIN("、",TRUE,IF('學員資料-三民高中'!$B$2:$B$454=$F779,'學員資料-三民高中'!$G$2:$G$454,""))</f>
        <v/>
      </c>
      <c r="R779" t="str" cm="1">
        <f t="array" ref="R779">_xlfn.TEXTJOIN("、",TRUE,IF('學員資料-新北高中'!$B$2:$B$583=$F779,'學員資料-新北高中'!$G$2:$G$583,""))</f>
        <v>0928976145</v>
      </c>
      <c r="S779" t="str" cm="1">
        <f t="array" ref="S779">_xlfn.TEXTJOIN("、",TRUE,IF('學員資料-三重商工'!$B$2:$B$472=$F779,'學員資料-三重商工'!$G$2:$G$472,""))</f>
        <v/>
      </c>
      <c r="T779">
        <f t="shared" si="12"/>
        <v>1</v>
      </c>
    </row>
    <row r="780" spans="1:20" ht="14.25" hidden="1" customHeight="1">
      <c r="A780" s="15">
        <v>779</v>
      </c>
      <c r="B780" s="16" t="s">
        <v>2575</v>
      </c>
      <c r="C780" s="17">
        <v>45916</v>
      </c>
      <c r="D780" s="15" t="s">
        <v>2576</v>
      </c>
      <c r="E780" s="18" t="s">
        <v>83</v>
      </c>
      <c r="F780" s="19" t="s">
        <v>2444</v>
      </c>
      <c r="G780" s="18" t="s">
        <v>2445</v>
      </c>
      <c r="H780" s="20" t="s">
        <v>399</v>
      </c>
      <c r="I780" s="15">
        <v>1</v>
      </c>
      <c r="J780" s="15" t="s">
        <v>23</v>
      </c>
      <c r="K780" s="21" t="s">
        <v>116</v>
      </c>
      <c r="L780" s="21" t="s">
        <v>16</v>
      </c>
      <c r="M780" s="22">
        <v>0</v>
      </c>
      <c r="N780" s="22">
        <v>0</v>
      </c>
      <c r="O780" s="22">
        <v>1200</v>
      </c>
      <c r="P780" s="22">
        <v>1200</v>
      </c>
      <c r="Q780" t="str" cm="1">
        <f t="array" ref="Q780">_xlfn.TEXTJOIN("、",TRUE,IF('學員資料-三民高中'!$B$2:$B$454=$F780,'學員資料-三民高中'!$G$2:$G$454,""))</f>
        <v/>
      </c>
      <c r="R780" t="str" cm="1">
        <f t="array" ref="R780">_xlfn.TEXTJOIN("、",TRUE,IF('學員資料-新北高中'!$B$2:$B$583=$F780,'學員資料-新北高中'!$G$2:$G$583,""))</f>
        <v/>
      </c>
      <c r="S780" t="str" cm="1">
        <f t="array" ref="S780">_xlfn.TEXTJOIN("、",TRUE,IF('學員資料-三重商工'!$B$2:$B$472=$F780,'學員資料-三重商工'!$G$2:$G$472,""))</f>
        <v>0930065771</v>
      </c>
      <c r="T780">
        <f t="shared" si="12"/>
        <v>1</v>
      </c>
    </row>
    <row r="781" spans="1:20" ht="14.25" hidden="1" customHeight="1">
      <c r="A781" s="15">
        <v>780</v>
      </c>
      <c r="B781" s="16" t="s">
        <v>2577</v>
      </c>
      <c r="C781" s="17">
        <v>45915</v>
      </c>
      <c r="D781" s="15" t="s">
        <v>2578</v>
      </c>
      <c r="E781" s="18" t="s">
        <v>402</v>
      </c>
      <c r="F781" s="19" t="s">
        <v>2064</v>
      </c>
      <c r="G781" s="18" t="s">
        <v>2065</v>
      </c>
      <c r="H781" s="20" t="s">
        <v>52</v>
      </c>
      <c r="I781" s="15">
        <v>1</v>
      </c>
      <c r="J781" s="15" t="s">
        <v>24</v>
      </c>
      <c r="K781" s="15"/>
      <c r="L781" s="21" t="s">
        <v>16</v>
      </c>
      <c r="M781" s="22">
        <v>0</v>
      </c>
      <c r="N781" s="22">
        <v>-375</v>
      </c>
      <c r="O781" s="22">
        <v>7125</v>
      </c>
      <c r="P781" s="22">
        <v>7125</v>
      </c>
      <c r="Q781" t="str" cm="1">
        <f t="array" ref="Q781">_xlfn.TEXTJOIN("、",TRUE,IF('學員資料-三民高中'!$B$2:$B$454=$F781,'學員資料-三民高中'!$G$2:$G$454,""))</f>
        <v/>
      </c>
      <c r="R781" t="str" cm="1">
        <f t="array" ref="R781">_xlfn.TEXTJOIN("、",TRUE,IF('學員資料-新北高中'!$B$2:$B$583=$F781,'學員資料-新北高中'!$G$2:$G$583,""))</f>
        <v>0965122697</v>
      </c>
      <c r="S781" t="str" cm="1">
        <f t="array" ref="S781">_xlfn.TEXTJOIN("、",TRUE,IF('學員資料-三重商工'!$B$2:$B$472=$F781,'學員資料-三重商工'!$G$2:$G$472,""))</f>
        <v/>
      </c>
      <c r="T781">
        <f t="shared" si="12"/>
        <v>1</v>
      </c>
    </row>
    <row r="782" spans="1:20" ht="14.25" hidden="1" customHeight="1">
      <c r="A782" s="15">
        <v>781</v>
      </c>
      <c r="B782" s="16" t="s">
        <v>2579</v>
      </c>
      <c r="C782" s="17">
        <v>45915</v>
      </c>
      <c r="D782" s="15" t="s">
        <v>2580</v>
      </c>
      <c r="E782" s="18" t="s">
        <v>402</v>
      </c>
      <c r="F782" s="19" t="s">
        <v>2581</v>
      </c>
      <c r="G782" s="18" t="s">
        <v>2582</v>
      </c>
      <c r="H782" s="20" t="s">
        <v>52</v>
      </c>
      <c r="I782" s="15">
        <v>1</v>
      </c>
      <c r="J782" s="15" t="s">
        <v>24</v>
      </c>
      <c r="K782" s="15"/>
      <c r="L782" s="21" t="s">
        <v>16</v>
      </c>
      <c r="M782" s="22">
        <v>0</v>
      </c>
      <c r="N782" s="22">
        <v>-375</v>
      </c>
      <c r="O782" s="22">
        <v>7125</v>
      </c>
      <c r="P782" s="22">
        <v>7125</v>
      </c>
      <c r="Q782" t="str" cm="1">
        <f t="array" ref="Q782">_xlfn.TEXTJOIN("、",TRUE,IF('學員資料-三民高中'!$B$2:$B$454=$F782,'學員資料-三民高中'!$G$2:$G$454,""))</f>
        <v/>
      </c>
      <c r="R782" t="str" cm="1">
        <f t="array" ref="R782">_xlfn.TEXTJOIN("、",TRUE,IF('學員資料-新北高中'!$B$2:$B$583=$F782,'學員資料-新北高中'!$G$2:$G$583,""))</f>
        <v>0937159190</v>
      </c>
      <c r="S782" t="str" cm="1">
        <f t="array" ref="S782">_xlfn.TEXTJOIN("、",TRUE,IF('學員資料-三重商工'!$B$2:$B$472=$F782,'學員資料-三重商工'!$G$2:$G$472,""))</f>
        <v/>
      </c>
      <c r="T782">
        <f t="shared" si="12"/>
        <v>1</v>
      </c>
    </row>
    <row r="783" spans="1:20" ht="14.25" hidden="1" customHeight="1">
      <c r="A783" s="15">
        <v>782</v>
      </c>
      <c r="B783" s="16" t="s">
        <v>2583</v>
      </c>
      <c r="C783" s="17">
        <v>45915</v>
      </c>
      <c r="D783" s="15" t="s">
        <v>2584</v>
      </c>
      <c r="E783" s="18" t="s">
        <v>83</v>
      </c>
      <c r="F783" s="19" t="s">
        <v>2585</v>
      </c>
      <c r="G783" s="18" t="s">
        <v>2586</v>
      </c>
      <c r="H783" s="20" t="s">
        <v>52</v>
      </c>
      <c r="I783" s="15">
        <v>1</v>
      </c>
      <c r="J783" s="15" t="s">
        <v>24</v>
      </c>
      <c r="K783" s="15"/>
      <c r="L783" s="21" t="s">
        <v>16</v>
      </c>
      <c r="M783" s="22">
        <v>0</v>
      </c>
      <c r="N783" s="22">
        <v>-375</v>
      </c>
      <c r="O783" s="22">
        <v>7125</v>
      </c>
      <c r="P783" s="22">
        <v>7125</v>
      </c>
      <c r="Q783" t="str" cm="1">
        <f t="array" ref="Q783">_xlfn.TEXTJOIN("、",TRUE,IF('學員資料-三民高中'!$B$2:$B$454=$F783,'學員資料-三民高中'!$G$2:$G$454,""))</f>
        <v/>
      </c>
      <c r="R783" t="str" cm="1">
        <f t="array" ref="R783">_xlfn.TEXTJOIN("、",TRUE,IF('學員資料-新北高中'!$B$2:$B$583=$F783,'學員資料-新北高中'!$G$2:$G$583,""))</f>
        <v/>
      </c>
      <c r="S783" t="str" cm="1">
        <f t="array" ref="S783">_xlfn.TEXTJOIN("、",TRUE,IF('學員資料-三重商工'!$B$2:$B$472=$F783,'學員資料-三重商工'!$G$2:$G$472,""))</f>
        <v>0928099559</v>
      </c>
      <c r="T783">
        <f t="shared" si="12"/>
        <v>1</v>
      </c>
    </row>
    <row r="784" spans="1:20" ht="14.25" hidden="1" customHeight="1">
      <c r="A784" s="15">
        <v>783</v>
      </c>
      <c r="B784" s="16" t="s">
        <v>2587</v>
      </c>
      <c r="C784" s="17">
        <v>45915</v>
      </c>
      <c r="D784" s="15" t="s">
        <v>2588</v>
      </c>
      <c r="E784" s="18" t="s">
        <v>83</v>
      </c>
      <c r="F784" s="19" t="s">
        <v>1369</v>
      </c>
      <c r="G784" s="18" t="s">
        <v>2589</v>
      </c>
      <c r="H784" s="20" t="s">
        <v>52</v>
      </c>
      <c r="I784" s="15">
        <v>1</v>
      </c>
      <c r="J784" s="15" t="s">
        <v>24</v>
      </c>
      <c r="K784" s="15"/>
      <c r="L784" s="21" t="s">
        <v>16</v>
      </c>
      <c r="M784" s="22">
        <v>0</v>
      </c>
      <c r="N784" s="22">
        <v>-375</v>
      </c>
      <c r="O784" s="22">
        <v>7125</v>
      </c>
      <c r="P784" s="22">
        <v>7125</v>
      </c>
      <c r="Q784" t="str" cm="1">
        <f t="array" ref="Q784">_xlfn.TEXTJOIN("、",TRUE,IF('學員資料-三民高中'!$B$2:$B$454=$F784,'學員資料-三民高中'!$G$2:$G$454,""))</f>
        <v/>
      </c>
      <c r="R784" t="str" cm="1">
        <f t="array" ref="R784">_xlfn.TEXTJOIN("、",TRUE,IF('學員資料-新北高中'!$B$2:$B$583=$F784,'學員資料-新北高中'!$G$2:$G$583,""))</f>
        <v/>
      </c>
      <c r="S784" t="str" cm="1">
        <f t="array" ref="S784">_xlfn.TEXTJOIN("、",TRUE,IF('學員資料-三重商工'!$B$2:$B$472=$F784,'學員資料-三重商工'!$G$2:$G$472,""))</f>
        <v>0928048553</v>
      </c>
      <c r="T784">
        <f t="shared" si="12"/>
        <v>1</v>
      </c>
    </row>
    <row r="785" spans="1:20" ht="14.25" hidden="1" customHeight="1">
      <c r="A785" s="15">
        <v>784</v>
      </c>
      <c r="B785" s="16" t="s">
        <v>2590</v>
      </c>
      <c r="C785" s="17">
        <v>45915</v>
      </c>
      <c r="D785" s="15" t="s">
        <v>2591</v>
      </c>
      <c r="E785" s="18" t="s">
        <v>83</v>
      </c>
      <c r="F785" s="19" t="s">
        <v>2592</v>
      </c>
      <c r="G785" s="18" t="s">
        <v>2593</v>
      </c>
      <c r="H785" s="20" t="s">
        <v>52</v>
      </c>
      <c r="I785" s="15">
        <v>1</v>
      </c>
      <c r="J785" s="15" t="s">
        <v>24</v>
      </c>
      <c r="K785" s="15"/>
      <c r="L785" s="21" t="s">
        <v>16</v>
      </c>
      <c r="M785" s="22">
        <v>0</v>
      </c>
      <c r="N785" s="22">
        <v>-375</v>
      </c>
      <c r="O785" s="22">
        <v>7125</v>
      </c>
      <c r="P785" s="22">
        <v>7125</v>
      </c>
      <c r="Q785" t="str" cm="1">
        <f t="array" ref="Q785">_xlfn.TEXTJOIN("、",TRUE,IF('學員資料-三民高中'!$B$2:$B$454=$F785,'學員資料-三民高中'!$G$2:$G$454,""))</f>
        <v/>
      </c>
      <c r="R785" t="str" cm="1">
        <f t="array" ref="R785">_xlfn.TEXTJOIN("、",TRUE,IF('學員資料-新北高中'!$B$2:$B$583=$F785,'學員資料-新北高中'!$G$2:$G$583,""))</f>
        <v/>
      </c>
      <c r="S785" t="str" cm="1">
        <f t="array" ref="S785">_xlfn.TEXTJOIN("、",TRUE,IF('學員資料-三重商工'!$B$2:$B$472=$F785,'學員資料-三重商工'!$G$2:$G$472,""))</f>
        <v>0968760865</v>
      </c>
      <c r="T785">
        <f t="shared" si="12"/>
        <v>1</v>
      </c>
    </row>
    <row r="786" spans="1:20" ht="14.25" hidden="1" customHeight="1">
      <c r="A786" s="15">
        <v>785</v>
      </c>
      <c r="B786" s="16" t="s">
        <v>2594</v>
      </c>
      <c r="C786" s="17">
        <v>45915</v>
      </c>
      <c r="D786" s="15" t="s">
        <v>2595</v>
      </c>
      <c r="E786" s="18" t="s">
        <v>83</v>
      </c>
      <c r="F786" s="19" t="s">
        <v>2596</v>
      </c>
      <c r="G786" s="18" t="s">
        <v>2597</v>
      </c>
      <c r="H786" s="20" t="s">
        <v>52</v>
      </c>
      <c r="I786" s="15">
        <v>1</v>
      </c>
      <c r="J786" s="15" t="s">
        <v>24</v>
      </c>
      <c r="K786" s="15"/>
      <c r="L786" s="21" t="s">
        <v>16</v>
      </c>
      <c r="M786" s="22">
        <v>0</v>
      </c>
      <c r="N786" s="22">
        <v>-375</v>
      </c>
      <c r="O786" s="22">
        <v>7125</v>
      </c>
      <c r="P786" s="22">
        <v>7125</v>
      </c>
      <c r="Q786" t="str" cm="1">
        <f t="array" ref="Q786">_xlfn.TEXTJOIN("、",TRUE,IF('學員資料-三民高中'!$B$2:$B$454=$F786,'學員資料-三民高中'!$G$2:$G$454,""))</f>
        <v/>
      </c>
      <c r="R786" t="str" cm="1">
        <f t="array" ref="R786">_xlfn.TEXTJOIN("、",TRUE,IF('學員資料-新北高中'!$B$2:$B$583=$F786,'學員資料-新北高中'!$G$2:$G$583,""))</f>
        <v/>
      </c>
      <c r="S786" t="str" cm="1">
        <f t="array" ref="S786">_xlfn.TEXTJOIN("、",TRUE,IF('學員資料-三重商工'!$B$2:$B$472=$F786,'學員資料-三重商工'!$G$2:$G$472,""))</f>
        <v>0939332750</v>
      </c>
      <c r="T786">
        <f t="shared" si="12"/>
        <v>1</v>
      </c>
    </row>
    <row r="787" spans="1:20" ht="14.25" hidden="1" customHeight="1">
      <c r="A787" s="15">
        <v>786</v>
      </c>
      <c r="B787" s="16" t="s">
        <v>2598</v>
      </c>
      <c r="C787" s="17">
        <v>45915</v>
      </c>
      <c r="D787" s="15" t="s">
        <v>2599</v>
      </c>
      <c r="E787" s="18" t="s">
        <v>83</v>
      </c>
      <c r="F787" s="19" t="s">
        <v>2600</v>
      </c>
      <c r="G787" s="18" t="s">
        <v>2601</v>
      </c>
      <c r="H787" s="20" t="s">
        <v>130</v>
      </c>
      <c r="I787" s="15">
        <v>1</v>
      </c>
      <c r="J787" s="15" t="s">
        <v>25</v>
      </c>
      <c r="K787" s="15"/>
      <c r="L787" s="21" t="s">
        <v>16</v>
      </c>
      <c r="M787" s="22">
        <v>0</v>
      </c>
      <c r="N787" s="22">
        <v>-990</v>
      </c>
      <c r="O787" s="22">
        <v>8910</v>
      </c>
      <c r="P787" s="22">
        <v>8910</v>
      </c>
      <c r="Q787" t="str" cm="1">
        <f t="array" ref="Q787">_xlfn.TEXTJOIN("、",TRUE,IF('學員資料-三民高中'!$B$2:$B$454=$F787,'學員資料-三民高中'!$G$2:$G$454,""))</f>
        <v/>
      </c>
      <c r="R787" t="str" cm="1">
        <f t="array" ref="R787">_xlfn.TEXTJOIN("、",TRUE,IF('學員資料-新北高中'!$B$2:$B$583=$F787,'學員資料-新北高中'!$G$2:$G$583,""))</f>
        <v/>
      </c>
      <c r="S787" t="str" cm="1">
        <f t="array" ref="S787">_xlfn.TEXTJOIN("、",TRUE,IF('學員資料-三重商工'!$B$2:$B$472=$F787,'學員資料-三重商工'!$G$2:$G$472,""))</f>
        <v>09109510055</v>
      </c>
      <c r="T787">
        <f t="shared" si="12"/>
        <v>1</v>
      </c>
    </row>
    <row r="788" spans="1:20" ht="14.25" hidden="1" customHeight="1">
      <c r="A788" s="15">
        <v>787</v>
      </c>
      <c r="B788" s="16" t="s">
        <v>2602</v>
      </c>
      <c r="C788" s="17">
        <v>45915</v>
      </c>
      <c r="D788" s="15" t="s">
        <v>2603</v>
      </c>
      <c r="E788" s="18" t="s">
        <v>83</v>
      </c>
      <c r="F788" s="19" t="s">
        <v>2132</v>
      </c>
      <c r="G788" s="18" t="s">
        <v>2133</v>
      </c>
      <c r="H788" s="20" t="s">
        <v>66</v>
      </c>
      <c r="I788" s="15">
        <v>1</v>
      </c>
      <c r="J788" s="15" t="s">
        <v>23</v>
      </c>
      <c r="K788" s="15"/>
      <c r="L788" s="21" t="s">
        <v>16</v>
      </c>
      <c r="M788" s="22">
        <v>0</v>
      </c>
      <c r="N788" s="22">
        <v>-345</v>
      </c>
      <c r="O788" s="22">
        <v>6555</v>
      </c>
      <c r="P788" s="22">
        <v>6555</v>
      </c>
      <c r="Q788" t="str" cm="1">
        <f t="array" ref="Q788">_xlfn.TEXTJOIN("、",TRUE,IF('學員資料-三民高中'!$B$2:$B$454=$F788,'學員資料-三民高中'!$G$2:$G$454,""))</f>
        <v/>
      </c>
      <c r="R788" t="str" cm="1">
        <f t="array" ref="R788">_xlfn.TEXTJOIN("、",TRUE,IF('學員資料-新北高中'!$B$2:$B$583=$F788,'學員資料-新北高中'!$G$2:$G$583,""))</f>
        <v/>
      </c>
      <c r="S788" t="str" cm="1">
        <f t="array" ref="S788">_xlfn.TEXTJOIN("、",TRUE,IF('學員資料-三重商工'!$B$2:$B$472=$F788,'學員資料-三重商工'!$G$2:$G$472,""))</f>
        <v>0933015110</v>
      </c>
      <c r="T788">
        <f t="shared" si="12"/>
        <v>1</v>
      </c>
    </row>
    <row r="789" spans="1:20" ht="14.25" hidden="1" customHeight="1">
      <c r="A789" s="15">
        <v>788</v>
      </c>
      <c r="B789" s="16" t="s">
        <v>2604</v>
      </c>
      <c r="C789" s="17">
        <v>45915</v>
      </c>
      <c r="D789" s="15" t="s">
        <v>2605</v>
      </c>
      <c r="E789" s="23"/>
      <c r="F789" s="19" t="s">
        <v>1422</v>
      </c>
      <c r="G789" s="18" t="s">
        <v>1423</v>
      </c>
      <c r="H789" s="20" t="s">
        <v>130</v>
      </c>
      <c r="I789" s="15">
        <v>1</v>
      </c>
      <c r="J789" s="15" t="s">
        <v>25</v>
      </c>
      <c r="K789" s="15"/>
      <c r="L789" s="21" t="s">
        <v>18</v>
      </c>
      <c r="M789" s="22">
        <v>0</v>
      </c>
      <c r="N789" s="22">
        <v>-990</v>
      </c>
      <c r="O789" s="22">
        <v>8910</v>
      </c>
      <c r="P789" s="22">
        <v>8910</v>
      </c>
      <c r="Q789" t="str" cm="1">
        <f t="array" ref="Q789">_xlfn.TEXTJOIN("、",TRUE,IF('學員資料-三民高中'!$B$2:$B$454=$F789,'學員資料-三民高中'!$G$2:$G$454,""))</f>
        <v>0928687649</v>
      </c>
      <c r="R789" t="str" cm="1">
        <f t="array" ref="R789">_xlfn.TEXTJOIN("、",TRUE,IF('學員資料-新北高中'!$B$2:$B$583=$F789,'學員資料-新北高中'!$G$2:$G$583,""))</f>
        <v/>
      </c>
      <c r="S789" t="str" cm="1">
        <f t="array" ref="S789">_xlfn.TEXTJOIN("、",TRUE,IF('學員資料-三重商工'!$B$2:$B$472=$F789,'學員資料-三重商工'!$G$2:$G$472,""))</f>
        <v/>
      </c>
      <c r="T789">
        <f t="shared" si="12"/>
        <v>1</v>
      </c>
    </row>
    <row r="790" spans="1:20" ht="14.25" hidden="1" customHeight="1">
      <c r="A790" s="15">
        <v>789</v>
      </c>
      <c r="B790" s="16" t="s">
        <v>2606</v>
      </c>
      <c r="C790" s="17">
        <v>45915</v>
      </c>
      <c r="D790" s="15" t="s">
        <v>2607</v>
      </c>
      <c r="E790" s="23"/>
      <c r="F790" s="19" t="s">
        <v>2519</v>
      </c>
      <c r="G790" s="18" t="s">
        <v>2520</v>
      </c>
      <c r="H790" s="20" t="s">
        <v>52</v>
      </c>
      <c r="I790" s="15">
        <v>1</v>
      </c>
      <c r="J790" s="15" t="s">
        <v>24</v>
      </c>
      <c r="K790" s="15"/>
      <c r="L790" s="21" t="s">
        <v>18</v>
      </c>
      <c r="M790" s="22">
        <v>0</v>
      </c>
      <c r="N790" s="22">
        <v>-375</v>
      </c>
      <c r="O790" s="22">
        <v>7125</v>
      </c>
      <c r="P790" s="22">
        <v>7125</v>
      </c>
      <c r="Q790" t="str" cm="1">
        <f t="array" ref="Q790">_xlfn.TEXTJOIN("、",TRUE,IF('學員資料-三民高中'!$B$2:$B$454=$F790,'學員資料-三民高中'!$G$2:$G$454,""))</f>
        <v>0933178605</v>
      </c>
      <c r="R790" t="str" cm="1">
        <f t="array" ref="R790">_xlfn.TEXTJOIN("、",TRUE,IF('學員資料-新北高中'!$B$2:$B$583=$F790,'學員資料-新北高中'!$G$2:$G$583,""))</f>
        <v/>
      </c>
      <c r="S790" t="str" cm="1">
        <f t="array" ref="S790">_xlfn.TEXTJOIN("、",TRUE,IF('學員資料-三重商工'!$B$2:$B$472=$F790,'學員資料-三重商工'!$G$2:$G$472,""))</f>
        <v/>
      </c>
      <c r="T790">
        <f t="shared" si="12"/>
        <v>1</v>
      </c>
    </row>
    <row r="791" spans="1:20" ht="14.25" hidden="1" customHeight="1">
      <c r="A791" s="15">
        <v>790</v>
      </c>
      <c r="B791" s="16" t="s">
        <v>2608</v>
      </c>
      <c r="C791" s="17">
        <v>45915</v>
      </c>
      <c r="D791" s="15" t="s">
        <v>2609</v>
      </c>
      <c r="E791" s="23"/>
      <c r="F791" s="19" t="s">
        <v>2610</v>
      </c>
      <c r="G791" s="18" t="s">
        <v>2611</v>
      </c>
      <c r="H791" s="20" t="s">
        <v>66</v>
      </c>
      <c r="I791" s="15">
        <v>1</v>
      </c>
      <c r="J791" s="15" t="s">
        <v>23</v>
      </c>
      <c r="K791" s="15"/>
      <c r="L791" s="21" t="s">
        <v>18</v>
      </c>
      <c r="M791" s="22">
        <v>0</v>
      </c>
      <c r="N791" s="22">
        <v>-345</v>
      </c>
      <c r="O791" s="22">
        <v>6555</v>
      </c>
      <c r="P791" s="22">
        <v>6555</v>
      </c>
      <c r="Q791" t="str" cm="1">
        <f t="array" ref="Q791">_xlfn.TEXTJOIN("、",TRUE,IF('學員資料-三民高中'!$B$2:$B$454=$F791,'學員資料-三民高中'!$G$2:$G$454,""))</f>
        <v>0922598986-1</v>
      </c>
      <c r="R791" t="str" cm="1">
        <f t="array" ref="R791">_xlfn.TEXTJOIN("、",TRUE,IF('學員資料-新北高中'!$B$2:$B$583=$F791,'學員資料-新北高中'!$G$2:$G$583,""))</f>
        <v/>
      </c>
      <c r="S791" t="str" cm="1">
        <f t="array" ref="S791">_xlfn.TEXTJOIN("、",TRUE,IF('學員資料-三重商工'!$B$2:$B$472=$F791,'學員資料-三重商工'!$G$2:$G$472,""))</f>
        <v/>
      </c>
      <c r="T791">
        <f t="shared" si="12"/>
        <v>1</v>
      </c>
    </row>
    <row r="792" spans="1:20" ht="43.5" hidden="1" customHeight="1">
      <c r="A792" s="15">
        <v>791</v>
      </c>
      <c r="B792" s="16" t="s">
        <v>2612</v>
      </c>
      <c r="C792" s="17">
        <v>45915</v>
      </c>
      <c r="D792" s="15" t="s">
        <v>2613</v>
      </c>
      <c r="E792" s="23"/>
      <c r="F792" s="19" t="s">
        <v>2614</v>
      </c>
      <c r="G792" s="18" t="s">
        <v>2615</v>
      </c>
      <c r="H792" s="20" t="s">
        <v>405</v>
      </c>
      <c r="I792" s="15">
        <v>3</v>
      </c>
      <c r="J792" s="15" t="s">
        <v>25</v>
      </c>
      <c r="K792" s="15"/>
      <c r="L792" s="21" t="s">
        <v>18</v>
      </c>
      <c r="M792" s="22">
        <v>0</v>
      </c>
      <c r="N792" s="22">
        <v>-2970</v>
      </c>
      <c r="O792" s="22">
        <v>26730</v>
      </c>
      <c r="P792" s="22">
        <v>26730</v>
      </c>
      <c r="Q792" t="str" cm="1">
        <f t="array" ref="Q792">_xlfn.TEXTJOIN("、",TRUE,IF('學員資料-三民高中'!$B$2:$B$454=$F792,'學員資料-三民高中'!$G$2:$G$454,""))</f>
        <v>0937988559</v>
      </c>
      <c r="R792" t="str" cm="1">
        <f t="array" ref="R792">_xlfn.TEXTJOIN("、",TRUE,IF('學員資料-新北高中'!$B$2:$B$583=$F792,'學員資料-新北高中'!$G$2:$G$583,""))</f>
        <v/>
      </c>
      <c r="S792" t="str" cm="1">
        <f t="array" ref="S792">_xlfn.TEXTJOIN("、",TRUE,IF('學員資料-三重商工'!$B$2:$B$472=$F792,'學員資料-三重商工'!$G$2:$G$472,""))</f>
        <v/>
      </c>
      <c r="T792">
        <f t="shared" si="12"/>
        <v>1</v>
      </c>
    </row>
    <row r="793" spans="1:20" ht="28.5" hidden="1" customHeight="1">
      <c r="A793" s="15">
        <v>792</v>
      </c>
      <c r="B793" s="16" t="s">
        <v>2616</v>
      </c>
      <c r="C793" s="17">
        <v>45915</v>
      </c>
      <c r="D793" s="15" t="s">
        <v>2617</v>
      </c>
      <c r="E793" s="23"/>
      <c r="F793" s="19" t="s">
        <v>2618</v>
      </c>
      <c r="G793" s="18" t="s">
        <v>2619</v>
      </c>
      <c r="H793" s="20" t="s">
        <v>219</v>
      </c>
      <c r="I793" s="15">
        <v>2</v>
      </c>
      <c r="J793" s="15" t="s">
        <v>25</v>
      </c>
      <c r="K793" s="15"/>
      <c r="L793" s="21" t="s">
        <v>18</v>
      </c>
      <c r="M793" s="22">
        <v>0</v>
      </c>
      <c r="N793" s="22">
        <v>-1980</v>
      </c>
      <c r="O793" s="22">
        <v>17820</v>
      </c>
      <c r="P793" s="22">
        <v>17820</v>
      </c>
      <c r="Q793" t="str" cm="1">
        <f t="array" ref="Q793">_xlfn.TEXTJOIN("、",TRUE,IF('學員資料-三民高中'!$B$2:$B$454=$F793,'學員資料-三民高中'!$G$2:$G$454,""))</f>
        <v>0920016260</v>
      </c>
      <c r="R793" t="str" cm="1">
        <f t="array" ref="R793">_xlfn.TEXTJOIN("、",TRUE,IF('學員資料-新北高中'!$B$2:$B$583=$F793,'學員資料-新北高中'!$G$2:$G$583,""))</f>
        <v/>
      </c>
      <c r="S793" t="str" cm="1">
        <f t="array" ref="S793">_xlfn.TEXTJOIN("、",TRUE,IF('學員資料-三重商工'!$B$2:$B$472=$F793,'學員資料-三重商工'!$G$2:$G$472,""))</f>
        <v/>
      </c>
      <c r="T793">
        <f t="shared" si="12"/>
        <v>1</v>
      </c>
    </row>
    <row r="794" spans="1:20" ht="14.25" hidden="1" customHeight="1">
      <c r="A794" s="15">
        <v>793</v>
      </c>
      <c r="B794" s="16" t="s">
        <v>2620</v>
      </c>
      <c r="C794" s="17">
        <v>45915</v>
      </c>
      <c r="D794" s="15" t="s">
        <v>2621</v>
      </c>
      <c r="E794" s="23"/>
      <c r="F794" s="19" t="s">
        <v>1023</v>
      </c>
      <c r="G794" s="18" t="s">
        <v>1024</v>
      </c>
      <c r="H794" s="20" t="s">
        <v>52</v>
      </c>
      <c r="I794" s="15">
        <v>1</v>
      </c>
      <c r="J794" s="15" t="s">
        <v>24</v>
      </c>
      <c r="K794" s="15"/>
      <c r="L794" s="21" t="s">
        <v>18</v>
      </c>
      <c r="M794" s="22">
        <v>0</v>
      </c>
      <c r="N794" s="22">
        <v>-375</v>
      </c>
      <c r="O794" s="22">
        <v>7125</v>
      </c>
      <c r="P794" s="22">
        <v>7125</v>
      </c>
      <c r="Q794" t="str" cm="1">
        <f t="array" ref="Q794">_xlfn.TEXTJOIN("、",TRUE,IF('學員資料-三民高中'!$B$2:$B$454=$F794,'學員資料-三民高中'!$G$2:$G$454,""))</f>
        <v>0978360915</v>
      </c>
      <c r="R794" t="str" cm="1">
        <f t="array" ref="R794">_xlfn.TEXTJOIN("、",TRUE,IF('學員資料-新北高中'!$B$2:$B$583=$F794,'學員資料-新北高中'!$G$2:$G$583,""))</f>
        <v/>
      </c>
      <c r="S794" t="str" cm="1">
        <f t="array" ref="S794">_xlfn.TEXTJOIN("、",TRUE,IF('學員資料-三重商工'!$B$2:$B$472=$F794,'學員資料-三重商工'!$G$2:$G$472,""))</f>
        <v/>
      </c>
      <c r="T794">
        <f t="shared" si="12"/>
        <v>1</v>
      </c>
    </row>
    <row r="795" spans="1:20" ht="28.5" hidden="1" customHeight="1">
      <c r="A795" s="15">
        <v>794</v>
      </c>
      <c r="B795" s="16" t="s">
        <v>2622</v>
      </c>
      <c r="C795" s="17">
        <v>45915</v>
      </c>
      <c r="D795" s="15" t="s">
        <v>2623</v>
      </c>
      <c r="E795" s="23"/>
      <c r="F795" s="19" t="s">
        <v>1903</v>
      </c>
      <c r="G795" s="18" t="s">
        <v>1904</v>
      </c>
      <c r="H795" s="20" t="s">
        <v>99</v>
      </c>
      <c r="I795" s="15">
        <v>2</v>
      </c>
      <c r="J795" s="15" t="s">
        <v>24</v>
      </c>
      <c r="K795" s="15"/>
      <c r="L795" s="21" t="s">
        <v>18</v>
      </c>
      <c r="M795" s="22">
        <v>0</v>
      </c>
      <c r="N795" s="22">
        <v>-750</v>
      </c>
      <c r="O795" s="22">
        <v>14250</v>
      </c>
      <c r="P795" s="22">
        <v>14250</v>
      </c>
      <c r="Q795" t="str" cm="1">
        <f t="array" ref="Q795">_xlfn.TEXTJOIN("、",TRUE,IF('學員資料-三民高中'!$B$2:$B$454=$F795,'學員資料-三民高中'!$G$2:$G$454,""))</f>
        <v>0921866024</v>
      </c>
      <c r="R795" t="str" cm="1">
        <f t="array" ref="R795">_xlfn.TEXTJOIN("、",TRUE,IF('學員資料-新北高中'!$B$2:$B$583=$F795,'學員資料-新北高中'!$G$2:$G$583,""))</f>
        <v/>
      </c>
      <c r="S795" t="str" cm="1">
        <f t="array" ref="S795">_xlfn.TEXTJOIN("、",TRUE,IF('學員資料-三重商工'!$B$2:$B$472=$F795,'學員資料-三重商工'!$G$2:$G$472,""))</f>
        <v/>
      </c>
      <c r="T795">
        <f t="shared" si="12"/>
        <v>1</v>
      </c>
    </row>
    <row r="796" spans="1:20" ht="14.25" hidden="1" customHeight="1">
      <c r="A796" s="15">
        <v>795</v>
      </c>
      <c r="B796" s="16" t="s">
        <v>2624</v>
      </c>
      <c r="C796" s="17">
        <v>45915</v>
      </c>
      <c r="D796" s="15" t="s">
        <v>2625</v>
      </c>
      <c r="E796" s="23"/>
      <c r="F796" s="19" t="s">
        <v>2626</v>
      </c>
      <c r="G796" s="18" t="s">
        <v>2627</v>
      </c>
      <c r="H796" s="20" t="s">
        <v>210</v>
      </c>
      <c r="I796" s="15">
        <v>1</v>
      </c>
      <c r="J796" s="15" t="s">
        <v>26</v>
      </c>
      <c r="K796" s="15"/>
      <c r="L796" s="21" t="s">
        <v>18</v>
      </c>
      <c r="M796" s="22">
        <v>0</v>
      </c>
      <c r="N796" s="22">
        <v>-1200</v>
      </c>
      <c r="O796" s="22">
        <v>10800</v>
      </c>
      <c r="P796" s="22">
        <v>10800</v>
      </c>
      <c r="Q796" t="str" cm="1">
        <f t="array" ref="Q796">_xlfn.TEXTJOIN("、",TRUE,IF('學員資料-三民高中'!$B$2:$B$454=$F796,'學員資料-三民高中'!$G$2:$G$454,""))</f>
        <v>0916858752</v>
      </c>
      <c r="R796" t="str" cm="1">
        <f t="array" ref="R796">_xlfn.TEXTJOIN("、",TRUE,IF('學員資料-新北高中'!$B$2:$B$583=$F796,'學員資料-新北高中'!$G$2:$G$583,""))</f>
        <v/>
      </c>
      <c r="S796" t="str" cm="1">
        <f t="array" ref="S796">_xlfn.TEXTJOIN("、",TRUE,IF('學員資料-三重商工'!$B$2:$B$472=$F796,'學員資料-三重商工'!$G$2:$G$472,""))</f>
        <v/>
      </c>
      <c r="T796">
        <f t="shared" si="12"/>
        <v>1</v>
      </c>
    </row>
    <row r="797" spans="1:20" ht="14.25" hidden="1" customHeight="1">
      <c r="A797" s="15">
        <v>796</v>
      </c>
      <c r="B797" s="16" t="s">
        <v>2628</v>
      </c>
      <c r="C797" s="17">
        <v>45914</v>
      </c>
      <c r="D797" s="15" t="s">
        <v>2629</v>
      </c>
      <c r="E797" s="18" t="s">
        <v>763</v>
      </c>
      <c r="F797" s="19" t="s">
        <v>2630</v>
      </c>
      <c r="G797" s="18" t="s">
        <v>2631</v>
      </c>
      <c r="H797" s="20" t="s">
        <v>66</v>
      </c>
      <c r="I797" s="15">
        <v>1</v>
      </c>
      <c r="J797" s="15" t="s">
        <v>23</v>
      </c>
      <c r="K797" s="15"/>
      <c r="L797" s="21" t="s">
        <v>16</v>
      </c>
      <c r="M797" s="22">
        <v>0</v>
      </c>
      <c r="N797" s="22">
        <v>-345</v>
      </c>
      <c r="O797" s="22">
        <v>6555</v>
      </c>
      <c r="P797" s="22">
        <v>6555</v>
      </c>
      <c r="Q797" t="str" cm="1">
        <f t="array" ref="Q797">_xlfn.TEXTJOIN("、",TRUE,IF('學員資料-三民高中'!$B$2:$B$454=$F797,'學員資料-三民高中'!$G$2:$G$454,""))</f>
        <v>0979616489</v>
      </c>
      <c r="R797" t="str" cm="1">
        <f t="array" ref="R797">_xlfn.TEXTJOIN("、",TRUE,IF('學員資料-新北高中'!$B$2:$B$583=$F797,'學員資料-新北高中'!$G$2:$G$583,""))</f>
        <v/>
      </c>
      <c r="S797" t="str" cm="1">
        <f t="array" ref="S797">_xlfn.TEXTJOIN("、",TRUE,IF('學員資料-三重商工'!$B$2:$B$472=$F797,'學員資料-三重商工'!$G$2:$G$472,""))</f>
        <v/>
      </c>
      <c r="T797">
        <f t="shared" si="12"/>
        <v>1</v>
      </c>
    </row>
    <row r="798" spans="1:20" ht="14.25" hidden="1" customHeight="1">
      <c r="A798" s="15">
        <v>797</v>
      </c>
      <c r="B798" s="16" t="s">
        <v>2632</v>
      </c>
      <c r="C798" s="17">
        <v>45914</v>
      </c>
      <c r="D798" s="15" t="s">
        <v>1429</v>
      </c>
      <c r="E798" s="18" t="s">
        <v>763</v>
      </c>
      <c r="F798" s="19" t="s">
        <v>2154</v>
      </c>
      <c r="G798" s="18" t="s">
        <v>2155</v>
      </c>
      <c r="H798" s="20" t="s">
        <v>130</v>
      </c>
      <c r="I798" s="15">
        <v>1</v>
      </c>
      <c r="J798" s="15" t="s">
        <v>25</v>
      </c>
      <c r="K798" s="15"/>
      <c r="L798" s="21" t="s">
        <v>16</v>
      </c>
      <c r="M798" s="22">
        <v>0</v>
      </c>
      <c r="N798" s="22">
        <v>-990</v>
      </c>
      <c r="O798" s="22">
        <v>8910</v>
      </c>
      <c r="P798" s="22">
        <v>8910</v>
      </c>
      <c r="Q798" t="str" cm="1">
        <f t="array" ref="Q798">_xlfn.TEXTJOIN("、",TRUE,IF('學員資料-三民高中'!$B$2:$B$454=$F798,'學員資料-三民高中'!$G$2:$G$454,""))</f>
        <v>0975926988</v>
      </c>
      <c r="R798" t="str" cm="1">
        <f t="array" ref="R798">_xlfn.TEXTJOIN("、",TRUE,IF('學員資料-新北高中'!$B$2:$B$583=$F798,'學員資料-新北高中'!$G$2:$G$583,""))</f>
        <v/>
      </c>
      <c r="S798" t="str" cm="1">
        <f t="array" ref="S798">_xlfn.TEXTJOIN("、",TRUE,IF('學員資料-三重商工'!$B$2:$B$472=$F798,'學員資料-三重商工'!$G$2:$G$472,""))</f>
        <v/>
      </c>
      <c r="T798">
        <f t="shared" si="12"/>
        <v>1</v>
      </c>
    </row>
    <row r="799" spans="1:20" ht="14.25" hidden="1" customHeight="1">
      <c r="A799" s="15">
        <v>798</v>
      </c>
      <c r="B799" s="16" t="s">
        <v>2633</v>
      </c>
      <c r="C799" s="17">
        <v>45914</v>
      </c>
      <c r="D799" s="15" t="s">
        <v>2634</v>
      </c>
      <c r="E799" s="18" t="s">
        <v>763</v>
      </c>
      <c r="F799" s="19" t="s">
        <v>2635</v>
      </c>
      <c r="G799" s="18" t="s">
        <v>2636</v>
      </c>
      <c r="H799" s="20" t="s">
        <v>52</v>
      </c>
      <c r="I799" s="15">
        <v>1</v>
      </c>
      <c r="J799" s="15" t="s">
        <v>24</v>
      </c>
      <c r="K799" s="15"/>
      <c r="L799" s="21" t="s">
        <v>16</v>
      </c>
      <c r="M799" s="22">
        <v>0</v>
      </c>
      <c r="N799" s="22">
        <v>-750</v>
      </c>
      <c r="O799" s="22">
        <v>6750</v>
      </c>
      <c r="P799" s="22">
        <v>6750</v>
      </c>
      <c r="Q799" t="str" cm="1">
        <f t="array" ref="Q799">_xlfn.TEXTJOIN("、",TRUE,IF('學員資料-三民高中'!$B$2:$B$454=$F799,'學員資料-三民高中'!$G$2:$G$454,""))</f>
        <v>0955629065</v>
      </c>
      <c r="R799" t="str" cm="1">
        <f t="array" ref="R799">_xlfn.TEXTJOIN("、",TRUE,IF('學員資料-新北高中'!$B$2:$B$583=$F799,'學員資料-新北高中'!$G$2:$G$583,""))</f>
        <v/>
      </c>
      <c r="S799" t="str" cm="1">
        <f t="array" ref="S799">_xlfn.TEXTJOIN("、",TRUE,IF('學員資料-三重商工'!$B$2:$B$472=$F799,'學員資料-三重商工'!$G$2:$G$472,""))</f>
        <v/>
      </c>
      <c r="T799">
        <f t="shared" si="12"/>
        <v>1</v>
      </c>
    </row>
    <row r="800" spans="1:20" ht="14.25" hidden="1" customHeight="1">
      <c r="A800" s="15">
        <v>799</v>
      </c>
      <c r="B800" s="16" t="s">
        <v>2637</v>
      </c>
      <c r="C800" s="17">
        <v>45914</v>
      </c>
      <c r="D800" s="15" t="s">
        <v>2638</v>
      </c>
      <c r="E800" s="18" t="s">
        <v>763</v>
      </c>
      <c r="F800" s="19" t="s">
        <v>1937</v>
      </c>
      <c r="G800" s="18" t="s">
        <v>1938</v>
      </c>
      <c r="H800" s="20" t="s">
        <v>399</v>
      </c>
      <c r="I800" s="15">
        <v>1</v>
      </c>
      <c r="J800" s="15" t="s">
        <v>23</v>
      </c>
      <c r="K800" s="21" t="s">
        <v>116</v>
      </c>
      <c r="L800" s="21" t="s">
        <v>16</v>
      </c>
      <c r="M800" s="22">
        <v>0</v>
      </c>
      <c r="N800" s="22">
        <v>0</v>
      </c>
      <c r="O800" s="22">
        <v>1200</v>
      </c>
      <c r="P800" s="22">
        <v>1200</v>
      </c>
      <c r="Q800" t="str" cm="1">
        <f t="array" ref="Q800">_xlfn.TEXTJOIN("、",TRUE,IF('學員資料-三民高中'!$B$2:$B$454=$F800,'學員資料-三民高中'!$G$2:$G$454,""))</f>
        <v/>
      </c>
      <c r="R800" t="str" cm="1">
        <f t="array" ref="R800">_xlfn.TEXTJOIN("、",TRUE,IF('學員資料-新北高中'!$B$2:$B$583=$F800,'學員資料-新北高中'!$G$2:$G$583,""))</f>
        <v>0920191619</v>
      </c>
      <c r="S800" t="str" cm="1">
        <f t="array" ref="S800">_xlfn.TEXTJOIN("、",TRUE,IF('學員資料-三重商工'!$B$2:$B$472=$F800,'學員資料-三重商工'!$G$2:$G$472,""))</f>
        <v/>
      </c>
      <c r="T800">
        <f t="shared" si="12"/>
        <v>1</v>
      </c>
    </row>
    <row r="801" spans="1:20" ht="14.25" hidden="1" customHeight="1">
      <c r="A801" s="15">
        <v>800</v>
      </c>
      <c r="B801" s="16" t="s">
        <v>2639</v>
      </c>
      <c r="C801" s="17">
        <v>45913</v>
      </c>
      <c r="D801" s="15" t="s">
        <v>2640</v>
      </c>
      <c r="E801" s="18" t="s">
        <v>763</v>
      </c>
      <c r="F801" s="19" t="s">
        <v>811</v>
      </c>
      <c r="G801" s="18" t="s">
        <v>812</v>
      </c>
      <c r="H801" s="20" t="s">
        <v>399</v>
      </c>
      <c r="I801" s="15">
        <v>1</v>
      </c>
      <c r="J801" s="15" t="s">
        <v>23</v>
      </c>
      <c r="K801" s="21" t="s">
        <v>116</v>
      </c>
      <c r="L801" s="21" t="s">
        <v>16</v>
      </c>
      <c r="M801" s="22">
        <v>0</v>
      </c>
      <c r="N801" s="22">
        <v>0</v>
      </c>
      <c r="O801" s="22">
        <v>1200</v>
      </c>
      <c r="P801" s="22">
        <v>1200</v>
      </c>
      <c r="Q801" t="str" cm="1">
        <f t="array" ref="Q801">_xlfn.TEXTJOIN("、",TRUE,IF('學員資料-三民高中'!$B$2:$B$454=$F801,'學員資料-三民高中'!$G$2:$G$454,""))</f>
        <v>0919671239</v>
      </c>
      <c r="R801" t="str" cm="1">
        <f t="array" ref="R801">_xlfn.TEXTJOIN("、",TRUE,IF('學員資料-新北高中'!$B$2:$B$583=$F801,'學員資料-新北高中'!$G$2:$G$583,""))</f>
        <v/>
      </c>
      <c r="S801" t="str" cm="1">
        <f t="array" ref="S801">_xlfn.TEXTJOIN("、",TRUE,IF('學員資料-三重商工'!$B$2:$B$472=$F801,'學員資料-三重商工'!$G$2:$G$472,""))</f>
        <v/>
      </c>
      <c r="T801">
        <f t="shared" si="12"/>
        <v>1</v>
      </c>
    </row>
    <row r="802" spans="1:20" ht="14.25" hidden="1" customHeight="1">
      <c r="A802" s="15">
        <v>801</v>
      </c>
      <c r="B802" s="16" t="s">
        <v>2641</v>
      </c>
      <c r="C802" s="17">
        <v>45913</v>
      </c>
      <c r="D802" s="15" t="s">
        <v>2642</v>
      </c>
      <c r="E802" s="23"/>
      <c r="F802" s="19" t="s">
        <v>2643</v>
      </c>
      <c r="G802" s="18" t="s">
        <v>2644</v>
      </c>
      <c r="H802" s="20" t="s">
        <v>115</v>
      </c>
      <c r="I802" s="15">
        <v>1</v>
      </c>
      <c r="J802" s="15" t="s">
        <v>24</v>
      </c>
      <c r="K802" s="21" t="s">
        <v>116</v>
      </c>
      <c r="L802" s="21" t="s">
        <v>16</v>
      </c>
      <c r="M802" s="22">
        <v>0</v>
      </c>
      <c r="N802" s="22">
        <v>0</v>
      </c>
      <c r="O802" s="22">
        <v>1400</v>
      </c>
      <c r="P802" s="22">
        <v>1400</v>
      </c>
      <c r="Q802" t="str" cm="1">
        <f t="array" ref="Q802">_xlfn.TEXTJOIN("、",TRUE,IF('學員資料-三民高中'!$B$2:$B$454=$F802,'學員資料-三民高中'!$G$2:$G$454,""))</f>
        <v/>
      </c>
      <c r="R802" t="str" cm="1">
        <f t="array" ref="R802">_xlfn.TEXTJOIN("、",TRUE,IF('學員資料-新北高中'!$B$2:$B$583=$F802,'學員資料-新北高中'!$G$2:$G$583,""))</f>
        <v>0920300357</v>
      </c>
      <c r="S802" t="str" cm="1">
        <f t="array" ref="S802">_xlfn.TEXTJOIN("、",TRUE,IF('學員資料-三重商工'!$B$2:$B$472=$F802,'學員資料-三重商工'!$G$2:$G$472,""))</f>
        <v/>
      </c>
      <c r="T802">
        <f t="shared" si="12"/>
        <v>1</v>
      </c>
    </row>
    <row r="803" spans="1:20" ht="28.5" hidden="1" customHeight="1">
      <c r="A803" s="15">
        <v>802</v>
      </c>
      <c r="B803" s="16" t="s">
        <v>2645</v>
      </c>
      <c r="C803" s="17">
        <v>45913</v>
      </c>
      <c r="D803" s="15" t="s">
        <v>2646</v>
      </c>
      <c r="E803" s="18" t="s">
        <v>763</v>
      </c>
      <c r="F803" s="19" t="s">
        <v>2647</v>
      </c>
      <c r="G803" s="18" t="s">
        <v>804</v>
      </c>
      <c r="H803" s="20" t="s">
        <v>75</v>
      </c>
      <c r="I803" s="15">
        <v>2</v>
      </c>
      <c r="J803" s="15" t="s">
        <v>23</v>
      </c>
      <c r="K803" s="15"/>
      <c r="L803" s="21" t="s">
        <v>16</v>
      </c>
      <c r="M803" s="22">
        <v>0</v>
      </c>
      <c r="N803" s="22">
        <v>-690</v>
      </c>
      <c r="O803" s="22">
        <v>13110</v>
      </c>
      <c r="P803" s="22">
        <v>13110</v>
      </c>
      <c r="Q803" t="str" cm="1">
        <f t="array" ref="Q803">_xlfn.TEXTJOIN("、",TRUE,IF('學員資料-三民高中'!$B$2:$B$454=$F803,'學員資料-三民高中'!$G$2:$G$454,""))</f>
        <v>0936122822</v>
      </c>
      <c r="R803" t="str" cm="1">
        <f t="array" ref="R803">_xlfn.TEXTJOIN("、",TRUE,IF('學員資料-新北高中'!$B$2:$B$583=$F803,'學員資料-新北高中'!$G$2:$G$583,""))</f>
        <v/>
      </c>
      <c r="S803" t="str" cm="1">
        <f t="array" ref="S803">_xlfn.TEXTJOIN("、",TRUE,IF('學員資料-三重商工'!$B$2:$B$472=$F803,'學員資料-三重商工'!$G$2:$G$472,""))</f>
        <v/>
      </c>
      <c r="T803">
        <f t="shared" si="12"/>
        <v>1</v>
      </c>
    </row>
    <row r="804" spans="1:20" ht="43.5" hidden="1" customHeight="1">
      <c r="A804" s="15">
        <v>803</v>
      </c>
      <c r="B804" s="16" t="s">
        <v>2648</v>
      </c>
      <c r="C804" s="17">
        <v>45913</v>
      </c>
      <c r="D804" s="15" t="s">
        <v>2649</v>
      </c>
      <c r="E804" s="18" t="s">
        <v>763</v>
      </c>
      <c r="F804" s="19" t="s">
        <v>2650</v>
      </c>
      <c r="G804" s="18" t="s">
        <v>2651</v>
      </c>
      <c r="H804" s="20" t="s">
        <v>436</v>
      </c>
      <c r="I804" s="15">
        <v>3</v>
      </c>
      <c r="J804" s="15" t="s">
        <v>24</v>
      </c>
      <c r="K804" s="15"/>
      <c r="L804" s="21" t="s">
        <v>16</v>
      </c>
      <c r="M804" s="22">
        <v>0</v>
      </c>
      <c r="N804" s="22">
        <v>-1125</v>
      </c>
      <c r="O804" s="22">
        <v>21375</v>
      </c>
      <c r="P804" s="22">
        <v>21375</v>
      </c>
      <c r="Q804" t="str" cm="1">
        <f t="array" ref="Q804">_xlfn.TEXTJOIN("、",TRUE,IF('學員資料-三民高中'!$B$2:$B$454=$F804,'學員資料-三民高中'!$G$2:$G$454,""))</f>
        <v>0932022220</v>
      </c>
      <c r="R804" t="str" cm="1">
        <f t="array" ref="R804">_xlfn.TEXTJOIN("、",TRUE,IF('學員資料-新北高中'!$B$2:$B$583=$F804,'學員資料-新北高中'!$G$2:$G$583,""))</f>
        <v/>
      </c>
      <c r="S804" t="str" cm="1">
        <f t="array" ref="S804">_xlfn.TEXTJOIN("、",TRUE,IF('學員資料-三重商工'!$B$2:$B$472=$F804,'學員資料-三重商工'!$G$2:$G$472,""))</f>
        <v/>
      </c>
      <c r="T804">
        <f t="shared" si="12"/>
        <v>1</v>
      </c>
    </row>
    <row r="805" spans="1:20" ht="14.25" hidden="1" customHeight="1">
      <c r="A805" s="15">
        <v>804</v>
      </c>
      <c r="B805" s="16" t="s">
        <v>2652</v>
      </c>
      <c r="C805" s="17">
        <v>45913</v>
      </c>
      <c r="D805" s="15" t="s">
        <v>2653</v>
      </c>
      <c r="E805" s="18" t="s">
        <v>1324</v>
      </c>
      <c r="F805" s="19" t="s">
        <v>2654</v>
      </c>
      <c r="G805" s="18" t="s">
        <v>2655</v>
      </c>
      <c r="H805" s="20" t="s">
        <v>52</v>
      </c>
      <c r="I805" s="15">
        <v>1</v>
      </c>
      <c r="J805" s="15" t="s">
        <v>24</v>
      </c>
      <c r="K805" s="15"/>
      <c r="L805" s="21" t="s">
        <v>16</v>
      </c>
      <c r="M805" s="22">
        <v>0</v>
      </c>
      <c r="N805" s="22">
        <v>0</v>
      </c>
      <c r="O805" s="22">
        <v>7500</v>
      </c>
      <c r="P805" s="22">
        <v>7500</v>
      </c>
      <c r="Q805" t="str" cm="1">
        <f t="array" ref="Q805">_xlfn.TEXTJOIN("、",TRUE,IF('學員資料-三民高中'!$B$2:$B$454=$F805,'學員資料-三民高中'!$G$2:$G$454,""))</f>
        <v/>
      </c>
      <c r="R805" t="str" cm="1">
        <f t="array" ref="R805">_xlfn.TEXTJOIN("、",TRUE,IF('學員資料-新北高中'!$B$2:$B$583=$F805,'學員資料-新北高中'!$G$2:$G$583,""))</f>
        <v/>
      </c>
      <c r="S805" t="str" cm="1">
        <f t="array" ref="S805">_xlfn.TEXTJOIN("、",TRUE,IF('學員資料-三重商工'!$B$2:$B$472=$F805,'學員資料-三重商工'!$G$2:$G$472,""))</f>
        <v>0938775756</v>
      </c>
      <c r="T805">
        <f t="shared" si="12"/>
        <v>1</v>
      </c>
    </row>
    <row r="806" spans="1:20" ht="14.25" hidden="1" customHeight="1">
      <c r="A806" s="15">
        <v>805</v>
      </c>
      <c r="B806" s="16" t="s">
        <v>2656</v>
      </c>
      <c r="C806" s="17">
        <v>45913</v>
      </c>
      <c r="D806" s="15" t="s">
        <v>2657</v>
      </c>
      <c r="E806" s="18" t="s">
        <v>763</v>
      </c>
      <c r="F806" s="19" t="s">
        <v>2658</v>
      </c>
      <c r="G806" s="18" t="s">
        <v>2659</v>
      </c>
      <c r="H806" s="20" t="s">
        <v>52</v>
      </c>
      <c r="I806" s="15">
        <v>1</v>
      </c>
      <c r="J806" s="15" t="s">
        <v>24</v>
      </c>
      <c r="K806" s="15"/>
      <c r="L806" s="21" t="s">
        <v>16</v>
      </c>
      <c r="M806" s="22">
        <v>0</v>
      </c>
      <c r="N806" s="22">
        <v>-375</v>
      </c>
      <c r="O806" s="22">
        <v>7125</v>
      </c>
      <c r="P806" s="22">
        <v>7125</v>
      </c>
      <c r="Q806" t="str" cm="1">
        <f t="array" ref="Q806">_xlfn.TEXTJOIN("、",TRUE,IF('學員資料-三民高中'!$B$2:$B$454=$F806,'學員資料-三民高中'!$G$2:$G$454,""))</f>
        <v>0972335371-1</v>
      </c>
      <c r="R806" t="str" cm="1">
        <f t="array" ref="R806">_xlfn.TEXTJOIN("、",TRUE,IF('學員資料-新北高中'!$B$2:$B$583=$F806,'學員資料-新北高中'!$G$2:$G$583,""))</f>
        <v/>
      </c>
      <c r="S806" t="str" cm="1">
        <f t="array" ref="S806">_xlfn.TEXTJOIN("、",TRUE,IF('學員資料-三重商工'!$B$2:$B$472=$F806,'學員資料-三重商工'!$G$2:$G$472,""))</f>
        <v/>
      </c>
      <c r="T806">
        <f t="shared" si="12"/>
        <v>1</v>
      </c>
    </row>
    <row r="807" spans="1:20" ht="14.25" hidden="1" customHeight="1">
      <c r="A807" s="15">
        <v>806</v>
      </c>
      <c r="B807" s="16" t="s">
        <v>2660</v>
      </c>
      <c r="C807" s="17">
        <v>45912</v>
      </c>
      <c r="D807" s="15" t="s">
        <v>2661</v>
      </c>
      <c r="E807" s="18" t="s">
        <v>83</v>
      </c>
      <c r="F807" s="19" t="s">
        <v>2146</v>
      </c>
      <c r="G807" s="18" t="s">
        <v>2147</v>
      </c>
      <c r="H807" s="20" t="s">
        <v>399</v>
      </c>
      <c r="I807" s="15">
        <v>1</v>
      </c>
      <c r="J807" s="15" t="s">
        <v>23</v>
      </c>
      <c r="K807" s="21" t="s">
        <v>116</v>
      </c>
      <c r="L807" s="21" t="s">
        <v>16</v>
      </c>
      <c r="M807" s="22">
        <v>0</v>
      </c>
      <c r="N807" s="22">
        <v>0</v>
      </c>
      <c r="O807" s="22">
        <v>1200</v>
      </c>
      <c r="P807" s="22">
        <v>1200</v>
      </c>
      <c r="Q807" t="str" cm="1">
        <f t="array" ref="Q807">_xlfn.TEXTJOIN("、",TRUE,IF('學員資料-三民高中'!$B$2:$B$454=$F807,'學員資料-三民高中'!$G$2:$G$454,""))</f>
        <v/>
      </c>
      <c r="R807" t="str" cm="1">
        <f t="array" ref="R807">_xlfn.TEXTJOIN("、",TRUE,IF('學員資料-新北高中'!$B$2:$B$583=$F807,'學員資料-新北高中'!$G$2:$G$583,""))</f>
        <v/>
      </c>
      <c r="S807" t="str" cm="1">
        <f t="array" ref="S807">_xlfn.TEXTJOIN("、",TRUE,IF('學員資料-三重商工'!$B$2:$B$472=$F807,'學員資料-三重商工'!$G$2:$G$472,""))</f>
        <v>0917812721</v>
      </c>
      <c r="T807">
        <f t="shared" si="12"/>
        <v>1</v>
      </c>
    </row>
    <row r="808" spans="1:20" ht="14.25" hidden="1" customHeight="1">
      <c r="A808" s="15">
        <v>807</v>
      </c>
      <c r="B808" s="16" t="s">
        <v>2662</v>
      </c>
      <c r="C808" s="17">
        <v>45911</v>
      </c>
      <c r="D808" s="15" t="s">
        <v>2663</v>
      </c>
      <c r="E808" s="23"/>
      <c r="F808" s="19" t="s">
        <v>2664</v>
      </c>
      <c r="G808" s="18" t="s">
        <v>2665</v>
      </c>
      <c r="H808" s="20" t="s">
        <v>52</v>
      </c>
      <c r="I808" s="15">
        <v>1</v>
      </c>
      <c r="J808" s="15" t="s">
        <v>24</v>
      </c>
      <c r="K808" s="15"/>
      <c r="L808" s="21" t="s">
        <v>18</v>
      </c>
      <c r="M808" s="22">
        <v>0</v>
      </c>
      <c r="N808" s="22">
        <v>-375</v>
      </c>
      <c r="O808" s="22">
        <v>7125</v>
      </c>
      <c r="P808" s="22">
        <v>7125</v>
      </c>
      <c r="Q808" t="str" cm="1">
        <f t="array" ref="Q808">_xlfn.TEXTJOIN("、",TRUE,IF('學員資料-三民高中'!$B$2:$B$454=$F808,'學員資料-三民高中'!$G$2:$G$454,""))</f>
        <v>0932453331</v>
      </c>
      <c r="R808" t="str" cm="1">
        <f t="array" ref="R808">_xlfn.TEXTJOIN("、",TRUE,IF('學員資料-新北高中'!$B$2:$B$583=$F808,'學員資料-新北高中'!$G$2:$G$583,""))</f>
        <v/>
      </c>
      <c r="S808" t="str" cm="1">
        <f t="array" ref="S808">_xlfn.TEXTJOIN("、",TRUE,IF('學員資料-三重商工'!$B$2:$B$472=$F808,'學員資料-三重商工'!$G$2:$G$472,""))</f>
        <v/>
      </c>
      <c r="T808">
        <f t="shared" si="12"/>
        <v>1</v>
      </c>
    </row>
    <row r="809" spans="1:20" ht="14.25" hidden="1" customHeight="1">
      <c r="A809" s="15">
        <v>808</v>
      </c>
      <c r="B809" s="16" t="s">
        <v>2666</v>
      </c>
      <c r="C809" s="17">
        <v>45911</v>
      </c>
      <c r="D809" s="15" t="s">
        <v>2667</v>
      </c>
      <c r="E809" s="23"/>
      <c r="F809" s="19" t="s">
        <v>894</v>
      </c>
      <c r="G809" s="18" t="s">
        <v>895</v>
      </c>
      <c r="H809" s="20" t="s">
        <v>66</v>
      </c>
      <c r="I809" s="15">
        <v>1</v>
      </c>
      <c r="J809" s="15" t="s">
        <v>23</v>
      </c>
      <c r="K809" s="15"/>
      <c r="L809" s="21" t="s">
        <v>18</v>
      </c>
      <c r="M809" s="22">
        <v>0</v>
      </c>
      <c r="N809" s="22">
        <v>-345</v>
      </c>
      <c r="O809" s="22">
        <v>6555</v>
      </c>
      <c r="P809" s="22">
        <v>6555</v>
      </c>
      <c r="Q809" t="str" cm="1">
        <f t="array" ref="Q809">_xlfn.TEXTJOIN("、",TRUE,IF('學員資料-三民高中'!$B$2:$B$454=$F809,'學員資料-三民高中'!$G$2:$G$454,""))</f>
        <v>0937883593</v>
      </c>
      <c r="R809" t="str" cm="1">
        <f t="array" ref="R809">_xlfn.TEXTJOIN("、",TRUE,IF('學員資料-新北高中'!$B$2:$B$583=$F809,'學員資料-新北高中'!$G$2:$G$583,""))</f>
        <v/>
      </c>
      <c r="S809" t="str" cm="1">
        <f t="array" ref="S809">_xlfn.TEXTJOIN("、",TRUE,IF('學員資料-三重商工'!$B$2:$B$472=$F809,'學員資料-三重商工'!$G$2:$G$472,""))</f>
        <v/>
      </c>
      <c r="T809">
        <f t="shared" si="12"/>
        <v>1</v>
      </c>
    </row>
    <row r="810" spans="1:20" ht="14.25" hidden="1" customHeight="1">
      <c r="A810" s="15">
        <v>809</v>
      </c>
      <c r="B810" s="16" t="s">
        <v>2668</v>
      </c>
      <c r="C810" s="17">
        <v>45911</v>
      </c>
      <c r="D810" s="15" t="s">
        <v>2669</v>
      </c>
      <c r="E810" s="23"/>
      <c r="F810" s="19" t="s">
        <v>434</v>
      </c>
      <c r="G810" s="18" t="s">
        <v>435</v>
      </c>
      <c r="H810" s="20" t="s">
        <v>52</v>
      </c>
      <c r="I810" s="15">
        <v>1</v>
      </c>
      <c r="J810" s="15" t="s">
        <v>24</v>
      </c>
      <c r="K810" s="15"/>
      <c r="L810" s="21" t="s">
        <v>18</v>
      </c>
      <c r="M810" s="22">
        <v>0</v>
      </c>
      <c r="N810" s="22">
        <v>-375</v>
      </c>
      <c r="O810" s="22">
        <v>7125</v>
      </c>
      <c r="P810" s="22">
        <v>7125</v>
      </c>
      <c r="Q810" t="str" cm="1">
        <f t="array" ref="Q810">_xlfn.TEXTJOIN("、",TRUE,IF('學員資料-三民高中'!$B$2:$B$454=$F810,'學員資料-三民高中'!$G$2:$G$454,""))</f>
        <v>0913597806</v>
      </c>
      <c r="R810" t="str" cm="1">
        <f t="array" ref="R810">_xlfn.TEXTJOIN("、",TRUE,IF('學員資料-新北高中'!$B$2:$B$583=$F810,'學員資料-新北高中'!$G$2:$G$583,""))</f>
        <v/>
      </c>
      <c r="S810" t="str" cm="1">
        <f t="array" ref="S810">_xlfn.TEXTJOIN("、",TRUE,IF('學員資料-三重商工'!$B$2:$B$472=$F810,'學員資料-三重商工'!$G$2:$G$472,""))</f>
        <v/>
      </c>
      <c r="T810">
        <f t="shared" si="12"/>
        <v>1</v>
      </c>
    </row>
    <row r="811" spans="1:20" ht="14.25" hidden="1" customHeight="1">
      <c r="A811" s="15">
        <v>810</v>
      </c>
      <c r="B811" s="16" t="s">
        <v>2670</v>
      </c>
      <c r="C811" s="17">
        <v>45911</v>
      </c>
      <c r="D811" s="15" t="s">
        <v>2671</v>
      </c>
      <c r="E811" s="23"/>
      <c r="F811" s="19" t="s">
        <v>2672</v>
      </c>
      <c r="G811" s="18" t="s">
        <v>2673</v>
      </c>
      <c r="H811" s="20" t="s">
        <v>66</v>
      </c>
      <c r="I811" s="15">
        <v>1</v>
      </c>
      <c r="J811" s="15" t="s">
        <v>23</v>
      </c>
      <c r="K811" s="15"/>
      <c r="L811" s="21" t="s">
        <v>18</v>
      </c>
      <c r="M811" s="22">
        <v>0</v>
      </c>
      <c r="N811" s="22">
        <v>-345</v>
      </c>
      <c r="O811" s="22">
        <v>6555</v>
      </c>
      <c r="P811" s="22">
        <v>6555</v>
      </c>
      <c r="Q811" t="str" cm="1">
        <f t="array" ref="Q811">_xlfn.TEXTJOIN("、",TRUE,IF('學員資料-三民高中'!$B$2:$B$454=$F811,'學員資料-三民高中'!$G$2:$G$454,""))</f>
        <v>0983018209</v>
      </c>
      <c r="R811" t="str" cm="1">
        <f t="array" ref="R811">_xlfn.TEXTJOIN("、",TRUE,IF('學員資料-新北高中'!$B$2:$B$583=$F811,'學員資料-新北高中'!$G$2:$G$583,""))</f>
        <v/>
      </c>
      <c r="S811" t="str" cm="1">
        <f t="array" ref="S811">_xlfn.TEXTJOIN("、",TRUE,IF('學員資料-三重商工'!$B$2:$B$472=$F811,'學員資料-三重商工'!$G$2:$G$472,""))</f>
        <v/>
      </c>
      <c r="T811">
        <f t="shared" si="12"/>
        <v>1</v>
      </c>
    </row>
    <row r="812" spans="1:20" ht="14.25" hidden="1" customHeight="1">
      <c r="A812" s="15">
        <v>811</v>
      </c>
      <c r="B812" s="16" t="s">
        <v>2674</v>
      </c>
      <c r="C812" s="17">
        <v>45911</v>
      </c>
      <c r="D812" s="15" t="s">
        <v>2675</v>
      </c>
      <c r="E812" s="23"/>
      <c r="F812" s="19" t="s">
        <v>2676</v>
      </c>
      <c r="G812" s="18" t="s">
        <v>2677</v>
      </c>
      <c r="H812" s="20" t="s">
        <v>52</v>
      </c>
      <c r="I812" s="15">
        <v>1</v>
      </c>
      <c r="J812" s="15" t="s">
        <v>24</v>
      </c>
      <c r="K812" s="15"/>
      <c r="L812" s="21" t="s">
        <v>18</v>
      </c>
      <c r="M812" s="22">
        <v>0</v>
      </c>
      <c r="N812" s="22">
        <v>-375</v>
      </c>
      <c r="O812" s="22">
        <v>7125</v>
      </c>
      <c r="P812" s="22">
        <v>7125</v>
      </c>
      <c r="Q812" t="str" cm="1">
        <f t="array" ref="Q812">_xlfn.TEXTJOIN("、",TRUE,IF('學員資料-三民高中'!$B$2:$B$454=$F812,'學員資料-三民高中'!$G$2:$G$454,""))</f>
        <v>0928897544</v>
      </c>
      <c r="R812" t="str" cm="1">
        <f t="array" ref="R812">_xlfn.TEXTJOIN("、",TRUE,IF('學員資料-新北高中'!$B$2:$B$583=$F812,'學員資料-新北高中'!$G$2:$G$583,""))</f>
        <v/>
      </c>
      <c r="S812" t="str" cm="1">
        <f t="array" ref="S812">_xlfn.TEXTJOIN("、",TRUE,IF('學員資料-三重商工'!$B$2:$B$472=$F812,'學員資料-三重商工'!$G$2:$G$472,""))</f>
        <v/>
      </c>
      <c r="T812">
        <f t="shared" si="12"/>
        <v>1</v>
      </c>
    </row>
    <row r="813" spans="1:20" ht="28.5" hidden="1" customHeight="1">
      <c r="A813" s="15">
        <v>812</v>
      </c>
      <c r="B813" s="16" t="s">
        <v>2678</v>
      </c>
      <c r="C813" s="17">
        <v>45911</v>
      </c>
      <c r="D813" s="15" t="s">
        <v>2679</v>
      </c>
      <c r="E813" s="18" t="s">
        <v>83</v>
      </c>
      <c r="F813" s="19" t="s">
        <v>1716</v>
      </c>
      <c r="G813" s="18" t="s">
        <v>1717</v>
      </c>
      <c r="H813" s="20" t="s">
        <v>219</v>
      </c>
      <c r="I813" s="15">
        <v>2</v>
      </c>
      <c r="J813" s="15" t="s">
        <v>25</v>
      </c>
      <c r="K813" s="15"/>
      <c r="L813" s="21" t="s">
        <v>16</v>
      </c>
      <c r="M813" s="22">
        <v>0</v>
      </c>
      <c r="N813" s="22">
        <v>-1980</v>
      </c>
      <c r="O813" s="22">
        <v>17820</v>
      </c>
      <c r="P813" s="22">
        <v>17820</v>
      </c>
      <c r="Q813" t="str" cm="1">
        <f t="array" ref="Q813">_xlfn.TEXTJOIN("、",TRUE,IF('學員資料-三民高中'!$B$2:$B$454=$F813,'學員資料-三民高中'!$G$2:$G$454,""))</f>
        <v/>
      </c>
      <c r="R813" t="str" cm="1">
        <f t="array" ref="R813">_xlfn.TEXTJOIN("、",TRUE,IF('學員資料-新北高中'!$B$2:$B$583=$F813,'學員資料-新北高中'!$G$2:$G$583,""))</f>
        <v/>
      </c>
      <c r="S813" t="str" cm="1">
        <f t="array" ref="S813">_xlfn.TEXTJOIN("、",TRUE,IF('學員資料-三重商工'!$B$2:$B$472=$F813,'學員資料-三重商工'!$G$2:$G$472,""))</f>
        <v>0922801088</v>
      </c>
      <c r="T813">
        <f t="shared" si="12"/>
        <v>1</v>
      </c>
    </row>
    <row r="814" spans="1:20" ht="14.25" hidden="1" customHeight="1">
      <c r="A814" s="15">
        <v>813</v>
      </c>
      <c r="B814" s="16" t="s">
        <v>2680</v>
      </c>
      <c r="C814" s="17">
        <v>45910</v>
      </c>
      <c r="D814" s="15" t="s">
        <v>2681</v>
      </c>
      <c r="E814" s="18" t="s">
        <v>83</v>
      </c>
      <c r="F814" s="19" t="s">
        <v>622</v>
      </c>
      <c r="G814" s="18" t="s">
        <v>623</v>
      </c>
      <c r="H814" s="20" t="s">
        <v>52</v>
      </c>
      <c r="I814" s="15">
        <v>1</v>
      </c>
      <c r="J814" s="15" t="s">
        <v>24</v>
      </c>
      <c r="K814" s="15"/>
      <c r="L814" s="21" t="s">
        <v>16</v>
      </c>
      <c r="M814" s="22">
        <v>0</v>
      </c>
      <c r="N814" s="22">
        <v>-375</v>
      </c>
      <c r="O814" s="22">
        <v>7125</v>
      </c>
      <c r="P814" s="22">
        <v>7125</v>
      </c>
      <c r="Q814" t="str" cm="1">
        <f t="array" ref="Q814">_xlfn.TEXTJOIN("、",TRUE,IF('學員資料-三民高中'!$B$2:$B$454=$F814,'學員資料-三民高中'!$G$2:$G$454,""))</f>
        <v/>
      </c>
      <c r="R814" t="str" cm="1">
        <f t="array" ref="R814">_xlfn.TEXTJOIN("、",TRUE,IF('學員資料-新北高中'!$B$2:$B$583=$F814,'學員資料-新北高中'!$G$2:$G$583,""))</f>
        <v/>
      </c>
      <c r="S814" t="str" cm="1">
        <f t="array" ref="S814">_xlfn.TEXTJOIN("、",TRUE,IF('學員資料-三重商工'!$B$2:$B$472=$F814,'學員資料-三重商工'!$G$2:$G$472,""))</f>
        <v>0989564153</v>
      </c>
      <c r="T814">
        <f t="shared" si="12"/>
        <v>1</v>
      </c>
    </row>
    <row r="815" spans="1:20" ht="14.25" hidden="1" customHeight="1">
      <c r="A815" s="15">
        <v>814</v>
      </c>
      <c r="B815" s="16" t="s">
        <v>2682</v>
      </c>
      <c r="C815" s="17">
        <v>45910</v>
      </c>
      <c r="D815" s="15" t="s">
        <v>2683</v>
      </c>
      <c r="E815" s="18" t="s">
        <v>763</v>
      </c>
      <c r="F815" s="19" t="s">
        <v>2684</v>
      </c>
      <c r="G815" s="18" t="s">
        <v>2685</v>
      </c>
      <c r="H815" s="20" t="s">
        <v>52</v>
      </c>
      <c r="I815" s="15">
        <v>1</v>
      </c>
      <c r="J815" s="15" t="s">
        <v>24</v>
      </c>
      <c r="K815" s="15"/>
      <c r="L815" s="21" t="s">
        <v>16</v>
      </c>
      <c r="M815" s="22">
        <v>0</v>
      </c>
      <c r="N815" s="22">
        <v>-375</v>
      </c>
      <c r="O815" s="22">
        <v>7125</v>
      </c>
      <c r="P815" s="22">
        <v>7125</v>
      </c>
      <c r="Q815" t="str" cm="1">
        <f t="array" ref="Q815">_xlfn.TEXTJOIN("、",TRUE,IF('學員資料-三民高中'!$B$2:$B$454=$F815,'學員資料-三民高中'!$G$2:$G$454,""))</f>
        <v>0922826836</v>
      </c>
      <c r="R815" t="str" cm="1">
        <f t="array" ref="R815">_xlfn.TEXTJOIN("、",TRUE,IF('學員資料-新北高中'!$B$2:$B$583=$F815,'學員資料-新北高中'!$G$2:$G$583,""))</f>
        <v/>
      </c>
      <c r="S815" t="str" cm="1">
        <f t="array" ref="S815">_xlfn.TEXTJOIN("、",TRUE,IF('學員資料-三重商工'!$B$2:$B$472=$F815,'學員資料-三重商工'!$G$2:$G$472,""))</f>
        <v/>
      </c>
      <c r="T815">
        <f t="shared" si="12"/>
        <v>1</v>
      </c>
    </row>
    <row r="816" spans="1:20" ht="14.25" hidden="1" customHeight="1">
      <c r="A816" s="15">
        <v>815</v>
      </c>
      <c r="B816" s="16" t="s">
        <v>2686</v>
      </c>
      <c r="C816" s="17">
        <v>45909</v>
      </c>
      <c r="D816" s="15" t="s">
        <v>2687</v>
      </c>
      <c r="E816" s="18" t="s">
        <v>83</v>
      </c>
      <c r="F816" s="19" t="s">
        <v>2471</v>
      </c>
      <c r="G816" s="18" t="s">
        <v>2472</v>
      </c>
      <c r="H816" s="20" t="s">
        <v>399</v>
      </c>
      <c r="I816" s="15">
        <v>1</v>
      </c>
      <c r="J816" s="15" t="s">
        <v>23</v>
      </c>
      <c r="K816" s="21" t="s">
        <v>116</v>
      </c>
      <c r="L816" s="21" t="s">
        <v>16</v>
      </c>
      <c r="M816" s="22">
        <v>0</v>
      </c>
      <c r="N816" s="22">
        <v>0</v>
      </c>
      <c r="O816" s="22">
        <v>1200</v>
      </c>
      <c r="P816" s="22">
        <v>1200</v>
      </c>
      <c r="Q816" t="str" cm="1">
        <f t="array" ref="Q816">_xlfn.TEXTJOIN("、",TRUE,IF('學員資料-三民高中'!$B$2:$B$454=$F816,'學員資料-三民高中'!$G$2:$G$454,""))</f>
        <v/>
      </c>
      <c r="R816" t="str" cm="1">
        <f t="array" ref="R816">_xlfn.TEXTJOIN("、",TRUE,IF('學員資料-新北高中'!$B$2:$B$583=$F816,'學員資料-新北高中'!$G$2:$G$583,""))</f>
        <v/>
      </c>
      <c r="S816" t="str" cm="1">
        <f t="array" ref="S816">_xlfn.TEXTJOIN("、",TRUE,IF('學員資料-三重商工'!$B$2:$B$472=$F816,'學員資料-三重商工'!$G$2:$G$472,""))</f>
        <v>0987103346</v>
      </c>
      <c r="T816">
        <f t="shared" si="12"/>
        <v>1</v>
      </c>
    </row>
    <row r="817" spans="1:20" ht="14.25" hidden="1" customHeight="1">
      <c r="A817" s="15">
        <v>816</v>
      </c>
      <c r="B817" s="16" t="s">
        <v>2688</v>
      </c>
      <c r="C817" s="17">
        <v>45909</v>
      </c>
      <c r="D817" s="15" t="s">
        <v>2689</v>
      </c>
      <c r="E817" s="18" t="s">
        <v>763</v>
      </c>
      <c r="F817" s="19" t="s">
        <v>930</v>
      </c>
      <c r="G817" s="18" t="s">
        <v>931</v>
      </c>
      <c r="H817" s="20" t="s">
        <v>66</v>
      </c>
      <c r="I817" s="15">
        <v>1</v>
      </c>
      <c r="J817" s="15" t="s">
        <v>23</v>
      </c>
      <c r="K817" s="15"/>
      <c r="L817" s="21" t="s">
        <v>16</v>
      </c>
      <c r="M817" s="22">
        <v>0</v>
      </c>
      <c r="N817" s="22">
        <v>0</v>
      </c>
      <c r="O817" s="22">
        <v>6900</v>
      </c>
      <c r="P817" s="22">
        <v>6900</v>
      </c>
      <c r="Q817" t="str" cm="1">
        <f t="array" ref="Q817">_xlfn.TEXTJOIN("、",TRUE,IF('學員資料-三民高中'!$B$2:$B$454=$F817,'學員資料-三民高中'!$G$2:$G$454,""))</f>
        <v>0935836996</v>
      </c>
      <c r="R817" t="str" cm="1">
        <f t="array" ref="R817">_xlfn.TEXTJOIN("、",TRUE,IF('學員資料-新北高中'!$B$2:$B$583=$F817,'學員資料-新北高中'!$G$2:$G$583,""))</f>
        <v/>
      </c>
      <c r="S817" t="str" cm="1">
        <f t="array" ref="S817">_xlfn.TEXTJOIN("、",TRUE,IF('學員資料-三重商工'!$B$2:$B$472=$F817,'學員資料-三重商工'!$G$2:$G$472,""))</f>
        <v/>
      </c>
      <c r="T817">
        <f t="shared" si="12"/>
        <v>1</v>
      </c>
    </row>
    <row r="818" spans="1:20" ht="14.25" hidden="1" customHeight="1">
      <c r="A818" s="15">
        <v>817</v>
      </c>
      <c r="B818" s="16" t="s">
        <v>2690</v>
      </c>
      <c r="C818" s="17">
        <v>45908</v>
      </c>
      <c r="D818" s="15" t="s">
        <v>2691</v>
      </c>
      <c r="E818" s="18" t="s">
        <v>763</v>
      </c>
      <c r="F818" s="19" t="s">
        <v>1175</v>
      </c>
      <c r="G818" s="18" t="s">
        <v>1176</v>
      </c>
      <c r="H818" s="20" t="s">
        <v>66</v>
      </c>
      <c r="I818" s="15">
        <v>1</v>
      </c>
      <c r="J818" s="15" t="s">
        <v>23</v>
      </c>
      <c r="K818" s="15"/>
      <c r="L818" s="21" t="s">
        <v>16</v>
      </c>
      <c r="M818" s="22">
        <v>0</v>
      </c>
      <c r="N818" s="22">
        <v>0</v>
      </c>
      <c r="O818" s="22">
        <v>6900</v>
      </c>
      <c r="P818" s="22">
        <v>6900</v>
      </c>
      <c r="Q818" t="str" cm="1">
        <f t="array" ref="Q818">_xlfn.TEXTJOIN("、",TRUE,IF('學員資料-三民高中'!$B$2:$B$454=$F818,'學員資料-三民高中'!$G$2:$G$454,""))</f>
        <v>0963008351</v>
      </c>
      <c r="R818" t="str" cm="1">
        <f t="array" ref="R818">_xlfn.TEXTJOIN("、",TRUE,IF('學員資料-新北高中'!$B$2:$B$583=$F818,'學員資料-新北高中'!$G$2:$G$583,""))</f>
        <v/>
      </c>
      <c r="S818" t="str" cm="1">
        <f t="array" ref="S818">_xlfn.TEXTJOIN("、",TRUE,IF('學員資料-三重商工'!$B$2:$B$472=$F818,'學員資料-三重商工'!$G$2:$G$472,""))</f>
        <v/>
      </c>
      <c r="T818">
        <f t="shared" si="12"/>
        <v>1</v>
      </c>
    </row>
    <row r="819" spans="1:20" ht="14.25" hidden="1" customHeight="1">
      <c r="A819" s="15">
        <v>818</v>
      </c>
      <c r="B819" s="16" t="s">
        <v>2692</v>
      </c>
      <c r="C819" s="17">
        <v>45907</v>
      </c>
      <c r="D819" s="15" t="s">
        <v>2693</v>
      </c>
      <c r="E819" s="18" t="s">
        <v>78</v>
      </c>
      <c r="F819" s="19" t="s">
        <v>778</v>
      </c>
      <c r="G819" s="18" t="s">
        <v>779</v>
      </c>
      <c r="H819" s="20" t="s">
        <v>52</v>
      </c>
      <c r="I819" s="15">
        <v>1</v>
      </c>
      <c r="J819" s="15" t="s">
        <v>24</v>
      </c>
      <c r="K819" s="15"/>
      <c r="L819" s="21" t="s">
        <v>16</v>
      </c>
      <c r="M819" s="22">
        <v>0</v>
      </c>
      <c r="N819" s="22">
        <v>-375</v>
      </c>
      <c r="O819" s="22">
        <v>7125</v>
      </c>
      <c r="P819" s="22">
        <v>7125</v>
      </c>
      <c r="Q819" t="str" cm="1">
        <f t="array" ref="Q819">_xlfn.TEXTJOIN("、",TRUE,IF('學員資料-三民高中'!$B$2:$B$454=$F819,'學員資料-三民高中'!$G$2:$G$454,""))</f>
        <v/>
      </c>
      <c r="R819" t="str" cm="1">
        <f t="array" ref="R819">_xlfn.TEXTJOIN("、",TRUE,IF('學員資料-新北高中'!$B$2:$B$583=$F819,'學員資料-新北高中'!$G$2:$G$583,""))</f>
        <v>0972103256</v>
      </c>
      <c r="S819" t="str" cm="1">
        <f t="array" ref="S819">_xlfn.TEXTJOIN("、",TRUE,IF('學員資料-三重商工'!$B$2:$B$472=$F819,'學員資料-三重商工'!$G$2:$G$472,""))</f>
        <v/>
      </c>
      <c r="T819">
        <f t="shared" si="12"/>
        <v>1</v>
      </c>
    </row>
    <row r="820" spans="1:20" ht="14.25" hidden="1" customHeight="1">
      <c r="A820" s="15">
        <v>819</v>
      </c>
      <c r="B820" s="16" t="s">
        <v>2694</v>
      </c>
      <c r="C820" s="17">
        <v>45907</v>
      </c>
      <c r="D820" s="15" t="s">
        <v>2695</v>
      </c>
      <c r="E820" s="18" t="s">
        <v>763</v>
      </c>
      <c r="F820" s="19" t="s">
        <v>2509</v>
      </c>
      <c r="G820" s="18" t="s">
        <v>2510</v>
      </c>
      <c r="H820" s="20" t="s">
        <v>130</v>
      </c>
      <c r="I820" s="15">
        <v>1</v>
      </c>
      <c r="J820" s="15" t="s">
        <v>25</v>
      </c>
      <c r="K820" s="15"/>
      <c r="L820" s="21" t="s">
        <v>16</v>
      </c>
      <c r="M820" s="22">
        <v>0</v>
      </c>
      <c r="N820" s="22">
        <v>0</v>
      </c>
      <c r="O820" s="22">
        <v>9900</v>
      </c>
      <c r="P820" s="22">
        <v>9900</v>
      </c>
      <c r="Q820" t="str" cm="1">
        <f t="array" ref="Q820">_xlfn.TEXTJOIN("、",TRUE,IF('學員資料-三民高中'!$B$2:$B$454=$F820,'學員資料-三民高中'!$G$2:$G$454,""))</f>
        <v>0978773970</v>
      </c>
      <c r="R820" t="str" cm="1">
        <f t="array" ref="R820">_xlfn.TEXTJOIN("、",TRUE,IF('學員資料-新北高中'!$B$2:$B$583=$F820,'學員資料-新北高中'!$G$2:$G$583,""))</f>
        <v/>
      </c>
      <c r="S820" t="str" cm="1">
        <f t="array" ref="S820">_xlfn.TEXTJOIN("、",TRUE,IF('學員資料-三重商工'!$B$2:$B$472=$F820,'學員資料-三重商工'!$G$2:$G$472,""))</f>
        <v/>
      </c>
      <c r="T820">
        <f t="shared" si="12"/>
        <v>1</v>
      </c>
    </row>
    <row r="821" spans="1:20" ht="14.25" hidden="1" customHeight="1">
      <c r="A821" s="15">
        <v>820</v>
      </c>
      <c r="B821" s="16" t="s">
        <v>2696</v>
      </c>
      <c r="C821" s="17">
        <v>45907</v>
      </c>
      <c r="D821" s="15" t="s">
        <v>2697</v>
      </c>
      <c r="E821" s="18" t="s">
        <v>763</v>
      </c>
      <c r="F821" s="19" t="s">
        <v>2698</v>
      </c>
      <c r="G821" s="18" t="s">
        <v>2699</v>
      </c>
      <c r="H821" s="20" t="s">
        <v>66</v>
      </c>
      <c r="I821" s="15">
        <v>1</v>
      </c>
      <c r="J821" s="15" t="s">
        <v>23</v>
      </c>
      <c r="K821" s="15"/>
      <c r="L821" s="21" t="s">
        <v>16</v>
      </c>
      <c r="M821" s="22">
        <v>0</v>
      </c>
      <c r="N821" s="22">
        <v>0</v>
      </c>
      <c r="O821" s="22">
        <v>6900</v>
      </c>
      <c r="P821" s="22">
        <v>6900</v>
      </c>
      <c r="Q821" t="str" cm="1">
        <f t="array" ref="Q821">_xlfn.TEXTJOIN("、",TRUE,IF('學員資料-三民高中'!$B$2:$B$454=$F821,'學員資料-三民高中'!$G$2:$G$454,""))</f>
        <v>0972189778</v>
      </c>
      <c r="R821" t="str" cm="1">
        <f t="array" ref="R821">_xlfn.TEXTJOIN("、",TRUE,IF('學員資料-新北高中'!$B$2:$B$583=$F821,'學員資料-新北高中'!$G$2:$G$583,""))</f>
        <v/>
      </c>
      <c r="S821" t="str" cm="1">
        <f t="array" ref="S821">_xlfn.TEXTJOIN("、",TRUE,IF('學員資料-三重商工'!$B$2:$B$472=$F821,'學員資料-三重商工'!$G$2:$G$472,""))</f>
        <v/>
      </c>
      <c r="T821">
        <f t="shared" si="12"/>
        <v>1</v>
      </c>
    </row>
    <row r="822" spans="1:20" ht="14.25" hidden="1" customHeight="1">
      <c r="A822" s="15">
        <v>821</v>
      </c>
      <c r="B822" s="16" t="s">
        <v>2700</v>
      </c>
      <c r="C822" s="17">
        <v>45906</v>
      </c>
      <c r="D822" s="15" t="s">
        <v>2701</v>
      </c>
      <c r="E822" s="18" t="s">
        <v>44</v>
      </c>
      <c r="F822" s="19" t="s">
        <v>2702</v>
      </c>
      <c r="G822" s="18" t="s">
        <v>2703</v>
      </c>
      <c r="H822" s="20" t="s">
        <v>66</v>
      </c>
      <c r="I822" s="15">
        <v>1</v>
      </c>
      <c r="J822" s="15" t="s">
        <v>23</v>
      </c>
      <c r="K822" s="15"/>
      <c r="L822" s="21" t="s">
        <v>16</v>
      </c>
      <c r="M822" s="22">
        <v>0</v>
      </c>
      <c r="N822" s="22">
        <v>-345</v>
      </c>
      <c r="O822" s="22">
        <v>6555</v>
      </c>
      <c r="P822" s="22">
        <v>6555</v>
      </c>
      <c r="Q822" t="str" cm="1">
        <f t="array" ref="Q822">_xlfn.TEXTJOIN("、",TRUE,IF('學員資料-三民高中'!$B$2:$B$454=$F822,'學員資料-三民高中'!$G$2:$G$454,""))</f>
        <v/>
      </c>
      <c r="R822" t="str" cm="1">
        <f t="array" ref="R822">_xlfn.TEXTJOIN("、",TRUE,IF('學員資料-新北高中'!$B$2:$B$583=$F822,'學員資料-新北高中'!$G$2:$G$583,""))</f>
        <v/>
      </c>
      <c r="S822" t="str" cm="1">
        <f t="array" ref="S822">_xlfn.TEXTJOIN("、",TRUE,IF('學員資料-三重商工'!$B$2:$B$472=$F822,'學員資料-三重商工'!$G$2:$G$472,""))</f>
        <v>0987331897</v>
      </c>
      <c r="T822">
        <f t="shared" si="12"/>
        <v>1</v>
      </c>
    </row>
    <row r="823" spans="1:20" ht="14.25" hidden="1" customHeight="1">
      <c r="A823" s="15">
        <v>822</v>
      </c>
      <c r="B823" s="16" t="s">
        <v>2704</v>
      </c>
      <c r="C823" s="17">
        <v>45906</v>
      </c>
      <c r="D823" s="15" t="s">
        <v>2705</v>
      </c>
      <c r="E823" s="18" t="s">
        <v>44</v>
      </c>
      <c r="F823" s="19" t="s">
        <v>1085</v>
      </c>
      <c r="G823" s="18" t="s">
        <v>1086</v>
      </c>
      <c r="H823" s="20" t="s">
        <v>1087</v>
      </c>
      <c r="I823" s="15">
        <v>1</v>
      </c>
      <c r="J823" s="15" t="s">
        <v>27</v>
      </c>
      <c r="K823" s="15"/>
      <c r="L823" s="21" t="s">
        <v>16</v>
      </c>
      <c r="M823" s="22">
        <v>0</v>
      </c>
      <c r="N823" s="22">
        <v>0</v>
      </c>
      <c r="O823" s="22">
        <v>15000</v>
      </c>
      <c r="P823" s="22">
        <v>15000</v>
      </c>
      <c r="Q823" t="str" cm="1">
        <f t="array" ref="Q823">_xlfn.TEXTJOIN("、",TRUE,IF('學員資料-三民高中'!$B$2:$B$454=$F823,'學員資料-三民高中'!$G$2:$G$454,""))</f>
        <v/>
      </c>
      <c r="R823" t="str" cm="1">
        <f t="array" ref="R823">_xlfn.TEXTJOIN("、",TRUE,IF('學員資料-新北高中'!$B$2:$B$583=$F823,'學員資料-新北高中'!$G$2:$G$583,""))</f>
        <v/>
      </c>
      <c r="S823" t="str" cm="1">
        <f t="array" ref="S823">_xlfn.TEXTJOIN("、",TRUE,IF('學員資料-三重商工'!$B$2:$B$472=$F823,'學員資料-三重商工'!$G$2:$G$472,""))</f>
        <v>0933818815</v>
      </c>
      <c r="T823">
        <f t="shared" si="12"/>
        <v>1</v>
      </c>
    </row>
    <row r="824" spans="1:20" ht="28.5" hidden="1" customHeight="1">
      <c r="A824" s="15">
        <v>823</v>
      </c>
      <c r="B824" s="16" t="s">
        <v>2706</v>
      </c>
      <c r="C824" s="17">
        <v>45906</v>
      </c>
      <c r="D824" s="15" t="s">
        <v>2707</v>
      </c>
      <c r="E824" s="18" t="s">
        <v>44</v>
      </c>
      <c r="F824" s="19" t="s">
        <v>2708</v>
      </c>
      <c r="G824" s="18" t="s">
        <v>2709</v>
      </c>
      <c r="H824" s="20" t="s">
        <v>99</v>
      </c>
      <c r="I824" s="15">
        <v>2</v>
      </c>
      <c r="J824" s="15" t="s">
        <v>24</v>
      </c>
      <c r="K824" s="15"/>
      <c r="L824" s="21" t="s">
        <v>16</v>
      </c>
      <c r="M824" s="22">
        <v>0</v>
      </c>
      <c r="N824" s="22">
        <v>-750</v>
      </c>
      <c r="O824" s="22">
        <v>14250</v>
      </c>
      <c r="P824" s="22">
        <v>14250</v>
      </c>
      <c r="Q824" t="str" cm="1">
        <f t="array" ref="Q824">_xlfn.TEXTJOIN("、",TRUE,IF('學員資料-三民高中'!$B$2:$B$454=$F824,'學員資料-三民高中'!$G$2:$G$454,""))</f>
        <v/>
      </c>
      <c r="R824" t="str" cm="1">
        <f t="array" ref="R824">_xlfn.TEXTJOIN("、",TRUE,IF('學員資料-新北高中'!$B$2:$B$583=$F824,'學員資料-新北高中'!$G$2:$G$583,""))</f>
        <v/>
      </c>
      <c r="S824" t="str" cm="1">
        <f t="array" ref="S824">_xlfn.TEXTJOIN("、",TRUE,IF('學員資料-三重商工'!$B$2:$B$472=$F824,'學員資料-三重商工'!$G$2:$G$472,""))</f>
        <v>0909598333</v>
      </c>
      <c r="T824">
        <f t="shared" si="12"/>
        <v>1</v>
      </c>
    </row>
    <row r="825" spans="1:20" ht="14.25" hidden="1" customHeight="1">
      <c r="A825" s="15">
        <v>824</v>
      </c>
      <c r="B825" s="16" t="s">
        <v>2710</v>
      </c>
      <c r="C825" s="17">
        <v>45905</v>
      </c>
      <c r="D825" s="15" t="s">
        <v>2711</v>
      </c>
      <c r="E825" s="18" t="s">
        <v>83</v>
      </c>
      <c r="F825" s="19" t="s">
        <v>2712</v>
      </c>
      <c r="G825" s="18" t="s">
        <v>2713</v>
      </c>
      <c r="H825" s="20" t="s">
        <v>66</v>
      </c>
      <c r="I825" s="15">
        <v>1</v>
      </c>
      <c r="J825" s="15" t="s">
        <v>23</v>
      </c>
      <c r="K825" s="15"/>
      <c r="L825" s="21" t="s">
        <v>16</v>
      </c>
      <c r="M825" s="22">
        <v>0</v>
      </c>
      <c r="N825" s="22">
        <v>-345</v>
      </c>
      <c r="O825" s="22">
        <v>6555</v>
      </c>
      <c r="P825" s="22">
        <v>6555</v>
      </c>
      <c r="Q825" t="str" cm="1">
        <f t="array" ref="Q825">_xlfn.TEXTJOIN("、",TRUE,IF('學員資料-三民高中'!$B$2:$B$454=$F825,'學員資料-三民高中'!$G$2:$G$454,""))</f>
        <v/>
      </c>
      <c r="R825" t="str" cm="1">
        <f t="array" ref="R825">_xlfn.TEXTJOIN("、",TRUE,IF('學員資料-新北高中'!$B$2:$B$583=$F825,'學員資料-新北高中'!$G$2:$G$583,""))</f>
        <v/>
      </c>
      <c r="S825" t="str" cm="1">
        <f t="array" ref="S825">_xlfn.TEXTJOIN("、",TRUE,IF('學員資料-三重商工'!$B$2:$B$472=$F825,'學員資料-三重商工'!$G$2:$G$472,""))</f>
        <v>0928071246</v>
      </c>
      <c r="T825">
        <f t="shared" si="12"/>
        <v>1</v>
      </c>
    </row>
    <row r="826" spans="1:20" ht="14.25" hidden="1" customHeight="1">
      <c r="A826" s="15">
        <v>825</v>
      </c>
      <c r="B826" s="16" t="s">
        <v>2714</v>
      </c>
      <c r="C826" s="17">
        <v>45904</v>
      </c>
      <c r="D826" s="15" t="s">
        <v>2715</v>
      </c>
      <c r="E826" s="18" t="s">
        <v>83</v>
      </c>
      <c r="F826" s="19" t="s">
        <v>1744</v>
      </c>
      <c r="G826" s="18" t="s">
        <v>1745</v>
      </c>
      <c r="H826" s="20" t="s">
        <v>52</v>
      </c>
      <c r="I826" s="15">
        <v>1</v>
      </c>
      <c r="J826" s="15" t="s">
        <v>24</v>
      </c>
      <c r="K826" s="15"/>
      <c r="L826" s="21" t="s">
        <v>16</v>
      </c>
      <c r="M826" s="22">
        <v>0</v>
      </c>
      <c r="N826" s="22">
        <v>-375</v>
      </c>
      <c r="O826" s="22">
        <v>7125</v>
      </c>
      <c r="P826" s="22">
        <v>7125</v>
      </c>
      <c r="Q826" t="str" cm="1">
        <f t="array" ref="Q826">_xlfn.TEXTJOIN("、",TRUE,IF('學員資料-三民高中'!$B$2:$B$454=$F826,'學員資料-三民高中'!$G$2:$G$454,""))</f>
        <v/>
      </c>
      <c r="R826" t="str" cm="1">
        <f t="array" ref="R826">_xlfn.TEXTJOIN("、",TRUE,IF('學員資料-新北高中'!$B$2:$B$583=$F826,'學員資料-新北高中'!$G$2:$G$583,""))</f>
        <v/>
      </c>
      <c r="S826" t="str" cm="1">
        <f t="array" ref="S826">_xlfn.TEXTJOIN("、",TRUE,IF('學員資料-三重商工'!$B$2:$B$472=$F826,'學員資料-三重商工'!$G$2:$G$472,""))</f>
        <v>0926882435</v>
      </c>
      <c r="T826">
        <f t="shared" si="12"/>
        <v>1</v>
      </c>
    </row>
    <row r="827" spans="1:20" ht="14.25" hidden="1" customHeight="1">
      <c r="A827" s="15">
        <v>826</v>
      </c>
      <c r="B827" s="16" t="s">
        <v>2716</v>
      </c>
      <c r="C827" s="17">
        <v>45904</v>
      </c>
      <c r="D827" s="15" t="s">
        <v>2717</v>
      </c>
      <c r="E827" s="18" t="s">
        <v>83</v>
      </c>
      <c r="F827" s="19" t="s">
        <v>997</v>
      </c>
      <c r="G827" s="18" t="s">
        <v>998</v>
      </c>
      <c r="H827" s="20" t="s">
        <v>210</v>
      </c>
      <c r="I827" s="15">
        <v>1</v>
      </c>
      <c r="J827" s="15" t="s">
        <v>26</v>
      </c>
      <c r="K827" s="15"/>
      <c r="L827" s="21" t="s">
        <v>16</v>
      </c>
      <c r="M827" s="22">
        <v>0</v>
      </c>
      <c r="N827" s="22">
        <v>-1200</v>
      </c>
      <c r="O827" s="22">
        <v>10800</v>
      </c>
      <c r="P827" s="22">
        <v>10800</v>
      </c>
      <c r="Q827" t="str" cm="1">
        <f t="array" ref="Q827">_xlfn.TEXTJOIN("、",TRUE,IF('學員資料-三民高中'!$B$2:$B$454=$F827,'學員資料-三民高中'!$G$2:$G$454,""))</f>
        <v/>
      </c>
      <c r="R827" t="str" cm="1">
        <f t="array" ref="R827">_xlfn.TEXTJOIN("、",TRUE,IF('學員資料-新北高中'!$B$2:$B$583=$F827,'學員資料-新北高中'!$G$2:$G$583,""))</f>
        <v/>
      </c>
      <c r="S827" t="str" cm="1">
        <f t="array" ref="S827">_xlfn.TEXTJOIN("、",TRUE,IF('學員資料-三重商工'!$B$2:$B$472=$F827,'學員資料-三重商工'!$G$2:$G$472,""))</f>
        <v>0970944931</v>
      </c>
      <c r="T827">
        <f t="shared" si="12"/>
        <v>1</v>
      </c>
    </row>
    <row r="828" spans="1:20" ht="14.25" hidden="1" customHeight="1">
      <c r="A828" s="15">
        <v>827</v>
      </c>
      <c r="B828" s="16" t="s">
        <v>2718</v>
      </c>
      <c r="C828" s="17">
        <v>45904</v>
      </c>
      <c r="D828" s="15" t="s">
        <v>2719</v>
      </c>
      <c r="E828" s="18" t="s">
        <v>83</v>
      </c>
      <c r="F828" s="19" t="s">
        <v>2720</v>
      </c>
      <c r="G828" s="18" t="s">
        <v>2721</v>
      </c>
      <c r="H828" s="20" t="s">
        <v>112</v>
      </c>
      <c r="I828" s="15">
        <v>1</v>
      </c>
      <c r="J828" s="15" t="s">
        <v>23</v>
      </c>
      <c r="K828" s="15"/>
      <c r="L828" s="21" t="s">
        <v>16</v>
      </c>
      <c r="M828" s="22">
        <v>0</v>
      </c>
      <c r="N828" s="22">
        <v>-414</v>
      </c>
      <c r="O828" s="22">
        <v>7866</v>
      </c>
      <c r="P828" s="22">
        <v>7866</v>
      </c>
      <c r="Q828" t="str" cm="1">
        <f t="array" ref="Q828">_xlfn.TEXTJOIN("、",TRUE,IF('學員資料-三民高中'!$B$2:$B$454=$F828,'學員資料-三民高中'!$G$2:$G$454,""))</f>
        <v/>
      </c>
      <c r="R828" t="str" cm="1">
        <f t="array" ref="R828">_xlfn.TEXTJOIN("、",TRUE,IF('學員資料-新北高中'!$B$2:$B$583=$F828,'學員資料-新北高中'!$G$2:$G$583,""))</f>
        <v/>
      </c>
      <c r="S828" t="str" cm="1">
        <f t="array" ref="S828">_xlfn.TEXTJOIN("、",TRUE,IF('學員資料-三重商工'!$B$2:$B$472=$F828,'學員資料-三重商工'!$G$2:$G$472,""))</f>
        <v>0955810184</v>
      </c>
      <c r="T828">
        <f t="shared" si="12"/>
        <v>1</v>
      </c>
    </row>
    <row r="829" spans="1:20" ht="28.5" hidden="1" customHeight="1">
      <c r="A829" s="15">
        <v>828</v>
      </c>
      <c r="B829" s="16" t="s">
        <v>2722</v>
      </c>
      <c r="C829" s="17">
        <v>45904</v>
      </c>
      <c r="D829" s="15" t="s">
        <v>2723</v>
      </c>
      <c r="E829" s="18" t="s">
        <v>83</v>
      </c>
      <c r="F829" s="19" t="s">
        <v>510</v>
      </c>
      <c r="G829" s="18" t="s">
        <v>511</v>
      </c>
      <c r="H829" s="20" t="s">
        <v>219</v>
      </c>
      <c r="I829" s="15">
        <v>2</v>
      </c>
      <c r="J829" s="15" t="s">
        <v>25</v>
      </c>
      <c r="K829" s="15"/>
      <c r="L829" s="21" t="s">
        <v>16</v>
      </c>
      <c r="M829" s="22">
        <v>0</v>
      </c>
      <c r="N829" s="22">
        <v>-1980</v>
      </c>
      <c r="O829" s="22">
        <v>17820</v>
      </c>
      <c r="P829" s="22">
        <v>17820</v>
      </c>
      <c r="Q829" t="str" cm="1">
        <f t="array" ref="Q829">_xlfn.TEXTJOIN("、",TRUE,IF('學員資料-三民高中'!$B$2:$B$454=$F829,'學員資料-三民高中'!$G$2:$G$454,""))</f>
        <v/>
      </c>
      <c r="R829" t="str" cm="1">
        <f t="array" ref="R829">_xlfn.TEXTJOIN("、",TRUE,IF('學員資料-新北高中'!$B$2:$B$583=$F829,'學員資料-新北高中'!$G$2:$G$583,""))</f>
        <v/>
      </c>
      <c r="S829" t="str" cm="1">
        <f t="array" ref="S829">_xlfn.TEXTJOIN("、",TRUE,IF('學員資料-三重商工'!$B$2:$B$472=$F829,'學員資料-三重商工'!$G$2:$G$472,""))</f>
        <v>0932707649</v>
      </c>
      <c r="T829">
        <f t="shared" si="12"/>
        <v>1</v>
      </c>
    </row>
    <row r="830" spans="1:20" ht="14.25" hidden="1" customHeight="1">
      <c r="A830" s="15">
        <v>829</v>
      </c>
      <c r="B830" s="16" t="s">
        <v>2724</v>
      </c>
      <c r="C830" s="17">
        <v>45904</v>
      </c>
      <c r="D830" s="15" t="s">
        <v>2725</v>
      </c>
      <c r="E830" s="18" t="s">
        <v>78</v>
      </c>
      <c r="F830" s="19" t="s">
        <v>2726</v>
      </c>
      <c r="G830" s="18" t="s">
        <v>2727</v>
      </c>
      <c r="H830" s="20" t="s">
        <v>130</v>
      </c>
      <c r="I830" s="15">
        <v>1</v>
      </c>
      <c r="J830" s="15" t="s">
        <v>25</v>
      </c>
      <c r="K830" s="15"/>
      <c r="L830" s="21" t="s">
        <v>16</v>
      </c>
      <c r="M830" s="22">
        <v>0</v>
      </c>
      <c r="N830" s="22">
        <v>-990</v>
      </c>
      <c r="O830" s="22">
        <v>8910</v>
      </c>
      <c r="P830" s="22">
        <v>8910</v>
      </c>
      <c r="Q830" t="str" cm="1">
        <f t="array" ref="Q830">_xlfn.TEXTJOIN("、",TRUE,IF('學員資料-三民高中'!$B$2:$B$454=$F830,'學員資料-三民高中'!$G$2:$G$454,""))</f>
        <v/>
      </c>
      <c r="R830" t="str" cm="1">
        <f t="array" ref="R830">_xlfn.TEXTJOIN("、",TRUE,IF('學員資料-新北高中'!$B$2:$B$583=$F830,'學員資料-新北高中'!$G$2:$G$583,""))</f>
        <v>0975535719</v>
      </c>
      <c r="S830" t="str" cm="1">
        <f t="array" ref="S830">_xlfn.TEXTJOIN("、",TRUE,IF('學員資料-三重商工'!$B$2:$B$472=$F830,'學員資料-三重商工'!$G$2:$G$472,""))</f>
        <v/>
      </c>
      <c r="T830">
        <f t="shared" si="12"/>
        <v>1</v>
      </c>
    </row>
    <row r="831" spans="1:20" ht="28.5" hidden="1" customHeight="1">
      <c r="A831" s="15">
        <v>830</v>
      </c>
      <c r="B831" s="16" t="s">
        <v>2728</v>
      </c>
      <c r="C831" s="17">
        <v>45902</v>
      </c>
      <c r="D831" s="15" t="s">
        <v>2729</v>
      </c>
      <c r="E831" s="18" t="s">
        <v>83</v>
      </c>
      <c r="F831" s="19" t="s">
        <v>2730</v>
      </c>
      <c r="G831" s="18" t="s">
        <v>2731</v>
      </c>
      <c r="H831" s="20" t="s">
        <v>219</v>
      </c>
      <c r="I831" s="15">
        <v>2</v>
      </c>
      <c r="J831" s="15" t="s">
        <v>25</v>
      </c>
      <c r="K831" s="15"/>
      <c r="L831" s="21" t="s">
        <v>16</v>
      </c>
      <c r="M831" s="22">
        <v>0</v>
      </c>
      <c r="N831" s="22">
        <v>0</v>
      </c>
      <c r="O831" s="22">
        <v>19800</v>
      </c>
      <c r="P831" s="22">
        <v>19800</v>
      </c>
      <c r="Q831" t="str" cm="1">
        <f t="array" ref="Q831">_xlfn.TEXTJOIN("、",TRUE,IF('學員資料-三民高中'!$B$2:$B$454=$F831,'學員資料-三民高中'!$G$2:$G$454,""))</f>
        <v/>
      </c>
      <c r="R831" t="str" cm="1">
        <f t="array" ref="R831">_xlfn.TEXTJOIN("、",TRUE,IF('學員資料-新北高中'!$B$2:$B$583=$F831,'學員資料-新北高中'!$G$2:$G$583,""))</f>
        <v/>
      </c>
      <c r="S831" t="str" cm="1">
        <f t="array" ref="S831">_xlfn.TEXTJOIN("、",TRUE,IF('學員資料-三重商工'!$B$2:$B$472=$F831,'學員資料-三重商工'!$G$2:$G$472,""))</f>
        <v>0939311414</v>
      </c>
      <c r="T831">
        <f t="shared" si="12"/>
        <v>1</v>
      </c>
    </row>
    <row r="832" spans="1:20" ht="14.25" hidden="1" customHeight="1">
      <c r="A832" s="15">
        <v>831</v>
      </c>
      <c r="B832" s="16" t="s">
        <v>2732</v>
      </c>
      <c r="C832" s="17">
        <v>45902</v>
      </c>
      <c r="D832" s="15" t="s">
        <v>2733</v>
      </c>
      <c r="E832" s="18" t="s">
        <v>537</v>
      </c>
      <c r="F832" s="19" t="s">
        <v>2734</v>
      </c>
      <c r="G832" s="18" t="s">
        <v>2735</v>
      </c>
      <c r="H832" s="20" t="s">
        <v>130</v>
      </c>
      <c r="I832" s="15">
        <v>1</v>
      </c>
      <c r="J832" s="15" t="s">
        <v>25</v>
      </c>
      <c r="K832" s="15"/>
      <c r="L832" s="21" t="s">
        <v>16</v>
      </c>
      <c r="M832" s="22">
        <v>0</v>
      </c>
      <c r="N832" s="22">
        <v>-990</v>
      </c>
      <c r="O832" s="22">
        <v>8910</v>
      </c>
      <c r="P832" s="22">
        <v>8910</v>
      </c>
      <c r="Q832" t="str" cm="1">
        <f t="array" ref="Q832">_xlfn.TEXTJOIN("、",TRUE,IF('學員資料-三民高中'!$B$2:$B$454=$F832,'學員資料-三民高中'!$G$2:$G$454,""))</f>
        <v>0935096728</v>
      </c>
      <c r="R832" t="str" cm="1">
        <f t="array" ref="R832">_xlfn.TEXTJOIN("、",TRUE,IF('學員資料-新北高中'!$B$2:$B$583=$F832,'學員資料-新北高中'!$G$2:$G$583,""))</f>
        <v/>
      </c>
      <c r="S832" t="str" cm="1">
        <f t="array" ref="S832">_xlfn.TEXTJOIN("、",TRUE,IF('學員資料-三重商工'!$B$2:$B$472=$F832,'學員資料-三重商工'!$G$2:$G$472,""))</f>
        <v/>
      </c>
      <c r="T832">
        <f t="shared" si="12"/>
        <v>1</v>
      </c>
    </row>
    <row r="833" spans="1:20" ht="28.5" hidden="1" customHeight="1">
      <c r="A833" s="15">
        <v>832</v>
      </c>
      <c r="B833" s="16" t="s">
        <v>2736</v>
      </c>
      <c r="C833" s="17">
        <v>45902</v>
      </c>
      <c r="D833" s="15" t="s">
        <v>2737</v>
      </c>
      <c r="E833" s="18" t="s">
        <v>537</v>
      </c>
      <c r="F833" s="19" t="s">
        <v>2738</v>
      </c>
      <c r="G833" s="18" t="s">
        <v>2739</v>
      </c>
      <c r="H833" s="20" t="s">
        <v>244</v>
      </c>
      <c r="I833" s="15">
        <v>2</v>
      </c>
      <c r="J833" s="15" t="s">
        <v>23</v>
      </c>
      <c r="K833" s="15"/>
      <c r="L833" s="21" t="s">
        <v>16</v>
      </c>
      <c r="M833" s="22">
        <v>0</v>
      </c>
      <c r="N833" s="22">
        <v>-828</v>
      </c>
      <c r="O833" s="22">
        <v>15732</v>
      </c>
      <c r="P833" s="22">
        <v>15732</v>
      </c>
      <c r="Q833" t="str" cm="1">
        <f t="array" ref="Q833">_xlfn.TEXTJOIN("、",TRUE,IF('學員資料-三民高中'!$B$2:$B$454=$F833,'學員資料-三民高中'!$G$2:$G$454,""))</f>
        <v/>
      </c>
      <c r="R833" t="str" cm="1">
        <f t="array" ref="R833">_xlfn.TEXTJOIN("、",TRUE,IF('學員資料-新北高中'!$B$2:$B$583=$F833,'學員資料-新北高中'!$G$2:$G$583,""))</f>
        <v/>
      </c>
      <c r="S833" t="str" cm="1">
        <f t="array" ref="S833">_xlfn.TEXTJOIN("、",TRUE,IF('學員資料-三重商工'!$B$2:$B$472=$F833,'學員資料-三重商工'!$G$2:$G$472,""))</f>
        <v>0975538842</v>
      </c>
      <c r="T833">
        <f t="shared" si="12"/>
        <v>1</v>
      </c>
    </row>
    <row r="834" spans="1:20" ht="14.25" hidden="1" customHeight="1">
      <c r="A834" s="15">
        <v>833</v>
      </c>
      <c r="B834" s="16" t="s">
        <v>2740</v>
      </c>
      <c r="C834" s="17">
        <v>45902</v>
      </c>
      <c r="D834" s="15" t="s">
        <v>2741</v>
      </c>
      <c r="E834" s="18" t="s">
        <v>537</v>
      </c>
      <c r="F834" s="19" t="s">
        <v>2742</v>
      </c>
      <c r="G834" s="18" t="s">
        <v>2743</v>
      </c>
      <c r="H834" s="20" t="s">
        <v>130</v>
      </c>
      <c r="I834" s="15">
        <v>1</v>
      </c>
      <c r="J834" s="15" t="s">
        <v>25</v>
      </c>
      <c r="K834" s="15"/>
      <c r="L834" s="21" t="s">
        <v>16</v>
      </c>
      <c r="M834" s="22">
        <v>0</v>
      </c>
      <c r="N834" s="22">
        <v>-990</v>
      </c>
      <c r="O834" s="22">
        <v>8910</v>
      </c>
      <c r="P834" s="22">
        <v>8910</v>
      </c>
      <c r="Q834" t="str" cm="1">
        <f t="array" ref="Q834">_xlfn.TEXTJOIN("、",TRUE,IF('學員資料-三民高中'!$B$2:$B$454=$F834,'學員資料-三民高中'!$G$2:$G$454,""))</f>
        <v>0988803870</v>
      </c>
      <c r="R834" t="str" cm="1">
        <f t="array" ref="R834">_xlfn.TEXTJOIN("、",TRUE,IF('學員資料-新北高中'!$B$2:$B$583=$F834,'學員資料-新北高中'!$G$2:$G$583,""))</f>
        <v/>
      </c>
      <c r="S834" t="str" cm="1">
        <f t="array" ref="S834">_xlfn.TEXTJOIN("、",TRUE,IF('學員資料-三重商工'!$B$2:$B$472=$F834,'學員資料-三重商工'!$G$2:$G$472,""))</f>
        <v/>
      </c>
      <c r="T834">
        <f t="shared" si="12"/>
        <v>1</v>
      </c>
    </row>
    <row r="835" spans="1:20" ht="14.25" hidden="1" customHeight="1">
      <c r="A835" s="15">
        <v>834</v>
      </c>
      <c r="B835" s="16" t="s">
        <v>2744</v>
      </c>
      <c r="C835" s="17">
        <v>45902</v>
      </c>
      <c r="D835" s="15" t="s">
        <v>2745</v>
      </c>
      <c r="E835" s="18" t="s">
        <v>537</v>
      </c>
      <c r="F835" s="19" t="s">
        <v>2746</v>
      </c>
      <c r="G835" s="18" t="s">
        <v>2747</v>
      </c>
      <c r="H835" s="20" t="s">
        <v>52</v>
      </c>
      <c r="I835" s="15">
        <v>1</v>
      </c>
      <c r="J835" s="15" t="s">
        <v>24</v>
      </c>
      <c r="K835" s="15"/>
      <c r="L835" s="21" t="s">
        <v>16</v>
      </c>
      <c r="M835" s="22">
        <v>0</v>
      </c>
      <c r="N835" s="22">
        <v>-375</v>
      </c>
      <c r="O835" s="22">
        <v>7125</v>
      </c>
      <c r="P835" s="22">
        <v>7125</v>
      </c>
      <c r="Q835" t="str" cm="1">
        <f t="array" ref="Q835">_xlfn.TEXTJOIN("、",TRUE,IF('學員資料-三民高中'!$B$2:$B$454=$F835,'學員資料-三民高中'!$G$2:$G$454,""))</f>
        <v/>
      </c>
      <c r="R835" t="str" cm="1">
        <f t="array" ref="R835">_xlfn.TEXTJOIN("、",TRUE,IF('學員資料-新北高中'!$B$2:$B$583=$F835,'學員資料-新北高中'!$G$2:$G$583,""))</f>
        <v/>
      </c>
      <c r="S835" t="str" cm="1">
        <f t="array" ref="S835">_xlfn.TEXTJOIN("、",TRUE,IF('學員資料-三重商工'!$B$2:$B$472=$F835,'學員資料-三重商工'!$G$2:$G$472,""))</f>
        <v>0988397131</v>
      </c>
      <c r="T835">
        <f t="shared" ref="T835:T898" si="13">3-COUNTBLANK(Q835:S835)</f>
        <v>1</v>
      </c>
    </row>
    <row r="836" spans="1:20" ht="14.25" hidden="1" customHeight="1">
      <c r="A836" s="15">
        <v>835</v>
      </c>
      <c r="B836" s="16" t="s">
        <v>2748</v>
      </c>
      <c r="C836" s="17">
        <v>45902</v>
      </c>
      <c r="D836" s="15" t="s">
        <v>2749</v>
      </c>
      <c r="E836" s="18" t="s">
        <v>537</v>
      </c>
      <c r="F836" s="19" t="s">
        <v>1807</v>
      </c>
      <c r="G836" s="18" t="s">
        <v>1808</v>
      </c>
      <c r="H836" s="20" t="s">
        <v>52</v>
      </c>
      <c r="I836" s="15">
        <v>1</v>
      </c>
      <c r="J836" s="15" t="s">
        <v>24</v>
      </c>
      <c r="K836" s="15"/>
      <c r="L836" s="21" t="s">
        <v>16</v>
      </c>
      <c r="M836" s="22">
        <v>0</v>
      </c>
      <c r="N836" s="22">
        <v>-375</v>
      </c>
      <c r="O836" s="22">
        <v>7125</v>
      </c>
      <c r="P836" s="22">
        <v>7125</v>
      </c>
      <c r="Q836" t="str" cm="1">
        <f t="array" ref="Q836">_xlfn.TEXTJOIN("、",TRUE,IF('學員資料-三民高中'!$B$2:$B$454=$F836,'學員資料-三民高中'!$G$2:$G$454,""))</f>
        <v/>
      </c>
      <c r="R836" t="str" cm="1">
        <f t="array" ref="R836">_xlfn.TEXTJOIN("、",TRUE,IF('學員資料-新北高中'!$B$2:$B$583=$F836,'學員資料-新北高中'!$G$2:$G$583,""))</f>
        <v/>
      </c>
      <c r="S836" t="str" cm="1">
        <f t="array" ref="S836">_xlfn.TEXTJOIN("、",TRUE,IF('學員資料-三重商工'!$B$2:$B$472=$F836,'學員資料-三重商工'!$G$2:$G$472,""))</f>
        <v>0937459789-1</v>
      </c>
      <c r="T836">
        <f t="shared" si="13"/>
        <v>1</v>
      </c>
    </row>
    <row r="837" spans="1:20" ht="14.25" hidden="1" customHeight="1">
      <c r="A837" s="15">
        <v>836</v>
      </c>
      <c r="B837" s="16" t="s">
        <v>2750</v>
      </c>
      <c r="C837" s="17">
        <v>45901</v>
      </c>
      <c r="D837" s="15" t="s">
        <v>2751</v>
      </c>
      <c r="E837" s="18" t="s">
        <v>402</v>
      </c>
      <c r="F837" s="19" t="s">
        <v>2752</v>
      </c>
      <c r="G837" s="18" t="s">
        <v>2753</v>
      </c>
      <c r="H837" s="20" t="s">
        <v>52</v>
      </c>
      <c r="I837" s="15">
        <v>1</v>
      </c>
      <c r="J837" s="15" t="s">
        <v>24</v>
      </c>
      <c r="K837" s="15"/>
      <c r="L837" s="21" t="s">
        <v>16</v>
      </c>
      <c r="M837" s="22">
        <v>0</v>
      </c>
      <c r="N837" s="22">
        <v>-375</v>
      </c>
      <c r="O837" s="22">
        <v>7125</v>
      </c>
      <c r="P837" s="22">
        <v>7125</v>
      </c>
      <c r="Q837" t="str" cm="1">
        <f t="array" ref="Q837">_xlfn.TEXTJOIN("、",TRUE,IF('學員資料-三民高中'!$B$2:$B$454=$F837,'學員資料-三民高中'!$G$2:$G$454,""))</f>
        <v/>
      </c>
      <c r="R837" t="str" cm="1">
        <f t="array" ref="R837">_xlfn.TEXTJOIN("、",TRUE,IF('學員資料-新北高中'!$B$2:$B$583=$F837,'學員資料-新北高中'!$G$2:$G$583,""))</f>
        <v/>
      </c>
      <c r="S837" t="str" cm="1">
        <f t="array" ref="S837">_xlfn.TEXTJOIN("、",TRUE,IF('學員資料-三重商工'!$B$2:$B$472=$F837,'學員資料-三重商工'!$G$2:$G$472,""))</f>
        <v>0963045255</v>
      </c>
      <c r="T837">
        <f t="shared" si="13"/>
        <v>1</v>
      </c>
    </row>
    <row r="838" spans="1:20" ht="14.25" hidden="1" customHeight="1">
      <c r="A838" s="15">
        <v>837</v>
      </c>
      <c r="B838" s="16" t="s">
        <v>2754</v>
      </c>
      <c r="C838" s="17">
        <v>45901</v>
      </c>
      <c r="D838" s="15" t="s">
        <v>2755</v>
      </c>
      <c r="E838" s="18" t="s">
        <v>402</v>
      </c>
      <c r="F838" s="19" t="s">
        <v>2756</v>
      </c>
      <c r="G838" s="18" t="s">
        <v>2757</v>
      </c>
      <c r="H838" s="20" t="s">
        <v>66</v>
      </c>
      <c r="I838" s="15">
        <v>1</v>
      </c>
      <c r="J838" s="15" t="s">
        <v>23</v>
      </c>
      <c r="K838" s="15"/>
      <c r="L838" s="21" t="s">
        <v>16</v>
      </c>
      <c r="M838" s="22">
        <v>0</v>
      </c>
      <c r="N838" s="22">
        <v>-345</v>
      </c>
      <c r="O838" s="22">
        <v>6555</v>
      </c>
      <c r="P838" s="22">
        <v>6555</v>
      </c>
      <c r="Q838" t="str" cm="1">
        <f t="array" ref="Q838">_xlfn.TEXTJOIN("、",TRUE,IF('學員資料-三民高中'!$B$2:$B$454=$F838,'學員資料-三民高中'!$G$2:$G$454,""))</f>
        <v/>
      </c>
      <c r="R838" t="str" cm="1">
        <f t="array" ref="R838">_xlfn.TEXTJOIN("、",TRUE,IF('學員資料-新北高中'!$B$2:$B$583=$F838,'學員資料-新北高中'!$G$2:$G$583,""))</f>
        <v>0952188415</v>
      </c>
      <c r="S838" t="str" cm="1">
        <f t="array" ref="S838">_xlfn.TEXTJOIN("、",TRUE,IF('學員資料-三重商工'!$B$2:$B$472=$F838,'學員資料-三重商工'!$G$2:$G$472,""))</f>
        <v/>
      </c>
      <c r="T838">
        <f t="shared" si="13"/>
        <v>1</v>
      </c>
    </row>
    <row r="839" spans="1:20" ht="43.5" hidden="1" customHeight="1">
      <c r="A839" s="15">
        <v>838</v>
      </c>
      <c r="B839" s="16" t="s">
        <v>2758</v>
      </c>
      <c r="C839" s="17">
        <v>45901</v>
      </c>
      <c r="D839" s="15" t="s">
        <v>2759</v>
      </c>
      <c r="E839" s="18" t="s">
        <v>402</v>
      </c>
      <c r="F839" s="19" t="s">
        <v>2760</v>
      </c>
      <c r="G839" s="18" t="s">
        <v>2761</v>
      </c>
      <c r="H839" s="20" t="s">
        <v>261</v>
      </c>
      <c r="I839" s="15">
        <v>3</v>
      </c>
      <c r="J839" s="15" t="s">
        <v>23</v>
      </c>
      <c r="K839" s="15"/>
      <c r="L839" s="21" t="s">
        <v>16</v>
      </c>
      <c r="M839" s="22">
        <v>0</v>
      </c>
      <c r="N839" s="22">
        <v>-1035</v>
      </c>
      <c r="O839" s="22">
        <v>19665</v>
      </c>
      <c r="P839" s="22">
        <v>19665</v>
      </c>
      <c r="Q839" t="str" cm="1">
        <f t="array" ref="Q839">_xlfn.TEXTJOIN("、",TRUE,IF('學員資料-三民高中'!$B$2:$B$454=$F839,'學員資料-三民高中'!$G$2:$G$454,""))</f>
        <v>0939623233</v>
      </c>
      <c r="R839" t="str" cm="1">
        <f t="array" ref="R839">_xlfn.TEXTJOIN("、",TRUE,IF('學員資料-新北高中'!$B$2:$B$583=$F839,'學員資料-新北高中'!$G$2:$G$583,""))</f>
        <v/>
      </c>
      <c r="S839" t="str" cm="1">
        <f t="array" ref="S839">_xlfn.TEXTJOIN("、",TRUE,IF('學員資料-三重商工'!$B$2:$B$472=$F839,'學員資料-三重商工'!$G$2:$G$472,""))</f>
        <v/>
      </c>
      <c r="T839">
        <f t="shared" si="13"/>
        <v>1</v>
      </c>
    </row>
    <row r="840" spans="1:20" ht="14.25" hidden="1" customHeight="1">
      <c r="A840" s="15">
        <v>839</v>
      </c>
      <c r="B840" s="16" t="s">
        <v>2762</v>
      </c>
      <c r="C840" s="17">
        <v>45901</v>
      </c>
      <c r="D840" s="15" t="s">
        <v>2763</v>
      </c>
      <c r="E840" s="18" t="s">
        <v>402</v>
      </c>
      <c r="F840" s="19" t="s">
        <v>2764</v>
      </c>
      <c r="G840" s="18" t="s">
        <v>2765</v>
      </c>
      <c r="H840" s="20" t="s">
        <v>66</v>
      </c>
      <c r="I840" s="15">
        <v>1</v>
      </c>
      <c r="J840" s="15" t="s">
        <v>23</v>
      </c>
      <c r="K840" s="15"/>
      <c r="L840" s="21" t="s">
        <v>16</v>
      </c>
      <c r="M840" s="22">
        <v>0</v>
      </c>
      <c r="N840" s="22">
        <v>-345</v>
      </c>
      <c r="O840" s="22">
        <v>6555</v>
      </c>
      <c r="P840" s="22">
        <v>6555</v>
      </c>
      <c r="Q840" t="str" cm="1">
        <f t="array" ref="Q840">_xlfn.TEXTJOIN("、",TRUE,IF('學員資料-三民高中'!$B$2:$B$454=$F840,'學員資料-三民高中'!$G$2:$G$454,""))</f>
        <v/>
      </c>
      <c r="R840" t="str" cm="1">
        <f t="array" ref="R840">_xlfn.TEXTJOIN("、",TRUE,IF('學員資料-新北高中'!$B$2:$B$583=$F840,'學員資料-新北高中'!$G$2:$G$583,""))</f>
        <v>0933055618</v>
      </c>
      <c r="S840" t="str" cm="1">
        <f t="array" ref="S840">_xlfn.TEXTJOIN("、",TRUE,IF('學員資料-三重商工'!$B$2:$B$472=$F840,'學員資料-三重商工'!$G$2:$G$472,""))</f>
        <v/>
      </c>
      <c r="T840">
        <f t="shared" si="13"/>
        <v>1</v>
      </c>
    </row>
    <row r="841" spans="1:20" ht="14.25" hidden="1" customHeight="1">
      <c r="A841" s="15">
        <v>840</v>
      </c>
      <c r="B841" s="16" t="s">
        <v>2766</v>
      </c>
      <c r="C841" s="17">
        <v>45901</v>
      </c>
      <c r="D841" s="15" t="s">
        <v>2767</v>
      </c>
      <c r="E841" s="18" t="s">
        <v>402</v>
      </c>
      <c r="F841" s="19" t="s">
        <v>2720</v>
      </c>
      <c r="G841" s="18" t="s">
        <v>2721</v>
      </c>
      <c r="H841" s="20" t="s">
        <v>112</v>
      </c>
      <c r="I841" s="15">
        <v>1</v>
      </c>
      <c r="J841" s="15" t="s">
        <v>23</v>
      </c>
      <c r="K841" s="15"/>
      <c r="L841" s="21" t="s">
        <v>16</v>
      </c>
      <c r="M841" s="22">
        <v>0</v>
      </c>
      <c r="N841" s="22">
        <v>-414</v>
      </c>
      <c r="O841" s="22">
        <v>7866</v>
      </c>
      <c r="P841" s="22">
        <v>7866</v>
      </c>
      <c r="Q841" t="str" cm="1">
        <f t="array" ref="Q841">_xlfn.TEXTJOIN("、",TRUE,IF('學員資料-三民高中'!$B$2:$B$454=$F841,'學員資料-三民高中'!$G$2:$G$454,""))</f>
        <v/>
      </c>
      <c r="R841" t="str" cm="1">
        <f t="array" ref="R841">_xlfn.TEXTJOIN("、",TRUE,IF('學員資料-新北高中'!$B$2:$B$583=$F841,'學員資料-新北高中'!$G$2:$G$583,""))</f>
        <v/>
      </c>
      <c r="S841" t="str" cm="1">
        <f t="array" ref="S841">_xlfn.TEXTJOIN("、",TRUE,IF('學員資料-三重商工'!$B$2:$B$472=$F841,'學員資料-三重商工'!$G$2:$G$472,""))</f>
        <v>0955810184</v>
      </c>
      <c r="T841">
        <f t="shared" si="13"/>
        <v>1</v>
      </c>
    </row>
    <row r="842" spans="1:20" ht="14.25" hidden="1" customHeight="1">
      <c r="A842" s="15">
        <v>841</v>
      </c>
      <c r="B842" s="16" t="s">
        <v>2768</v>
      </c>
      <c r="C842" s="17">
        <v>45901</v>
      </c>
      <c r="D842" s="15" t="s">
        <v>2769</v>
      </c>
      <c r="E842" s="18" t="s">
        <v>402</v>
      </c>
      <c r="F842" s="19" t="s">
        <v>1264</v>
      </c>
      <c r="G842" s="18" t="s">
        <v>1265</v>
      </c>
      <c r="H842" s="20" t="s">
        <v>52</v>
      </c>
      <c r="I842" s="15">
        <v>1</v>
      </c>
      <c r="J842" s="15" t="s">
        <v>24</v>
      </c>
      <c r="K842" s="15"/>
      <c r="L842" s="21" t="s">
        <v>16</v>
      </c>
      <c r="M842" s="22">
        <v>0</v>
      </c>
      <c r="N842" s="22">
        <v>-375</v>
      </c>
      <c r="O842" s="22">
        <v>7125</v>
      </c>
      <c r="P842" s="22">
        <v>7125</v>
      </c>
      <c r="Q842" t="str" cm="1">
        <f t="array" ref="Q842">_xlfn.TEXTJOIN("、",TRUE,IF('學員資料-三民高中'!$B$2:$B$454=$F842,'學員資料-三民高中'!$G$2:$G$454,""))</f>
        <v>0922798901</v>
      </c>
      <c r="R842" t="str" cm="1">
        <f t="array" ref="R842">_xlfn.TEXTJOIN("、",TRUE,IF('學員資料-新北高中'!$B$2:$B$583=$F842,'學員資料-新北高中'!$G$2:$G$583,""))</f>
        <v/>
      </c>
      <c r="S842" t="str" cm="1">
        <f t="array" ref="S842">_xlfn.TEXTJOIN("、",TRUE,IF('學員資料-三重商工'!$B$2:$B$472=$F842,'學員資料-三重商工'!$G$2:$G$472,""))</f>
        <v/>
      </c>
      <c r="T842">
        <f t="shared" si="13"/>
        <v>1</v>
      </c>
    </row>
    <row r="843" spans="1:20" ht="14.25" hidden="1" customHeight="1">
      <c r="A843" s="15">
        <v>842</v>
      </c>
      <c r="B843" s="16" t="s">
        <v>2770</v>
      </c>
      <c r="C843" s="17">
        <v>45901</v>
      </c>
      <c r="D843" s="15" t="s">
        <v>2771</v>
      </c>
      <c r="E843" s="18" t="s">
        <v>402</v>
      </c>
      <c r="F843" s="19" t="s">
        <v>2772</v>
      </c>
      <c r="G843" s="18" t="s">
        <v>2773</v>
      </c>
      <c r="H843" s="20" t="s">
        <v>210</v>
      </c>
      <c r="I843" s="15">
        <v>1</v>
      </c>
      <c r="J843" s="15" t="s">
        <v>26</v>
      </c>
      <c r="K843" s="15"/>
      <c r="L843" s="21" t="s">
        <v>16</v>
      </c>
      <c r="M843" s="22">
        <v>0</v>
      </c>
      <c r="N843" s="22">
        <v>-1200</v>
      </c>
      <c r="O843" s="22">
        <v>10800</v>
      </c>
      <c r="P843" s="22">
        <v>10800</v>
      </c>
      <c r="Q843" t="str" cm="1">
        <f t="array" ref="Q843">_xlfn.TEXTJOIN("、",TRUE,IF('學員資料-三民高中'!$B$2:$B$454=$F843,'學員資料-三民高中'!$G$2:$G$454,""))</f>
        <v>0988663636</v>
      </c>
      <c r="R843" t="str" cm="1">
        <f t="array" ref="R843">_xlfn.TEXTJOIN("、",TRUE,IF('學員資料-新北高中'!$B$2:$B$583=$F843,'學員資料-新北高中'!$G$2:$G$583,""))</f>
        <v/>
      </c>
      <c r="S843" t="str" cm="1">
        <f t="array" ref="S843">_xlfn.TEXTJOIN("、",TRUE,IF('學員資料-三重商工'!$B$2:$B$472=$F843,'學員資料-三重商工'!$G$2:$G$472,""))</f>
        <v/>
      </c>
      <c r="T843">
        <f t="shared" si="13"/>
        <v>1</v>
      </c>
    </row>
    <row r="844" spans="1:20" ht="14.25" hidden="1" customHeight="1">
      <c r="A844" s="15">
        <v>843</v>
      </c>
      <c r="B844" s="16" t="s">
        <v>2774</v>
      </c>
      <c r="C844" s="17">
        <v>45901</v>
      </c>
      <c r="D844" s="15" t="s">
        <v>2775</v>
      </c>
      <c r="E844" s="18" t="s">
        <v>402</v>
      </c>
      <c r="F844" s="19" t="s">
        <v>2776</v>
      </c>
      <c r="G844" s="18" t="s">
        <v>2777</v>
      </c>
      <c r="H844" s="20" t="s">
        <v>66</v>
      </c>
      <c r="I844" s="15">
        <v>1</v>
      </c>
      <c r="J844" s="15" t="s">
        <v>23</v>
      </c>
      <c r="K844" s="15"/>
      <c r="L844" s="21" t="s">
        <v>16</v>
      </c>
      <c r="M844" s="22">
        <v>0</v>
      </c>
      <c r="N844" s="22">
        <v>-345</v>
      </c>
      <c r="O844" s="22">
        <v>6555</v>
      </c>
      <c r="P844" s="22">
        <v>6555</v>
      </c>
      <c r="Q844" t="str" cm="1">
        <f t="array" ref="Q844">_xlfn.TEXTJOIN("、",TRUE,IF('學員資料-三民高中'!$B$2:$B$454=$F844,'學員資料-三民高中'!$G$2:$G$454,""))</f>
        <v>0953305887</v>
      </c>
      <c r="R844" t="str" cm="1">
        <f t="array" ref="R844">_xlfn.TEXTJOIN("、",TRUE,IF('學員資料-新北高中'!$B$2:$B$583=$F844,'學員資料-新北高中'!$G$2:$G$583,""))</f>
        <v/>
      </c>
      <c r="S844" t="str" cm="1">
        <f t="array" ref="S844">_xlfn.TEXTJOIN("、",TRUE,IF('學員資料-三重商工'!$B$2:$B$472=$F844,'學員資料-三重商工'!$G$2:$G$472,""))</f>
        <v/>
      </c>
      <c r="T844">
        <f t="shared" si="13"/>
        <v>1</v>
      </c>
    </row>
    <row r="845" spans="1:20" ht="14.25" hidden="1" customHeight="1">
      <c r="A845" s="15">
        <v>844</v>
      </c>
      <c r="B845" s="16" t="s">
        <v>2778</v>
      </c>
      <c r="C845" s="17">
        <v>45901</v>
      </c>
      <c r="D845" s="15" t="s">
        <v>2779</v>
      </c>
      <c r="E845" s="18" t="s">
        <v>402</v>
      </c>
      <c r="F845" s="19" t="s">
        <v>2780</v>
      </c>
      <c r="G845" s="18" t="s">
        <v>2781</v>
      </c>
      <c r="H845" s="20" t="s">
        <v>52</v>
      </c>
      <c r="I845" s="15">
        <v>1</v>
      </c>
      <c r="J845" s="15" t="s">
        <v>24</v>
      </c>
      <c r="K845" s="15"/>
      <c r="L845" s="21" t="s">
        <v>16</v>
      </c>
      <c r="M845" s="22">
        <v>0</v>
      </c>
      <c r="N845" s="22">
        <v>-375</v>
      </c>
      <c r="O845" s="22">
        <v>7125</v>
      </c>
      <c r="P845" s="22">
        <v>7125</v>
      </c>
      <c r="Q845" t="str" cm="1">
        <f t="array" ref="Q845">_xlfn.TEXTJOIN("、",TRUE,IF('學員資料-三民高中'!$B$2:$B$454=$F845,'學員資料-三民高中'!$G$2:$G$454,""))</f>
        <v>0921864934</v>
      </c>
      <c r="R845" t="str" cm="1">
        <f t="array" ref="R845">_xlfn.TEXTJOIN("、",TRUE,IF('學員資料-新北高中'!$B$2:$B$583=$F845,'學員資料-新北高中'!$G$2:$G$583,""))</f>
        <v/>
      </c>
      <c r="S845" t="str" cm="1">
        <f t="array" ref="S845">_xlfn.TEXTJOIN("、",TRUE,IF('學員資料-三重商工'!$B$2:$B$472=$F845,'學員資料-三重商工'!$G$2:$G$472,""))</f>
        <v/>
      </c>
      <c r="T845">
        <f t="shared" si="13"/>
        <v>1</v>
      </c>
    </row>
    <row r="846" spans="1:20" ht="28.5" hidden="1" customHeight="1">
      <c r="A846" s="15">
        <v>845</v>
      </c>
      <c r="B846" s="16" t="s">
        <v>2782</v>
      </c>
      <c r="C846" s="17">
        <v>45901</v>
      </c>
      <c r="D846" s="15" t="s">
        <v>2783</v>
      </c>
      <c r="E846" s="18" t="s">
        <v>402</v>
      </c>
      <c r="F846" s="19" t="s">
        <v>470</v>
      </c>
      <c r="G846" s="18" t="s">
        <v>471</v>
      </c>
      <c r="H846" s="20" t="s">
        <v>99</v>
      </c>
      <c r="I846" s="15">
        <v>2</v>
      </c>
      <c r="J846" s="15" t="s">
        <v>24</v>
      </c>
      <c r="K846" s="15"/>
      <c r="L846" s="21" t="s">
        <v>16</v>
      </c>
      <c r="M846" s="22">
        <v>0</v>
      </c>
      <c r="N846" s="22">
        <v>-750</v>
      </c>
      <c r="O846" s="22">
        <v>14250</v>
      </c>
      <c r="P846" s="22">
        <v>14250</v>
      </c>
      <c r="Q846" t="str" cm="1">
        <f t="array" ref="Q846">_xlfn.TEXTJOIN("、",TRUE,IF('學員資料-三民高中'!$B$2:$B$454=$F846,'學員資料-三民高中'!$G$2:$G$454,""))</f>
        <v>0925222711</v>
      </c>
      <c r="R846" t="str" cm="1">
        <f t="array" ref="R846">_xlfn.TEXTJOIN("、",TRUE,IF('學員資料-新北高中'!$B$2:$B$583=$F846,'學員資料-新北高中'!$G$2:$G$583,""))</f>
        <v/>
      </c>
      <c r="S846" t="str" cm="1">
        <f t="array" ref="S846">_xlfn.TEXTJOIN("、",TRUE,IF('學員資料-三重商工'!$B$2:$B$472=$F846,'學員資料-三重商工'!$G$2:$G$472,""))</f>
        <v/>
      </c>
      <c r="T846">
        <f t="shared" si="13"/>
        <v>1</v>
      </c>
    </row>
    <row r="847" spans="1:20" ht="14.25" hidden="1" customHeight="1">
      <c r="A847" s="15">
        <v>846</v>
      </c>
      <c r="B847" s="16" t="s">
        <v>2784</v>
      </c>
      <c r="C847" s="17">
        <v>45901</v>
      </c>
      <c r="D847" s="15" t="s">
        <v>2785</v>
      </c>
      <c r="E847" s="18" t="s">
        <v>402</v>
      </c>
      <c r="F847" s="19" t="s">
        <v>326</v>
      </c>
      <c r="G847" s="18" t="s">
        <v>327</v>
      </c>
      <c r="H847" s="20" t="s">
        <v>210</v>
      </c>
      <c r="I847" s="15">
        <v>1</v>
      </c>
      <c r="J847" s="15" t="s">
        <v>26</v>
      </c>
      <c r="K847" s="15"/>
      <c r="L847" s="21" t="s">
        <v>16</v>
      </c>
      <c r="M847" s="22">
        <v>0</v>
      </c>
      <c r="N847" s="22">
        <v>-1200</v>
      </c>
      <c r="O847" s="22">
        <v>10800</v>
      </c>
      <c r="P847" s="22">
        <v>10800</v>
      </c>
      <c r="Q847" t="str" cm="1">
        <f t="array" ref="Q847">_xlfn.TEXTJOIN("、",TRUE,IF('學員資料-三民高中'!$B$2:$B$454=$F847,'學員資料-三民高中'!$G$2:$G$454,""))</f>
        <v/>
      </c>
      <c r="R847" t="str" cm="1">
        <f t="array" ref="R847">_xlfn.TEXTJOIN("、",TRUE,IF('學員資料-新北高中'!$B$2:$B$583=$F847,'學員資料-新北高中'!$G$2:$G$583,""))</f>
        <v/>
      </c>
      <c r="S847" t="str" cm="1">
        <f t="array" ref="S847">_xlfn.TEXTJOIN("、",TRUE,IF('學員資料-三重商工'!$B$2:$B$472=$F847,'學員資料-三重商工'!$G$2:$G$472,""))</f>
        <v>0955812685</v>
      </c>
      <c r="T847">
        <f t="shared" si="13"/>
        <v>1</v>
      </c>
    </row>
    <row r="848" spans="1:20" ht="14.25" hidden="1" customHeight="1">
      <c r="A848" s="15">
        <v>847</v>
      </c>
      <c r="B848" s="16" t="s">
        <v>2786</v>
      </c>
      <c r="C848" s="17">
        <v>45901</v>
      </c>
      <c r="D848" s="15" t="s">
        <v>2787</v>
      </c>
      <c r="E848" s="18" t="s">
        <v>402</v>
      </c>
      <c r="F848" s="19" t="s">
        <v>2201</v>
      </c>
      <c r="G848" s="18" t="s">
        <v>2202</v>
      </c>
      <c r="H848" s="20" t="s">
        <v>52</v>
      </c>
      <c r="I848" s="15">
        <v>1</v>
      </c>
      <c r="J848" s="15" t="s">
        <v>24</v>
      </c>
      <c r="K848" s="15"/>
      <c r="L848" s="21" t="s">
        <v>16</v>
      </c>
      <c r="M848" s="22">
        <v>0</v>
      </c>
      <c r="N848" s="22">
        <v>-375</v>
      </c>
      <c r="O848" s="22">
        <v>7125</v>
      </c>
      <c r="P848" s="22">
        <v>7125</v>
      </c>
      <c r="Q848" t="str" cm="1">
        <f t="array" ref="Q848">_xlfn.TEXTJOIN("、",TRUE,IF('學員資料-三民高中'!$B$2:$B$454=$F848,'學員資料-三民高中'!$G$2:$G$454,""))</f>
        <v/>
      </c>
      <c r="R848" t="str" cm="1">
        <f t="array" ref="R848">_xlfn.TEXTJOIN("、",TRUE,IF('學員資料-新北高中'!$B$2:$B$583=$F848,'學員資料-新北高中'!$G$2:$G$583,""))</f>
        <v>0953964779</v>
      </c>
      <c r="S848" t="str" cm="1">
        <f t="array" ref="S848">_xlfn.TEXTJOIN("、",TRUE,IF('學員資料-三重商工'!$B$2:$B$472=$F848,'學員資料-三重商工'!$G$2:$G$472,""))</f>
        <v/>
      </c>
      <c r="T848">
        <f t="shared" si="13"/>
        <v>1</v>
      </c>
    </row>
    <row r="849" spans="1:20" ht="14.25" customHeight="1">
      <c r="A849" s="15">
        <v>848</v>
      </c>
      <c r="B849" s="16" t="s">
        <v>2788</v>
      </c>
      <c r="C849" s="17">
        <v>45901</v>
      </c>
      <c r="D849" s="15" t="s">
        <v>2789</v>
      </c>
      <c r="E849" s="18" t="s">
        <v>402</v>
      </c>
      <c r="F849" s="19" t="s">
        <v>2790</v>
      </c>
      <c r="G849" s="18" t="s">
        <v>2791</v>
      </c>
      <c r="H849" s="20" t="s">
        <v>66</v>
      </c>
      <c r="I849" s="15">
        <v>1</v>
      </c>
      <c r="J849" s="15" t="s">
        <v>23</v>
      </c>
      <c r="K849" s="15"/>
      <c r="L849" s="21" t="s">
        <v>16</v>
      </c>
      <c r="M849" s="22">
        <v>0</v>
      </c>
      <c r="N849" s="22">
        <v>-345</v>
      </c>
      <c r="O849" s="22">
        <v>6555</v>
      </c>
      <c r="P849" s="22">
        <v>6555</v>
      </c>
      <c r="Q849" t="str" cm="1">
        <f t="array" ref="Q849">_xlfn.TEXTJOIN("、",TRUE,IF('學員資料-三民高中'!$B$2:$B$454=$F849,'學員資料-三民高中'!$G$2:$G$454,""))</f>
        <v/>
      </c>
      <c r="R849" t="str" cm="1">
        <f t="array" ref="R849">_xlfn.TEXTJOIN("、",TRUE,IF('學員資料-新北高中'!$B$2:$B$583=$F849,'學員資料-新北高中'!$G$2:$G$583,""))</f>
        <v/>
      </c>
      <c r="S849" t="str" cm="1">
        <f t="array" ref="S849">_xlfn.TEXTJOIN("、",TRUE,IF('學員資料-三重商工'!$B$2:$B$472=$F849,'學員資料-三重商工'!$G$2:$G$472,""))</f>
        <v/>
      </c>
      <c r="T849">
        <f t="shared" si="13"/>
        <v>0</v>
      </c>
    </row>
    <row r="850" spans="1:20" ht="14.25" hidden="1" customHeight="1">
      <c r="A850" s="15">
        <v>849</v>
      </c>
      <c r="B850" s="16" t="s">
        <v>2792</v>
      </c>
      <c r="C850" s="17">
        <v>45901</v>
      </c>
      <c r="D850" s="15" t="s">
        <v>2793</v>
      </c>
      <c r="E850" s="18" t="s">
        <v>402</v>
      </c>
      <c r="F850" s="19" t="s">
        <v>2794</v>
      </c>
      <c r="G850" s="18" t="s">
        <v>2795</v>
      </c>
      <c r="H850" s="20" t="s">
        <v>66</v>
      </c>
      <c r="I850" s="15">
        <v>1</v>
      </c>
      <c r="J850" s="15" t="s">
        <v>23</v>
      </c>
      <c r="K850" s="15"/>
      <c r="L850" s="21" t="s">
        <v>16</v>
      </c>
      <c r="M850" s="22">
        <v>0</v>
      </c>
      <c r="N850" s="22">
        <v>-345</v>
      </c>
      <c r="O850" s="22">
        <v>6555</v>
      </c>
      <c r="P850" s="22">
        <v>6555</v>
      </c>
      <c r="Q850" t="str" cm="1">
        <f t="array" ref="Q850">_xlfn.TEXTJOIN("、",TRUE,IF('學員資料-三民高中'!$B$2:$B$454=$F850,'學員資料-三民高中'!$G$2:$G$454,""))</f>
        <v>0919000630</v>
      </c>
      <c r="R850" t="str" cm="1">
        <f t="array" ref="R850">_xlfn.TEXTJOIN("、",TRUE,IF('學員資料-新北高中'!$B$2:$B$583=$F850,'學員資料-新北高中'!$G$2:$G$583,""))</f>
        <v/>
      </c>
      <c r="S850" t="str" cm="1">
        <f t="array" ref="S850">_xlfn.TEXTJOIN("、",TRUE,IF('學員資料-三重商工'!$B$2:$B$472=$F850,'學員資料-三重商工'!$G$2:$G$472,""))</f>
        <v/>
      </c>
      <c r="T850">
        <f t="shared" si="13"/>
        <v>1</v>
      </c>
    </row>
    <row r="851" spans="1:20" ht="14.25" hidden="1" customHeight="1">
      <c r="A851" s="15">
        <v>850</v>
      </c>
      <c r="B851" s="16" t="s">
        <v>2796</v>
      </c>
      <c r="C851" s="17">
        <v>45901</v>
      </c>
      <c r="D851" s="15" t="s">
        <v>2797</v>
      </c>
      <c r="E851" s="18" t="s">
        <v>402</v>
      </c>
      <c r="F851" s="19" t="s">
        <v>598</v>
      </c>
      <c r="G851" s="18" t="s">
        <v>599</v>
      </c>
      <c r="H851" s="20" t="s">
        <v>52</v>
      </c>
      <c r="I851" s="15">
        <v>1</v>
      </c>
      <c r="J851" s="15" t="s">
        <v>24</v>
      </c>
      <c r="K851" s="15"/>
      <c r="L851" s="21" t="s">
        <v>16</v>
      </c>
      <c r="M851" s="22">
        <v>0</v>
      </c>
      <c r="N851" s="22">
        <v>-375</v>
      </c>
      <c r="O851" s="22">
        <v>7125</v>
      </c>
      <c r="P851" s="22">
        <v>7125</v>
      </c>
      <c r="Q851" t="str" cm="1">
        <f t="array" ref="Q851">_xlfn.TEXTJOIN("、",TRUE,IF('學員資料-三民高中'!$B$2:$B$454=$F851,'學員資料-三民高中'!$G$2:$G$454,""))</f>
        <v>0926821102</v>
      </c>
      <c r="R851" t="str" cm="1">
        <f t="array" ref="R851">_xlfn.TEXTJOIN("、",TRUE,IF('學員資料-新北高中'!$B$2:$B$583=$F851,'學員資料-新北高中'!$G$2:$G$583,""))</f>
        <v/>
      </c>
      <c r="S851" t="str" cm="1">
        <f t="array" ref="S851">_xlfn.TEXTJOIN("、",TRUE,IF('學員資料-三重商工'!$B$2:$B$472=$F851,'學員資料-三重商工'!$G$2:$G$472,""))</f>
        <v/>
      </c>
      <c r="T851">
        <f t="shared" si="13"/>
        <v>1</v>
      </c>
    </row>
    <row r="852" spans="1:20" ht="14.25" hidden="1" customHeight="1">
      <c r="A852" s="15">
        <v>851</v>
      </c>
      <c r="B852" s="16" t="s">
        <v>2798</v>
      </c>
      <c r="C852" s="17">
        <v>45901</v>
      </c>
      <c r="D852" s="15" t="s">
        <v>2799</v>
      </c>
      <c r="E852" s="18" t="s">
        <v>402</v>
      </c>
      <c r="F852" s="19" t="s">
        <v>1539</v>
      </c>
      <c r="G852" s="18" t="s">
        <v>1540</v>
      </c>
      <c r="H852" s="20" t="s">
        <v>66</v>
      </c>
      <c r="I852" s="15">
        <v>1</v>
      </c>
      <c r="J852" s="15" t="s">
        <v>23</v>
      </c>
      <c r="K852" s="15"/>
      <c r="L852" s="21" t="s">
        <v>16</v>
      </c>
      <c r="M852" s="22">
        <v>0</v>
      </c>
      <c r="N852" s="22">
        <v>-345</v>
      </c>
      <c r="O852" s="22">
        <v>6555</v>
      </c>
      <c r="P852" s="22">
        <v>6555</v>
      </c>
      <c r="Q852" t="str" cm="1">
        <f t="array" ref="Q852">_xlfn.TEXTJOIN("、",TRUE,IF('學員資料-三民高中'!$B$2:$B$454=$F852,'學員資料-三民高中'!$G$2:$G$454,""))</f>
        <v>0939173830</v>
      </c>
      <c r="R852" t="str" cm="1">
        <f t="array" ref="R852">_xlfn.TEXTJOIN("、",TRUE,IF('學員資料-新北高中'!$B$2:$B$583=$F852,'學員資料-新北高中'!$G$2:$G$583,""))</f>
        <v/>
      </c>
      <c r="S852" t="str" cm="1">
        <f t="array" ref="S852">_xlfn.TEXTJOIN("、",TRUE,IF('學員資料-三重商工'!$B$2:$B$472=$F852,'學員資料-三重商工'!$G$2:$G$472,""))</f>
        <v/>
      </c>
      <c r="T852">
        <f t="shared" si="13"/>
        <v>1</v>
      </c>
    </row>
    <row r="853" spans="1:20" ht="28.5" hidden="1" customHeight="1">
      <c r="A853" s="15">
        <v>852</v>
      </c>
      <c r="B853" s="16" t="s">
        <v>2800</v>
      </c>
      <c r="C853" s="17">
        <v>45901</v>
      </c>
      <c r="D853" s="15" t="s">
        <v>2801</v>
      </c>
      <c r="E853" s="18" t="s">
        <v>402</v>
      </c>
      <c r="F853" s="19" t="s">
        <v>2802</v>
      </c>
      <c r="G853" s="18" t="s">
        <v>2803</v>
      </c>
      <c r="H853" s="20" t="s">
        <v>75</v>
      </c>
      <c r="I853" s="15">
        <v>2</v>
      </c>
      <c r="J853" s="15" t="s">
        <v>23</v>
      </c>
      <c r="K853" s="15"/>
      <c r="L853" s="21" t="s">
        <v>16</v>
      </c>
      <c r="M853" s="22">
        <v>0</v>
      </c>
      <c r="N853" s="22">
        <v>-690</v>
      </c>
      <c r="O853" s="22">
        <v>13110</v>
      </c>
      <c r="P853" s="22">
        <v>13110</v>
      </c>
      <c r="Q853" t="str" cm="1">
        <f t="array" ref="Q853">_xlfn.TEXTJOIN("、",TRUE,IF('學員資料-三民高中'!$B$2:$B$454=$F853,'學員資料-三民高中'!$G$2:$G$454,""))</f>
        <v>0933833041</v>
      </c>
      <c r="R853" t="str" cm="1">
        <f t="array" ref="R853">_xlfn.TEXTJOIN("、",TRUE,IF('學員資料-新北高中'!$B$2:$B$583=$F853,'學員資料-新北高中'!$G$2:$G$583,""))</f>
        <v/>
      </c>
      <c r="S853" t="str" cm="1">
        <f t="array" ref="S853">_xlfn.TEXTJOIN("、",TRUE,IF('學員資料-三重商工'!$B$2:$B$472=$F853,'學員資料-三重商工'!$G$2:$G$472,""))</f>
        <v/>
      </c>
      <c r="T853">
        <f t="shared" si="13"/>
        <v>1</v>
      </c>
    </row>
    <row r="854" spans="1:20" ht="14.25" hidden="1" customHeight="1">
      <c r="A854" s="15">
        <v>853</v>
      </c>
      <c r="B854" s="16" t="s">
        <v>2804</v>
      </c>
      <c r="C854" s="17">
        <v>45901</v>
      </c>
      <c r="D854" s="15" t="s">
        <v>2805</v>
      </c>
      <c r="E854" s="18" t="s">
        <v>537</v>
      </c>
      <c r="F854" s="19" t="s">
        <v>2806</v>
      </c>
      <c r="G854" s="18" t="s">
        <v>2807</v>
      </c>
      <c r="H854" s="20" t="s">
        <v>1087</v>
      </c>
      <c r="I854" s="15">
        <v>1</v>
      </c>
      <c r="J854" s="15" t="s">
        <v>27</v>
      </c>
      <c r="K854" s="15"/>
      <c r="L854" s="21" t="s">
        <v>16</v>
      </c>
      <c r="M854" s="22">
        <v>0</v>
      </c>
      <c r="N854" s="22">
        <v>-1500</v>
      </c>
      <c r="O854" s="22">
        <v>13500</v>
      </c>
      <c r="P854" s="22">
        <v>13500</v>
      </c>
      <c r="Q854" t="str" cm="1">
        <f t="array" ref="Q854">_xlfn.TEXTJOIN("、",TRUE,IF('學員資料-三民高中'!$B$2:$B$454=$F854,'學員資料-三民高中'!$G$2:$G$454,""))</f>
        <v>0932150900</v>
      </c>
      <c r="R854" t="str" cm="1">
        <f t="array" ref="R854">_xlfn.TEXTJOIN("、",TRUE,IF('學員資料-新北高中'!$B$2:$B$583=$F854,'學員資料-新北高中'!$G$2:$G$583,""))</f>
        <v/>
      </c>
      <c r="S854" t="str" cm="1">
        <f t="array" ref="S854">_xlfn.TEXTJOIN("、",TRUE,IF('學員資料-三重商工'!$B$2:$B$472=$F854,'學員資料-三重商工'!$G$2:$G$472,""))</f>
        <v/>
      </c>
      <c r="T854">
        <f t="shared" si="13"/>
        <v>1</v>
      </c>
    </row>
    <row r="855" spans="1:20" ht="14.25" hidden="1" customHeight="1">
      <c r="A855" s="15">
        <v>854</v>
      </c>
      <c r="B855" s="16" t="s">
        <v>2808</v>
      </c>
      <c r="C855" s="17">
        <v>45901</v>
      </c>
      <c r="D855" s="15" t="s">
        <v>1390</v>
      </c>
      <c r="E855" s="18" t="s">
        <v>537</v>
      </c>
      <c r="F855" s="19" t="s">
        <v>2809</v>
      </c>
      <c r="G855" s="18" t="s">
        <v>2810</v>
      </c>
      <c r="H855" s="20" t="s">
        <v>52</v>
      </c>
      <c r="I855" s="15">
        <v>1</v>
      </c>
      <c r="J855" s="15" t="s">
        <v>24</v>
      </c>
      <c r="K855" s="15"/>
      <c r="L855" s="21" t="s">
        <v>16</v>
      </c>
      <c r="M855" s="22">
        <v>0</v>
      </c>
      <c r="N855" s="22">
        <v>-375</v>
      </c>
      <c r="O855" s="22">
        <v>7125</v>
      </c>
      <c r="P855" s="22">
        <v>7125</v>
      </c>
      <c r="Q855" t="str" cm="1">
        <f t="array" ref="Q855">_xlfn.TEXTJOIN("、",TRUE,IF('學員資料-三民高中'!$B$2:$B$454=$F855,'學員資料-三民高中'!$G$2:$G$454,""))</f>
        <v/>
      </c>
      <c r="R855" t="str" cm="1">
        <f t="array" ref="R855">_xlfn.TEXTJOIN("、",TRUE,IF('學員資料-新北高中'!$B$2:$B$583=$F855,'學員資料-新北高中'!$G$2:$G$583,""))</f>
        <v>0919869239</v>
      </c>
      <c r="S855" t="str" cm="1">
        <f t="array" ref="S855">_xlfn.TEXTJOIN("、",TRUE,IF('學員資料-三重商工'!$B$2:$B$472=$F855,'學員資料-三重商工'!$G$2:$G$472,""))</f>
        <v/>
      </c>
      <c r="T855">
        <f t="shared" si="13"/>
        <v>1</v>
      </c>
    </row>
    <row r="856" spans="1:20" ht="14.25" hidden="1" customHeight="1">
      <c r="A856" s="15">
        <v>855</v>
      </c>
      <c r="B856" s="16" t="s">
        <v>2811</v>
      </c>
      <c r="C856" s="17">
        <v>45901</v>
      </c>
      <c r="D856" s="15" t="s">
        <v>2812</v>
      </c>
      <c r="E856" s="18" t="s">
        <v>537</v>
      </c>
      <c r="F856" s="19" t="s">
        <v>2813</v>
      </c>
      <c r="G856" s="18" t="s">
        <v>2814</v>
      </c>
      <c r="H856" s="20" t="s">
        <v>210</v>
      </c>
      <c r="I856" s="15">
        <v>1</v>
      </c>
      <c r="J856" s="15" t="s">
        <v>26</v>
      </c>
      <c r="K856" s="15"/>
      <c r="L856" s="21" t="s">
        <v>16</v>
      </c>
      <c r="M856" s="22">
        <v>0</v>
      </c>
      <c r="N856" s="22">
        <v>-1200</v>
      </c>
      <c r="O856" s="22">
        <v>10800</v>
      </c>
      <c r="P856" s="22">
        <v>10800</v>
      </c>
      <c r="Q856" t="str" cm="1">
        <f t="array" ref="Q856">_xlfn.TEXTJOIN("、",TRUE,IF('學員資料-三民高中'!$B$2:$B$454=$F856,'學員資料-三民高中'!$G$2:$G$454,""))</f>
        <v/>
      </c>
      <c r="R856" t="str" cm="1">
        <f t="array" ref="R856">_xlfn.TEXTJOIN("、",TRUE,IF('學員資料-新北高中'!$B$2:$B$583=$F856,'學員資料-新北高中'!$G$2:$G$583,""))</f>
        <v>0933883158</v>
      </c>
      <c r="S856" t="str" cm="1">
        <f t="array" ref="S856">_xlfn.TEXTJOIN("、",TRUE,IF('學員資料-三重商工'!$B$2:$B$472=$F856,'學員資料-三重商工'!$G$2:$G$472,""))</f>
        <v/>
      </c>
      <c r="T856">
        <f t="shared" si="13"/>
        <v>1</v>
      </c>
    </row>
    <row r="857" spans="1:20" ht="14.25" hidden="1" customHeight="1">
      <c r="A857" s="15">
        <v>856</v>
      </c>
      <c r="B857" s="16" t="s">
        <v>2815</v>
      </c>
      <c r="C857" s="17">
        <v>45901</v>
      </c>
      <c r="D857" s="15" t="s">
        <v>2816</v>
      </c>
      <c r="E857" s="18" t="s">
        <v>537</v>
      </c>
      <c r="F857" s="19" t="s">
        <v>2817</v>
      </c>
      <c r="G857" s="18" t="s">
        <v>2818</v>
      </c>
      <c r="H857" s="20" t="s">
        <v>52</v>
      </c>
      <c r="I857" s="15">
        <v>1</v>
      </c>
      <c r="J857" s="15" t="s">
        <v>24</v>
      </c>
      <c r="K857" s="15"/>
      <c r="L857" s="21" t="s">
        <v>16</v>
      </c>
      <c r="M857" s="22">
        <v>0</v>
      </c>
      <c r="N857" s="22">
        <v>-375</v>
      </c>
      <c r="O857" s="22">
        <v>7125</v>
      </c>
      <c r="P857" s="22">
        <v>7125</v>
      </c>
      <c r="Q857" t="str" cm="1">
        <f t="array" ref="Q857">_xlfn.TEXTJOIN("、",TRUE,IF('學員資料-三民高中'!$B$2:$B$454=$F857,'學員資料-三民高中'!$G$2:$G$454,""))</f>
        <v>0920050492</v>
      </c>
      <c r="R857" t="str" cm="1">
        <f t="array" ref="R857">_xlfn.TEXTJOIN("、",TRUE,IF('學員資料-新北高中'!$B$2:$B$583=$F857,'學員資料-新北高中'!$G$2:$G$583,""))</f>
        <v/>
      </c>
      <c r="S857" t="str" cm="1">
        <f t="array" ref="S857">_xlfn.TEXTJOIN("、",TRUE,IF('學員資料-三重商工'!$B$2:$B$472=$F857,'學員資料-三重商工'!$G$2:$G$472,""))</f>
        <v/>
      </c>
      <c r="T857">
        <f t="shared" si="13"/>
        <v>1</v>
      </c>
    </row>
    <row r="858" spans="1:20" ht="28.5" hidden="1" customHeight="1">
      <c r="A858" s="15">
        <v>857</v>
      </c>
      <c r="B858" s="16" t="s">
        <v>2819</v>
      </c>
      <c r="C858" s="17">
        <v>45901</v>
      </c>
      <c r="D858" s="15" t="s">
        <v>2820</v>
      </c>
      <c r="E858" s="18" t="s">
        <v>537</v>
      </c>
      <c r="F858" s="19" t="s">
        <v>1243</v>
      </c>
      <c r="G858" s="18" t="s">
        <v>1244</v>
      </c>
      <c r="H858" s="20" t="s">
        <v>99</v>
      </c>
      <c r="I858" s="15">
        <v>2</v>
      </c>
      <c r="J858" s="15" t="s">
        <v>24</v>
      </c>
      <c r="K858" s="15"/>
      <c r="L858" s="21" t="s">
        <v>16</v>
      </c>
      <c r="M858" s="22">
        <v>0</v>
      </c>
      <c r="N858" s="22">
        <v>-750</v>
      </c>
      <c r="O858" s="22">
        <v>14250</v>
      </c>
      <c r="P858" s="22">
        <v>14250</v>
      </c>
      <c r="Q858" t="str" cm="1">
        <f t="array" ref="Q858">_xlfn.TEXTJOIN("、",TRUE,IF('學員資料-三民高中'!$B$2:$B$454=$F858,'學員資料-三民高中'!$G$2:$G$454,""))</f>
        <v>0963000833</v>
      </c>
      <c r="R858" t="str" cm="1">
        <f t="array" ref="R858">_xlfn.TEXTJOIN("、",TRUE,IF('學員資料-新北高中'!$B$2:$B$583=$F858,'學員資料-新北高中'!$G$2:$G$583,""))</f>
        <v/>
      </c>
      <c r="S858" t="str" cm="1">
        <f t="array" ref="S858">_xlfn.TEXTJOIN("、",TRUE,IF('學員資料-三重商工'!$B$2:$B$472=$F858,'學員資料-三重商工'!$G$2:$G$472,""))</f>
        <v/>
      </c>
      <c r="T858">
        <f t="shared" si="13"/>
        <v>1</v>
      </c>
    </row>
    <row r="859" spans="1:20" ht="14.25" hidden="1" customHeight="1">
      <c r="A859" s="15">
        <v>858</v>
      </c>
      <c r="B859" s="16" t="s">
        <v>2821</v>
      </c>
      <c r="C859" s="17">
        <v>45901</v>
      </c>
      <c r="D859" s="15" t="s">
        <v>2822</v>
      </c>
      <c r="E859" s="18" t="s">
        <v>537</v>
      </c>
      <c r="F859" s="19" t="s">
        <v>2823</v>
      </c>
      <c r="G859" s="18" t="s">
        <v>2824</v>
      </c>
      <c r="H859" s="20" t="s">
        <v>130</v>
      </c>
      <c r="I859" s="15">
        <v>1</v>
      </c>
      <c r="J859" s="15" t="s">
        <v>25</v>
      </c>
      <c r="K859" s="15"/>
      <c r="L859" s="21" t="s">
        <v>16</v>
      </c>
      <c r="M859" s="22">
        <v>0</v>
      </c>
      <c r="N859" s="22">
        <v>-990</v>
      </c>
      <c r="O859" s="22">
        <v>8910</v>
      </c>
      <c r="P859" s="22">
        <v>8910</v>
      </c>
      <c r="Q859" t="str" cm="1">
        <f t="array" ref="Q859">_xlfn.TEXTJOIN("、",TRUE,IF('學員資料-三民高中'!$B$2:$B$454=$F859,'學員資料-三民高中'!$G$2:$G$454,""))</f>
        <v>0921777655</v>
      </c>
      <c r="R859" t="str" cm="1">
        <f t="array" ref="R859">_xlfn.TEXTJOIN("、",TRUE,IF('學員資料-新北高中'!$B$2:$B$583=$F859,'學員資料-新北高中'!$G$2:$G$583,""))</f>
        <v/>
      </c>
      <c r="S859" t="str" cm="1">
        <f t="array" ref="S859">_xlfn.TEXTJOIN("、",TRUE,IF('學員資料-三重商工'!$B$2:$B$472=$F859,'學員資料-三重商工'!$G$2:$G$472,""))</f>
        <v/>
      </c>
      <c r="T859">
        <f t="shared" si="13"/>
        <v>1</v>
      </c>
    </row>
    <row r="860" spans="1:20" ht="14.25" hidden="1" customHeight="1">
      <c r="A860" s="15">
        <v>859</v>
      </c>
      <c r="B860" s="16" t="s">
        <v>2825</v>
      </c>
      <c r="C860" s="17">
        <v>45901</v>
      </c>
      <c r="D860" s="15" t="s">
        <v>2826</v>
      </c>
      <c r="E860" s="18" t="s">
        <v>537</v>
      </c>
      <c r="F860" s="19" t="s">
        <v>2827</v>
      </c>
      <c r="G860" s="18" t="s">
        <v>2828</v>
      </c>
      <c r="H860" s="20" t="s">
        <v>52</v>
      </c>
      <c r="I860" s="15">
        <v>1</v>
      </c>
      <c r="J860" s="15" t="s">
        <v>24</v>
      </c>
      <c r="K860" s="15"/>
      <c r="L860" s="21" t="s">
        <v>16</v>
      </c>
      <c r="M860" s="22">
        <v>0</v>
      </c>
      <c r="N860" s="22">
        <v>-375</v>
      </c>
      <c r="O860" s="22">
        <v>7125</v>
      </c>
      <c r="P860" s="22">
        <v>7125</v>
      </c>
      <c r="Q860" t="str" cm="1">
        <f t="array" ref="Q860">_xlfn.TEXTJOIN("、",TRUE,IF('學員資料-三民高中'!$B$2:$B$454=$F860,'學員資料-三民高中'!$G$2:$G$454,""))</f>
        <v/>
      </c>
      <c r="R860" t="str" cm="1">
        <f t="array" ref="R860">_xlfn.TEXTJOIN("、",TRUE,IF('學員資料-新北高中'!$B$2:$B$583=$F860,'學員資料-新北高中'!$G$2:$G$583,""))</f>
        <v/>
      </c>
      <c r="S860" t="str" cm="1">
        <f t="array" ref="S860">_xlfn.TEXTJOIN("、",TRUE,IF('學員資料-三重商工'!$B$2:$B$472=$F860,'學員資料-三重商工'!$G$2:$G$472,""))</f>
        <v>0922212041</v>
      </c>
      <c r="T860">
        <f t="shared" si="13"/>
        <v>1</v>
      </c>
    </row>
    <row r="861" spans="1:20" ht="14.25" hidden="1" customHeight="1">
      <c r="A861" s="15">
        <v>860</v>
      </c>
      <c r="B861" s="16" t="s">
        <v>2829</v>
      </c>
      <c r="C861" s="17">
        <v>45901</v>
      </c>
      <c r="D861" s="15" t="s">
        <v>2830</v>
      </c>
      <c r="E861" s="18" t="s">
        <v>537</v>
      </c>
      <c r="F861" s="19" t="s">
        <v>2831</v>
      </c>
      <c r="G861" s="18" t="s">
        <v>2832</v>
      </c>
      <c r="H861" s="20" t="s">
        <v>52</v>
      </c>
      <c r="I861" s="15">
        <v>1</v>
      </c>
      <c r="J861" s="15" t="s">
        <v>24</v>
      </c>
      <c r="K861" s="15"/>
      <c r="L861" s="21" t="s">
        <v>16</v>
      </c>
      <c r="M861" s="22">
        <v>0</v>
      </c>
      <c r="N861" s="22">
        <v>-375</v>
      </c>
      <c r="O861" s="22">
        <v>7125</v>
      </c>
      <c r="P861" s="22">
        <v>7125</v>
      </c>
      <c r="Q861" t="str" cm="1">
        <f t="array" ref="Q861">_xlfn.TEXTJOIN("、",TRUE,IF('學員資料-三民高中'!$B$2:$B$454=$F861,'學員資料-三民高中'!$G$2:$G$454,""))</f>
        <v/>
      </c>
      <c r="R861" t="str" cm="1">
        <f t="array" ref="R861">_xlfn.TEXTJOIN("、",TRUE,IF('學員資料-新北高中'!$B$2:$B$583=$F861,'學員資料-新北高中'!$G$2:$G$583,""))</f>
        <v>0905603900</v>
      </c>
      <c r="S861" t="str" cm="1">
        <f t="array" ref="S861">_xlfn.TEXTJOIN("、",TRUE,IF('學員資料-三重商工'!$B$2:$B$472=$F861,'學員資料-三重商工'!$G$2:$G$472,""))</f>
        <v/>
      </c>
      <c r="T861">
        <f t="shared" si="13"/>
        <v>1</v>
      </c>
    </row>
    <row r="862" spans="1:20" ht="14.25" customHeight="1">
      <c r="A862" s="15">
        <v>861</v>
      </c>
      <c r="B862" s="16" t="s">
        <v>2833</v>
      </c>
      <c r="C862" s="17">
        <v>45900</v>
      </c>
      <c r="D862" s="15" t="s">
        <v>2834</v>
      </c>
      <c r="E862" s="23"/>
      <c r="F862" s="19" t="s">
        <v>2835</v>
      </c>
      <c r="G862" s="18" t="s">
        <v>2836</v>
      </c>
      <c r="H862" s="20" t="s">
        <v>399</v>
      </c>
      <c r="I862" s="15">
        <v>1</v>
      </c>
      <c r="J862" s="15" t="s">
        <v>23</v>
      </c>
      <c r="K862" s="21" t="s">
        <v>116</v>
      </c>
      <c r="L862" s="21" t="s">
        <v>16</v>
      </c>
      <c r="M862" s="22">
        <v>0</v>
      </c>
      <c r="N862" s="22">
        <v>0</v>
      </c>
      <c r="O862" s="22">
        <v>1200</v>
      </c>
      <c r="P862" s="22">
        <v>1200</v>
      </c>
      <c r="Q862" t="str" cm="1">
        <f t="array" ref="Q862">_xlfn.TEXTJOIN("、",TRUE,IF('學員資料-三民高中'!$B$2:$B$454=$F862,'學員資料-三民高中'!$G$2:$G$454,""))</f>
        <v/>
      </c>
      <c r="R862" t="str" cm="1">
        <f t="array" ref="R862">_xlfn.TEXTJOIN("、",TRUE,IF('學員資料-新北高中'!$B$2:$B$583=$F862,'學員資料-新北高中'!$G$2:$G$583,""))</f>
        <v/>
      </c>
      <c r="S862" t="str" cm="1">
        <f t="array" ref="S862">_xlfn.TEXTJOIN("、",TRUE,IF('學員資料-三重商工'!$B$2:$B$472=$F862,'學員資料-三重商工'!$G$2:$G$472,""))</f>
        <v/>
      </c>
      <c r="T862">
        <f t="shared" si="13"/>
        <v>0</v>
      </c>
    </row>
    <row r="863" spans="1:20" ht="14.25" hidden="1" customHeight="1">
      <c r="A863" s="15">
        <v>862</v>
      </c>
      <c r="B863" s="16" t="s">
        <v>2837</v>
      </c>
      <c r="C863" s="17">
        <v>45899</v>
      </c>
      <c r="D863" s="15" t="s">
        <v>2838</v>
      </c>
      <c r="E863" s="23"/>
      <c r="F863" s="19" t="s">
        <v>681</v>
      </c>
      <c r="G863" s="18" t="s">
        <v>682</v>
      </c>
      <c r="H863" s="20" t="s">
        <v>683</v>
      </c>
      <c r="I863" s="15">
        <v>1</v>
      </c>
      <c r="J863" s="15" t="s">
        <v>23</v>
      </c>
      <c r="K863" s="15"/>
      <c r="L863" s="21" t="s">
        <v>16</v>
      </c>
      <c r="M863" s="22">
        <v>0</v>
      </c>
      <c r="N863" s="22">
        <v>-3600</v>
      </c>
      <c r="O863" s="22">
        <v>5400</v>
      </c>
      <c r="P863" s="22">
        <v>5400</v>
      </c>
      <c r="Q863" t="str" cm="1">
        <f t="array" ref="Q863">_xlfn.TEXTJOIN("、",TRUE,IF('學員資料-三民高中'!$B$2:$B$454=$F863,'學員資料-三民高中'!$G$2:$G$454,""))</f>
        <v/>
      </c>
      <c r="R863" t="str" cm="1">
        <f t="array" ref="R863">_xlfn.TEXTJOIN("、",TRUE,IF('學員資料-新北高中'!$B$2:$B$583=$F863,'學員資料-新北高中'!$G$2:$G$583,""))</f>
        <v>0956888791</v>
      </c>
      <c r="S863" t="str" cm="1">
        <f t="array" ref="S863">_xlfn.TEXTJOIN("、",TRUE,IF('學員資料-三重商工'!$B$2:$B$472=$F863,'學員資料-三重商工'!$G$2:$G$472,""))</f>
        <v/>
      </c>
      <c r="T863">
        <f t="shared" si="13"/>
        <v>1</v>
      </c>
    </row>
    <row r="864" spans="1:20" ht="14.25" hidden="1" customHeight="1">
      <c r="A864" s="15">
        <v>863</v>
      </c>
      <c r="B864" s="16" t="s">
        <v>2839</v>
      </c>
      <c r="C864" s="17">
        <v>45899</v>
      </c>
      <c r="D864" s="15" t="s">
        <v>2840</v>
      </c>
      <c r="E864" s="23"/>
      <c r="F864" s="19" t="s">
        <v>269</v>
      </c>
      <c r="G864" s="18" t="s">
        <v>270</v>
      </c>
      <c r="H864" s="20" t="s">
        <v>66</v>
      </c>
      <c r="I864" s="15">
        <v>1</v>
      </c>
      <c r="J864" s="15" t="s">
        <v>23</v>
      </c>
      <c r="K864" s="15"/>
      <c r="L864" s="21" t="s">
        <v>18</v>
      </c>
      <c r="M864" s="22">
        <v>0</v>
      </c>
      <c r="N864" s="22">
        <v>-345</v>
      </c>
      <c r="O864" s="22">
        <v>6555</v>
      </c>
      <c r="P864" s="22">
        <v>6555</v>
      </c>
      <c r="Q864" t="str" cm="1">
        <f t="array" ref="Q864">_xlfn.TEXTJOIN("、",TRUE,IF('學員資料-三民高中'!$B$2:$B$454=$F864,'學員資料-三民高中'!$G$2:$G$454,""))</f>
        <v>0913136776</v>
      </c>
      <c r="R864" t="str" cm="1">
        <f t="array" ref="R864">_xlfn.TEXTJOIN("、",TRUE,IF('學員資料-新北高中'!$B$2:$B$583=$F864,'學員資料-新北高中'!$G$2:$G$583,""))</f>
        <v/>
      </c>
      <c r="S864" t="str" cm="1">
        <f t="array" ref="S864">_xlfn.TEXTJOIN("、",TRUE,IF('學員資料-三重商工'!$B$2:$B$472=$F864,'學員資料-三重商工'!$G$2:$G$472,""))</f>
        <v/>
      </c>
      <c r="T864">
        <f t="shared" si="13"/>
        <v>1</v>
      </c>
    </row>
    <row r="865" spans="1:20" ht="14.25" hidden="1" customHeight="1">
      <c r="A865" s="15">
        <v>864</v>
      </c>
      <c r="B865" s="16" t="s">
        <v>2841</v>
      </c>
      <c r="C865" s="17">
        <v>45899</v>
      </c>
      <c r="D865" s="15" t="s">
        <v>2842</v>
      </c>
      <c r="E865" s="23"/>
      <c r="F865" s="19" t="s">
        <v>2843</v>
      </c>
      <c r="G865" s="18" t="s">
        <v>2844</v>
      </c>
      <c r="H865" s="20" t="s">
        <v>52</v>
      </c>
      <c r="I865" s="15">
        <v>1</v>
      </c>
      <c r="J865" s="15" t="s">
        <v>24</v>
      </c>
      <c r="K865" s="15"/>
      <c r="L865" s="21" t="s">
        <v>16</v>
      </c>
      <c r="M865" s="22">
        <v>0</v>
      </c>
      <c r="N865" s="22">
        <v>-375</v>
      </c>
      <c r="O865" s="22">
        <v>7125</v>
      </c>
      <c r="P865" s="22">
        <v>7125</v>
      </c>
      <c r="Q865" t="str" cm="1">
        <f t="array" ref="Q865">_xlfn.TEXTJOIN("、",TRUE,IF('學員資料-三民高中'!$B$2:$B$454=$F865,'學員資料-三民高中'!$G$2:$G$454,""))</f>
        <v>0982022486</v>
      </c>
      <c r="R865" t="str" cm="1">
        <f t="array" ref="R865">_xlfn.TEXTJOIN("、",TRUE,IF('學員資料-新北高中'!$B$2:$B$583=$F865,'學員資料-新北高中'!$G$2:$G$583,""))</f>
        <v/>
      </c>
      <c r="S865" t="str" cm="1">
        <f t="array" ref="S865">_xlfn.TEXTJOIN("、",TRUE,IF('學員資料-三重商工'!$B$2:$B$472=$F865,'學員資料-三重商工'!$G$2:$G$472,""))</f>
        <v/>
      </c>
      <c r="T865">
        <f t="shared" si="13"/>
        <v>1</v>
      </c>
    </row>
    <row r="866" spans="1:20" ht="14.25" hidden="1" customHeight="1">
      <c r="A866" s="15">
        <v>865</v>
      </c>
      <c r="B866" s="16" t="s">
        <v>2845</v>
      </c>
      <c r="C866" s="17">
        <v>45899</v>
      </c>
      <c r="D866" s="15" t="s">
        <v>2846</v>
      </c>
      <c r="E866" s="23"/>
      <c r="F866" s="19" t="s">
        <v>2847</v>
      </c>
      <c r="G866" s="18" t="s">
        <v>2848</v>
      </c>
      <c r="H866" s="20" t="s">
        <v>130</v>
      </c>
      <c r="I866" s="15">
        <v>1</v>
      </c>
      <c r="J866" s="15" t="s">
        <v>25</v>
      </c>
      <c r="K866" s="15"/>
      <c r="L866" s="21" t="s">
        <v>18</v>
      </c>
      <c r="M866" s="22">
        <v>0</v>
      </c>
      <c r="N866" s="22">
        <v>-990</v>
      </c>
      <c r="O866" s="22">
        <v>8910</v>
      </c>
      <c r="P866" s="22">
        <v>8910</v>
      </c>
      <c r="Q866" t="str" cm="1">
        <f t="array" ref="Q866">_xlfn.TEXTJOIN("、",TRUE,IF('學員資料-三民高中'!$B$2:$B$454=$F866,'學員資料-三民高中'!$G$2:$G$454,""))</f>
        <v>0975561272</v>
      </c>
      <c r="R866" t="str" cm="1">
        <f t="array" ref="R866">_xlfn.TEXTJOIN("、",TRUE,IF('學員資料-新北高中'!$B$2:$B$583=$F866,'學員資料-新北高中'!$G$2:$G$583,""))</f>
        <v/>
      </c>
      <c r="S866" t="str" cm="1">
        <f t="array" ref="S866">_xlfn.TEXTJOIN("、",TRUE,IF('學員資料-三重商工'!$B$2:$B$472=$F866,'學員資料-三重商工'!$G$2:$G$472,""))</f>
        <v/>
      </c>
      <c r="T866">
        <f t="shared" si="13"/>
        <v>1</v>
      </c>
    </row>
    <row r="867" spans="1:20" ht="14.25" hidden="1" customHeight="1">
      <c r="A867" s="15">
        <v>866</v>
      </c>
      <c r="B867" s="16" t="s">
        <v>2849</v>
      </c>
      <c r="C867" s="17">
        <v>45899</v>
      </c>
      <c r="D867" s="15" t="s">
        <v>2850</v>
      </c>
      <c r="E867" s="23"/>
      <c r="F867" s="19" t="s">
        <v>1039</v>
      </c>
      <c r="G867" s="18" t="s">
        <v>1040</v>
      </c>
      <c r="H867" s="20" t="s">
        <v>52</v>
      </c>
      <c r="I867" s="15">
        <v>1</v>
      </c>
      <c r="J867" s="15" t="s">
        <v>24</v>
      </c>
      <c r="K867" s="15"/>
      <c r="L867" s="21" t="s">
        <v>18</v>
      </c>
      <c r="M867" s="22">
        <v>0</v>
      </c>
      <c r="N867" s="22">
        <v>-375</v>
      </c>
      <c r="O867" s="22">
        <v>7125</v>
      </c>
      <c r="P867" s="22">
        <v>7125</v>
      </c>
      <c r="Q867" t="str" cm="1">
        <f t="array" ref="Q867">_xlfn.TEXTJOIN("、",TRUE,IF('學員資料-三民高中'!$B$2:$B$454=$F867,'學員資料-三民高中'!$G$2:$G$454,""))</f>
        <v>0919475518</v>
      </c>
      <c r="R867" t="str" cm="1">
        <f t="array" ref="R867">_xlfn.TEXTJOIN("、",TRUE,IF('學員資料-新北高中'!$B$2:$B$583=$F867,'學員資料-新北高中'!$G$2:$G$583,""))</f>
        <v/>
      </c>
      <c r="S867" t="str" cm="1">
        <f t="array" ref="S867">_xlfn.TEXTJOIN("、",TRUE,IF('學員資料-三重商工'!$B$2:$B$472=$F867,'學員資料-三重商工'!$G$2:$G$472,""))</f>
        <v/>
      </c>
      <c r="T867">
        <f t="shared" si="13"/>
        <v>1</v>
      </c>
    </row>
    <row r="868" spans="1:20" ht="14.25" hidden="1" customHeight="1">
      <c r="A868" s="15">
        <v>867</v>
      </c>
      <c r="B868" s="16" t="s">
        <v>2851</v>
      </c>
      <c r="C868" s="17">
        <v>45899</v>
      </c>
      <c r="D868" s="15" t="s">
        <v>2852</v>
      </c>
      <c r="E868" s="23"/>
      <c r="F868" s="19" t="s">
        <v>2853</v>
      </c>
      <c r="G868" s="18" t="s">
        <v>2854</v>
      </c>
      <c r="H868" s="20" t="s">
        <v>52</v>
      </c>
      <c r="I868" s="15">
        <v>1</v>
      </c>
      <c r="J868" s="15" t="s">
        <v>24</v>
      </c>
      <c r="K868" s="15"/>
      <c r="L868" s="21" t="s">
        <v>16</v>
      </c>
      <c r="M868" s="22">
        <v>0</v>
      </c>
      <c r="N868" s="22">
        <v>-375</v>
      </c>
      <c r="O868" s="22">
        <v>7125</v>
      </c>
      <c r="P868" s="22">
        <v>7125</v>
      </c>
      <c r="Q868" t="str" cm="1">
        <f t="array" ref="Q868">_xlfn.TEXTJOIN("、",TRUE,IF('學員資料-三民高中'!$B$2:$B$454=$F868,'學員資料-三民高中'!$G$2:$G$454,""))</f>
        <v>0955101132</v>
      </c>
      <c r="R868" t="str" cm="1">
        <f t="array" ref="R868">_xlfn.TEXTJOIN("、",TRUE,IF('學員資料-新北高中'!$B$2:$B$583=$F868,'學員資料-新北高中'!$G$2:$G$583,""))</f>
        <v/>
      </c>
      <c r="S868" t="str" cm="1">
        <f t="array" ref="S868">_xlfn.TEXTJOIN("、",TRUE,IF('學員資料-三重商工'!$B$2:$B$472=$F868,'學員資料-三重商工'!$G$2:$G$472,""))</f>
        <v/>
      </c>
      <c r="T868">
        <f t="shared" si="13"/>
        <v>1</v>
      </c>
    </row>
    <row r="869" spans="1:20" ht="14.25" hidden="1" customHeight="1">
      <c r="A869" s="15">
        <v>868</v>
      </c>
      <c r="B869" s="16" t="s">
        <v>2855</v>
      </c>
      <c r="C869" s="17">
        <v>45899</v>
      </c>
      <c r="D869" s="15" t="s">
        <v>2856</v>
      </c>
      <c r="E869" s="23"/>
      <c r="F869" s="19" t="s">
        <v>796</v>
      </c>
      <c r="G869" s="18" t="s">
        <v>797</v>
      </c>
      <c r="H869" s="20" t="s">
        <v>52</v>
      </c>
      <c r="I869" s="15">
        <v>1</v>
      </c>
      <c r="J869" s="15" t="s">
        <v>24</v>
      </c>
      <c r="K869" s="15"/>
      <c r="L869" s="21" t="s">
        <v>18</v>
      </c>
      <c r="M869" s="22">
        <v>0</v>
      </c>
      <c r="N869" s="22">
        <v>-375</v>
      </c>
      <c r="O869" s="22">
        <v>7125</v>
      </c>
      <c r="P869" s="22">
        <v>7125</v>
      </c>
      <c r="Q869" t="str" cm="1">
        <f t="array" ref="Q869">_xlfn.TEXTJOIN("、",TRUE,IF('學員資料-三民高中'!$B$2:$B$454=$F869,'學員資料-三民高中'!$G$2:$G$454,""))</f>
        <v>0939628621</v>
      </c>
      <c r="R869" t="str" cm="1">
        <f t="array" ref="R869">_xlfn.TEXTJOIN("、",TRUE,IF('學員資料-新北高中'!$B$2:$B$583=$F869,'學員資料-新北高中'!$G$2:$G$583,""))</f>
        <v/>
      </c>
      <c r="S869" t="str" cm="1">
        <f t="array" ref="S869">_xlfn.TEXTJOIN("、",TRUE,IF('學員資料-三重商工'!$B$2:$B$472=$F869,'學員資料-三重商工'!$G$2:$G$472,""))</f>
        <v/>
      </c>
      <c r="T869">
        <f t="shared" si="13"/>
        <v>1</v>
      </c>
    </row>
    <row r="870" spans="1:20" ht="14.25" hidden="1" customHeight="1">
      <c r="A870" s="15">
        <v>869</v>
      </c>
      <c r="B870" s="16" t="s">
        <v>2857</v>
      </c>
      <c r="C870" s="17">
        <v>45899</v>
      </c>
      <c r="D870" s="15" t="s">
        <v>2858</v>
      </c>
      <c r="E870" s="23"/>
      <c r="F870" s="19" t="s">
        <v>2859</v>
      </c>
      <c r="G870" s="18" t="s">
        <v>2860</v>
      </c>
      <c r="H870" s="20" t="s">
        <v>399</v>
      </c>
      <c r="I870" s="15">
        <v>1</v>
      </c>
      <c r="J870" s="15" t="s">
        <v>23</v>
      </c>
      <c r="K870" s="21" t="s">
        <v>116</v>
      </c>
      <c r="L870" s="21" t="s">
        <v>16</v>
      </c>
      <c r="M870" s="22">
        <v>0</v>
      </c>
      <c r="N870" s="22">
        <v>0</v>
      </c>
      <c r="O870" s="22">
        <v>1200</v>
      </c>
      <c r="P870" s="22">
        <v>1200</v>
      </c>
      <c r="Q870" t="str" cm="1">
        <f t="array" ref="Q870">_xlfn.TEXTJOIN("、",TRUE,IF('學員資料-三民高中'!$B$2:$B$454=$F870,'學員資料-三民高中'!$G$2:$G$454,""))</f>
        <v/>
      </c>
      <c r="R870" t="str" cm="1">
        <f t="array" ref="R870">_xlfn.TEXTJOIN("、",TRUE,IF('學員資料-新北高中'!$B$2:$B$583=$F870,'學員資料-新北高中'!$G$2:$G$583,""))</f>
        <v>0937455054</v>
      </c>
      <c r="S870" t="str" cm="1">
        <f t="array" ref="S870">_xlfn.TEXTJOIN("、",TRUE,IF('學員資料-三重商工'!$B$2:$B$472=$F870,'學員資料-三重商工'!$G$2:$G$472,""))</f>
        <v/>
      </c>
      <c r="T870">
        <f t="shared" si="13"/>
        <v>1</v>
      </c>
    </row>
    <row r="871" spans="1:20" ht="14.25" hidden="1" customHeight="1">
      <c r="A871" s="15">
        <v>870</v>
      </c>
      <c r="B871" s="16" t="s">
        <v>2861</v>
      </c>
      <c r="C871" s="17">
        <v>45899</v>
      </c>
      <c r="D871" s="15" t="s">
        <v>2862</v>
      </c>
      <c r="E871" s="18" t="s">
        <v>537</v>
      </c>
      <c r="F871" s="19" t="s">
        <v>1847</v>
      </c>
      <c r="G871" s="18" t="s">
        <v>1848</v>
      </c>
      <c r="H871" s="20" t="s">
        <v>683</v>
      </c>
      <c r="I871" s="15">
        <v>1</v>
      </c>
      <c r="J871" s="15" t="s">
        <v>23</v>
      </c>
      <c r="K871" s="15"/>
      <c r="L871" s="21" t="s">
        <v>16</v>
      </c>
      <c r="M871" s="22">
        <v>0</v>
      </c>
      <c r="N871" s="22">
        <v>-450</v>
      </c>
      <c r="O871" s="22">
        <v>8550</v>
      </c>
      <c r="P871" s="22">
        <v>8550</v>
      </c>
      <c r="Q871" t="str" cm="1">
        <f t="array" ref="Q871">_xlfn.TEXTJOIN("、",TRUE,IF('學員資料-三民高中'!$B$2:$B$454=$F871,'學員資料-三民高中'!$G$2:$G$454,""))</f>
        <v/>
      </c>
      <c r="R871" t="str" cm="1">
        <f t="array" ref="R871">_xlfn.TEXTJOIN("、",TRUE,IF('學員資料-新北高中'!$B$2:$B$583=$F871,'學員資料-新北高中'!$G$2:$G$583,""))</f>
        <v>0955171617</v>
      </c>
      <c r="S871" t="str" cm="1">
        <f t="array" ref="S871">_xlfn.TEXTJOIN("、",TRUE,IF('學員資料-三重商工'!$B$2:$B$472=$F871,'學員資料-三重商工'!$G$2:$G$472,""))</f>
        <v/>
      </c>
      <c r="T871">
        <f t="shared" si="13"/>
        <v>1</v>
      </c>
    </row>
    <row r="872" spans="1:20" ht="14.25" hidden="1" customHeight="1">
      <c r="A872" s="15">
        <v>871</v>
      </c>
      <c r="B872" s="16" t="s">
        <v>2863</v>
      </c>
      <c r="C872" s="17">
        <v>45898</v>
      </c>
      <c r="D872" s="15" t="s">
        <v>2864</v>
      </c>
      <c r="E872" s="23"/>
      <c r="F872" s="19" t="s">
        <v>79</v>
      </c>
      <c r="G872" s="18" t="s">
        <v>80</v>
      </c>
      <c r="H872" s="20" t="s">
        <v>66</v>
      </c>
      <c r="I872" s="15">
        <v>1</v>
      </c>
      <c r="J872" s="15" t="s">
        <v>23</v>
      </c>
      <c r="K872" s="15"/>
      <c r="L872" s="21" t="s">
        <v>18</v>
      </c>
      <c r="M872" s="22">
        <v>0</v>
      </c>
      <c r="N872" s="22">
        <v>-345</v>
      </c>
      <c r="O872" s="22">
        <v>6555</v>
      </c>
      <c r="P872" s="22">
        <v>6555</v>
      </c>
      <c r="Q872" t="str" cm="1">
        <f t="array" ref="Q872">_xlfn.TEXTJOIN("、",TRUE,IF('學員資料-三民高中'!$B$2:$B$454=$F872,'學員資料-三民高中'!$G$2:$G$454,""))</f>
        <v>0926037987</v>
      </c>
      <c r="R872" t="str" cm="1">
        <f t="array" ref="R872">_xlfn.TEXTJOIN("、",TRUE,IF('學員資料-新北高中'!$B$2:$B$583=$F872,'學員資料-新北高中'!$G$2:$G$583,""))</f>
        <v/>
      </c>
      <c r="S872" t="str" cm="1">
        <f t="array" ref="S872">_xlfn.TEXTJOIN("、",TRUE,IF('學員資料-三重商工'!$B$2:$B$472=$F872,'學員資料-三重商工'!$G$2:$G$472,""))</f>
        <v/>
      </c>
      <c r="T872">
        <f t="shared" si="13"/>
        <v>1</v>
      </c>
    </row>
    <row r="873" spans="1:20" ht="14.25" hidden="1" customHeight="1">
      <c r="A873" s="15">
        <v>872</v>
      </c>
      <c r="B873" s="16" t="s">
        <v>2865</v>
      </c>
      <c r="C873" s="17">
        <v>45898</v>
      </c>
      <c r="D873" s="15" t="s">
        <v>2866</v>
      </c>
      <c r="E873" s="23"/>
      <c r="F873" s="19" t="s">
        <v>2867</v>
      </c>
      <c r="G873" s="18" t="s">
        <v>2868</v>
      </c>
      <c r="H873" s="20" t="s">
        <v>52</v>
      </c>
      <c r="I873" s="15">
        <v>1</v>
      </c>
      <c r="J873" s="15" t="s">
        <v>24</v>
      </c>
      <c r="K873" s="15"/>
      <c r="L873" s="21" t="s">
        <v>18</v>
      </c>
      <c r="M873" s="22">
        <v>0</v>
      </c>
      <c r="N873" s="22">
        <v>-375</v>
      </c>
      <c r="O873" s="22">
        <v>7125</v>
      </c>
      <c r="P873" s="22">
        <v>7125</v>
      </c>
      <c r="Q873" t="str" cm="1">
        <f t="array" ref="Q873">_xlfn.TEXTJOIN("、",TRUE,IF('學員資料-三民高中'!$B$2:$B$454=$F873,'學員資料-三民高中'!$G$2:$G$454,""))</f>
        <v>0985762760</v>
      </c>
      <c r="R873" t="str" cm="1">
        <f t="array" ref="R873">_xlfn.TEXTJOIN("、",TRUE,IF('學員資料-新北高中'!$B$2:$B$583=$F873,'學員資料-新北高中'!$G$2:$G$583,""))</f>
        <v/>
      </c>
      <c r="S873" t="str" cm="1">
        <f t="array" ref="S873">_xlfn.TEXTJOIN("、",TRUE,IF('學員資料-三重商工'!$B$2:$B$472=$F873,'學員資料-三重商工'!$G$2:$G$472,""))</f>
        <v/>
      </c>
      <c r="T873">
        <f t="shared" si="13"/>
        <v>1</v>
      </c>
    </row>
    <row r="874" spans="1:20" ht="14.25" hidden="1" customHeight="1">
      <c r="A874" s="15">
        <v>873</v>
      </c>
      <c r="B874" s="16" t="s">
        <v>2869</v>
      </c>
      <c r="C874" s="17">
        <v>45898</v>
      </c>
      <c r="D874" s="15" t="s">
        <v>2870</v>
      </c>
      <c r="E874" s="23"/>
      <c r="F874" s="19" t="s">
        <v>2871</v>
      </c>
      <c r="G874" s="18" t="s">
        <v>2872</v>
      </c>
      <c r="H874" s="20" t="s">
        <v>52</v>
      </c>
      <c r="I874" s="15">
        <v>1</v>
      </c>
      <c r="J874" s="15" t="s">
        <v>24</v>
      </c>
      <c r="K874" s="15"/>
      <c r="L874" s="21" t="s">
        <v>18</v>
      </c>
      <c r="M874" s="22">
        <v>0</v>
      </c>
      <c r="N874" s="22">
        <v>-375</v>
      </c>
      <c r="O874" s="22">
        <v>7125</v>
      </c>
      <c r="P874" s="22">
        <v>7125</v>
      </c>
      <c r="Q874" t="str" cm="1">
        <f t="array" ref="Q874">_xlfn.TEXTJOIN("、",TRUE,IF('學員資料-三民高中'!$B$2:$B$454=$F874,'學員資料-三民高中'!$G$2:$G$454,""))</f>
        <v>0935202527</v>
      </c>
      <c r="R874" t="str" cm="1">
        <f t="array" ref="R874">_xlfn.TEXTJOIN("、",TRUE,IF('學員資料-新北高中'!$B$2:$B$583=$F874,'學員資料-新北高中'!$G$2:$G$583,""))</f>
        <v/>
      </c>
      <c r="S874" t="str" cm="1">
        <f t="array" ref="S874">_xlfn.TEXTJOIN("、",TRUE,IF('學員資料-三重商工'!$B$2:$B$472=$F874,'學員資料-三重商工'!$G$2:$G$472,""))</f>
        <v/>
      </c>
      <c r="T874">
        <f t="shared" si="13"/>
        <v>1</v>
      </c>
    </row>
    <row r="875" spans="1:20" ht="28.5" hidden="1" customHeight="1">
      <c r="A875" s="15">
        <v>874</v>
      </c>
      <c r="B875" s="16" t="s">
        <v>2873</v>
      </c>
      <c r="C875" s="17">
        <v>45898</v>
      </c>
      <c r="D875" s="15" t="s">
        <v>2874</v>
      </c>
      <c r="E875" s="23"/>
      <c r="F875" s="19" t="s">
        <v>2875</v>
      </c>
      <c r="G875" s="18" t="s">
        <v>2876</v>
      </c>
      <c r="H875" s="20" t="s">
        <v>99</v>
      </c>
      <c r="I875" s="15">
        <v>2</v>
      </c>
      <c r="J875" s="15" t="s">
        <v>24</v>
      </c>
      <c r="K875" s="15"/>
      <c r="L875" s="21" t="s">
        <v>18</v>
      </c>
      <c r="M875" s="22">
        <v>0</v>
      </c>
      <c r="N875" s="22">
        <v>-750</v>
      </c>
      <c r="O875" s="22">
        <v>14250</v>
      </c>
      <c r="P875" s="22">
        <v>14250</v>
      </c>
      <c r="Q875" t="str" cm="1">
        <f t="array" ref="Q875">_xlfn.TEXTJOIN("、",TRUE,IF('學員資料-三民高中'!$B$2:$B$454=$F875,'學員資料-三民高中'!$G$2:$G$454,""))</f>
        <v/>
      </c>
      <c r="R875" t="str" cm="1">
        <f t="array" ref="R875">_xlfn.TEXTJOIN("、",TRUE,IF('學員資料-新北高中'!$B$2:$B$583=$F875,'學員資料-新北高中'!$G$2:$G$583,""))</f>
        <v>0933047757</v>
      </c>
      <c r="S875" t="str" cm="1">
        <f t="array" ref="S875">_xlfn.TEXTJOIN("、",TRUE,IF('學員資料-三重商工'!$B$2:$B$472=$F875,'學員資料-三重商工'!$G$2:$G$472,""))</f>
        <v/>
      </c>
      <c r="T875">
        <f t="shared" si="13"/>
        <v>1</v>
      </c>
    </row>
    <row r="876" spans="1:20" ht="14.25" hidden="1" customHeight="1">
      <c r="A876" s="15">
        <v>875</v>
      </c>
      <c r="B876" s="16" t="s">
        <v>2877</v>
      </c>
      <c r="C876" s="17">
        <v>45898</v>
      </c>
      <c r="D876" s="15" t="s">
        <v>2878</v>
      </c>
      <c r="E876" s="23"/>
      <c r="F876" s="19" t="s">
        <v>1345</v>
      </c>
      <c r="G876" s="18" t="s">
        <v>1346</v>
      </c>
      <c r="H876" s="20" t="s">
        <v>52</v>
      </c>
      <c r="I876" s="15">
        <v>1</v>
      </c>
      <c r="J876" s="15" t="s">
        <v>24</v>
      </c>
      <c r="K876" s="15"/>
      <c r="L876" s="21" t="s">
        <v>18</v>
      </c>
      <c r="M876" s="22">
        <v>0</v>
      </c>
      <c r="N876" s="22">
        <v>-375</v>
      </c>
      <c r="O876" s="22">
        <v>7125</v>
      </c>
      <c r="P876" s="22">
        <v>7125</v>
      </c>
      <c r="Q876" t="str" cm="1">
        <f t="array" ref="Q876">_xlfn.TEXTJOIN("、",TRUE,IF('學員資料-三民高中'!$B$2:$B$454=$F876,'學員資料-三民高中'!$G$2:$G$454,""))</f>
        <v>0982307834</v>
      </c>
      <c r="R876" t="str" cm="1">
        <f t="array" ref="R876">_xlfn.TEXTJOIN("、",TRUE,IF('學員資料-新北高中'!$B$2:$B$583=$F876,'學員資料-新北高中'!$G$2:$G$583,""))</f>
        <v/>
      </c>
      <c r="S876" t="str" cm="1">
        <f t="array" ref="S876">_xlfn.TEXTJOIN("、",TRUE,IF('學員資料-三重商工'!$B$2:$B$472=$F876,'學員資料-三重商工'!$G$2:$G$472,""))</f>
        <v/>
      </c>
      <c r="T876">
        <f t="shared" si="13"/>
        <v>1</v>
      </c>
    </row>
    <row r="877" spans="1:20" ht="14.25" hidden="1" customHeight="1">
      <c r="A877" s="15">
        <v>876</v>
      </c>
      <c r="B877" s="16" t="s">
        <v>2879</v>
      </c>
      <c r="C877" s="17">
        <v>45897</v>
      </c>
      <c r="D877" s="15" t="s">
        <v>2880</v>
      </c>
      <c r="E877" s="18" t="s">
        <v>537</v>
      </c>
      <c r="F877" s="19" t="s">
        <v>2881</v>
      </c>
      <c r="G877" s="18" t="s">
        <v>319</v>
      </c>
      <c r="H877" s="20" t="s">
        <v>52</v>
      </c>
      <c r="I877" s="15">
        <v>1</v>
      </c>
      <c r="J877" s="15" t="s">
        <v>24</v>
      </c>
      <c r="K877" s="15"/>
      <c r="L877" s="21" t="s">
        <v>16</v>
      </c>
      <c r="M877" s="22">
        <v>0</v>
      </c>
      <c r="N877" s="22">
        <v>-375</v>
      </c>
      <c r="O877" s="22">
        <v>7125</v>
      </c>
      <c r="P877" s="22">
        <v>7125</v>
      </c>
      <c r="Q877" t="str" cm="1">
        <f t="array" ref="Q877">_xlfn.TEXTJOIN("、",TRUE,IF('學員資料-三民高中'!$B$2:$B$454=$F877,'學員資料-三民高中'!$G$2:$G$454,""))</f>
        <v/>
      </c>
      <c r="R877" t="str" cm="1">
        <f t="array" ref="R877">_xlfn.TEXTJOIN("、",TRUE,IF('學員資料-新北高中'!$B$2:$B$583=$F877,'學員資料-新北高中'!$G$2:$G$583,""))</f>
        <v>0980465708</v>
      </c>
      <c r="S877" t="str" cm="1">
        <f t="array" ref="S877">_xlfn.TEXTJOIN("、",TRUE,IF('學員資料-三重商工'!$B$2:$B$472=$F877,'學員資料-三重商工'!$G$2:$G$472,""))</f>
        <v/>
      </c>
      <c r="T877">
        <f t="shared" si="13"/>
        <v>1</v>
      </c>
    </row>
    <row r="878" spans="1:20" ht="14.25" hidden="1" customHeight="1">
      <c r="A878" s="15">
        <v>877</v>
      </c>
      <c r="B878" s="16" t="s">
        <v>2882</v>
      </c>
      <c r="C878" s="17">
        <v>45897</v>
      </c>
      <c r="D878" s="15" t="s">
        <v>2883</v>
      </c>
      <c r="E878" s="18" t="s">
        <v>537</v>
      </c>
      <c r="F878" s="19" t="s">
        <v>2104</v>
      </c>
      <c r="G878" s="18" t="s">
        <v>2105</v>
      </c>
      <c r="H878" s="20" t="s">
        <v>683</v>
      </c>
      <c r="I878" s="15">
        <v>1</v>
      </c>
      <c r="J878" s="15" t="s">
        <v>23</v>
      </c>
      <c r="K878" s="15"/>
      <c r="L878" s="21" t="s">
        <v>16</v>
      </c>
      <c r="M878" s="22">
        <v>0</v>
      </c>
      <c r="N878" s="22">
        <v>-450</v>
      </c>
      <c r="O878" s="22">
        <v>8550</v>
      </c>
      <c r="P878" s="22">
        <v>8550</v>
      </c>
      <c r="Q878" t="str" cm="1">
        <f t="array" ref="Q878">_xlfn.TEXTJOIN("、",TRUE,IF('學員資料-三民高中'!$B$2:$B$454=$F878,'學員資料-三民高中'!$G$2:$G$454,""))</f>
        <v/>
      </c>
      <c r="R878" t="str" cm="1">
        <f t="array" ref="R878">_xlfn.TEXTJOIN("、",TRUE,IF('學員資料-新北高中'!$B$2:$B$583=$F878,'學員資料-新北高中'!$G$2:$G$583,""))</f>
        <v>0916333432</v>
      </c>
      <c r="S878" t="str" cm="1">
        <f t="array" ref="S878">_xlfn.TEXTJOIN("、",TRUE,IF('學員資料-三重商工'!$B$2:$B$472=$F878,'學員資料-三重商工'!$G$2:$G$472,""))</f>
        <v/>
      </c>
      <c r="T878">
        <f t="shared" si="13"/>
        <v>1</v>
      </c>
    </row>
    <row r="879" spans="1:20" ht="14.25" hidden="1" customHeight="1">
      <c r="A879" s="15">
        <v>878</v>
      </c>
      <c r="B879" s="16" t="s">
        <v>2884</v>
      </c>
      <c r="C879" s="17">
        <v>45897</v>
      </c>
      <c r="D879" s="15" t="s">
        <v>2885</v>
      </c>
      <c r="E879" s="23"/>
      <c r="F879" s="19" t="s">
        <v>622</v>
      </c>
      <c r="G879" s="18" t="s">
        <v>623</v>
      </c>
      <c r="H879" s="20" t="s">
        <v>52</v>
      </c>
      <c r="I879" s="15">
        <v>1</v>
      </c>
      <c r="J879" s="15" t="s">
        <v>24</v>
      </c>
      <c r="K879" s="15"/>
      <c r="L879" s="21" t="s">
        <v>18</v>
      </c>
      <c r="M879" s="22">
        <v>0</v>
      </c>
      <c r="N879" s="22">
        <v>-375</v>
      </c>
      <c r="O879" s="22">
        <v>7125</v>
      </c>
      <c r="P879" s="22">
        <v>7125</v>
      </c>
      <c r="Q879" t="str" cm="1">
        <f t="array" ref="Q879">_xlfn.TEXTJOIN("、",TRUE,IF('學員資料-三民高中'!$B$2:$B$454=$F879,'學員資料-三民高中'!$G$2:$G$454,""))</f>
        <v/>
      </c>
      <c r="R879" t="str" cm="1">
        <f t="array" ref="R879">_xlfn.TEXTJOIN("、",TRUE,IF('學員資料-新北高中'!$B$2:$B$583=$F879,'學員資料-新北高中'!$G$2:$G$583,""))</f>
        <v/>
      </c>
      <c r="S879" t="str" cm="1">
        <f t="array" ref="S879">_xlfn.TEXTJOIN("、",TRUE,IF('學員資料-三重商工'!$B$2:$B$472=$F879,'學員資料-三重商工'!$G$2:$G$472,""))</f>
        <v>0989564153</v>
      </c>
      <c r="T879">
        <f t="shared" si="13"/>
        <v>1</v>
      </c>
    </row>
    <row r="880" spans="1:20" ht="14.25" hidden="1" customHeight="1">
      <c r="A880" s="15">
        <v>879</v>
      </c>
      <c r="B880" s="16" t="s">
        <v>2886</v>
      </c>
      <c r="C880" s="17">
        <v>45897</v>
      </c>
      <c r="D880" s="15" t="s">
        <v>2887</v>
      </c>
      <c r="E880" s="23"/>
      <c r="F880" s="19" t="s">
        <v>2702</v>
      </c>
      <c r="G880" s="18" t="s">
        <v>2703</v>
      </c>
      <c r="H880" s="20" t="s">
        <v>66</v>
      </c>
      <c r="I880" s="15">
        <v>1</v>
      </c>
      <c r="J880" s="15" t="s">
        <v>23</v>
      </c>
      <c r="K880" s="15"/>
      <c r="L880" s="21" t="s">
        <v>18</v>
      </c>
      <c r="M880" s="22">
        <v>0</v>
      </c>
      <c r="N880" s="22">
        <v>-345</v>
      </c>
      <c r="O880" s="22">
        <v>6555</v>
      </c>
      <c r="P880" s="22">
        <v>6555</v>
      </c>
      <c r="Q880" t="str" cm="1">
        <f t="array" ref="Q880">_xlfn.TEXTJOIN("、",TRUE,IF('學員資料-三民高中'!$B$2:$B$454=$F880,'學員資料-三民高中'!$G$2:$G$454,""))</f>
        <v/>
      </c>
      <c r="R880" t="str" cm="1">
        <f t="array" ref="R880">_xlfn.TEXTJOIN("、",TRUE,IF('學員資料-新北高中'!$B$2:$B$583=$F880,'學員資料-新北高中'!$G$2:$G$583,""))</f>
        <v/>
      </c>
      <c r="S880" t="str" cm="1">
        <f t="array" ref="S880">_xlfn.TEXTJOIN("、",TRUE,IF('學員資料-三重商工'!$B$2:$B$472=$F880,'學員資料-三重商工'!$G$2:$G$472,""))</f>
        <v>0987331897</v>
      </c>
      <c r="T880">
        <f t="shared" si="13"/>
        <v>1</v>
      </c>
    </row>
    <row r="881" spans="1:20" ht="14.25" hidden="1" customHeight="1">
      <c r="A881" s="15">
        <v>880</v>
      </c>
      <c r="B881" s="16" t="s">
        <v>2888</v>
      </c>
      <c r="C881" s="17">
        <v>45897</v>
      </c>
      <c r="D881" s="15" t="s">
        <v>2889</v>
      </c>
      <c r="E881" s="23"/>
      <c r="F881" s="19" t="s">
        <v>1629</v>
      </c>
      <c r="G881" s="18" t="s">
        <v>1630</v>
      </c>
      <c r="H881" s="20" t="s">
        <v>130</v>
      </c>
      <c r="I881" s="15">
        <v>1</v>
      </c>
      <c r="J881" s="15" t="s">
        <v>25</v>
      </c>
      <c r="K881" s="15"/>
      <c r="L881" s="21" t="s">
        <v>18</v>
      </c>
      <c r="M881" s="22">
        <v>0</v>
      </c>
      <c r="N881" s="22">
        <v>-990</v>
      </c>
      <c r="O881" s="22">
        <v>8910</v>
      </c>
      <c r="P881" s="22">
        <v>8910</v>
      </c>
      <c r="Q881" t="str" cm="1">
        <f t="array" ref="Q881">_xlfn.TEXTJOIN("、",TRUE,IF('學員資料-三民高中'!$B$2:$B$454=$F881,'學員資料-三民高中'!$G$2:$G$454,""))</f>
        <v>0933137895</v>
      </c>
      <c r="R881" t="str" cm="1">
        <f t="array" ref="R881">_xlfn.TEXTJOIN("、",TRUE,IF('學員資料-新北高中'!$B$2:$B$583=$F881,'學員資料-新北高中'!$G$2:$G$583,""))</f>
        <v/>
      </c>
      <c r="S881" t="str" cm="1">
        <f t="array" ref="S881">_xlfn.TEXTJOIN("、",TRUE,IF('學員資料-三重商工'!$B$2:$B$472=$F881,'學員資料-三重商工'!$G$2:$G$472,""))</f>
        <v/>
      </c>
      <c r="T881">
        <f t="shared" si="13"/>
        <v>1</v>
      </c>
    </row>
    <row r="882" spans="1:20" ht="14.25" hidden="1" customHeight="1">
      <c r="A882" s="15">
        <v>881</v>
      </c>
      <c r="B882" s="16" t="s">
        <v>2890</v>
      </c>
      <c r="C882" s="17">
        <v>45897</v>
      </c>
      <c r="D882" s="15" t="s">
        <v>2891</v>
      </c>
      <c r="E882" s="23"/>
      <c r="F882" s="19" t="s">
        <v>1629</v>
      </c>
      <c r="G882" s="18" t="s">
        <v>1630</v>
      </c>
      <c r="H882" s="20" t="s">
        <v>130</v>
      </c>
      <c r="I882" s="15">
        <v>1</v>
      </c>
      <c r="J882" s="15" t="s">
        <v>25</v>
      </c>
      <c r="K882" s="15"/>
      <c r="L882" s="21" t="s">
        <v>18</v>
      </c>
      <c r="M882" s="22">
        <v>0</v>
      </c>
      <c r="N882" s="22">
        <v>-990</v>
      </c>
      <c r="O882" s="22">
        <v>8910</v>
      </c>
      <c r="P882" s="22">
        <v>8910</v>
      </c>
      <c r="Q882" t="str" cm="1">
        <f t="array" ref="Q882">_xlfn.TEXTJOIN("、",TRUE,IF('學員資料-三民高中'!$B$2:$B$454=$F882,'學員資料-三民高中'!$G$2:$G$454,""))</f>
        <v>0933137895</v>
      </c>
      <c r="R882" t="str" cm="1">
        <f t="array" ref="R882">_xlfn.TEXTJOIN("、",TRUE,IF('學員資料-新北高中'!$B$2:$B$583=$F882,'學員資料-新北高中'!$G$2:$G$583,""))</f>
        <v/>
      </c>
      <c r="S882" t="str" cm="1">
        <f t="array" ref="S882">_xlfn.TEXTJOIN("、",TRUE,IF('學員資料-三重商工'!$B$2:$B$472=$F882,'學員資料-三重商工'!$G$2:$G$472,""))</f>
        <v/>
      </c>
      <c r="T882">
        <f t="shared" si="13"/>
        <v>1</v>
      </c>
    </row>
    <row r="883" spans="1:20" ht="14.25" hidden="1" customHeight="1">
      <c r="A883" s="15">
        <v>882</v>
      </c>
      <c r="B883" s="16" t="s">
        <v>2892</v>
      </c>
      <c r="C883" s="17">
        <v>45897</v>
      </c>
      <c r="D883" s="15" t="s">
        <v>2893</v>
      </c>
      <c r="E883" s="23"/>
      <c r="F883" s="19" t="s">
        <v>1629</v>
      </c>
      <c r="G883" s="18" t="s">
        <v>1630</v>
      </c>
      <c r="H883" s="20" t="s">
        <v>130</v>
      </c>
      <c r="I883" s="15">
        <v>1</v>
      </c>
      <c r="J883" s="15" t="s">
        <v>25</v>
      </c>
      <c r="K883" s="15"/>
      <c r="L883" s="21" t="s">
        <v>18</v>
      </c>
      <c r="M883" s="22">
        <v>0</v>
      </c>
      <c r="N883" s="22">
        <v>-990</v>
      </c>
      <c r="O883" s="22">
        <v>8910</v>
      </c>
      <c r="P883" s="22">
        <v>8910</v>
      </c>
      <c r="Q883" t="str" cm="1">
        <f t="array" ref="Q883">_xlfn.TEXTJOIN("、",TRUE,IF('學員資料-三民高中'!$B$2:$B$454=$F883,'學員資料-三民高中'!$G$2:$G$454,""))</f>
        <v>0933137895</v>
      </c>
      <c r="R883" t="str" cm="1">
        <f t="array" ref="R883">_xlfn.TEXTJOIN("、",TRUE,IF('學員資料-新北高中'!$B$2:$B$583=$F883,'學員資料-新北高中'!$G$2:$G$583,""))</f>
        <v/>
      </c>
      <c r="S883" t="str" cm="1">
        <f t="array" ref="S883">_xlfn.TEXTJOIN("、",TRUE,IF('學員資料-三重商工'!$B$2:$B$472=$F883,'學員資料-三重商工'!$G$2:$G$472,""))</f>
        <v/>
      </c>
      <c r="T883">
        <f t="shared" si="13"/>
        <v>1</v>
      </c>
    </row>
    <row r="884" spans="1:20" ht="14.25" hidden="1" customHeight="1">
      <c r="A884" s="15">
        <v>883</v>
      </c>
      <c r="B884" s="16" t="s">
        <v>2894</v>
      </c>
      <c r="C884" s="17">
        <v>45897</v>
      </c>
      <c r="D884" s="15" t="s">
        <v>2895</v>
      </c>
      <c r="E884" s="23"/>
      <c r="F884" s="19" t="s">
        <v>2195</v>
      </c>
      <c r="G884" s="18" t="s">
        <v>2196</v>
      </c>
      <c r="H884" s="20" t="s">
        <v>52</v>
      </c>
      <c r="I884" s="15">
        <v>1</v>
      </c>
      <c r="J884" s="15" t="s">
        <v>24</v>
      </c>
      <c r="K884" s="15"/>
      <c r="L884" s="21" t="s">
        <v>18</v>
      </c>
      <c r="M884" s="22">
        <v>0</v>
      </c>
      <c r="N884" s="22">
        <v>-375</v>
      </c>
      <c r="O884" s="22">
        <v>7125</v>
      </c>
      <c r="P884" s="22">
        <v>7125</v>
      </c>
      <c r="Q884" t="str" cm="1">
        <f t="array" ref="Q884">_xlfn.TEXTJOIN("、",TRUE,IF('學員資料-三民高中'!$B$2:$B$454=$F884,'學員資料-三民高中'!$G$2:$G$454,""))</f>
        <v>0987870773</v>
      </c>
      <c r="R884" t="str" cm="1">
        <f t="array" ref="R884">_xlfn.TEXTJOIN("、",TRUE,IF('學員資料-新北高中'!$B$2:$B$583=$F884,'學員資料-新北高中'!$G$2:$G$583,""))</f>
        <v/>
      </c>
      <c r="S884" t="str" cm="1">
        <f t="array" ref="S884">_xlfn.TEXTJOIN("、",TRUE,IF('學員資料-三重商工'!$B$2:$B$472=$F884,'學員資料-三重商工'!$G$2:$G$472,""))</f>
        <v/>
      </c>
      <c r="T884">
        <f t="shared" si="13"/>
        <v>1</v>
      </c>
    </row>
    <row r="885" spans="1:20" ht="14.25" hidden="1" customHeight="1">
      <c r="A885" s="15">
        <v>884</v>
      </c>
      <c r="B885" s="16" t="s">
        <v>2896</v>
      </c>
      <c r="C885" s="17">
        <v>45897</v>
      </c>
      <c r="D885" s="15" t="s">
        <v>2897</v>
      </c>
      <c r="E885" s="23"/>
      <c r="F885" s="19" t="s">
        <v>2898</v>
      </c>
      <c r="G885" s="18" t="s">
        <v>2899</v>
      </c>
      <c r="H885" s="20" t="s">
        <v>66</v>
      </c>
      <c r="I885" s="15">
        <v>1</v>
      </c>
      <c r="J885" s="15" t="s">
        <v>23</v>
      </c>
      <c r="K885" s="15"/>
      <c r="L885" s="21" t="s">
        <v>16</v>
      </c>
      <c r="M885" s="22">
        <v>0</v>
      </c>
      <c r="N885" s="22">
        <v>-4830</v>
      </c>
      <c r="O885" s="22">
        <v>2070</v>
      </c>
      <c r="P885" s="22">
        <v>2070</v>
      </c>
      <c r="Q885" t="str" cm="1">
        <f t="array" ref="Q885">_xlfn.TEXTJOIN("、",TRUE,IF('學員資料-三民高中'!$B$2:$B$454=$F885,'學員資料-三民高中'!$G$2:$G$454,""))</f>
        <v/>
      </c>
      <c r="R885" t="str" cm="1">
        <f t="array" ref="R885">_xlfn.TEXTJOIN("、",TRUE,IF('學員資料-新北高中'!$B$2:$B$583=$F885,'學員資料-新北高中'!$G$2:$G$583,""))</f>
        <v/>
      </c>
      <c r="S885" t="str" cm="1">
        <f t="array" ref="S885">_xlfn.TEXTJOIN("、",TRUE,IF('學員資料-三重商工'!$B$2:$B$472=$F885,'學員資料-三重商工'!$G$2:$G$472,""))</f>
        <v>0911182938</v>
      </c>
      <c r="T885">
        <f t="shared" si="13"/>
        <v>1</v>
      </c>
    </row>
    <row r="886" spans="1:20" ht="14.25" hidden="1" customHeight="1">
      <c r="A886" s="15">
        <v>885</v>
      </c>
      <c r="B886" s="16" t="s">
        <v>2900</v>
      </c>
      <c r="C886" s="17">
        <v>45896</v>
      </c>
      <c r="D886" s="15" t="s">
        <v>2901</v>
      </c>
      <c r="E886" s="23"/>
      <c r="F886" s="19" t="s">
        <v>498</v>
      </c>
      <c r="G886" s="18" t="s">
        <v>499</v>
      </c>
      <c r="H886" s="20" t="s">
        <v>52</v>
      </c>
      <c r="I886" s="15">
        <v>1</v>
      </c>
      <c r="J886" s="15" t="s">
        <v>24</v>
      </c>
      <c r="K886" s="15"/>
      <c r="L886" s="21" t="s">
        <v>18</v>
      </c>
      <c r="M886" s="22">
        <v>0</v>
      </c>
      <c r="N886" s="22">
        <v>-375</v>
      </c>
      <c r="O886" s="22">
        <v>7125</v>
      </c>
      <c r="P886" s="22">
        <v>7125</v>
      </c>
      <c r="Q886" t="str" cm="1">
        <f t="array" ref="Q886">_xlfn.TEXTJOIN("、",TRUE,IF('學員資料-三民高中'!$B$2:$B$454=$F886,'學員資料-三民高中'!$G$2:$G$454,""))</f>
        <v/>
      </c>
      <c r="R886" t="str" cm="1">
        <f t="array" ref="R886">_xlfn.TEXTJOIN("、",TRUE,IF('學員資料-新北高中'!$B$2:$B$583=$F886,'學員資料-新北高中'!$G$2:$G$583,""))</f>
        <v/>
      </c>
      <c r="S886" t="str" cm="1">
        <f t="array" ref="S886">_xlfn.TEXTJOIN("、",TRUE,IF('學員資料-三重商工'!$B$2:$B$472=$F886,'學員資料-三重商工'!$G$2:$G$472,""))</f>
        <v>0986017777</v>
      </c>
      <c r="T886">
        <f t="shared" si="13"/>
        <v>1</v>
      </c>
    </row>
    <row r="887" spans="1:20" ht="14.25" hidden="1" customHeight="1">
      <c r="A887" s="15">
        <v>886</v>
      </c>
      <c r="B887" s="16" t="s">
        <v>2902</v>
      </c>
      <c r="C887" s="17">
        <v>45896</v>
      </c>
      <c r="D887" s="15" t="s">
        <v>2903</v>
      </c>
      <c r="E887" s="23"/>
      <c r="F887" s="19" t="s">
        <v>2904</v>
      </c>
      <c r="G887" s="18" t="s">
        <v>2905</v>
      </c>
      <c r="H887" s="20" t="s">
        <v>66</v>
      </c>
      <c r="I887" s="15">
        <v>1</v>
      </c>
      <c r="J887" s="15" t="s">
        <v>23</v>
      </c>
      <c r="K887" s="15"/>
      <c r="L887" s="21" t="s">
        <v>18</v>
      </c>
      <c r="M887" s="22">
        <v>0</v>
      </c>
      <c r="N887" s="22">
        <v>-345</v>
      </c>
      <c r="O887" s="22">
        <v>6555</v>
      </c>
      <c r="P887" s="22">
        <v>6555</v>
      </c>
      <c r="Q887" t="str" cm="1">
        <f t="array" ref="Q887">_xlfn.TEXTJOIN("、",TRUE,IF('學員資料-三民高中'!$B$2:$B$454=$F887,'學員資料-三民高中'!$G$2:$G$454,""))</f>
        <v/>
      </c>
      <c r="R887" t="str" cm="1">
        <f t="array" ref="R887">_xlfn.TEXTJOIN("、",TRUE,IF('學員資料-新北高中'!$B$2:$B$583=$F887,'學員資料-新北高中'!$G$2:$G$583,""))</f>
        <v/>
      </c>
      <c r="S887" t="str" cm="1">
        <f t="array" ref="S887">_xlfn.TEXTJOIN("、",TRUE,IF('學員資料-三重商工'!$B$2:$B$472=$F887,'學員資料-三重商工'!$G$2:$G$472,""))</f>
        <v>0986122202</v>
      </c>
      <c r="T887">
        <f t="shared" si="13"/>
        <v>1</v>
      </c>
    </row>
    <row r="888" spans="1:20" ht="14.25" hidden="1" customHeight="1">
      <c r="A888" s="15">
        <v>887</v>
      </c>
      <c r="B888" s="16" t="s">
        <v>2906</v>
      </c>
      <c r="C888" s="17">
        <v>45896</v>
      </c>
      <c r="D888" s="15" t="s">
        <v>2907</v>
      </c>
      <c r="E888" s="23"/>
      <c r="F888" s="19" t="s">
        <v>2904</v>
      </c>
      <c r="G888" s="18" t="s">
        <v>2905</v>
      </c>
      <c r="H888" s="20" t="s">
        <v>66</v>
      </c>
      <c r="I888" s="15">
        <v>1</v>
      </c>
      <c r="J888" s="15" t="s">
        <v>23</v>
      </c>
      <c r="K888" s="15"/>
      <c r="L888" s="21" t="s">
        <v>18</v>
      </c>
      <c r="M888" s="22">
        <v>0</v>
      </c>
      <c r="N888" s="22">
        <v>-345</v>
      </c>
      <c r="O888" s="22">
        <v>6555</v>
      </c>
      <c r="P888" s="22">
        <v>6555</v>
      </c>
      <c r="Q888" t="str" cm="1">
        <f t="array" ref="Q888">_xlfn.TEXTJOIN("、",TRUE,IF('學員資料-三民高中'!$B$2:$B$454=$F888,'學員資料-三民高中'!$G$2:$G$454,""))</f>
        <v/>
      </c>
      <c r="R888" t="str" cm="1">
        <f t="array" ref="R888">_xlfn.TEXTJOIN("、",TRUE,IF('學員資料-新北高中'!$B$2:$B$583=$F888,'學員資料-新北高中'!$G$2:$G$583,""))</f>
        <v/>
      </c>
      <c r="S888" t="str" cm="1">
        <f t="array" ref="S888">_xlfn.TEXTJOIN("、",TRUE,IF('學員資料-三重商工'!$B$2:$B$472=$F888,'學員資料-三重商工'!$G$2:$G$472,""))</f>
        <v>0986122202</v>
      </c>
      <c r="T888">
        <f t="shared" si="13"/>
        <v>1</v>
      </c>
    </row>
    <row r="889" spans="1:20" ht="14.25" hidden="1" customHeight="1">
      <c r="A889" s="15">
        <v>888</v>
      </c>
      <c r="B889" s="16" t="s">
        <v>2908</v>
      </c>
      <c r="C889" s="17">
        <v>45896</v>
      </c>
      <c r="D889" s="15" t="s">
        <v>2909</v>
      </c>
      <c r="E889" s="23"/>
      <c r="F889" s="19" t="s">
        <v>2910</v>
      </c>
      <c r="G889" s="18" t="s">
        <v>2911</v>
      </c>
      <c r="H889" s="20" t="s">
        <v>130</v>
      </c>
      <c r="I889" s="15">
        <v>1</v>
      </c>
      <c r="J889" s="15" t="s">
        <v>25</v>
      </c>
      <c r="K889" s="15"/>
      <c r="L889" s="21" t="s">
        <v>18</v>
      </c>
      <c r="M889" s="22">
        <v>0</v>
      </c>
      <c r="N889" s="22">
        <v>-990</v>
      </c>
      <c r="O889" s="22">
        <v>8910</v>
      </c>
      <c r="P889" s="22">
        <v>8910</v>
      </c>
      <c r="Q889" t="str" cm="1">
        <f t="array" ref="Q889">_xlfn.TEXTJOIN("、",TRUE,IF('學員資料-三民高中'!$B$2:$B$454=$F889,'學員資料-三民高中'!$G$2:$G$454,""))</f>
        <v>0939918883</v>
      </c>
      <c r="R889" t="str" cm="1">
        <f t="array" ref="R889">_xlfn.TEXTJOIN("、",TRUE,IF('學員資料-新北高中'!$B$2:$B$583=$F889,'學員資料-新北高中'!$G$2:$G$583,""))</f>
        <v/>
      </c>
      <c r="S889" t="str" cm="1">
        <f t="array" ref="S889">_xlfn.TEXTJOIN("、",TRUE,IF('學員資料-三重商工'!$B$2:$B$472=$F889,'學員資料-三重商工'!$G$2:$G$472,""))</f>
        <v/>
      </c>
      <c r="T889">
        <f t="shared" si="13"/>
        <v>1</v>
      </c>
    </row>
    <row r="890" spans="1:20" ht="14.25" hidden="1" customHeight="1">
      <c r="A890" s="15">
        <v>889</v>
      </c>
      <c r="B890" s="16" t="s">
        <v>2912</v>
      </c>
      <c r="C890" s="17">
        <v>45895</v>
      </c>
      <c r="D890" s="15" t="s">
        <v>2913</v>
      </c>
      <c r="E890" s="23"/>
      <c r="F890" s="19" t="s">
        <v>2914</v>
      </c>
      <c r="G890" s="18" t="s">
        <v>2915</v>
      </c>
      <c r="H890" s="20" t="s">
        <v>52</v>
      </c>
      <c r="I890" s="15">
        <v>1</v>
      </c>
      <c r="J890" s="15" t="s">
        <v>24</v>
      </c>
      <c r="K890" s="15"/>
      <c r="L890" s="21" t="s">
        <v>18</v>
      </c>
      <c r="M890" s="22">
        <v>0</v>
      </c>
      <c r="N890" s="22">
        <v>-375</v>
      </c>
      <c r="O890" s="22">
        <v>7125</v>
      </c>
      <c r="P890" s="22">
        <v>7125</v>
      </c>
      <c r="Q890" t="str" cm="1">
        <f t="array" ref="Q890">_xlfn.TEXTJOIN("、",TRUE,IF('學員資料-三民高中'!$B$2:$B$454=$F890,'學員資料-三民高中'!$G$2:$G$454,""))</f>
        <v/>
      </c>
      <c r="R890" t="str" cm="1">
        <f t="array" ref="R890">_xlfn.TEXTJOIN("、",TRUE,IF('學員資料-新北高中'!$B$2:$B$583=$F890,'學員資料-新北高中'!$G$2:$G$583,""))</f>
        <v/>
      </c>
      <c r="S890" t="str" cm="1">
        <f t="array" ref="S890">_xlfn.TEXTJOIN("、",TRUE,IF('學員資料-三重商工'!$B$2:$B$472=$F890,'學員資料-三重商工'!$G$2:$G$472,""))</f>
        <v>0932215527</v>
      </c>
      <c r="T890">
        <f t="shared" si="13"/>
        <v>1</v>
      </c>
    </row>
    <row r="891" spans="1:20" ht="28.5" hidden="1" customHeight="1">
      <c r="A891" s="15">
        <v>890</v>
      </c>
      <c r="B891" s="16" t="s">
        <v>2916</v>
      </c>
      <c r="C891" s="17">
        <v>45895</v>
      </c>
      <c r="D891" s="15" t="s">
        <v>2917</v>
      </c>
      <c r="E891" s="18" t="s">
        <v>78</v>
      </c>
      <c r="F891" s="19" t="s">
        <v>1684</v>
      </c>
      <c r="G891" s="18" t="s">
        <v>1685</v>
      </c>
      <c r="H891" s="20" t="s">
        <v>75</v>
      </c>
      <c r="I891" s="15">
        <v>2</v>
      </c>
      <c r="J891" s="15" t="s">
        <v>23</v>
      </c>
      <c r="K891" s="15"/>
      <c r="L891" s="21" t="s">
        <v>16</v>
      </c>
      <c r="M891" s="22">
        <v>0</v>
      </c>
      <c r="N891" s="22">
        <v>-690</v>
      </c>
      <c r="O891" s="22">
        <v>13110</v>
      </c>
      <c r="P891" s="22">
        <v>13110</v>
      </c>
      <c r="Q891" t="str" cm="1">
        <f t="array" ref="Q891">_xlfn.TEXTJOIN("、",TRUE,IF('學員資料-三民高中'!$B$2:$B$454=$F891,'學員資料-三民高中'!$G$2:$G$454,""))</f>
        <v/>
      </c>
      <c r="R891" t="str" cm="1">
        <f t="array" ref="R891">_xlfn.TEXTJOIN("、",TRUE,IF('學員資料-新北高中'!$B$2:$B$583=$F891,'學員資料-新北高中'!$G$2:$G$583,""))</f>
        <v>0919705056</v>
      </c>
      <c r="S891" t="str" cm="1">
        <f t="array" ref="S891">_xlfn.TEXTJOIN("、",TRUE,IF('學員資料-三重商工'!$B$2:$B$472=$F891,'學員資料-三重商工'!$G$2:$G$472,""))</f>
        <v/>
      </c>
      <c r="T891">
        <f t="shared" si="13"/>
        <v>1</v>
      </c>
    </row>
    <row r="892" spans="1:20" ht="14.25" hidden="1" customHeight="1">
      <c r="A892" s="15">
        <v>891</v>
      </c>
      <c r="B892" s="16" t="s">
        <v>2918</v>
      </c>
      <c r="C892" s="17">
        <v>45895</v>
      </c>
      <c r="D892" s="15" t="s">
        <v>2919</v>
      </c>
      <c r="E892" s="23"/>
      <c r="F892" s="19" t="s">
        <v>538</v>
      </c>
      <c r="G892" s="18" t="s">
        <v>539</v>
      </c>
      <c r="H892" s="20" t="s">
        <v>52</v>
      </c>
      <c r="I892" s="15">
        <v>1</v>
      </c>
      <c r="J892" s="15" t="s">
        <v>24</v>
      </c>
      <c r="K892" s="15"/>
      <c r="L892" s="21" t="s">
        <v>18</v>
      </c>
      <c r="M892" s="22">
        <v>0</v>
      </c>
      <c r="N892" s="22">
        <v>-375</v>
      </c>
      <c r="O892" s="22">
        <v>7125</v>
      </c>
      <c r="P892" s="22">
        <v>7125</v>
      </c>
      <c r="Q892" t="str" cm="1">
        <f t="array" ref="Q892">_xlfn.TEXTJOIN("、",TRUE,IF('學員資料-三民高中'!$B$2:$B$454=$F892,'學員資料-三民高中'!$G$2:$G$454,""))</f>
        <v>0939973562</v>
      </c>
      <c r="R892" t="str" cm="1">
        <f t="array" ref="R892">_xlfn.TEXTJOIN("、",TRUE,IF('學員資料-新北高中'!$B$2:$B$583=$F892,'學員資料-新北高中'!$G$2:$G$583,""))</f>
        <v/>
      </c>
      <c r="S892" t="str" cm="1">
        <f t="array" ref="S892">_xlfn.TEXTJOIN("、",TRUE,IF('學員資料-三重商工'!$B$2:$B$472=$F892,'學員資料-三重商工'!$G$2:$G$472,""))</f>
        <v/>
      </c>
      <c r="T892">
        <f t="shared" si="13"/>
        <v>1</v>
      </c>
    </row>
    <row r="893" spans="1:20" ht="14.25" hidden="1" customHeight="1">
      <c r="A893" s="15">
        <v>892</v>
      </c>
      <c r="B893" s="16" t="s">
        <v>2920</v>
      </c>
      <c r="C893" s="17">
        <v>45895</v>
      </c>
      <c r="D893" s="15" t="s">
        <v>2921</v>
      </c>
      <c r="E893" s="23"/>
      <c r="F893" s="19" t="s">
        <v>1588</v>
      </c>
      <c r="G893" s="18" t="s">
        <v>1589</v>
      </c>
      <c r="H893" s="20" t="s">
        <v>52</v>
      </c>
      <c r="I893" s="15">
        <v>1</v>
      </c>
      <c r="J893" s="15" t="s">
        <v>24</v>
      </c>
      <c r="K893" s="15"/>
      <c r="L893" s="21" t="s">
        <v>17</v>
      </c>
      <c r="M893" s="22">
        <v>0</v>
      </c>
      <c r="N893" s="22">
        <v>-375</v>
      </c>
      <c r="O893" s="22">
        <v>7125</v>
      </c>
      <c r="P893" s="22">
        <v>7125</v>
      </c>
      <c r="Q893" t="str" cm="1">
        <f t="array" ref="Q893">_xlfn.TEXTJOIN("、",TRUE,IF('學員資料-三民高中'!$B$2:$B$454=$F893,'學員資料-三民高中'!$G$2:$G$454,""))</f>
        <v/>
      </c>
      <c r="R893" t="str" cm="1">
        <f t="array" ref="R893">_xlfn.TEXTJOIN("、",TRUE,IF('學員資料-新北高中'!$B$2:$B$583=$F893,'學員資料-新北高中'!$G$2:$G$583,""))</f>
        <v/>
      </c>
      <c r="S893" t="str" cm="1">
        <f t="array" ref="S893">_xlfn.TEXTJOIN("、",TRUE,IF('學員資料-三重商工'!$B$2:$B$472=$F893,'學員資料-三重商工'!$G$2:$G$472,""))</f>
        <v>0925328828</v>
      </c>
      <c r="T893">
        <f t="shared" si="13"/>
        <v>1</v>
      </c>
    </row>
    <row r="894" spans="1:20" ht="14.25" hidden="1" customHeight="1">
      <c r="A894" s="15">
        <v>893</v>
      </c>
      <c r="B894" s="16" t="s">
        <v>2922</v>
      </c>
      <c r="C894" s="17">
        <v>45895</v>
      </c>
      <c r="D894" s="15" t="s">
        <v>2923</v>
      </c>
      <c r="E894" s="23"/>
      <c r="F894" s="19" t="s">
        <v>1588</v>
      </c>
      <c r="G894" s="18" t="s">
        <v>1589</v>
      </c>
      <c r="H894" s="20" t="s">
        <v>52</v>
      </c>
      <c r="I894" s="15">
        <v>1</v>
      </c>
      <c r="J894" s="15" t="s">
        <v>24</v>
      </c>
      <c r="K894" s="15"/>
      <c r="L894" s="21" t="s">
        <v>17</v>
      </c>
      <c r="M894" s="22">
        <v>0</v>
      </c>
      <c r="N894" s="22">
        <v>-375</v>
      </c>
      <c r="O894" s="22">
        <v>7125</v>
      </c>
      <c r="P894" s="22">
        <v>7125</v>
      </c>
      <c r="Q894" t="str" cm="1">
        <f t="array" ref="Q894">_xlfn.TEXTJOIN("、",TRUE,IF('學員資料-三民高中'!$B$2:$B$454=$F894,'學員資料-三民高中'!$G$2:$G$454,""))</f>
        <v/>
      </c>
      <c r="R894" t="str" cm="1">
        <f t="array" ref="R894">_xlfn.TEXTJOIN("、",TRUE,IF('學員資料-新北高中'!$B$2:$B$583=$F894,'學員資料-新北高中'!$G$2:$G$583,""))</f>
        <v/>
      </c>
      <c r="S894" t="str" cm="1">
        <f t="array" ref="S894">_xlfn.TEXTJOIN("、",TRUE,IF('學員資料-三重商工'!$B$2:$B$472=$F894,'學員資料-三重商工'!$G$2:$G$472,""))</f>
        <v>0925328828</v>
      </c>
      <c r="T894">
        <f t="shared" si="13"/>
        <v>1</v>
      </c>
    </row>
    <row r="895" spans="1:20" ht="14.25" hidden="1" customHeight="1">
      <c r="A895" s="15">
        <v>894</v>
      </c>
      <c r="B895" s="16" t="s">
        <v>2924</v>
      </c>
      <c r="C895" s="17">
        <v>45895</v>
      </c>
      <c r="D895" s="15" t="s">
        <v>2925</v>
      </c>
      <c r="E895" s="23"/>
      <c r="F895" s="19" t="s">
        <v>2926</v>
      </c>
      <c r="G895" s="18" t="s">
        <v>1926</v>
      </c>
      <c r="H895" s="20" t="s">
        <v>66</v>
      </c>
      <c r="I895" s="15">
        <v>1</v>
      </c>
      <c r="J895" s="15" t="s">
        <v>23</v>
      </c>
      <c r="K895" s="15"/>
      <c r="L895" s="21" t="s">
        <v>17</v>
      </c>
      <c r="M895" s="22">
        <v>0</v>
      </c>
      <c r="N895" s="22">
        <v>-345</v>
      </c>
      <c r="O895" s="22">
        <v>6555</v>
      </c>
      <c r="P895" s="22">
        <v>6555</v>
      </c>
      <c r="Q895" t="str" cm="1">
        <f t="array" ref="Q895">_xlfn.TEXTJOIN("、",TRUE,IF('學員資料-三民高中'!$B$2:$B$454=$F895,'學員資料-三民高中'!$G$2:$G$454,""))</f>
        <v/>
      </c>
      <c r="R895" t="str" cm="1">
        <f t="array" ref="R895">_xlfn.TEXTJOIN("、",TRUE,IF('學員資料-新北高中'!$B$2:$B$583=$F895,'學員資料-新北高中'!$G$2:$G$583,""))</f>
        <v/>
      </c>
      <c r="S895" t="str" cm="1">
        <f t="array" ref="S895">_xlfn.TEXTJOIN("、",TRUE,IF('學員資料-三重商工'!$B$2:$B$472=$F895,'學員資料-三重商工'!$G$2:$G$472,""))</f>
        <v>0902228252-1</v>
      </c>
      <c r="T895">
        <f t="shared" si="13"/>
        <v>1</v>
      </c>
    </row>
    <row r="896" spans="1:20" ht="14.25" hidden="1" customHeight="1">
      <c r="A896" s="15">
        <v>895</v>
      </c>
      <c r="B896" s="16" t="s">
        <v>2927</v>
      </c>
      <c r="C896" s="17">
        <v>45895</v>
      </c>
      <c r="D896" s="15" t="s">
        <v>2928</v>
      </c>
      <c r="E896" s="23"/>
      <c r="F896" s="19" t="s">
        <v>2929</v>
      </c>
      <c r="G896" s="18" t="s">
        <v>2930</v>
      </c>
      <c r="H896" s="20" t="s">
        <v>66</v>
      </c>
      <c r="I896" s="15">
        <v>1</v>
      </c>
      <c r="J896" s="15" t="s">
        <v>23</v>
      </c>
      <c r="K896" s="15"/>
      <c r="L896" s="21" t="s">
        <v>17</v>
      </c>
      <c r="M896" s="22">
        <v>0</v>
      </c>
      <c r="N896" s="22">
        <v>-345</v>
      </c>
      <c r="O896" s="22">
        <v>6555</v>
      </c>
      <c r="P896" s="22">
        <v>6555</v>
      </c>
      <c r="Q896" t="str" cm="1">
        <f t="array" ref="Q896">_xlfn.TEXTJOIN("、",TRUE,IF('學員資料-三民高中'!$B$2:$B$454=$F896,'學員資料-三民高中'!$G$2:$G$454,""))</f>
        <v/>
      </c>
      <c r="R896" t="str" cm="1">
        <f t="array" ref="R896">_xlfn.TEXTJOIN("、",TRUE,IF('學員資料-新北高中'!$B$2:$B$583=$F896,'學員資料-新北高中'!$G$2:$G$583,""))</f>
        <v/>
      </c>
      <c r="S896" t="str" cm="1">
        <f t="array" ref="S896">_xlfn.TEXTJOIN("、",TRUE,IF('學員資料-三重商工'!$B$2:$B$472=$F896,'學員資料-三重商工'!$G$2:$G$472,""))</f>
        <v>0918562803</v>
      </c>
      <c r="T896">
        <f t="shared" si="13"/>
        <v>1</v>
      </c>
    </row>
    <row r="897" spans="1:20" ht="14.25" hidden="1" customHeight="1">
      <c r="A897" s="15">
        <v>896</v>
      </c>
      <c r="B897" s="16" t="s">
        <v>2931</v>
      </c>
      <c r="C897" s="17">
        <v>45895</v>
      </c>
      <c r="D897" s="15" t="s">
        <v>2932</v>
      </c>
      <c r="E897" s="23"/>
      <c r="F897" s="19" t="s">
        <v>2933</v>
      </c>
      <c r="G897" s="18" t="s">
        <v>2934</v>
      </c>
      <c r="H897" s="20" t="s">
        <v>683</v>
      </c>
      <c r="I897" s="15">
        <v>1</v>
      </c>
      <c r="J897" s="15" t="s">
        <v>23</v>
      </c>
      <c r="K897" s="15"/>
      <c r="L897" s="21" t="s">
        <v>17</v>
      </c>
      <c r="M897" s="22">
        <v>0</v>
      </c>
      <c r="N897" s="22">
        <v>-450</v>
      </c>
      <c r="O897" s="22">
        <v>8550</v>
      </c>
      <c r="P897" s="22">
        <v>8550</v>
      </c>
      <c r="Q897" t="str" cm="1">
        <f t="array" ref="Q897">_xlfn.TEXTJOIN("、",TRUE,IF('學員資料-三民高中'!$B$2:$B$454=$F897,'學員資料-三民高中'!$G$2:$G$454,""))</f>
        <v/>
      </c>
      <c r="R897" t="str" cm="1">
        <f t="array" ref="R897">_xlfn.TEXTJOIN("、",TRUE,IF('學員資料-新北高中'!$B$2:$B$583=$F897,'學員資料-新北高中'!$G$2:$G$583,""))</f>
        <v/>
      </c>
      <c r="S897" t="str" cm="1">
        <f t="array" ref="S897">_xlfn.TEXTJOIN("、",TRUE,IF('學員資料-三重商工'!$B$2:$B$472=$F897,'學員資料-三重商工'!$G$2:$G$472,""))</f>
        <v>0987021755</v>
      </c>
      <c r="T897">
        <f t="shared" si="13"/>
        <v>1</v>
      </c>
    </row>
    <row r="898" spans="1:20" ht="43.5" hidden="1" customHeight="1">
      <c r="A898" s="15">
        <v>897</v>
      </c>
      <c r="B898" s="16" t="s">
        <v>2935</v>
      </c>
      <c r="C898" s="17">
        <v>45895</v>
      </c>
      <c r="D898" s="15" t="s">
        <v>2936</v>
      </c>
      <c r="E898" s="23"/>
      <c r="F898" s="19" t="s">
        <v>2937</v>
      </c>
      <c r="G898" s="18" t="s">
        <v>2938</v>
      </c>
      <c r="H898" s="20" t="s">
        <v>405</v>
      </c>
      <c r="I898" s="15">
        <v>3</v>
      </c>
      <c r="J898" s="15" t="s">
        <v>25</v>
      </c>
      <c r="K898" s="15"/>
      <c r="L898" s="21" t="s">
        <v>18</v>
      </c>
      <c r="M898" s="22">
        <v>0</v>
      </c>
      <c r="N898" s="22">
        <v>-2970</v>
      </c>
      <c r="O898" s="22">
        <v>26730</v>
      </c>
      <c r="P898" s="22">
        <v>26730</v>
      </c>
      <c r="Q898" t="str" cm="1">
        <f t="array" ref="Q898">_xlfn.TEXTJOIN("、",TRUE,IF('學員資料-三民高中'!$B$2:$B$454=$F898,'學員資料-三民高中'!$G$2:$G$454,""))</f>
        <v>0987015750</v>
      </c>
      <c r="R898" t="str" cm="1">
        <f t="array" ref="R898">_xlfn.TEXTJOIN("、",TRUE,IF('學員資料-新北高中'!$B$2:$B$583=$F898,'學員資料-新北高中'!$G$2:$G$583,""))</f>
        <v/>
      </c>
      <c r="S898" t="str" cm="1">
        <f t="array" ref="S898">_xlfn.TEXTJOIN("、",TRUE,IF('學員資料-三重商工'!$B$2:$B$472=$F898,'學員資料-三重商工'!$G$2:$G$472,""))</f>
        <v/>
      </c>
      <c r="T898">
        <f t="shared" si="13"/>
        <v>1</v>
      </c>
    </row>
    <row r="899" spans="1:20" ht="14.25" hidden="1" customHeight="1">
      <c r="A899" s="15">
        <v>898</v>
      </c>
      <c r="B899" s="16" t="s">
        <v>2939</v>
      </c>
      <c r="C899" s="17">
        <v>45895</v>
      </c>
      <c r="D899" s="15" t="s">
        <v>2940</v>
      </c>
      <c r="E899" s="23"/>
      <c r="F899" s="19" t="s">
        <v>2150</v>
      </c>
      <c r="G899" s="18" t="s">
        <v>2151</v>
      </c>
      <c r="H899" s="20" t="s">
        <v>130</v>
      </c>
      <c r="I899" s="15">
        <v>1</v>
      </c>
      <c r="J899" s="15" t="s">
        <v>25</v>
      </c>
      <c r="K899" s="15"/>
      <c r="L899" s="21" t="s">
        <v>18</v>
      </c>
      <c r="M899" s="22">
        <v>0</v>
      </c>
      <c r="N899" s="22">
        <v>-990</v>
      </c>
      <c r="O899" s="22">
        <v>8910</v>
      </c>
      <c r="P899" s="22">
        <v>8910</v>
      </c>
      <c r="Q899" t="str" cm="1">
        <f t="array" ref="Q899">_xlfn.TEXTJOIN("、",TRUE,IF('學員資料-三民高中'!$B$2:$B$454=$F899,'學員資料-三民高中'!$G$2:$G$454,""))</f>
        <v>0956558987-1</v>
      </c>
      <c r="R899" t="str" cm="1">
        <f t="array" ref="R899">_xlfn.TEXTJOIN("、",TRUE,IF('學員資料-新北高中'!$B$2:$B$583=$F899,'學員資料-新北高中'!$G$2:$G$583,""))</f>
        <v/>
      </c>
      <c r="S899" t="str" cm="1">
        <f t="array" ref="S899">_xlfn.TEXTJOIN("、",TRUE,IF('學員資料-三重商工'!$B$2:$B$472=$F899,'學員資料-三重商工'!$G$2:$G$472,""))</f>
        <v/>
      </c>
      <c r="T899">
        <f t="shared" ref="T899:T962" si="14">3-COUNTBLANK(Q899:S899)</f>
        <v>1</v>
      </c>
    </row>
    <row r="900" spans="1:20" ht="14.25" hidden="1" customHeight="1">
      <c r="A900" s="15">
        <v>899</v>
      </c>
      <c r="B900" s="16" t="s">
        <v>2941</v>
      </c>
      <c r="C900" s="17">
        <v>45895</v>
      </c>
      <c r="D900" s="15" t="s">
        <v>2942</v>
      </c>
      <c r="E900" s="23"/>
      <c r="F900" s="19" t="s">
        <v>2943</v>
      </c>
      <c r="G900" s="18" t="s">
        <v>2944</v>
      </c>
      <c r="H900" s="20" t="s">
        <v>130</v>
      </c>
      <c r="I900" s="15">
        <v>1</v>
      </c>
      <c r="J900" s="15" t="s">
        <v>25</v>
      </c>
      <c r="K900" s="15"/>
      <c r="L900" s="21" t="s">
        <v>18</v>
      </c>
      <c r="M900" s="22">
        <v>0</v>
      </c>
      <c r="N900" s="22">
        <v>-990</v>
      </c>
      <c r="O900" s="22">
        <v>8910</v>
      </c>
      <c r="P900" s="22">
        <v>8910</v>
      </c>
      <c r="Q900" t="str" cm="1">
        <f t="array" ref="Q900">_xlfn.TEXTJOIN("、",TRUE,IF('學員資料-三民高中'!$B$2:$B$454=$F900,'學員資料-三民高中'!$G$2:$G$454,""))</f>
        <v>0975159677</v>
      </c>
      <c r="R900" t="str" cm="1">
        <f t="array" ref="R900">_xlfn.TEXTJOIN("、",TRUE,IF('學員資料-新北高中'!$B$2:$B$583=$F900,'學員資料-新北高中'!$G$2:$G$583,""))</f>
        <v/>
      </c>
      <c r="S900" t="str" cm="1">
        <f t="array" ref="S900">_xlfn.TEXTJOIN("、",TRUE,IF('學員資料-三重商工'!$B$2:$B$472=$F900,'學員資料-三重商工'!$G$2:$G$472,""))</f>
        <v/>
      </c>
      <c r="T900">
        <f t="shared" si="14"/>
        <v>1</v>
      </c>
    </row>
    <row r="901" spans="1:20" ht="28.5" hidden="1" customHeight="1">
      <c r="A901" s="15">
        <v>900</v>
      </c>
      <c r="B901" s="16" t="s">
        <v>2945</v>
      </c>
      <c r="C901" s="17">
        <v>45895</v>
      </c>
      <c r="D901" s="15" t="s">
        <v>2946</v>
      </c>
      <c r="E901" s="23"/>
      <c r="F901" s="19" t="s">
        <v>1534</v>
      </c>
      <c r="G901" s="18" t="s">
        <v>1535</v>
      </c>
      <c r="H901" s="20" t="s">
        <v>821</v>
      </c>
      <c r="I901" s="15">
        <v>2</v>
      </c>
      <c r="J901" s="15" t="s">
        <v>26</v>
      </c>
      <c r="K901" s="15"/>
      <c r="L901" s="21" t="s">
        <v>18</v>
      </c>
      <c r="M901" s="22">
        <v>0</v>
      </c>
      <c r="N901" s="22">
        <v>-2400</v>
      </c>
      <c r="O901" s="22">
        <v>21600</v>
      </c>
      <c r="P901" s="22">
        <v>21600</v>
      </c>
      <c r="Q901" t="str" cm="1">
        <f t="array" ref="Q901">_xlfn.TEXTJOIN("、",TRUE,IF('學員資料-三民高中'!$B$2:$B$454=$F901,'學員資料-三民高中'!$G$2:$G$454,""))</f>
        <v>0910990429</v>
      </c>
      <c r="R901" t="str" cm="1">
        <f t="array" ref="R901">_xlfn.TEXTJOIN("、",TRUE,IF('學員資料-新北高中'!$B$2:$B$583=$F901,'學員資料-新北高中'!$G$2:$G$583,""))</f>
        <v/>
      </c>
      <c r="S901" t="str" cm="1">
        <f t="array" ref="S901">_xlfn.TEXTJOIN("、",TRUE,IF('學員資料-三重商工'!$B$2:$B$472=$F901,'學員資料-三重商工'!$G$2:$G$472,""))</f>
        <v/>
      </c>
      <c r="T901">
        <f t="shared" si="14"/>
        <v>1</v>
      </c>
    </row>
    <row r="902" spans="1:20" ht="28.5" hidden="1" customHeight="1">
      <c r="A902" s="15">
        <v>901</v>
      </c>
      <c r="B902" s="16" t="s">
        <v>2947</v>
      </c>
      <c r="C902" s="17">
        <v>45894</v>
      </c>
      <c r="D902" s="15" t="s">
        <v>2948</v>
      </c>
      <c r="E902" s="23"/>
      <c r="F902" s="19" t="s">
        <v>1357</v>
      </c>
      <c r="G902" s="18" t="s">
        <v>1358</v>
      </c>
      <c r="H902" s="20" t="s">
        <v>99</v>
      </c>
      <c r="I902" s="15">
        <v>2</v>
      </c>
      <c r="J902" s="15" t="s">
        <v>24</v>
      </c>
      <c r="K902" s="15"/>
      <c r="L902" s="21" t="s">
        <v>16</v>
      </c>
      <c r="M902" s="22">
        <v>0</v>
      </c>
      <c r="N902" s="22">
        <v>-750</v>
      </c>
      <c r="O902" s="22">
        <v>14250</v>
      </c>
      <c r="P902" s="22">
        <v>14250</v>
      </c>
      <c r="Q902" t="str" cm="1">
        <f t="array" ref="Q902">_xlfn.TEXTJOIN("、",TRUE,IF('學員資料-三民高中'!$B$2:$B$454=$F902,'學員資料-三民高中'!$G$2:$G$454,""))</f>
        <v/>
      </c>
      <c r="R902" t="str" cm="1">
        <f t="array" ref="R902">_xlfn.TEXTJOIN("、",TRUE,IF('學員資料-新北高中'!$B$2:$B$583=$F902,'學員資料-新北高中'!$G$2:$G$583,""))</f>
        <v>0916008818</v>
      </c>
      <c r="S902" t="str" cm="1">
        <f t="array" ref="S902">_xlfn.TEXTJOIN("、",TRUE,IF('學員資料-三重商工'!$B$2:$B$472=$F902,'學員資料-三重商工'!$G$2:$G$472,""))</f>
        <v/>
      </c>
      <c r="T902">
        <f t="shared" si="14"/>
        <v>1</v>
      </c>
    </row>
    <row r="903" spans="1:20" ht="14.25" hidden="1" customHeight="1">
      <c r="A903" s="15">
        <v>902</v>
      </c>
      <c r="B903" s="16" t="s">
        <v>2949</v>
      </c>
      <c r="C903" s="17">
        <v>45894</v>
      </c>
      <c r="D903" s="15" t="s">
        <v>2950</v>
      </c>
      <c r="E903" s="18" t="s">
        <v>537</v>
      </c>
      <c r="F903" s="19" t="s">
        <v>2349</v>
      </c>
      <c r="G903" s="18" t="s">
        <v>2350</v>
      </c>
      <c r="H903" s="20" t="s">
        <v>66</v>
      </c>
      <c r="I903" s="15">
        <v>1</v>
      </c>
      <c r="J903" s="15" t="s">
        <v>23</v>
      </c>
      <c r="K903" s="15"/>
      <c r="L903" s="21" t="s">
        <v>16</v>
      </c>
      <c r="M903" s="22">
        <v>0</v>
      </c>
      <c r="N903" s="22">
        <v>-345</v>
      </c>
      <c r="O903" s="22">
        <v>6555</v>
      </c>
      <c r="P903" s="22">
        <v>6555</v>
      </c>
      <c r="Q903" t="str" cm="1">
        <f t="array" ref="Q903">_xlfn.TEXTJOIN("、",TRUE,IF('學員資料-三民高中'!$B$2:$B$454=$F903,'學員資料-三民高中'!$G$2:$G$454,""))</f>
        <v/>
      </c>
      <c r="R903" t="str" cm="1">
        <f t="array" ref="R903">_xlfn.TEXTJOIN("、",TRUE,IF('學員資料-新北高中'!$B$2:$B$583=$F903,'學員資料-新北高中'!$G$2:$G$583,""))</f>
        <v>0917395316</v>
      </c>
      <c r="S903" t="str" cm="1">
        <f t="array" ref="S903">_xlfn.TEXTJOIN("、",TRUE,IF('學員資料-三重商工'!$B$2:$B$472=$F903,'學員資料-三重商工'!$G$2:$G$472,""))</f>
        <v/>
      </c>
      <c r="T903">
        <f t="shared" si="14"/>
        <v>1</v>
      </c>
    </row>
    <row r="904" spans="1:20" ht="14.25" hidden="1" customHeight="1">
      <c r="A904" s="15">
        <v>903</v>
      </c>
      <c r="B904" s="16" t="s">
        <v>2951</v>
      </c>
      <c r="C904" s="17">
        <v>45894</v>
      </c>
      <c r="D904" s="15" t="s">
        <v>2952</v>
      </c>
      <c r="E904" s="18" t="s">
        <v>763</v>
      </c>
      <c r="F904" s="19" t="s">
        <v>2953</v>
      </c>
      <c r="G904" s="18" t="s">
        <v>2954</v>
      </c>
      <c r="H904" s="20" t="s">
        <v>52</v>
      </c>
      <c r="I904" s="15">
        <v>1</v>
      </c>
      <c r="J904" s="15" t="s">
        <v>24</v>
      </c>
      <c r="K904" s="15"/>
      <c r="L904" s="21" t="s">
        <v>16</v>
      </c>
      <c r="M904" s="22">
        <v>0</v>
      </c>
      <c r="N904" s="22">
        <v>0</v>
      </c>
      <c r="O904" s="22">
        <v>7500</v>
      </c>
      <c r="P904" s="22">
        <v>7500</v>
      </c>
      <c r="Q904" t="str" cm="1">
        <f t="array" ref="Q904">_xlfn.TEXTJOIN("、",TRUE,IF('學員資料-三民高中'!$B$2:$B$454=$F904,'學員資料-三民高中'!$G$2:$G$454,""))</f>
        <v>0926187618-1</v>
      </c>
      <c r="R904" t="str" cm="1">
        <f t="array" ref="R904">_xlfn.TEXTJOIN("、",TRUE,IF('學員資料-新北高中'!$B$2:$B$583=$F904,'學員資料-新北高中'!$G$2:$G$583,""))</f>
        <v/>
      </c>
      <c r="S904" t="str" cm="1">
        <f t="array" ref="S904">_xlfn.TEXTJOIN("、",TRUE,IF('學員資料-三重商工'!$B$2:$B$472=$F904,'學員資料-三重商工'!$G$2:$G$472,""))</f>
        <v/>
      </c>
      <c r="T904">
        <f t="shared" si="14"/>
        <v>1</v>
      </c>
    </row>
    <row r="905" spans="1:20" ht="14.25" hidden="1" customHeight="1">
      <c r="A905" s="15">
        <v>904</v>
      </c>
      <c r="B905" s="16" t="s">
        <v>2955</v>
      </c>
      <c r="C905" s="17">
        <v>45894</v>
      </c>
      <c r="D905" s="15" t="s">
        <v>2956</v>
      </c>
      <c r="E905" s="18" t="s">
        <v>78</v>
      </c>
      <c r="F905" s="19" t="s">
        <v>2957</v>
      </c>
      <c r="G905" s="18" t="s">
        <v>2958</v>
      </c>
      <c r="H905" s="20" t="s">
        <v>266</v>
      </c>
      <c r="I905" s="15">
        <v>1</v>
      </c>
      <c r="J905" s="15" t="s">
        <v>24</v>
      </c>
      <c r="K905" s="15"/>
      <c r="L905" s="21" t="s">
        <v>16</v>
      </c>
      <c r="M905" s="22">
        <v>0</v>
      </c>
      <c r="N905" s="22">
        <v>0</v>
      </c>
      <c r="O905" s="22">
        <v>10800</v>
      </c>
      <c r="P905" s="22">
        <v>10800</v>
      </c>
      <c r="Q905" t="str" cm="1">
        <f t="array" ref="Q905">_xlfn.TEXTJOIN("、",TRUE,IF('學員資料-三民高中'!$B$2:$B$454=$F905,'學員資料-三民高中'!$G$2:$G$454,""))</f>
        <v/>
      </c>
      <c r="R905" t="str" cm="1">
        <f t="array" ref="R905">_xlfn.TEXTJOIN("、",TRUE,IF('學員資料-新北高中'!$B$2:$B$583=$F905,'學員資料-新北高中'!$G$2:$G$583,""))</f>
        <v>0933025041</v>
      </c>
      <c r="S905" t="str" cm="1">
        <f t="array" ref="S905">_xlfn.TEXTJOIN("、",TRUE,IF('學員資料-三重商工'!$B$2:$B$472=$F905,'學員資料-三重商工'!$G$2:$G$472,""))</f>
        <v/>
      </c>
      <c r="T905">
        <f t="shared" si="14"/>
        <v>1</v>
      </c>
    </row>
    <row r="906" spans="1:20" ht="14.25" hidden="1" customHeight="1">
      <c r="A906" s="15">
        <v>905</v>
      </c>
      <c r="B906" s="16" t="s">
        <v>2959</v>
      </c>
      <c r="C906" s="17">
        <v>45894</v>
      </c>
      <c r="D906" s="15" t="s">
        <v>2960</v>
      </c>
      <c r="E906" s="18" t="s">
        <v>537</v>
      </c>
      <c r="F906" s="19" t="s">
        <v>2961</v>
      </c>
      <c r="G906" s="18" t="s">
        <v>2962</v>
      </c>
      <c r="H906" s="20" t="s">
        <v>52</v>
      </c>
      <c r="I906" s="15">
        <v>1</v>
      </c>
      <c r="J906" s="15" t="s">
        <v>24</v>
      </c>
      <c r="K906" s="15"/>
      <c r="L906" s="21" t="s">
        <v>16</v>
      </c>
      <c r="M906" s="22">
        <v>0</v>
      </c>
      <c r="N906" s="22">
        <v>-750</v>
      </c>
      <c r="O906" s="22">
        <v>6750</v>
      </c>
      <c r="P906" s="22">
        <v>6750</v>
      </c>
      <c r="Q906" t="str" cm="1">
        <f t="array" ref="Q906">_xlfn.TEXTJOIN("、",TRUE,IF('學員資料-三民高中'!$B$2:$B$454=$F906,'學員資料-三民高中'!$G$2:$G$454,""))</f>
        <v/>
      </c>
      <c r="R906" t="str" cm="1">
        <f t="array" ref="R906">_xlfn.TEXTJOIN("、",TRUE,IF('學員資料-新北高中'!$B$2:$B$583=$F906,'學員資料-新北高中'!$G$2:$G$583,""))</f>
        <v>0978523683</v>
      </c>
      <c r="S906" t="str" cm="1">
        <f t="array" ref="S906">_xlfn.TEXTJOIN("、",TRUE,IF('學員資料-三重商工'!$B$2:$B$472=$F906,'學員資料-三重商工'!$G$2:$G$472,""))</f>
        <v/>
      </c>
      <c r="T906">
        <f t="shared" si="14"/>
        <v>1</v>
      </c>
    </row>
    <row r="907" spans="1:20" ht="43.5" hidden="1" customHeight="1">
      <c r="A907" s="15">
        <v>906</v>
      </c>
      <c r="B907" s="16" t="s">
        <v>2963</v>
      </c>
      <c r="C907" s="17">
        <v>45893</v>
      </c>
      <c r="D907" s="15" t="s">
        <v>2964</v>
      </c>
      <c r="E907" s="18" t="s">
        <v>537</v>
      </c>
      <c r="F907" s="19" t="s">
        <v>2965</v>
      </c>
      <c r="G907" s="18" t="s">
        <v>2966</v>
      </c>
      <c r="H907" s="20" t="s">
        <v>2967</v>
      </c>
      <c r="I907" s="15">
        <v>3</v>
      </c>
      <c r="J907" s="15" t="s">
        <v>25</v>
      </c>
      <c r="K907" s="15"/>
      <c r="L907" s="21" t="s">
        <v>16</v>
      </c>
      <c r="M907" s="22">
        <v>0</v>
      </c>
      <c r="N907" s="22">
        <v>-4455</v>
      </c>
      <c r="O907" s="22">
        <v>40095</v>
      </c>
      <c r="P907" s="22">
        <v>40095</v>
      </c>
      <c r="Q907" t="str" cm="1">
        <f t="array" ref="Q907">_xlfn.TEXTJOIN("、",TRUE,IF('學員資料-三民高中'!$B$2:$B$454=$F907,'學員資料-三民高中'!$G$2:$G$454,""))</f>
        <v/>
      </c>
      <c r="R907" t="str" cm="1">
        <f t="array" ref="R907">_xlfn.TEXTJOIN("、",TRUE,IF('學員資料-新北高中'!$B$2:$B$583=$F907,'學員資料-新北高中'!$G$2:$G$583,""))</f>
        <v>0922368644</v>
      </c>
      <c r="S907" t="str" cm="1">
        <f t="array" ref="S907">_xlfn.TEXTJOIN("、",TRUE,IF('學員資料-三重商工'!$B$2:$B$472=$F907,'學員資料-三重商工'!$G$2:$G$472,""))</f>
        <v/>
      </c>
      <c r="T907">
        <f t="shared" si="14"/>
        <v>1</v>
      </c>
    </row>
    <row r="908" spans="1:20" ht="14.25" hidden="1" customHeight="1">
      <c r="A908" s="15">
        <v>907</v>
      </c>
      <c r="B908" s="16" t="s">
        <v>2968</v>
      </c>
      <c r="C908" s="17">
        <v>45893</v>
      </c>
      <c r="D908" s="15" t="s">
        <v>2969</v>
      </c>
      <c r="E908" s="18" t="s">
        <v>537</v>
      </c>
      <c r="F908" s="19" t="s">
        <v>2970</v>
      </c>
      <c r="G908" s="18" t="s">
        <v>2971</v>
      </c>
      <c r="H908" s="20" t="s">
        <v>66</v>
      </c>
      <c r="I908" s="15">
        <v>1</v>
      </c>
      <c r="J908" s="15" t="s">
        <v>23</v>
      </c>
      <c r="K908" s="15"/>
      <c r="L908" s="21" t="s">
        <v>16</v>
      </c>
      <c r="M908" s="22">
        <v>0</v>
      </c>
      <c r="N908" s="22">
        <v>-345</v>
      </c>
      <c r="O908" s="22">
        <v>6555</v>
      </c>
      <c r="P908" s="22">
        <v>6555</v>
      </c>
      <c r="Q908" t="str" cm="1">
        <f t="array" ref="Q908">_xlfn.TEXTJOIN("、",TRUE,IF('學員資料-三民高中'!$B$2:$B$454=$F908,'學員資料-三民高中'!$G$2:$G$454,""))</f>
        <v/>
      </c>
      <c r="R908" t="str" cm="1">
        <f t="array" ref="R908">_xlfn.TEXTJOIN("、",TRUE,IF('學員資料-新北高中'!$B$2:$B$583=$F908,'學員資料-新北高中'!$G$2:$G$583,""))</f>
        <v>0928500335</v>
      </c>
      <c r="S908" t="str" cm="1">
        <f t="array" ref="S908">_xlfn.TEXTJOIN("、",TRUE,IF('學員資料-三重商工'!$B$2:$B$472=$F908,'學員資料-三重商工'!$G$2:$G$472,""))</f>
        <v/>
      </c>
      <c r="T908">
        <f t="shared" si="14"/>
        <v>1</v>
      </c>
    </row>
    <row r="909" spans="1:20" ht="14.25" hidden="1" customHeight="1">
      <c r="A909" s="15">
        <v>908</v>
      </c>
      <c r="B909" s="16" t="s">
        <v>2972</v>
      </c>
      <c r="C909" s="17">
        <v>45893</v>
      </c>
      <c r="D909" s="15" t="s">
        <v>2973</v>
      </c>
      <c r="E909" s="23"/>
      <c r="F909" s="19" t="s">
        <v>2094</v>
      </c>
      <c r="G909" s="18" t="s">
        <v>2095</v>
      </c>
      <c r="H909" s="20" t="s">
        <v>130</v>
      </c>
      <c r="I909" s="15">
        <v>1</v>
      </c>
      <c r="J909" s="15" t="s">
        <v>25</v>
      </c>
      <c r="K909" s="15"/>
      <c r="L909" s="21" t="s">
        <v>18</v>
      </c>
      <c r="M909" s="22">
        <v>0</v>
      </c>
      <c r="N909" s="22">
        <v>-990</v>
      </c>
      <c r="O909" s="22">
        <v>8910</v>
      </c>
      <c r="P909" s="22">
        <v>8910</v>
      </c>
      <c r="Q909" t="str" cm="1">
        <f t="array" ref="Q909">_xlfn.TEXTJOIN("、",TRUE,IF('學員資料-三民高中'!$B$2:$B$454=$F909,'學員資料-三民高中'!$G$2:$G$454,""))</f>
        <v>0910620154</v>
      </c>
      <c r="R909" t="str" cm="1">
        <f t="array" ref="R909">_xlfn.TEXTJOIN("、",TRUE,IF('學員資料-新北高中'!$B$2:$B$583=$F909,'學員資料-新北高中'!$G$2:$G$583,""))</f>
        <v/>
      </c>
      <c r="S909" t="str" cm="1">
        <f t="array" ref="S909">_xlfn.TEXTJOIN("、",TRUE,IF('學員資料-三重商工'!$B$2:$B$472=$F909,'學員資料-三重商工'!$G$2:$G$472,""))</f>
        <v/>
      </c>
      <c r="T909">
        <f t="shared" si="14"/>
        <v>1</v>
      </c>
    </row>
    <row r="910" spans="1:20" ht="14.25" hidden="1" customHeight="1">
      <c r="A910" s="15">
        <v>909</v>
      </c>
      <c r="B910" s="16" t="s">
        <v>2974</v>
      </c>
      <c r="C910" s="17">
        <v>45893</v>
      </c>
      <c r="D910" s="15" t="s">
        <v>2975</v>
      </c>
      <c r="E910" s="23"/>
      <c r="F910" s="19" t="s">
        <v>1555</v>
      </c>
      <c r="G910" s="18" t="s">
        <v>1556</v>
      </c>
      <c r="H910" s="20" t="s">
        <v>130</v>
      </c>
      <c r="I910" s="15">
        <v>1</v>
      </c>
      <c r="J910" s="15" t="s">
        <v>25</v>
      </c>
      <c r="K910" s="15"/>
      <c r="L910" s="21" t="s">
        <v>18</v>
      </c>
      <c r="M910" s="22">
        <v>0</v>
      </c>
      <c r="N910" s="22">
        <v>-990</v>
      </c>
      <c r="O910" s="22">
        <v>8910</v>
      </c>
      <c r="P910" s="22">
        <v>8910</v>
      </c>
      <c r="Q910" t="str" cm="1">
        <f t="array" ref="Q910">_xlfn.TEXTJOIN("、",TRUE,IF('學員資料-三民高中'!$B$2:$B$454=$F910,'學員資料-三民高中'!$G$2:$G$454,""))</f>
        <v>0928240053</v>
      </c>
      <c r="R910" t="str" cm="1">
        <f t="array" ref="R910">_xlfn.TEXTJOIN("、",TRUE,IF('學員資料-新北高中'!$B$2:$B$583=$F910,'學員資料-新北高中'!$G$2:$G$583,""))</f>
        <v/>
      </c>
      <c r="S910" t="str" cm="1">
        <f t="array" ref="S910">_xlfn.TEXTJOIN("、",TRUE,IF('學員資料-三重商工'!$B$2:$B$472=$F910,'學員資料-三重商工'!$G$2:$G$472,""))</f>
        <v/>
      </c>
      <c r="T910">
        <f t="shared" si="14"/>
        <v>1</v>
      </c>
    </row>
    <row r="911" spans="1:20" ht="14.25" hidden="1" customHeight="1">
      <c r="A911" s="15">
        <v>910</v>
      </c>
      <c r="B911" s="16" t="s">
        <v>2976</v>
      </c>
      <c r="C911" s="17">
        <v>45893</v>
      </c>
      <c r="D911" s="15" t="s">
        <v>2977</v>
      </c>
      <c r="E911" s="23"/>
      <c r="F911" s="19" t="s">
        <v>2022</v>
      </c>
      <c r="G911" s="18" t="s">
        <v>2023</v>
      </c>
      <c r="H911" s="20" t="s">
        <v>52</v>
      </c>
      <c r="I911" s="15">
        <v>1</v>
      </c>
      <c r="J911" s="15" t="s">
        <v>24</v>
      </c>
      <c r="K911" s="15"/>
      <c r="L911" s="21" t="s">
        <v>18</v>
      </c>
      <c r="M911" s="22">
        <v>0</v>
      </c>
      <c r="N911" s="22">
        <v>-375</v>
      </c>
      <c r="O911" s="22">
        <v>7125</v>
      </c>
      <c r="P911" s="22">
        <v>7125</v>
      </c>
      <c r="Q911" t="str" cm="1">
        <f t="array" ref="Q911">_xlfn.TEXTJOIN("、",TRUE,IF('學員資料-三民高中'!$B$2:$B$454=$F911,'學員資料-三民高中'!$G$2:$G$454,""))</f>
        <v>0921176762</v>
      </c>
      <c r="R911" t="str" cm="1">
        <f t="array" ref="R911">_xlfn.TEXTJOIN("、",TRUE,IF('學員資料-新北高中'!$B$2:$B$583=$F911,'學員資料-新北高中'!$G$2:$G$583,""))</f>
        <v/>
      </c>
      <c r="S911" t="str" cm="1">
        <f t="array" ref="S911">_xlfn.TEXTJOIN("、",TRUE,IF('學員資料-三重商工'!$B$2:$B$472=$F911,'學員資料-三重商工'!$G$2:$G$472,""))</f>
        <v/>
      </c>
      <c r="T911">
        <f t="shared" si="14"/>
        <v>1</v>
      </c>
    </row>
    <row r="912" spans="1:20" ht="14.25" customHeight="1">
      <c r="A912" s="15">
        <v>911</v>
      </c>
      <c r="B912" s="16" t="s">
        <v>2978</v>
      </c>
      <c r="C912" s="17">
        <v>45893</v>
      </c>
      <c r="D912" s="15" t="s">
        <v>2979</v>
      </c>
      <c r="E912" s="23"/>
      <c r="F912" s="19"/>
      <c r="G912" s="23" t="s">
        <v>439</v>
      </c>
      <c r="H912" s="20" t="s">
        <v>66</v>
      </c>
      <c r="I912" s="15">
        <v>1</v>
      </c>
      <c r="J912" s="15" t="s">
        <v>23</v>
      </c>
      <c r="K912" s="15"/>
      <c r="L912" s="21" t="s">
        <v>18</v>
      </c>
      <c r="M912" s="22">
        <v>0</v>
      </c>
      <c r="N912" s="22">
        <v>-345</v>
      </c>
      <c r="O912" s="22">
        <v>6555</v>
      </c>
      <c r="P912" s="22">
        <v>6555</v>
      </c>
      <c r="Q912" t="str" cm="1">
        <f t="array" ref="Q912">_xlfn.TEXTJOIN("、",TRUE,IF('學員資料-三民高中'!$B$2:$B$454=$F912,'學員資料-三民高中'!$G$2:$G$454,""))</f>
        <v/>
      </c>
      <c r="R912" t="str" cm="1">
        <f t="array" ref="R912">_xlfn.TEXTJOIN("、",TRUE,IF('學員資料-新北高中'!$B$2:$B$583=$F912,'學員資料-新北高中'!$G$2:$G$583,""))</f>
        <v/>
      </c>
      <c r="S912" t="str" cm="1">
        <f t="array" ref="S912">_xlfn.TEXTJOIN("、",TRUE,IF('學員資料-三重商工'!$B$2:$B$472=$F912,'學員資料-三重商工'!$G$2:$G$472,""))</f>
        <v/>
      </c>
      <c r="T912">
        <f t="shared" si="14"/>
        <v>0</v>
      </c>
    </row>
    <row r="913" spans="1:20" ht="14.25" hidden="1" customHeight="1">
      <c r="A913" s="15">
        <v>912</v>
      </c>
      <c r="B913" s="16" t="s">
        <v>2980</v>
      </c>
      <c r="C913" s="17">
        <v>45893</v>
      </c>
      <c r="D913" s="15" t="s">
        <v>2981</v>
      </c>
      <c r="E913" s="23"/>
      <c r="F913" s="19" t="s">
        <v>1903</v>
      </c>
      <c r="G913" s="18" t="s">
        <v>1904</v>
      </c>
      <c r="H913" s="20" t="s">
        <v>52</v>
      </c>
      <c r="I913" s="15">
        <v>1</v>
      </c>
      <c r="J913" s="15" t="s">
        <v>24</v>
      </c>
      <c r="K913" s="15"/>
      <c r="L913" s="21" t="s">
        <v>18</v>
      </c>
      <c r="M913" s="22">
        <v>0</v>
      </c>
      <c r="N913" s="22">
        <v>-375</v>
      </c>
      <c r="O913" s="22">
        <v>7125</v>
      </c>
      <c r="P913" s="22">
        <v>7125</v>
      </c>
      <c r="Q913" t="str" cm="1">
        <f t="array" ref="Q913">_xlfn.TEXTJOIN("、",TRUE,IF('學員資料-三民高中'!$B$2:$B$454=$F913,'學員資料-三民高中'!$G$2:$G$454,""))</f>
        <v>0921866024</v>
      </c>
      <c r="R913" t="str" cm="1">
        <f t="array" ref="R913">_xlfn.TEXTJOIN("、",TRUE,IF('學員資料-新北高中'!$B$2:$B$583=$F913,'學員資料-新北高中'!$G$2:$G$583,""))</f>
        <v/>
      </c>
      <c r="S913" t="str" cm="1">
        <f t="array" ref="S913">_xlfn.TEXTJOIN("、",TRUE,IF('學員資料-三重商工'!$B$2:$B$472=$F913,'學員資料-三重商工'!$G$2:$G$472,""))</f>
        <v/>
      </c>
      <c r="T913">
        <f t="shared" si="14"/>
        <v>1</v>
      </c>
    </row>
    <row r="914" spans="1:20" ht="14.25" hidden="1" customHeight="1">
      <c r="A914" s="15">
        <v>913</v>
      </c>
      <c r="B914" s="16" t="s">
        <v>2982</v>
      </c>
      <c r="C914" s="17">
        <v>45893</v>
      </c>
      <c r="D914" s="15" t="s">
        <v>2983</v>
      </c>
      <c r="E914" s="23"/>
      <c r="F914" s="19" t="s">
        <v>2914</v>
      </c>
      <c r="G914" s="18" t="s">
        <v>2915</v>
      </c>
      <c r="H914" s="20" t="s">
        <v>2984</v>
      </c>
      <c r="I914" s="15">
        <v>1</v>
      </c>
      <c r="J914" s="15" t="s">
        <v>24</v>
      </c>
      <c r="K914" s="21" t="s">
        <v>116</v>
      </c>
      <c r="L914" s="21" t="s">
        <v>16</v>
      </c>
      <c r="M914" s="22">
        <v>0</v>
      </c>
      <c r="N914" s="22">
        <v>0</v>
      </c>
      <c r="O914" s="22">
        <v>1400</v>
      </c>
      <c r="P914" s="22">
        <v>1400</v>
      </c>
      <c r="Q914" t="str" cm="1">
        <f t="array" ref="Q914">_xlfn.TEXTJOIN("、",TRUE,IF('學員資料-三民高中'!$B$2:$B$454=$F914,'學員資料-三民高中'!$G$2:$G$454,""))</f>
        <v/>
      </c>
      <c r="R914" t="str" cm="1">
        <f t="array" ref="R914">_xlfn.TEXTJOIN("、",TRUE,IF('學員資料-新北高中'!$B$2:$B$583=$F914,'學員資料-新北高中'!$G$2:$G$583,""))</f>
        <v/>
      </c>
      <c r="S914" t="str" cm="1">
        <f t="array" ref="S914">_xlfn.TEXTJOIN("、",TRUE,IF('學員資料-三重商工'!$B$2:$B$472=$F914,'學員資料-三重商工'!$G$2:$G$472,""))</f>
        <v>0932215527</v>
      </c>
      <c r="T914">
        <f t="shared" si="14"/>
        <v>1</v>
      </c>
    </row>
    <row r="915" spans="1:20" ht="14.25" hidden="1" customHeight="1">
      <c r="A915" s="15">
        <v>914</v>
      </c>
      <c r="B915" s="16" t="s">
        <v>2985</v>
      </c>
      <c r="C915" s="17">
        <v>45893</v>
      </c>
      <c r="D915" s="15" t="s">
        <v>2986</v>
      </c>
      <c r="E915" s="23"/>
      <c r="F915" s="19" t="s">
        <v>2987</v>
      </c>
      <c r="G915" s="18" t="s">
        <v>2988</v>
      </c>
      <c r="H915" s="20" t="s">
        <v>2989</v>
      </c>
      <c r="I915" s="15">
        <v>1</v>
      </c>
      <c r="J915" s="15" t="s">
        <v>23</v>
      </c>
      <c r="K915" s="21" t="s">
        <v>116</v>
      </c>
      <c r="L915" s="21" t="s">
        <v>16</v>
      </c>
      <c r="M915" s="22">
        <v>0</v>
      </c>
      <c r="N915" s="22">
        <v>0</v>
      </c>
      <c r="O915" s="22">
        <v>1200</v>
      </c>
      <c r="P915" s="22">
        <v>1200</v>
      </c>
      <c r="Q915" t="str" cm="1">
        <f t="array" ref="Q915">_xlfn.TEXTJOIN("、",TRUE,IF('學員資料-三民高中'!$B$2:$B$454=$F915,'學員資料-三民高中'!$G$2:$G$454,""))</f>
        <v>0978732337</v>
      </c>
      <c r="R915" t="str" cm="1">
        <f t="array" ref="R915">_xlfn.TEXTJOIN("、",TRUE,IF('學員資料-新北高中'!$B$2:$B$583=$F915,'學員資料-新北高中'!$G$2:$G$583,""))</f>
        <v/>
      </c>
      <c r="S915" t="str" cm="1">
        <f t="array" ref="S915">_xlfn.TEXTJOIN("、",TRUE,IF('學員資料-三重商工'!$B$2:$B$472=$F915,'學員資料-三重商工'!$G$2:$G$472,""))</f>
        <v/>
      </c>
      <c r="T915">
        <f t="shared" si="14"/>
        <v>1</v>
      </c>
    </row>
    <row r="916" spans="1:20" ht="14.25" hidden="1" customHeight="1">
      <c r="A916" s="15">
        <v>915</v>
      </c>
      <c r="B916" s="16" t="s">
        <v>2990</v>
      </c>
      <c r="C916" s="17">
        <v>45892</v>
      </c>
      <c r="D916" s="15" t="s">
        <v>2991</v>
      </c>
      <c r="E916" s="23"/>
      <c r="F916" s="19" t="s">
        <v>2992</v>
      </c>
      <c r="G916" s="18" t="s">
        <v>2993</v>
      </c>
      <c r="H916" s="20" t="s">
        <v>52</v>
      </c>
      <c r="I916" s="15">
        <v>1</v>
      </c>
      <c r="J916" s="15" t="s">
        <v>24</v>
      </c>
      <c r="K916" s="15"/>
      <c r="L916" s="21" t="s">
        <v>16</v>
      </c>
      <c r="M916" s="22">
        <v>0</v>
      </c>
      <c r="N916" s="22">
        <v>-375</v>
      </c>
      <c r="O916" s="22">
        <v>7125</v>
      </c>
      <c r="P916" s="22">
        <v>7125</v>
      </c>
      <c r="Q916" t="str" cm="1">
        <f t="array" ref="Q916">_xlfn.TEXTJOIN("、",TRUE,IF('學員資料-三民高中'!$B$2:$B$454=$F916,'學員資料-三民高中'!$G$2:$G$454,""))</f>
        <v/>
      </c>
      <c r="R916" t="str" cm="1">
        <f t="array" ref="R916">_xlfn.TEXTJOIN("、",TRUE,IF('學員資料-新北高中'!$B$2:$B$583=$F916,'學員資料-新北高中'!$G$2:$G$583,""))</f>
        <v>0926754498</v>
      </c>
      <c r="S916" t="str" cm="1">
        <f t="array" ref="S916">_xlfn.TEXTJOIN("、",TRUE,IF('學員資料-三重商工'!$B$2:$B$472=$F916,'學員資料-三重商工'!$G$2:$G$472,""))</f>
        <v/>
      </c>
      <c r="T916">
        <f t="shared" si="14"/>
        <v>1</v>
      </c>
    </row>
    <row r="917" spans="1:20" ht="14.25" hidden="1" customHeight="1">
      <c r="A917" s="15">
        <v>916</v>
      </c>
      <c r="B917" s="16" t="s">
        <v>2994</v>
      </c>
      <c r="C917" s="17">
        <v>45892</v>
      </c>
      <c r="D917" s="15" t="s">
        <v>2995</v>
      </c>
      <c r="E917" s="23"/>
      <c r="F917" s="19" t="s">
        <v>2996</v>
      </c>
      <c r="G917" s="18" t="s">
        <v>2997</v>
      </c>
      <c r="H917" s="20" t="s">
        <v>266</v>
      </c>
      <c r="I917" s="15">
        <v>1</v>
      </c>
      <c r="J917" s="15" t="s">
        <v>24</v>
      </c>
      <c r="K917" s="15"/>
      <c r="L917" s="21" t="s">
        <v>16</v>
      </c>
      <c r="M917" s="22">
        <v>0</v>
      </c>
      <c r="N917" s="22">
        <v>-540</v>
      </c>
      <c r="O917" s="22">
        <v>10260</v>
      </c>
      <c r="P917" s="22">
        <v>10260</v>
      </c>
      <c r="Q917" t="str" cm="1">
        <f t="array" ref="Q917">_xlfn.TEXTJOIN("、",TRUE,IF('學員資料-三民高中'!$B$2:$B$454=$F917,'學員資料-三民高中'!$G$2:$G$454,""))</f>
        <v/>
      </c>
      <c r="R917" t="str" cm="1">
        <f t="array" ref="R917">_xlfn.TEXTJOIN("、",TRUE,IF('學員資料-新北高中'!$B$2:$B$583=$F917,'學員資料-新北高中'!$G$2:$G$583,""))</f>
        <v>546544</v>
      </c>
      <c r="S917" t="str" cm="1">
        <f t="array" ref="S917">_xlfn.TEXTJOIN("、",TRUE,IF('學員資料-三重商工'!$B$2:$B$472=$F917,'學員資料-三重商工'!$G$2:$G$472,""))</f>
        <v/>
      </c>
      <c r="T917">
        <f t="shared" si="14"/>
        <v>1</v>
      </c>
    </row>
    <row r="918" spans="1:20" ht="14.25" hidden="1" customHeight="1">
      <c r="A918" s="15">
        <v>917</v>
      </c>
      <c r="B918" s="16" t="s">
        <v>2998</v>
      </c>
      <c r="C918" s="17">
        <v>45892</v>
      </c>
      <c r="D918" s="15" t="s">
        <v>2999</v>
      </c>
      <c r="E918" s="23"/>
      <c r="F918" s="19" t="s">
        <v>1803</v>
      </c>
      <c r="G918" s="18" t="s">
        <v>1804</v>
      </c>
      <c r="H918" s="20" t="s">
        <v>210</v>
      </c>
      <c r="I918" s="15">
        <v>1</v>
      </c>
      <c r="J918" s="15" t="s">
        <v>26</v>
      </c>
      <c r="K918" s="15"/>
      <c r="L918" s="21" t="s">
        <v>18</v>
      </c>
      <c r="M918" s="22">
        <v>0</v>
      </c>
      <c r="N918" s="22">
        <v>-1200</v>
      </c>
      <c r="O918" s="22">
        <v>10800</v>
      </c>
      <c r="P918" s="22">
        <v>10800</v>
      </c>
      <c r="Q918" t="str" cm="1">
        <f t="array" ref="Q918">_xlfn.TEXTJOIN("、",TRUE,IF('學員資料-三民高中'!$B$2:$B$454=$F918,'學員資料-三民高中'!$G$2:$G$454,""))</f>
        <v/>
      </c>
      <c r="R918" t="str" cm="1">
        <f t="array" ref="R918">_xlfn.TEXTJOIN("、",TRUE,IF('學員資料-新北高中'!$B$2:$B$583=$F918,'學員資料-新北高中'!$G$2:$G$583,""))</f>
        <v/>
      </c>
      <c r="S918" t="str" cm="1">
        <f t="array" ref="S918">_xlfn.TEXTJOIN("、",TRUE,IF('學員資料-三重商工'!$B$2:$B$472=$F918,'學員資料-三重商工'!$G$2:$G$472,""))</f>
        <v>0972699623</v>
      </c>
      <c r="T918">
        <f t="shared" si="14"/>
        <v>1</v>
      </c>
    </row>
    <row r="919" spans="1:20" ht="14.25" hidden="1" customHeight="1">
      <c r="A919" s="15">
        <v>918</v>
      </c>
      <c r="B919" s="16" t="s">
        <v>3000</v>
      </c>
      <c r="C919" s="17">
        <v>45892</v>
      </c>
      <c r="D919" s="15" t="s">
        <v>3001</v>
      </c>
      <c r="E919" s="23"/>
      <c r="F919" s="19" t="s">
        <v>1490</v>
      </c>
      <c r="G919" s="18" t="s">
        <v>1491</v>
      </c>
      <c r="H919" s="20" t="s">
        <v>66</v>
      </c>
      <c r="I919" s="15">
        <v>1</v>
      </c>
      <c r="J919" s="15" t="s">
        <v>23</v>
      </c>
      <c r="K919" s="15"/>
      <c r="L919" s="21" t="s">
        <v>18</v>
      </c>
      <c r="M919" s="22">
        <v>0</v>
      </c>
      <c r="N919" s="22">
        <v>-345</v>
      </c>
      <c r="O919" s="22">
        <v>6555</v>
      </c>
      <c r="P919" s="22">
        <v>6555</v>
      </c>
      <c r="Q919" t="str" cm="1">
        <f t="array" ref="Q919">_xlfn.TEXTJOIN("、",TRUE,IF('學員資料-三民高中'!$B$2:$B$454=$F919,'學員資料-三民高中'!$G$2:$G$454,""))</f>
        <v/>
      </c>
      <c r="R919" t="str" cm="1">
        <f t="array" ref="R919">_xlfn.TEXTJOIN("、",TRUE,IF('學員資料-新北高中'!$B$2:$B$583=$F919,'學員資料-新北高中'!$G$2:$G$583,""))</f>
        <v/>
      </c>
      <c r="S919" t="str" cm="1">
        <f t="array" ref="S919">_xlfn.TEXTJOIN("、",TRUE,IF('學員資料-三重商工'!$B$2:$B$472=$F919,'學員資料-三重商工'!$G$2:$G$472,""))</f>
        <v>0936554577</v>
      </c>
      <c r="T919">
        <f t="shared" si="14"/>
        <v>1</v>
      </c>
    </row>
    <row r="920" spans="1:20" ht="14.25" hidden="1" customHeight="1">
      <c r="A920" s="15">
        <v>919</v>
      </c>
      <c r="B920" s="16" t="s">
        <v>3002</v>
      </c>
      <c r="C920" s="17">
        <v>45892</v>
      </c>
      <c r="D920" s="15" t="s">
        <v>3003</v>
      </c>
      <c r="E920" s="23"/>
      <c r="F920" s="19" t="s">
        <v>3004</v>
      </c>
      <c r="G920" s="18" t="s">
        <v>3005</v>
      </c>
      <c r="H920" s="20" t="s">
        <v>66</v>
      </c>
      <c r="I920" s="15">
        <v>1</v>
      </c>
      <c r="J920" s="15" t="s">
        <v>23</v>
      </c>
      <c r="K920" s="15"/>
      <c r="L920" s="21" t="s">
        <v>18</v>
      </c>
      <c r="M920" s="22">
        <v>0</v>
      </c>
      <c r="N920" s="22">
        <v>-345</v>
      </c>
      <c r="O920" s="22">
        <v>6555</v>
      </c>
      <c r="P920" s="22">
        <v>6555</v>
      </c>
      <c r="Q920" t="str" cm="1">
        <f t="array" ref="Q920">_xlfn.TEXTJOIN("、",TRUE,IF('學員資料-三民高中'!$B$2:$B$454=$F920,'學員資料-三民高中'!$G$2:$G$454,""))</f>
        <v/>
      </c>
      <c r="R920" t="str" cm="1">
        <f t="array" ref="R920">_xlfn.TEXTJOIN("、",TRUE,IF('學員資料-新北高中'!$B$2:$B$583=$F920,'學員資料-新北高中'!$G$2:$G$583,""))</f>
        <v/>
      </c>
      <c r="S920" t="str" cm="1">
        <f t="array" ref="S920">_xlfn.TEXTJOIN("、",TRUE,IF('學員資料-三重商工'!$B$2:$B$472=$F920,'學員資料-三重商工'!$G$2:$G$472,""))</f>
        <v>0917750713</v>
      </c>
      <c r="T920">
        <f t="shared" si="14"/>
        <v>1</v>
      </c>
    </row>
    <row r="921" spans="1:20" ht="14.25" hidden="1" customHeight="1">
      <c r="A921" s="15">
        <v>920</v>
      </c>
      <c r="B921" s="16" t="s">
        <v>3006</v>
      </c>
      <c r="C921" s="17">
        <v>45892</v>
      </c>
      <c r="D921" s="15" t="s">
        <v>3007</v>
      </c>
      <c r="E921" s="23"/>
      <c r="F921" s="19" t="s">
        <v>3008</v>
      </c>
      <c r="G921" s="18" t="s">
        <v>3009</v>
      </c>
      <c r="H921" s="20" t="s">
        <v>66</v>
      </c>
      <c r="I921" s="15">
        <v>1</v>
      </c>
      <c r="J921" s="15" t="s">
        <v>23</v>
      </c>
      <c r="K921" s="15"/>
      <c r="L921" s="21" t="s">
        <v>18</v>
      </c>
      <c r="M921" s="22">
        <v>0</v>
      </c>
      <c r="N921" s="22">
        <v>-345</v>
      </c>
      <c r="O921" s="22">
        <v>6555</v>
      </c>
      <c r="P921" s="22">
        <v>6555</v>
      </c>
      <c r="Q921" t="str" cm="1">
        <f t="array" ref="Q921">_xlfn.TEXTJOIN("、",TRUE,IF('學員資料-三民高中'!$B$2:$B$454=$F921,'學員資料-三民高中'!$G$2:$G$454,""))</f>
        <v/>
      </c>
      <c r="R921" t="str" cm="1">
        <f t="array" ref="R921">_xlfn.TEXTJOIN("、",TRUE,IF('學員資料-新北高中'!$B$2:$B$583=$F921,'學員資料-新北高中'!$G$2:$G$583,""))</f>
        <v/>
      </c>
      <c r="S921" t="str" cm="1">
        <f t="array" ref="S921">_xlfn.TEXTJOIN("、",TRUE,IF('學員資料-三重商工'!$B$2:$B$472=$F921,'學員資料-三重商工'!$G$2:$G$472,""))</f>
        <v>0973356591</v>
      </c>
      <c r="T921">
        <f t="shared" si="14"/>
        <v>1</v>
      </c>
    </row>
    <row r="922" spans="1:20" ht="14.25" hidden="1" customHeight="1">
      <c r="A922" s="15">
        <v>921</v>
      </c>
      <c r="B922" s="16" t="s">
        <v>3010</v>
      </c>
      <c r="C922" s="17">
        <v>45892</v>
      </c>
      <c r="D922" s="15" t="s">
        <v>3011</v>
      </c>
      <c r="E922" s="23"/>
      <c r="F922" s="19" t="s">
        <v>3012</v>
      </c>
      <c r="G922" s="18" t="s">
        <v>3013</v>
      </c>
      <c r="H922" s="20" t="s">
        <v>52</v>
      </c>
      <c r="I922" s="15">
        <v>1</v>
      </c>
      <c r="J922" s="15" t="s">
        <v>24</v>
      </c>
      <c r="K922" s="15"/>
      <c r="L922" s="21" t="s">
        <v>18</v>
      </c>
      <c r="M922" s="22">
        <v>0</v>
      </c>
      <c r="N922" s="22">
        <v>-375</v>
      </c>
      <c r="O922" s="22">
        <v>7125</v>
      </c>
      <c r="P922" s="22">
        <v>7125</v>
      </c>
      <c r="Q922" t="str" cm="1">
        <f t="array" ref="Q922">_xlfn.TEXTJOIN("、",TRUE,IF('學員資料-三民高中'!$B$2:$B$454=$F922,'學員資料-三民高中'!$G$2:$G$454,""))</f>
        <v/>
      </c>
      <c r="R922" t="str" cm="1">
        <f t="array" ref="R922">_xlfn.TEXTJOIN("、",TRUE,IF('學員資料-新北高中'!$B$2:$B$583=$F922,'學員資料-新北高中'!$G$2:$G$583,""))</f>
        <v/>
      </c>
      <c r="S922" t="str" cm="1">
        <f t="array" ref="S922">_xlfn.TEXTJOIN("、",TRUE,IF('學員資料-三重商工'!$B$2:$B$472=$F922,'學員資料-三重商工'!$G$2:$G$472,""))</f>
        <v>0987509975</v>
      </c>
      <c r="T922">
        <f t="shared" si="14"/>
        <v>1</v>
      </c>
    </row>
    <row r="923" spans="1:20" ht="14.25" hidden="1" customHeight="1">
      <c r="A923" s="15">
        <v>922</v>
      </c>
      <c r="B923" s="16" t="s">
        <v>3014</v>
      </c>
      <c r="C923" s="17">
        <v>45892</v>
      </c>
      <c r="D923" s="15" t="s">
        <v>3015</v>
      </c>
      <c r="E923" s="23"/>
      <c r="F923" s="19" t="s">
        <v>3012</v>
      </c>
      <c r="G923" s="18" t="s">
        <v>3013</v>
      </c>
      <c r="H923" s="20" t="s">
        <v>52</v>
      </c>
      <c r="I923" s="15">
        <v>1</v>
      </c>
      <c r="J923" s="15" t="s">
        <v>24</v>
      </c>
      <c r="K923" s="15"/>
      <c r="L923" s="21" t="s">
        <v>18</v>
      </c>
      <c r="M923" s="22">
        <v>0</v>
      </c>
      <c r="N923" s="22">
        <v>-375</v>
      </c>
      <c r="O923" s="22">
        <v>7125</v>
      </c>
      <c r="P923" s="22">
        <v>7125</v>
      </c>
      <c r="Q923" t="str" cm="1">
        <f t="array" ref="Q923">_xlfn.TEXTJOIN("、",TRUE,IF('學員資料-三民高中'!$B$2:$B$454=$F923,'學員資料-三民高中'!$G$2:$G$454,""))</f>
        <v/>
      </c>
      <c r="R923" t="str" cm="1">
        <f t="array" ref="R923">_xlfn.TEXTJOIN("、",TRUE,IF('學員資料-新北高中'!$B$2:$B$583=$F923,'學員資料-新北高中'!$G$2:$G$583,""))</f>
        <v/>
      </c>
      <c r="S923" t="str" cm="1">
        <f t="array" ref="S923">_xlfn.TEXTJOIN("、",TRUE,IF('學員資料-三重商工'!$B$2:$B$472=$F923,'學員資料-三重商工'!$G$2:$G$472,""))</f>
        <v>0987509975</v>
      </c>
      <c r="T923">
        <f t="shared" si="14"/>
        <v>1</v>
      </c>
    </row>
    <row r="924" spans="1:20" ht="14.25" hidden="1" customHeight="1">
      <c r="A924" s="15">
        <v>923</v>
      </c>
      <c r="B924" s="16" t="s">
        <v>3016</v>
      </c>
      <c r="C924" s="17">
        <v>45892</v>
      </c>
      <c r="D924" s="15" t="s">
        <v>3017</v>
      </c>
      <c r="E924" s="23"/>
      <c r="F924" s="19" t="s">
        <v>1740</v>
      </c>
      <c r="G924" s="18" t="s">
        <v>1741</v>
      </c>
      <c r="H924" s="20" t="s">
        <v>210</v>
      </c>
      <c r="I924" s="15">
        <v>1</v>
      </c>
      <c r="J924" s="15" t="s">
        <v>26</v>
      </c>
      <c r="K924" s="15"/>
      <c r="L924" s="21" t="s">
        <v>18</v>
      </c>
      <c r="M924" s="22">
        <v>0</v>
      </c>
      <c r="N924" s="22">
        <v>-1200</v>
      </c>
      <c r="O924" s="22">
        <v>10800</v>
      </c>
      <c r="P924" s="22">
        <v>10800</v>
      </c>
      <c r="Q924" t="str" cm="1">
        <f t="array" ref="Q924">_xlfn.TEXTJOIN("、",TRUE,IF('學員資料-三民高中'!$B$2:$B$454=$F924,'學員資料-三民高中'!$G$2:$G$454,""))</f>
        <v/>
      </c>
      <c r="R924" t="str" cm="1">
        <f t="array" ref="R924">_xlfn.TEXTJOIN("、",TRUE,IF('學員資料-新北高中'!$B$2:$B$583=$F924,'學員資料-新北高中'!$G$2:$G$583,""))</f>
        <v>0960755204</v>
      </c>
      <c r="S924" t="str" cm="1">
        <f t="array" ref="S924">_xlfn.TEXTJOIN("、",TRUE,IF('學員資料-三重商工'!$B$2:$B$472=$F924,'學員資料-三重商工'!$G$2:$G$472,""))</f>
        <v/>
      </c>
      <c r="T924">
        <f t="shared" si="14"/>
        <v>1</v>
      </c>
    </row>
    <row r="925" spans="1:20" ht="14.25" hidden="1" customHeight="1">
      <c r="A925" s="15">
        <v>924</v>
      </c>
      <c r="B925" s="16" t="s">
        <v>3018</v>
      </c>
      <c r="C925" s="17">
        <v>45892</v>
      </c>
      <c r="D925" s="15" t="s">
        <v>3019</v>
      </c>
      <c r="E925" s="23"/>
      <c r="F925" s="19" t="s">
        <v>1740</v>
      </c>
      <c r="G925" s="18" t="s">
        <v>1741</v>
      </c>
      <c r="H925" s="20" t="s">
        <v>210</v>
      </c>
      <c r="I925" s="15">
        <v>1</v>
      </c>
      <c r="J925" s="15" t="s">
        <v>26</v>
      </c>
      <c r="K925" s="15"/>
      <c r="L925" s="21" t="s">
        <v>18</v>
      </c>
      <c r="M925" s="22">
        <v>0</v>
      </c>
      <c r="N925" s="22">
        <v>-1200</v>
      </c>
      <c r="O925" s="22">
        <v>10800</v>
      </c>
      <c r="P925" s="22">
        <v>10800</v>
      </c>
      <c r="Q925" t="str" cm="1">
        <f t="array" ref="Q925">_xlfn.TEXTJOIN("、",TRUE,IF('學員資料-三民高中'!$B$2:$B$454=$F925,'學員資料-三民高中'!$G$2:$G$454,""))</f>
        <v/>
      </c>
      <c r="R925" t="str" cm="1">
        <f t="array" ref="R925">_xlfn.TEXTJOIN("、",TRUE,IF('學員資料-新北高中'!$B$2:$B$583=$F925,'學員資料-新北高中'!$G$2:$G$583,""))</f>
        <v>0960755204</v>
      </c>
      <c r="S925" t="str" cm="1">
        <f t="array" ref="S925">_xlfn.TEXTJOIN("、",TRUE,IF('學員資料-三重商工'!$B$2:$B$472=$F925,'學員資料-三重商工'!$G$2:$G$472,""))</f>
        <v/>
      </c>
      <c r="T925">
        <f t="shared" si="14"/>
        <v>1</v>
      </c>
    </row>
    <row r="926" spans="1:20" ht="14.25" hidden="1" customHeight="1">
      <c r="A926" s="15">
        <v>925</v>
      </c>
      <c r="B926" s="16" t="s">
        <v>3020</v>
      </c>
      <c r="C926" s="17">
        <v>45892</v>
      </c>
      <c r="D926" s="15" t="s">
        <v>3021</v>
      </c>
      <c r="E926" s="23"/>
      <c r="F926" s="19" t="s">
        <v>550</v>
      </c>
      <c r="G926" s="18" t="s">
        <v>551</v>
      </c>
      <c r="H926" s="20" t="s">
        <v>66</v>
      </c>
      <c r="I926" s="15">
        <v>1</v>
      </c>
      <c r="J926" s="15" t="s">
        <v>23</v>
      </c>
      <c r="K926" s="15"/>
      <c r="L926" s="21" t="s">
        <v>18</v>
      </c>
      <c r="M926" s="22">
        <v>0</v>
      </c>
      <c r="N926" s="22">
        <v>-345</v>
      </c>
      <c r="O926" s="22">
        <v>6555</v>
      </c>
      <c r="P926" s="22">
        <v>6555</v>
      </c>
      <c r="Q926" t="str" cm="1">
        <f t="array" ref="Q926">_xlfn.TEXTJOIN("、",TRUE,IF('學員資料-三民高中'!$B$2:$B$454=$F926,'學員資料-三民高中'!$G$2:$G$454,""))</f>
        <v/>
      </c>
      <c r="R926" t="str" cm="1">
        <f t="array" ref="R926">_xlfn.TEXTJOIN("、",TRUE,IF('學員資料-新北高中'!$B$2:$B$583=$F926,'學員資料-新北高中'!$G$2:$G$583,""))</f>
        <v/>
      </c>
      <c r="S926" t="str" cm="1">
        <f t="array" ref="S926">_xlfn.TEXTJOIN("、",TRUE,IF('學員資料-三重商工'!$B$2:$B$472=$F926,'學員資料-三重商工'!$G$2:$G$472,""))</f>
        <v>0933037462</v>
      </c>
      <c r="T926">
        <f t="shared" si="14"/>
        <v>1</v>
      </c>
    </row>
    <row r="927" spans="1:20" ht="14.25" hidden="1" customHeight="1">
      <c r="A927" s="15">
        <v>926</v>
      </c>
      <c r="B927" s="16" t="s">
        <v>3022</v>
      </c>
      <c r="C927" s="17">
        <v>45892</v>
      </c>
      <c r="D927" s="15" t="s">
        <v>3023</v>
      </c>
      <c r="E927" s="23"/>
      <c r="F927" s="19" t="s">
        <v>2142</v>
      </c>
      <c r="G927" s="18" t="s">
        <v>2143</v>
      </c>
      <c r="H927" s="20" t="s">
        <v>66</v>
      </c>
      <c r="I927" s="15">
        <v>1</v>
      </c>
      <c r="J927" s="15" t="s">
        <v>23</v>
      </c>
      <c r="K927" s="15"/>
      <c r="L927" s="21" t="s">
        <v>16</v>
      </c>
      <c r="M927" s="22">
        <v>0</v>
      </c>
      <c r="N927" s="22">
        <v>-345</v>
      </c>
      <c r="O927" s="22">
        <v>6555</v>
      </c>
      <c r="P927" s="22">
        <v>6555</v>
      </c>
      <c r="Q927" t="str" cm="1">
        <f t="array" ref="Q927">_xlfn.TEXTJOIN("、",TRUE,IF('學員資料-三民高中'!$B$2:$B$454=$F927,'學員資料-三民高中'!$G$2:$G$454,""))</f>
        <v/>
      </c>
      <c r="R927" t="str" cm="1">
        <f t="array" ref="R927">_xlfn.TEXTJOIN("、",TRUE,IF('學員資料-新北高中'!$B$2:$B$583=$F927,'學員資料-新北高中'!$G$2:$G$583,""))</f>
        <v/>
      </c>
      <c r="S927" t="str" cm="1">
        <f t="array" ref="S927">_xlfn.TEXTJOIN("、",TRUE,IF('學員資料-三重商工'!$B$2:$B$472=$F927,'學員資料-三重商工'!$G$2:$G$472,""))</f>
        <v>0916873839</v>
      </c>
      <c r="T927">
        <f t="shared" si="14"/>
        <v>1</v>
      </c>
    </row>
    <row r="928" spans="1:20" ht="28.5" hidden="1" customHeight="1">
      <c r="A928" s="15">
        <v>927</v>
      </c>
      <c r="B928" s="16" t="s">
        <v>3024</v>
      </c>
      <c r="C928" s="17">
        <v>45892</v>
      </c>
      <c r="D928" s="15" t="s">
        <v>3025</v>
      </c>
      <c r="E928" s="23"/>
      <c r="F928" s="19" t="s">
        <v>1434</v>
      </c>
      <c r="G928" s="18" t="s">
        <v>1435</v>
      </c>
      <c r="H928" s="20" t="s">
        <v>219</v>
      </c>
      <c r="I928" s="15">
        <v>2</v>
      </c>
      <c r="J928" s="15" t="s">
        <v>25</v>
      </c>
      <c r="K928" s="15"/>
      <c r="L928" s="21" t="s">
        <v>16</v>
      </c>
      <c r="M928" s="22">
        <v>0</v>
      </c>
      <c r="N928" s="22">
        <v>-1980</v>
      </c>
      <c r="O928" s="22">
        <v>17820</v>
      </c>
      <c r="P928" s="22">
        <v>17820</v>
      </c>
      <c r="Q928" t="str" cm="1">
        <f t="array" ref="Q928">_xlfn.TEXTJOIN("、",TRUE,IF('學員資料-三民高中'!$B$2:$B$454=$F928,'學員資料-三民高中'!$G$2:$G$454,""))</f>
        <v>0935827666</v>
      </c>
      <c r="R928" t="str" cm="1">
        <f t="array" ref="R928">_xlfn.TEXTJOIN("、",TRUE,IF('學員資料-新北高中'!$B$2:$B$583=$F928,'學員資料-新北高中'!$G$2:$G$583,""))</f>
        <v/>
      </c>
      <c r="S928" t="str" cm="1">
        <f t="array" ref="S928">_xlfn.TEXTJOIN("、",TRUE,IF('學員資料-三重商工'!$B$2:$B$472=$F928,'學員資料-三重商工'!$G$2:$G$472,""))</f>
        <v/>
      </c>
      <c r="T928">
        <f t="shared" si="14"/>
        <v>1</v>
      </c>
    </row>
    <row r="929" spans="1:20" ht="14.25" hidden="1" customHeight="1">
      <c r="A929" s="15">
        <v>928</v>
      </c>
      <c r="B929" s="16" t="s">
        <v>3026</v>
      </c>
      <c r="C929" s="17">
        <v>45891</v>
      </c>
      <c r="D929" s="15" t="s">
        <v>3027</v>
      </c>
      <c r="E929" s="23"/>
      <c r="F929" s="19" t="s">
        <v>2070</v>
      </c>
      <c r="G929" s="18" t="s">
        <v>2071</v>
      </c>
      <c r="H929" s="20" t="s">
        <v>52</v>
      </c>
      <c r="I929" s="15">
        <v>1</v>
      </c>
      <c r="J929" s="15" t="s">
        <v>24</v>
      </c>
      <c r="K929" s="15"/>
      <c r="L929" s="21" t="s">
        <v>16</v>
      </c>
      <c r="M929" s="22">
        <v>0</v>
      </c>
      <c r="N929" s="22">
        <v>-375</v>
      </c>
      <c r="O929" s="22">
        <v>7125</v>
      </c>
      <c r="P929" s="22">
        <v>7125</v>
      </c>
      <c r="Q929" t="str" cm="1">
        <f t="array" ref="Q929">_xlfn.TEXTJOIN("、",TRUE,IF('學員資料-三民高中'!$B$2:$B$454=$F929,'學員資料-三民高中'!$G$2:$G$454,""))</f>
        <v/>
      </c>
      <c r="R929" t="str" cm="1">
        <f t="array" ref="R929">_xlfn.TEXTJOIN("、",TRUE,IF('學員資料-新北高中'!$B$2:$B$583=$F929,'學員資料-新北高中'!$G$2:$G$583,""))</f>
        <v>0952201131</v>
      </c>
      <c r="S929" t="str" cm="1">
        <f t="array" ref="S929">_xlfn.TEXTJOIN("、",TRUE,IF('學員資料-三重商工'!$B$2:$B$472=$F929,'學員資料-三重商工'!$G$2:$G$472,""))</f>
        <v/>
      </c>
      <c r="T929">
        <f t="shared" si="14"/>
        <v>1</v>
      </c>
    </row>
    <row r="930" spans="1:20" ht="14.25" hidden="1" customHeight="1">
      <c r="A930" s="15">
        <v>929</v>
      </c>
      <c r="B930" s="16" t="s">
        <v>3028</v>
      </c>
      <c r="C930" s="17">
        <v>45891</v>
      </c>
      <c r="D930" s="15" t="s">
        <v>3029</v>
      </c>
      <c r="E930" s="23"/>
      <c r="F930" s="19" t="s">
        <v>3030</v>
      </c>
      <c r="G930" s="18" t="s">
        <v>3031</v>
      </c>
      <c r="H930" s="20" t="s">
        <v>130</v>
      </c>
      <c r="I930" s="15">
        <v>1</v>
      </c>
      <c r="J930" s="15" t="s">
        <v>25</v>
      </c>
      <c r="K930" s="15"/>
      <c r="L930" s="21" t="s">
        <v>18</v>
      </c>
      <c r="M930" s="22">
        <v>0</v>
      </c>
      <c r="N930" s="22">
        <v>-990</v>
      </c>
      <c r="O930" s="22">
        <v>8910</v>
      </c>
      <c r="P930" s="22">
        <v>8910</v>
      </c>
      <c r="Q930" t="str" cm="1">
        <f t="array" ref="Q930">_xlfn.TEXTJOIN("、",TRUE,IF('學員資料-三民高中'!$B$2:$B$454=$F930,'學員資料-三民高中'!$G$2:$G$454,""))</f>
        <v>0975628321</v>
      </c>
      <c r="R930" t="str" cm="1">
        <f t="array" ref="R930">_xlfn.TEXTJOIN("、",TRUE,IF('學員資料-新北高中'!$B$2:$B$583=$F930,'學員資料-新北高中'!$G$2:$G$583,""))</f>
        <v/>
      </c>
      <c r="S930" t="str" cm="1">
        <f t="array" ref="S930">_xlfn.TEXTJOIN("、",TRUE,IF('學員資料-三重商工'!$B$2:$B$472=$F930,'學員資料-三重商工'!$G$2:$G$472,""))</f>
        <v/>
      </c>
      <c r="T930">
        <f t="shared" si="14"/>
        <v>1</v>
      </c>
    </row>
    <row r="931" spans="1:20" ht="14.25" hidden="1" customHeight="1">
      <c r="A931" s="15">
        <v>930</v>
      </c>
      <c r="B931" s="16" t="s">
        <v>3032</v>
      </c>
      <c r="C931" s="17">
        <v>45891</v>
      </c>
      <c r="D931" s="15" t="s">
        <v>3033</v>
      </c>
      <c r="E931" s="23"/>
      <c r="F931" s="19" t="s">
        <v>2158</v>
      </c>
      <c r="G931" s="18" t="s">
        <v>2159</v>
      </c>
      <c r="H931" s="20" t="s">
        <v>130</v>
      </c>
      <c r="I931" s="15">
        <v>1</v>
      </c>
      <c r="J931" s="15" t="s">
        <v>25</v>
      </c>
      <c r="K931" s="15"/>
      <c r="L931" s="21" t="s">
        <v>18</v>
      </c>
      <c r="M931" s="22">
        <v>0</v>
      </c>
      <c r="N931" s="22">
        <v>-990</v>
      </c>
      <c r="O931" s="22">
        <v>8910</v>
      </c>
      <c r="P931" s="22">
        <v>8910</v>
      </c>
      <c r="Q931" t="str" cm="1">
        <f t="array" ref="Q931">_xlfn.TEXTJOIN("、",TRUE,IF('學員資料-三民高中'!$B$2:$B$454=$F931,'學員資料-三民高中'!$G$2:$G$454,""))</f>
        <v>0922600356</v>
      </c>
      <c r="R931" t="str" cm="1">
        <f t="array" ref="R931">_xlfn.TEXTJOIN("、",TRUE,IF('學員資料-新北高中'!$B$2:$B$583=$F931,'學員資料-新北高中'!$G$2:$G$583,""))</f>
        <v/>
      </c>
      <c r="S931" t="str" cm="1">
        <f t="array" ref="S931">_xlfn.TEXTJOIN("、",TRUE,IF('學員資料-三重商工'!$B$2:$B$472=$F931,'學員資料-三重商工'!$G$2:$G$472,""))</f>
        <v/>
      </c>
      <c r="T931">
        <f t="shared" si="14"/>
        <v>1</v>
      </c>
    </row>
    <row r="932" spans="1:20" ht="14.25" hidden="1" customHeight="1">
      <c r="A932" s="15">
        <v>931</v>
      </c>
      <c r="B932" s="16" t="s">
        <v>3034</v>
      </c>
      <c r="C932" s="17">
        <v>45891</v>
      </c>
      <c r="D932" s="15" t="s">
        <v>3035</v>
      </c>
      <c r="E932" s="23"/>
      <c r="F932" s="19" t="s">
        <v>2647</v>
      </c>
      <c r="G932" s="18" t="s">
        <v>804</v>
      </c>
      <c r="H932" s="20" t="s">
        <v>66</v>
      </c>
      <c r="I932" s="15">
        <v>1</v>
      </c>
      <c r="J932" s="15" t="s">
        <v>23</v>
      </c>
      <c r="K932" s="15"/>
      <c r="L932" s="21" t="s">
        <v>18</v>
      </c>
      <c r="M932" s="22">
        <v>0</v>
      </c>
      <c r="N932" s="22">
        <v>-345</v>
      </c>
      <c r="O932" s="22">
        <v>6555</v>
      </c>
      <c r="P932" s="22">
        <v>6555</v>
      </c>
      <c r="Q932" t="str" cm="1">
        <f t="array" ref="Q932">_xlfn.TEXTJOIN("、",TRUE,IF('學員資料-三民高中'!$B$2:$B$454=$F932,'學員資料-三民高中'!$G$2:$G$454,""))</f>
        <v>0936122822</v>
      </c>
      <c r="R932" t="str" cm="1">
        <f t="array" ref="R932">_xlfn.TEXTJOIN("、",TRUE,IF('學員資料-新北高中'!$B$2:$B$583=$F932,'學員資料-新北高中'!$G$2:$G$583,""))</f>
        <v/>
      </c>
      <c r="S932" t="str" cm="1">
        <f t="array" ref="S932">_xlfn.TEXTJOIN("、",TRUE,IF('學員資料-三重商工'!$B$2:$B$472=$F932,'學員資料-三重商工'!$G$2:$G$472,""))</f>
        <v/>
      </c>
      <c r="T932">
        <f t="shared" si="14"/>
        <v>1</v>
      </c>
    </row>
    <row r="933" spans="1:20" ht="14.25" hidden="1" customHeight="1">
      <c r="A933" s="15">
        <v>932</v>
      </c>
      <c r="B933" s="16" t="s">
        <v>3036</v>
      </c>
      <c r="C933" s="17">
        <v>45891</v>
      </c>
      <c r="D933" s="15" t="s">
        <v>3037</v>
      </c>
      <c r="E933" s="23"/>
      <c r="F933" s="19" t="s">
        <v>955</v>
      </c>
      <c r="G933" s="18" t="s">
        <v>956</v>
      </c>
      <c r="H933" s="20" t="s">
        <v>130</v>
      </c>
      <c r="I933" s="15">
        <v>1</v>
      </c>
      <c r="J933" s="15" t="s">
        <v>25</v>
      </c>
      <c r="K933" s="15"/>
      <c r="L933" s="21" t="s">
        <v>18</v>
      </c>
      <c r="M933" s="22">
        <v>0</v>
      </c>
      <c r="N933" s="22">
        <v>-990</v>
      </c>
      <c r="O933" s="22">
        <v>8910</v>
      </c>
      <c r="P933" s="22">
        <v>8910</v>
      </c>
      <c r="Q933" t="str" cm="1">
        <f t="array" ref="Q933">_xlfn.TEXTJOIN("、",TRUE,IF('學員資料-三民高中'!$B$2:$B$454=$F933,'學員資料-三民高中'!$G$2:$G$454,""))</f>
        <v>0920218813</v>
      </c>
      <c r="R933" t="str" cm="1">
        <f t="array" ref="R933">_xlfn.TEXTJOIN("、",TRUE,IF('學員資料-新北高中'!$B$2:$B$583=$F933,'學員資料-新北高中'!$G$2:$G$583,""))</f>
        <v/>
      </c>
      <c r="S933" t="str" cm="1">
        <f t="array" ref="S933">_xlfn.TEXTJOIN("、",TRUE,IF('學員資料-三重商工'!$B$2:$B$472=$F933,'學員資料-三重商工'!$G$2:$G$472,""))</f>
        <v/>
      </c>
      <c r="T933">
        <f t="shared" si="14"/>
        <v>1</v>
      </c>
    </row>
    <row r="934" spans="1:20" ht="14.25" hidden="1" customHeight="1">
      <c r="A934" s="15">
        <v>933</v>
      </c>
      <c r="B934" s="16" t="s">
        <v>3038</v>
      </c>
      <c r="C934" s="17">
        <v>45891</v>
      </c>
      <c r="D934" s="15" t="s">
        <v>3039</v>
      </c>
      <c r="E934" s="23"/>
      <c r="F934" s="19" t="s">
        <v>2734</v>
      </c>
      <c r="G934" s="18" t="s">
        <v>2735</v>
      </c>
      <c r="H934" s="20" t="s">
        <v>52</v>
      </c>
      <c r="I934" s="15">
        <v>1</v>
      </c>
      <c r="J934" s="15" t="s">
        <v>24</v>
      </c>
      <c r="K934" s="15"/>
      <c r="L934" s="21" t="s">
        <v>18</v>
      </c>
      <c r="M934" s="22">
        <v>0</v>
      </c>
      <c r="N934" s="22">
        <v>-375</v>
      </c>
      <c r="O934" s="22">
        <v>7125</v>
      </c>
      <c r="P934" s="22">
        <v>7125</v>
      </c>
      <c r="Q934" t="str" cm="1">
        <f t="array" ref="Q934">_xlfn.TEXTJOIN("、",TRUE,IF('學員資料-三民高中'!$B$2:$B$454=$F934,'學員資料-三民高中'!$G$2:$G$454,""))</f>
        <v>0935096728</v>
      </c>
      <c r="R934" t="str" cm="1">
        <f t="array" ref="R934">_xlfn.TEXTJOIN("、",TRUE,IF('學員資料-新北高中'!$B$2:$B$583=$F934,'學員資料-新北高中'!$G$2:$G$583,""))</f>
        <v/>
      </c>
      <c r="S934" t="str" cm="1">
        <f t="array" ref="S934">_xlfn.TEXTJOIN("、",TRUE,IF('學員資料-三重商工'!$B$2:$B$472=$F934,'學員資料-三重商工'!$G$2:$G$472,""))</f>
        <v/>
      </c>
      <c r="T934">
        <f t="shared" si="14"/>
        <v>1</v>
      </c>
    </row>
    <row r="935" spans="1:20" ht="14.25" hidden="1" customHeight="1">
      <c r="A935" s="15">
        <v>934</v>
      </c>
      <c r="B935" s="16" t="s">
        <v>3040</v>
      </c>
      <c r="C935" s="17">
        <v>45891</v>
      </c>
      <c r="D935" s="15" t="s">
        <v>3041</v>
      </c>
      <c r="E935" s="23"/>
      <c r="F935" s="19" t="s">
        <v>3042</v>
      </c>
      <c r="G935" s="18" t="s">
        <v>3043</v>
      </c>
      <c r="H935" s="20" t="s">
        <v>52</v>
      </c>
      <c r="I935" s="15">
        <v>1</v>
      </c>
      <c r="J935" s="15" t="s">
        <v>24</v>
      </c>
      <c r="K935" s="15"/>
      <c r="L935" s="21" t="s">
        <v>16</v>
      </c>
      <c r="M935" s="22">
        <v>0</v>
      </c>
      <c r="N935" s="22">
        <v>-375</v>
      </c>
      <c r="O935" s="22">
        <v>7125</v>
      </c>
      <c r="P935" s="22">
        <v>7125</v>
      </c>
      <c r="Q935" t="str" cm="1">
        <f t="array" ref="Q935">_xlfn.TEXTJOIN("、",TRUE,IF('學員資料-三民高中'!$B$2:$B$454=$F935,'學員資料-三民高中'!$G$2:$G$454,""))</f>
        <v>0952183351</v>
      </c>
      <c r="R935" t="str" cm="1">
        <f t="array" ref="R935">_xlfn.TEXTJOIN("、",TRUE,IF('學員資料-新北高中'!$B$2:$B$583=$F935,'學員資料-新北高中'!$G$2:$G$583,""))</f>
        <v/>
      </c>
      <c r="S935" t="str" cm="1">
        <f t="array" ref="S935">_xlfn.TEXTJOIN("、",TRUE,IF('學員資料-三重商工'!$B$2:$B$472=$F935,'學員資料-三重商工'!$G$2:$G$472,""))</f>
        <v/>
      </c>
      <c r="T935">
        <f t="shared" si="14"/>
        <v>1</v>
      </c>
    </row>
    <row r="936" spans="1:20" ht="14.25" hidden="1" customHeight="1">
      <c r="A936" s="15">
        <v>935</v>
      </c>
      <c r="B936" s="16" t="s">
        <v>3044</v>
      </c>
      <c r="C936" s="17">
        <v>45890</v>
      </c>
      <c r="D936" s="15" t="s">
        <v>3045</v>
      </c>
      <c r="E936" s="23"/>
      <c r="F936" s="19" t="s">
        <v>3046</v>
      </c>
      <c r="G936" s="18" t="s">
        <v>3047</v>
      </c>
      <c r="H936" s="20" t="s">
        <v>52</v>
      </c>
      <c r="I936" s="15">
        <v>1</v>
      </c>
      <c r="J936" s="15" t="s">
        <v>24</v>
      </c>
      <c r="K936" s="15"/>
      <c r="L936" s="21" t="s">
        <v>18</v>
      </c>
      <c r="M936" s="22">
        <v>0</v>
      </c>
      <c r="N936" s="22">
        <v>-375</v>
      </c>
      <c r="O936" s="22">
        <v>7125</v>
      </c>
      <c r="P936" s="22">
        <v>7125</v>
      </c>
      <c r="Q936" t="str" cm="1">
        <f t="array" ref="Q936">_xlfn.TEXTJOIN("、",TRUE,IF('學員資料-三民高中'!$B$2:$B$454=$F936,'學員資料-三民高中'!$G$2:$G$454,""))</f>
        <v>0982925304</v>
      </c>
      <c r="R936" t="str" cm="1">
        <f t="array" ref="R936">_xlfn.TEXTJOIN("、",TRUE,IF('學員資料-新北高中'!$B$2:$B$583=$F936,'學員資料-新北高中'!$G$2:$G$583,""))</f>
        <v/>
      </c>
      <c r="S936" t="str" cm="1">
        <f t="array" ref="S936">_xlfn.TEXTJOIN("、",TRUE,IF('學員資料-三重商工'!$B$2:$B$472=$F936,'學員資料-三重商工'!$G$2:$G$472,""))</f>
        <v/>
      </c>
      <c r="T936">
        <f t="shared" si="14"/>
        <v>1</v>
      </c>
    </row>
    <row r="937" spans="1:20" ht="14.25" hidden="1" customHeight="1">
      <c r="A937" s="15">
        <v>936</v>
      </c>
      <c r="B937" s="16" t="s">
        <v>3048</v>
      </c>
      <c r="C937" s="17">
        <v>45890</v>
      </c>
      <c r="D937" s="15" t="s">
        <v>3049</v>
      </c>
      <c r="E937" s="23"/>
      <c r="F937" s="19" t="s">
        <v>3050</v>
      </c>
      <c r="G937" s="18" t="s">
        <v>3051</v>
      </c>
      <c r="H937" s="20" t="s">
        <v>52</v>
      </c>
      <c r="I937" s="15">
        <v>1</v>
      </c>
      <c r="J937" s="15" t="s">
        <v>24</v>
      </c>
      <c r="K937" s="15"/>
      <c r="L937" s="21" t="s">
        <v>18</v>
      </c>
      <c r="M937" s="22">
        <v>0</v>
      </c>
      <c r="N937" s="22">
        <v>-375</v>
      </c>
      <c r="O937" s="22">
        <v>7125</v>
      </c>
      <c r="P937" s="22">
        <v>7125</v>
      </c>
      <c r="Q937" t="str" cm="1">
        <f t="array" ref="Q937">_xlfn.TEXTJOIN("、",TRUE,IF('學員資料-三民高中'!$B$2:$B$454=$F937,'學員資料-三民高中'!$G$2:$G$454,""))</f>
        <v>0921867371</v>
      </c>
      <c r="R937" t="str" cm="1">
        <f t="array" ref="R937">_xlfn.TEXTJOIN("、",TRUE,IF('學員資料-新北高中'!$B$2:$B$583=$F937,'學員資料-新北高中'!$G$2:$G$583,""))</f>
        <v/>
      </c>
      <c r="S937" t="str" cm="1">
        <f t="array" ref="S937">_xlfn.TEXTJOIN("、",TRUE,IF('學員資料-三重商工'!$B$2:$B$472=$F937,'學員資料-三重商工'!$G$2:$G$472,""))</f>
        <v/>
      </c>
      <c r="T937">
        <f t="shared" si="14"/>
        <v>1</v>
      </c>
    </row>
    <row r="938" spans="1:20" ht="14.25" hidden="1" customHeight="1">
      <c r="A938" s="15">
        <v>937</v>
      </c>
      <c r="B938" s="16" t="s">
        <v>3052</v>
      </c>
      <c r="C938" s="17">
        <v>45890</v>
      </c>
      <c r="D938" s="15" t="s">
        <v>3053</v>
      </c>
      <c r="E938" s="23"/>
      <c r="F938" s="19" t="s">
        <v>2327</v>
      </c>
      <c r="G938" s="18" t="s">
        <v>2328</v>
      </c>
      <c r="H938" s="20" t="s">
        <v>130</v>
      </c>
      <c r="I938" s="15">
        <v>1</v>
      </c>
      <c r="J938" s="15" t="s">
        <v>25</v>
      </c>
      <c r="K938" s="15"/>
      <c r="L938" s="21" t="s">
        <v>18</v>
      </c>
      <c r="M938" s="22">
        <v>0</v>
      </c>
      <c r="N938" s="22">
        <v>-990</v>
      </c>
      <c r="O938" s="22">
        <v>8910</v>
      </c>
      <c r="P938" s="22">
        <v>8910</v>
      </c>
      <c r="Q938" t="str" cm="1">
        <f t="array" ref="Q938">_xlfn.TEXTJOIN("、",TRUE,IF('學員資料-三民高中'!$B$2:$B$454=$F938,'學員資料-三民高中'!$G$2:$G$454,""))</f>
        <v>0980123946</v>
      </c>
      <c r="R938" t="str" cm="1">
        <f t="array" ref="R938">_xlfn.TEXTJOIN("、",TRUE,IF('學員資料-新北高中'!$B$2:$B$583=$F938,'學員資料-新北高中'!$G$2:$G$583,""))</f>
        <v/>
      </c>
      <c r="S938" t="str" cm="1">
        <f t="array" ref="S938">_xlfn.TEXTJOIN("、",TRUE,IF('學員資料-三重商工'!$B$2:$B$472=$F938,'學員資料-三重商工'!$G$2:$G$472,""))</f>
        <v/>
      </c>
      <c r="T938">
        <f t="shared" si="14"/>
        <v>1</v>
      </c>
    </row>
    <row r="939" spans="1:20" ht="43.5" hidden="1" customHeight="1">
      <c r="A939" s="15">
        <v>938</v>
      </c>
      <c r="B939" s="16" t="s">
        <v>3054</v>
      </c>
      <c r="C939" s="17">
        <v>45890</v>
      </c>
      <c r="D939" s="15" t="s">
        <v>3055</v>
      </c>
      <c r="E939" s="23"/>
      <c r="F939" s="19" t="s">
        <v>1103</v>
      </c>
      <c r="G939" s="18" t="s">
        <v>1104</v>
      </c>
      <c r="H939" s="20" t="s">
        <v>436</v>
      </c>
      <c r="I939" s="15">
        <v>3</v>
      </c>
      <c r="J939" s="15" t="s">
        <v>24</v>
      </c>
      <c r="K939" s="15"/>
      <c r="L939" s="21" t="s">
        <v>18</v>
      </c>
      <c r="M939" s="22">
        <v>0</v>
      </c>
      <c r="N939" s="22">
        <v>-1125</v>
      </c>
      <c r="O939" s="22">
        <v>21375</v>
      </c>
      <c r="P939" s="22">
        <v>21375</v>
      </c>
      <c r="Q939" t="str" cm="1">
        <f t="array" ref="Q939">_xlfn.TEXTJOIN("、",TRUE,IF('學員資料-三民高中'!$B$2:$B$454=$F939,'學員資料-三民高中'!$G$2:$G$454,""))</f>
        <v>0922598986</v>
      </c>
      <c r="R939" t="str" cm="1">
        <f t="array" ref="R939">_xlfn.TEXTJOIN("、",TRUE,IF('學員資料-新北高中'!$B$2:$B$583=$F939,'學員資料-新北高中'!$G$2:$G$583,""))</f>
        <v/>
      </c>
      <c r="S939" t="str" cm="1">
        <f t="array" ref="S939">_xlfn.TEXTJOIN("、",TRUE,IF('學員資料-三重商工'!$B$2:$B$472=$F939,'學員資料-三重商工'!$G$2:$G$472,""))</f>
        <v/>
      </c>
      <c r="T939">
        <f t="shared" si="14"/>
        <v>1</v>
      </c>
    </row>
    <row r="940" spans="1:20" ht="14.25" hidden="1" customHeight="1">
      <c r="A940" s="15">
        <v>939</v>
      </c>
      <c r="B940" s="16" t="s">
        <v>3056</v>
      </c>
      <c r="C940" s="17">
        <v>45890</v>
      </c>
      <c r="D940" s="15" t="s">
        <v>3057</v>
      </c>
      <c r="E940" s="23"/>
      <c r="F940" s="19" t="s">
        <v>888</v>
      </c>
      <c r="G940" s="18" t="s">
        <v>889</v>
      </c>
      <c r="H940" s="20" t="s">
        <v>66</v>
      </c>
      <c r="I940" s="15">
        <v>1</v>
      </c>
      <c r="J940" s="15" t="s">
        <v>23</v>
      </c>
      <c r="K940" s="15"/>
      <c r="L940" s="21" t="s">
        <v>18</v>
      </c>
      <c r="M940" s="22">
        <v>0</v>
      </c>
      <c r="N940" s="22">
        <v>-345</v>
      </c>
      <c r="O940" s="22">
        <v>6555</v>
      </c>
      <c r="P940" s="22">
        <v>6555</v>
      </c>
      <c r="Q940" t="str" cm="1">
        <f t="array" ref="Q940">_xlfn.TEXTJOIN("、",TRUE,IF('學員資料-三民高中'!$B$2:$B$454=$F940,'學員資料-三民高中'!$G$2:$G$454,""))</f>
        <v/>
      </c>
      <c r="R940" t="str" cm="1">
        <f t="array" ref="R940">_xlfn.TEXTJOIN("、",TRUE,IF('學員資料-新北高中'!$B$2:$B$583=$F940,'學員資料-新北高中'!$G$2:$G$583,""))</f>
        <v>0900099919</v>
      </c>
      <c r="S940" t="str" cm="1">
        <f t="array" ref="S940">_xlfn.TEXTJOIN("、",TRUE,IF('學員資料-三重商工'!$B$2:$B$472=$F940,'學員資料-三重商工'!$G$2:$G$472,""))</f>
        <v/>
      </c>
      <c r="T940">
        <f t="shared" si="14"/>
        <v>1</v>
      </c>
    </row>
    <row r="941" spans="1:20" ht="28.5" hidden="1" customHeight="1">
      <c r="A941" s="15">
        <v>940</v>
      </c>
      <c r="B941" s="16" t="s">
        <v>3058</v>
      </c>
      <c r="C941" s="17">
        <v>45890</v>
      </c>
      <c r="D941" s="15" t="s">
        <v>3059</v>
      </c>
      <c r="E941" s="23"/>
      <c r="F941" s="19" t="s">
        <v>462</v>
      </c>
      <c r="G941" s="18" t="s">
        <v>463</v>
      </c>
      <c r="H941" s="20" t="s">
        <v>99</v>
      </c>
      <c r="I941" s="15">
        <v>2</v>
      </c>
      <c r="J941" s="15" t="s">
        <v>24</v>
      </c>
      <c r="K941" s="15"/>
      <c r="L941" s="21" t="s">
        <v>16</v>
      </c>
      <c r="M941" s="22">
        <v>0</v>
      </c>
      <c r="N941" s="22">
        <v>-750</v>
      </c>
      <c r="O941" s="22">
        <v>14250</v>
      </c>
      <c r="P941" s="22">
        <v>14250</v>
      </c>
      <c r="Q941" t="str" cm="1">
        <f t="array" ref="Q941">_xlfn.TEXTJOIN("、",TRUE,IF('學員資料-三民高中'!$B$2:$B$454=$F941,'學員資料-三民高中'!$G$2:$G$454,""))</f>
        <v/>
      </c>
      <c r="R941" t="str" cm="1">
        <f t="array" ref="R941">_xlfn.TEXTJOIN("、",TRUE,IF('學員資料-新北高中'!$B$2:$B$583=$F941,'學員資料-新北高中'!$G$2:$G$583,""))</f>
        <v>0938275670</v>
      </c>
      <c r="S941" t="str" cm="1">
        <f t="array" ref="S941">_xlfn.TEXTJOIN("、",TRUE,IF('學員資料-三重商工'!$B$2:$B$472=$F941,'學員資料-三重商工'!$G$2:$G$472,""))</f>
        <v/>
      </c>
      <c r="T941">
        <f t="shared" si="14"/>
        <v>1</v>
      </c>
    </row>
    <row r="942" spans="1:20" ht="14.25" hidden="1" customHeight="1">
      <c r="A942" s="15">
        <v>941</v>
      </c>
      <c r="B942" s="16" t="s">
        <v>3060</v>
      </c>
      <c r="C942" s="17">
        <v>45890</v>
      </c>
      <c r="D942" s="15" t="s">
        <v>3061</v>
      </c>
      <c r="E942" s="23"/>
      <c r="F942" s="19" t="s">
        <v>3062</v>
      </c>
      <c r="G942" s="18" t="s">
        <v>3063</v>
      </c>
      <c r="H942" s="20" t="s">
        <v>52</v>
      </c>
      <c r="I942" s="15">
        <v>1</v>
      </c>
      <c r="J942" s="15" t="s">
        <v>24</v>
      </c>
      <c r="K942" s="15"/>
      <c r="L942" s="21" t="s">
        <v>18</v>
      </c>
      <c r="M942" s="22">
        <v>0</v>
      </c>
      <c r="N942" s="22">
        <v>-375</v>
      </c>
      <c r="O942" s="22">
        <v>7125</v>
      </c>
      <c r="P942" s="22">
        <v>7125</v>
      </c>
      <c r="Q942" t="str" cm="1">
        <f t="array" ref="Q942">_xlfn.TEXTJOIN("、",TRUE,IF('學員資料-三民高中'!$B$2:$B$454=$F942,'學員資料-三民高中'!$G$2:$G$454,""))</f>
        <v/>
      </c>
      <c r="R942" t="str" cm="1">
        <f t="array" ref="R942">_xlfn.TEXTJOIN("、",TRUE,IF('學員資料-新北高中'!$B$2:$B$583=$F942,'學員資料-新北高中'!$G$2:$G$583,""))</f>
        <v>0972205824</v>
      </c>
      <c r="S942" t="str" cm="1">
        <f t="array" ref="S942">_xlfn.TEXTJOIN("、",TRUE,IF('學員資料-三重商工'!$B$2:$B$472=$F942,'學員資料-三重商工'!$G$2:$G$472,""))</f>
        <v/>
      </c>
      <c r="T942">
        <f t="shared" si="14"/>
        <v>1</v>
      </c>
    </row>
    <row r="943" spans="1:20" ht="14.25" hidden="1" customHeight="1">
      <c r="A943" s="15">
        <v>942</v>
      </c>
      <c r="B943" s="16" t="s">
        <v>3064</v>
      </c>
      <c r="C943" s="17">
        <v>45889</v>
      </c>
      <c r="D943" s="15" t="s">
        <v>3065</v>
      </c>
      <c r="E943" s="23"/>
      <c r="F943" s="19" t="s">
        <v>3066</v>
      </c>
      <c r="G943" s="18" t="s">
        <v>2954</v>
      </c>
      <c r="H943" s="20" t="s">
        <v>52</v>
      </c>
      <c r="I943" s="15">
        <v>1</v>
      </c>
      <c r="J943" s="15" t="s">
        <v>24</v>
      </c>
      <c r="K943" s="15"/>
      <c r="L943" s="21" t="s">
        <v>16</v>
      </c>
      <c r="M943" s="22">
        <v>0</v>
      </c>
      <c r="N943" s="22">
        <v>-375</v>
      </c>
      <c r="O943" s="22">
        <v>7125</v>
      </c>
      <c r="P943" s="22">
        <v>7125</v>
      </c>
      <c r="Q943" t="str" cm="1">
        <f t="array" ref="Q943">_xlfn.TEXTJOIN("、",TRUE,IF('學員資料-三民高中'!$B$2:$B$454=$F943,'學員資料-三民高中'!$G$2:$G$454,""))</f>
        <v>0926187618</v>
      </c>
      <c r="R943" t="str" cm="1">
        <f t="array" ref="R943">_xlfn.TEXTJOIN("、",TRUE,IF('學員資料-新北高中'!$B$2:$B$583=$F943,'學員資料-新北高中'!$G$2:$G$583,""))</f>
        <v/>
      </c>
      <c r="S943" t="str" cm="1">
        <f t="array" ref="S943">_xlfn.TEXTJOIN("、",TRUE,IF('學員資料-三重商工'!$B$2:$B$472=$F943,'學員資料-三重商工'!$G$2:$G$472,""))</f>
        <v/>
      </c>
      <c r="T943">
        <f t="shared" si="14"/>
        <v>1</v>
      </c>
    </row>
    <row r="944" spans="1:20" ht="14.25" hidden="1" customHeight="1">
      <c r="A944" s="15">
        <v>943</v>
      </c>
      <c r="B944" s="16" t="s">
        <v>3067</v>
      </c>
      <c r="C944" s="17">
        <v>45889</v>
      </c>
      <c r="D944" s="15" t="s">
        <v>3068</v>
      </c>
      <c r="E944" s="23"/>
      <c r="F944" s="19" t="s">
        <v>3069</v>
      </c>
      <c r="G944" s="18" t="s">
        <v>3070</v>
      </c>
      <c r="H944" s="20" t="s">
        <v>52</v>
      </c>
      <c r="I944" s="15">
        <v>1</v>
      </c>
      <c r="J944" s="15" t="s">
        <v>24</v>
      </c>
      <c r="K944" s="15"/>
      <c r="L944" s="21" t="s">
        <v>18</v>
      </c>
      <c r="M944" s="22">
        <v>0</v>
      </c>
      <c r="N944" s="22">
        <v>-375</v>
      </c>
      <c r="O944" s="22">
        <v>7125</v>
      </c>
      <c r="P944" s="22">
        <v>7125</v>
      </c>
      <c r="Q944" t="str" cm="1">
        <f t="array" ref="Q944">_xlfn.TEXTJOIN("、",TRUE,IF('學員資料-三民高中'!$B$2:$B$454=$F944,'學員資料-三民高中'!$G$2:$G$454,""))</f>
        <v/>
      </c>
      <c r="R944" t="str" cm="1">
        <f t="array" ref="R944">_xlfn.TEXTJOIN("、",TRUE,IF('學員資料-新北高中'!$B$2:$B$583=$F944,'學員資料-新北高中'!$G$2:$G$583,""))</f>
        <v>0952899767</v>
      </c>
      <c r="S944" t="str" cm="1">
        <f t="array" ref="S944">_xlfn.TEXTJOIN("、",TRUE,IF('學員資料-三重商工'!$B$2:$B$472=$F944,'學員資料-三重商工'!$G$2:$G$472,""))</f>
        <v/>
      </c>
      <c r="T944">
        <f t="shared" si="14"/>
        <v>1</v>
      </c>
    </row>
    <row r="945" spans="1:20" ht="14.25" hidden="1" customHeight="1">
      <c r="A945" s="15">
        <v>944</v>
      </c>
      <c r="B945" s="16" t="s">
        <v>3071</v>
      </c>
      <c r="C945" s="17">
        <v>45889</v>
      </c>
      <c r="D945" s="15" t="s">
        <v>3072</v>
      </c>
      <c r="E945" s="23"/>
      <c r="F945" s="19" t="s">
        <v>2205</v>
      </c>
      <c r="G945" s="18" t="s">
        <v>2206</v>
      </c>
      <c r="H945" s="20" t="s">
        <v>66</v>
      </c>
      <c r="I945" s="15">
        <v>1</v>
      </c>
      <c r="J945" s="15" t="s">
        <v>23</v>
      </c>
      <c r="K945" s="15"/>
      <c r="L945" s="21" t="s">
        <v>16</v>
      </c>
      <c r="M945" s="22">
        <v>0</v>
      </c>
      <c r="N945" s="22">
        <v>-345</v>
      </c>
      <c r="O945" s="22">
        <v>6555</v>
      </c>
      <c r="P945" s="22">
        <v>6555</v>
      </c>
      <c r="Q945" t="str" cm="1">
        <f t="array" ref="Q945">_xlfn.TEXTJOIN("、",TRUE,IF('學員資料-三民高中'!$B$2:$B$454=$F945,'學員資料-三民高中'!$G$2:$G$454,""))</f>
        <v>0965178811</v>
      </c>
      <c r="R945" t="str" cm="1">
        <f t="array" ref="R945">_xlfn.TEXTJOIN("、",TRUE,IF('學員資料-新北高中'!$B$2:$B$583=$F945,'學員資料-新北高中'!$G$2:$G$583,""))</f>
        <v/>
      </c>
      <c r="S945" t="str" cm="1">
        <f t="array" ref="S945">_xlfn.TEXTJOIN("、",TRUE,IF('學員資料-三重商工'!$B$2:$B$472=$F945,'學員資料-三重商工'!$G$2:$G$472,""))</f>
        <v/>
      </c>
      <c r="T945">
        <f t="shared" si="14"/>
        <v>1</v>
      </c>
    </row>
    <row r="946" spans="1:20" ht="28.5" hidden="1" customHeight="1">
      <c r="A946" s="15">
        <v>945</v>
      </c>
      <c r="B946" s="16" t="s">
        <v>3073</v>
      </c>
      <c r="C946" s="17">
        <v>45889</v>
      </c>
      <c r="D946" s="15" t="s">
        <v>3074</v>
      </c>
      <c r="E946" s="23"/>
      <c r="F946" s="19" t="s">
        <v>3075</v>
      </c>
      <c r="G946" s="18" t="s">
        <v>1880</v>
      </c>
      <c r="H946" s="20" t="s">
        <v>99</v>
      </c>
      <c r="I946" s="15">
        <v>2</v>
      </c>
      <c r="J946" s="15" t="s">
        <v>24</v>
      </c>
      <c r="K946" s="15"/>
      <c r="L946" s="21" t="s">
        <v>16</v>
      </c>
      <c r="M946" s="22">
        <v>0</v>
      </c>
      <c r="N946" s="22">
        <v>-750</v>
      </c>
      <c r="O946" s="22">
        <v>14250</v>
      </c>
      <c r="P946" s="22">
        <v>14250</v>
      </c>
      <c r="Q946" t="str" cm="1">
        <f t="array" ref="Q946">_xlfn.TEXTJOIN("、",TRUE,IF('學員資料-三民高中'!$B$2:$B$454=$F946,'學員資料-三民高中'!$G$2:$G$454,""))</f>
        <v>0928223634-1</v>
      </c>
      <c r="R946" t="str" cm="1">
        <f t="array" ref="R946">_xlfn.TEXTJOIN("、",TRUE,IF('學員資料-新北高中'!$B$2:$B$583=$F946,'學員資料-新北高中'!$G$2:$G$583,""))</f>
        <v/>
      </c>
      <c r="S946" t="str" cm="1">
        <f t="array" ref="S946">_xlfn.TEXTJOIN("、",TRUE,IF('學員資料-三重商工'!$B$2:$B$472=$F946,'學員資料-三重商工'!$G$2:$G$472,""))</f>
        <v/>
      </c>
      <c r="T946">
        <f t="shared" si="14"/>
        <v>1</v>
      </c>
    </row>
    <row r="947" spans="1:20" ht="72" hidden="1" customHeight="1">
      <c r="A947" s="15">
        <v>946</v>
      </c>
      <c r="B947" s="16" t="s">
        <v>3076</v>
      </c>
      <c r="C947" s="17">
        <v>45889</v>
      </c>
      <c r="D947" s="15" t="s">
        <v>3077</v>
      </c>
      <c r="E947" s="23"/>
      <c r="F947" s="19" t="s">
        <v>3078</v>
      </c>
      <c r="G947" s="18" t="s">
        <v>3079</v>
      </c>
      <c r="H947" s="20" t="s">
        <v>419</v>
      </c>
      <c r="I947" s="15">
        <v>5</v>
      </c>
      <c r="J947" s="15" t="s">
        <v>23</v>
      </c>
      <c r="K947" s="15"/>
      <c r="L947" s="21" t="s">
        <v>17</v>
      </c>
      <c r="M947" s="22">
        <v>0</v>
      </c>
      <c r="N947" s="22">
        <v>-1725</v>
      </c>
      <c r="O947" s="22">
        <v>32775</v>
      </c>
      <c r="P947" s="22">
        <v>32775</v>
      </c>
      <c r="Q947" t="str" cm="1">
        <f t="array" ref="Q947">_xlfn.TEXTJOIN("、",TRUE,IF('學員資料-三民高中'!$B$2:$B$454=$F947,'學員資料-三民高中'!$G$2:$G$454,""))</f>
        <v/>
      </c>
      <c r="R947" t="str" cm="1">
        <f t="array" ref="R947">_xlfn.TEXTJOIN("、",TRUE,IF('學員資料-新北高中'!$B$2:$B$583=$F947,'學員資料-新北高中'!$G$2:$G$583,""))</f>
        <v/>
      </c>
      <c r="S947" t="str" cm="1">
        <f t="array" ref="S947">_xlfn.TEXTJOIN("、",TRUE,IF('學員資料-三重商工'!$B$2:$B$472=$F947,'學員資料-三重商工'!$G$2:$G$472,""))</f>
        <v>0926472506</v>
      </c>
      <c r="T947">
        <f t="shared" si="14"/>
        <v>1</v>
      </c>
    </row>
    <row r="948" spans="1:20" ht="14.25" hidden="1" customHeight="1">
      <c r="A948" s="15">
        <v>947</v>
      </c>
      <c r="B948" s="16" t="s">
        <v>3080</v>
      </c>
      <c r="C948" s="17">
        <v>45889</v>
      </c>
      <c r="D948" s="15" t="s">
        <v>3081</v>
      </c>
      <c r="E948" s="23"/>
      <c r="F948" s="19" t="s">
        <v>1045</v>
      </c>
      <c r="G948" s="18" t="s">
        <v>1046</v>
      </c>
      <c r="H948" s="20" t="s">
        <v>66</v>
      </c>
      <c r="I948" s="15">
        <v>1</v>
      </c>
      <c r="J948" s="15" t="s">
        <v>23</v>
      </c>
      <c r="K948" s="15"/>
      <c r="L948" s="21" t="s">
        <v>17</v>
      </c>
      <c r="M948" s="22">
        <v>0</v>
      </c>
      <c r="N948" s="22">
        <v>-345</v>
      </c>
      <c r="O948" s="22">
        <v>6555</v>
      </c>
      <c r="P948" s="22">
        <v>6555</v>
      </c>
      <c r="Q948" t="str" cm="1">
        <f t="array" ref="Q948">_xlfn.TEXTJOIN("、",TRUE,IF('學員資料-三民高中'!$B$2:$B$454=$F948,'學員資料-三民高中'!$G$2:$G$454,""))</f>
        <v/>
      </c>
      <c r="R948" t="str" cm="1">
        <f t="array" ref="R948">_xlfn.TEXTJOIN("、",TRUE,IF('學員資料-新北高中'!$B$2:$B$583=$F948,'學員資料-新北高中'!$G$2:$G$583,""))</f>
        <v/>
      </c>
      <c r="S948" t="str" cm="1">
        <f t="array" ref="S948">_xlfn.TEXTJOIN("、",TRUE,IF('學員資料-三重商工'!$B$2:$B$472=$F948,'學員資料-三重商工'!$G$2:$G$472,""))</f>
        <v>0921866445</v>
      </c>
      <c r="T948">
        <f t="shared" si="14"/>
        <v>1</v>
      </c>
    </row>
    <row r="949" spans="1:20" ht="14.25" hidden="1" customHeight="1">
      <c r="A949" s="15">
        <v>948</v>
      </c>
      <c r="B949" s="16" t="s">
        <v>3082</v>
      </c>
      <c r="C949" s="17">
        <v>45888</v>
      </c>
      <c r="D949" s="15" t="s">
        <v>3083</v>
      </c>
      <c r="E949" s="23"/>
      <c r="F949" s="19" t="s">
        <v>2953</v>
      </c>
      <c r="G949" s="18" t="s">
        <v>2954</v>
      </c>
      <c r="H949" s="20" t="s">
        <v>52</v>
      </c>
      <c r="I949" s="15">
        <v>1</v>
      </c>
      <c r="J949" s="15" t="s">
        <v>24</v>
      </c>
      <c r="K949" s="15"/>
      <c r="L949" s="21" t="s">
        <v>16</v>
      </c>
      <c r="M949" s="22">
        <v>0</v>
      </c>
      <c r="N949" s="22">
        <v>0</v>
      </c>
      <c r="O949" s="22">
        <v>7500</v>
      </c>
      <c r="P949" s="22">
        <v>7500</v>
      </c>
      <c r="Q949" t="str" cm="1">
        <f t="array" ref="Q949">_xlfn.TEXTJOIN("、",TRUE,IF('學員資料-三民高中'!$B$2:$B$454=$F949,'學員資料-三民高中'!$G$2:$G$454,""))</f>
        <v>0926187618-1</v>
      </c>
      <c r="R949" t="str" cm="1">
        <f t="array" ref="R949">_xlfn.TEXTJOIN("、",TRUE,IF('學員資料-新北高中'!$B$2:$B$583=$F949,'學員資料-新北高中'!$G$2:$G$583,""))</f>
        <v/>
      </c>
      <c r="S949" t="str" cm="1">
        <f t="array" ref="S949">_xlfn.TEXTJOIN("、",TRUE,IF('學員資料-三重商工'!$B$2:$B$472=$F949,'學員資料-三重商工'!$G$2:$G$472,""))</f>
        <v/>
      </c>
      <c r="T949">
        <f t="shared" si="14"/>
        <v>1</v>
      </c>
    </row>
    <row r="950" spans="1:20" ht="14.25" hidden="1" customHeight="1">
      <c r="A950" s="15">
        <v>949</v>
      </c>
      <c r="B950" s="16" t="s">
        <v>3084</v>
      </c>
      <c r="C950" s="17">
        <v>45888</v>
      </c>
      <c r="D950" s="15" t="s">
        <v>3085</v>
      </c>
      <c r="E950" s="23"/>
      <c r="F950" s="19" t="s">
        <v>326</v>
      </c>
      <c r="G950" s="18" t="s">
        <v>327</v>
      </c>
      <c r="H950" s="20" t="s">
        <v>210</v>
      </c>
      <c r="I950" s="15">
        <v>1</v>
      </c>
      <c r="J950" s="15" t="s">
        <v>26</v>
      </c>
      <c r="K950" s="15"/>
      <c r="L950" s="21" t="s">
        <v>17</v>
      </c>
      <c r="M950" s="22">
        <v>0</v>
      </c>
      <c r="N950" s="22">
        <v>-1200</v>
      </c>
      <c r="O950" s="22">
        <v>10800</v>
      </c>
      <c r="P950" s="22">
        <v>10800</v>
      </c>
      <c r="Q950" t="str" cm="1">
        <f t="array" ref="Q950">_xlfn.TEXTJOIN("、",TRUE,IF('學員資料-三民高中'!$B$2:$B$454=$F950,'學員資料-三民高中'!$G$2:$G$454,""))</f>
        <v/>
      </c>
      <c r="R950" t="str" cm="1">
        <f t="array" ref="R950">_xlfn.TEXTJOIN("、",TRUE,IF('學員資料-新北高中'!$B$2:$B$583=$F950,'學員資料-新北高中'!$G$2:$G$583,""))</f>
        <v/>
      </c>
      <c r="S950" t="str" cm="1">
        <f t="array" ref="S950">_xlfn.TEXTJOIN("、",TRUE,IF('學員資料-三重商工'!$B$2:$B$472=$F950,'學員資料-三重商工'!$G$2:$G$472,""))</f>
        <v>0955812685</v>
      </c>
      <c r="T950">
        <f t="shared" si="14"/>
        <v>1</v>
      </c>
    </row>
    <row r="951" spans="1:20" ht="14.25" hidden="1" customHeight="1">
      <c r="A951" s="15">
        <v>950</v>
      </c>
      <c r="B951" s="16" t="s">
        <v>3086</v>
      </c>
      <c r="C951" s="17">
        <v>45888</v>
      </c>
      <c r="D951" s="15" t="s">
        <v>3087</v>
      </c>
      <c r="E951" s="23"/>
      <c r="F951" s="19" t="s">
        <v>3088</v>
      </c>
      <c r="G951" s="18" t="s">
        <v>3089</v>
      </c>
      <c r="H951" s="20" t="s">
        <v>52</v>
      </c>
      <c r="I951" s="15">
        <v>1</v>
      </c>
      <c r="J951" s="15" t="s">
        <v>24</v>
      </c>
      <c r="K951" s="15"/>
      <c r="L951" s="21" t="s">
        <v>17</v>
      </c>
      <c r="M951" s="22">
        <v>0</v>
      </c>
      <c r="N951" s="22">
        <v>-375</v>
      </c>
      <c r="O951" s="22">
        <v>7125</v>
      </c>
      <c r="P951" s="22">
        <v>7125</v>
      </c>
      <c r="Q951" t="str" cm="1">
        <f t="array" ref="Q951">_xlfn.TEXTJOIN("、",TRUE,IF('學員資料-三民高中'!$B$2:$B$454=$F951,'學員資料-三民高中'!$G$2:$G$454,""))</f>
        <v/>
      </c>
      <c r="R951" t="str" cm="1">
        <f t="array" ref="R951">_xlfn.TEXTJOIN("、",TRUE,IF('學員資料-新北高中'!$B$2:$B$583=$F951,'學員資料-新北高中'!$G$2:$G$583,""))</f>
        <v/>
      </c>
      <c r="S951" t="str" cm="1">
        <f t="array" ref="S951">_xlfn.TEXTJOIN("、",TRUE,IF('學員資料-三重商工'!$B$2:$B$472=$F951,'學員資料-三重商工'!$G$2:$G$472,""))</f>
        <v>0921579699</v>
      </c>
      <c r="T951">
        <f t="shared" si="14"/>
        <v>1</v>
      </c>
    </row>
    <row r="952" spans="1:20" ht="28.5" hidden="1" customHeight="1">
      <c r="A952" s="15">
        <v>951</v>
      </c>
      <c r="B952" s="16" t="s">
        <v>3090</v>
      </c>
      <c r="C952" s="17">
        <v>45888</v>
      </c>
      <c r="D952" s="15" t="s">
        <v>3091</v>
      </c>
      <c r="E952" s="23"/>
      <c r="F952" s="19" t="s">
        <v>403</v>
      </c>
      <c r="G952" s="18" t="s">
        <v>404</v>
      </c>
      <c r="H952" s="20" t="s">
        <v>219</v>
      </c>
      <c r="I952" s="15">
        <v>2</v>
      </c>
      <c r="J952" s="15" t="s">
        <v>25</v>
      </c>
      <c r="K952" s="15"/>
      <c r="L952" s="21" t="s">
        <v>18</v>
      </c>
      <c r="M952" s="22">
        <v>0</v>
      </c>
      <c r="N952" s="22">
        <v>-1980</v>
      </c>
      <c r="O952" s="22">
        <v>17820</v>
      </c>
      <c r="P952" s="22">
        <v>17820</v>
      </c>
      <c r="Q952" t="str" cm="1">
        <f t="array" ref="Q952">_xlfn.TEXTJOIN("、",TRUE,IF('學員資料-三民高中'!$B$2:$B$454=$F952,'學員資料-三民高中'!$G$2:$G$454,""))</f>
        <v/>
      </c>
      <c r="R952" t="str" cm="1">
        <f t="array" ref="R952">_xlfn.TEXTJOIN("、",TRUE,IF('學員資料-新北高中'!$B$2:$B$583=$F952,'學員資料-新北高中'!$G$2:$G$583,""))</f>
        <v>0921991299</v>
      </c>
      <c r="S952" t="str" cm="1">
        <f t="array" ref="S952">_xlfn.TEXTJOIN("、",TRUE,IF('學員資料-三重商工'!$B$2:$B$472=$F952,'學員資料-三重商工'!$G$2:$G$472,""))</f>
        <v/>
      </c>
      <c r="T952">
        <f t="shared" si="14"/>
        <v>1</v>
      </c>
    </row>
    <row r="953" spans="1:20" ht="14.25" hidden="1" customHeight="1">
      <c r="A953" s="15">
        <v>952</v>
      </c>
      <c r="B953" s="16" t="s">
        <v>3092</v>
      </c>
      <c r="C953" s="17">
        <v>45888</v>
      </c>
      <c r="D953" s="15" t="s">
        <v>3093</v>
      </c>
      <c r="E953" s="23"/>
      <c r="F953" s="19" t="s">
        <v>3094</v>
      </c>
      <c r="G953" s="18" t="s">
        <v>3095</v>
      </c>
      <c r="H953" s="20" t="s">
        <v>130</v>
      </c>
      <c r="I953" s="15">
        <v>1</v>
      </c>
      <c r="J953" s="15" t="s">
        <v>25</v>
      </c>
      <c r="K953" s="15"/>
      <c r="L953" s="21" t="s">
        <v>18</v>
      </c>
      <c r="M953" s="22">
        <v>0</v>
      </c>
      <c r="N953" s="22">
        <v>-990</v>
      </c>
      <c r="O953" s="22">
        <v>8910</v>
      </c>
      <c r="P953" s="22">
        <v>8910</v>
      </c>
      <c r="Q953" t="str" cm="1">
        <f t="array" ref="Q953">_xlfn.TEXTJOIN("、",TRUE,IF('學員資料-三民高中'!$B$2:$B$454=$F953,'學員資料-三民高中'!$G$2:$G$454,""))</f>
        <v/>
      </c>
      <c r="R953" t="str" cm="1">
        <f t="array" ref="R953">_xlfn.TEXTJOIN("、",TRUE,IF('學員資料-新北高中'!$B$2:$B$583=$F953,'學員資料-新北高中'!$G$2:$G$583,""))</f>
        <v>0975001701</v>
      </c>
      <c r="S953" t="str" cm="1">
        <f t="array" ref="S953">_xlfn.TEXTJOIN("、",TRUE,IF('學員資料-三重商工'!$B$2:$B$472=$F953,'學員資料-三重商工'!$G$2:$G$472,""))</f>
        <v/>
      </c>
      <c r="T953">
        <f t="shared" si="14"/>
        <v>1</v>
      </c>
    </row>
    <row r="954" spans="1:20" ht="14.25" hidden="1" customHeight="1">
      <c r="A954" s="15">
        <v>953</v>
      </c>
      <c r="B954" s="16" t="s">
        <v>3096</v>
      </c>
      <c r="C954" s="17">
        <v>45888</v>
      </c>
      <c r="D954" s="15" t="s">
        <v>3097</v>
      </c>
      <c r="E954" s="23"/>
      <c r="F954" s="19" t="s">
        <v>3094</v>
      </c>
      <c r="G954" s="18" t="s">
        <v>3095</v>
      </c>
      <c r="H954" s="20" t="s">
        <v>130</v>
      </c>
      <c r="I954" s="15">
        <v>1</v>
      </c>
      <c r="J954" s="15" t="s">
        <v>25</v>
      </c>
      <c r="K954" s="15"/>
      <c r="L954" s="21" t="s">
        <v>18</v>
      </c>
      <c r="M954" s="22">
        <v>0</v>
      </c>
      <c r="N954" s="22">
        <v>-990</v>
      </c>
      <c r="O954" s="22">
        <v>8910</v>
      </c>
      <c r="P954" s="22">
        <v>8910</v>
      </c>
      <c r="Q954" t="str" cm="1">
        <f t="array" ref="Q954">_xlfn.TEXTJOIN("、",TRUE,IF('學員資料-三民高中'!$B$2:$B$454=$F954,'學員資料-三民高中'!$G$2:$G$454,""))</f>
        <v/>
      </c>
      <c r="R954" t="str" cm="1">
        <f t="array" ref="R954">_xlfn.TEXTJOIN("、",TRUE,IF('學員資料-新北高中'!$B$2:$B$583=$F954,'學員資料-新北高中'!$G$2:$G$583,""))</f>
        <v>0975001701</v>
      </c>
      <c r="S954" t="str" cm="1">
        <f t="array" ref="S954">_xlfn.TEXTJOIN("、",TRUE,IF('學員資料-三重商工'!$B$2:$B$472=$F954,'學員資料-三重商工'!$G$2:$G$472,""))</f>
        <v/>
      </c>
      <c r="T954">
        <f t="shared" si="14"/>
        <v>1</v>
      </c>
    </row>
    <row r="955" spans="1:20" ht="14.25" hidden="1" customHeight="1">
      <c r="A955" s="15">
        <v>954</v>
      </c>
      <c r="B955" s="16" t="s">
        <v>3098</v>
      </c>
      <c r="C955" s="17">
        <v>45887</v>
      </c>
      <c r="D955" s="15" t="s">
        <v>3099</v>
      </c>
      <c r="E955" s="23"/>
      <c r="F955" s="19" t="s">
        <v>852</v>
      </c>
      <c r="G955" s="18" t="s">
        <v>853</v>
      </c>
      <c r="H955" s="20" t="s">
        <v>130</v>
      </c>
      <c r="I955" s="15">
        <v>1</v>
      </c>
      <c r="J955" s="15" t="s">
        <v>25</v>
      </c>
      <c r="K955" s="15"/>
      <c r="L955" s="21" t="s">
        <v>18</v>
      </c>
      <c r="M955" s="22">
        <v>0</v>
      </c>
      <c r="N955" s="22">
        <v>-990</v>
      </c>
      <c r="O955" s="22">
        <v>8910</v>
      </c>
      <c r="P955" s="22">
        <v>8910</v>
      </c>
      <c r="Q955" t="str" cm="1">
        <f t="array" ref="Q955">_xlfn.TEXTJOIN("、",TRUE,IF('學員資料-三民高中'!$B$2:$B$454=$F955,'學員資料-三民高中'!$G$2:$G$454,""))</f>
        <v/>
      </c>
      <c r="R955" t="str" cm="1">
        <f t="array" ref="R955">_xlfn.TEXTJOIN("、",TRUE,IF('學員資料-新北高中'!$B$2:$B$583=$F955,'學員資料-新北高中'!$G$2:$G$583,""))</f>
        <v>0928516113</v>
      </c>
      <c r="S955" t="str" cm="1">
        <f t="array" ref="S955">_xlfn.TEXTJOIN("、",TRUE,IF('學員資料-三重商工'!$B$2:$B$472=$F955,'學員資料-三重商工'!$G$2:$G$472,""))</f>
        <v/>
      </c>
      <c r="T955">
        <f t="shared" si="14"/>
        <v>1</v>
      </c>
    </row>
    <row r="956" spans="1:20" ht="14.25" hidden="1" customHeight="1">
      <c r="A956" s="15">
        <v>955</v>
      </c>
      <c r="B956" s="16" t="s">
        <v>3100</v>
      </c>
      <c r="C956" s="17">
        <v>45887</v>
      </c>
      <c r="D956" s="15" t="s">
        <v>3101</v>
      </c>
      <c r="E956" s="23"/>
      <c r="F956" s="19" t="s">
        <v>577</v>
      </c>
      <c r="G956" s="18" t="s">
        <v>578</v>
      </c>
      <c r="H956" s="20" t="s">
        <v>52</v>
      </c>
      <c r="I956" s="15">
        <v>1</v>
      </c>
      <c r="J956" s="15" t="s">
        <v>24</v>
      </c>
      <c r="K956" s="15"/>
      <c r="L956" s="21" t="s">
        <v>16</v>
      </c>
      <c r="M956" s="22">
        <v>0</v>
      </c>
      <c r="N956" s="22">
        <v>-3000</v>
      </c>
      <c r="O956" s="22">
        <v>4500</v>
      </c>
      <c r="P956" s="22">
        <v>4500</v>
      </c>
      <c r="Q956" t="str" cm="1">
        <f t="array" ref="Q956">_xlfn.TEXTJOIN("、",TRUE,IF('學員資料-三民高中'!$B$2:$B$454=$F956,'學員資料-三民高中'!$G$2:$G$454,""))</f>
        <v/>
      </c>
      <c r="R956" t="str" cm="1">
        <f t="array" ref="R956">_xlfn.TEXTJOIN("、",TRUE,IF('學員資料-新北高中'!$B$2:$B$583=$F956,'學員資料-新北高中'!$G$2:$G$583,""))</f>
        <v>0920310727</v>
      </c>
      <c r="S956" t="str" cm="1">
        <f t="array" ref="S956">_xlfn.TEXTJOIN("、",TRUE,IF('學員資料-三重商工'!$B$2:$B$472=$F956,'學員資料-三重商工'!$G$2:$G$472,""))</f>
        <v/>
      </c>
      <c r="T956">
        <f t="shared" si="14"/>
        <v>1</v>
      </c>
    </row>
    <row r="957" spans="1:20" ht="14.25" customHeight="1">
      <c r="A957" s="15">
        <v>956</v>
      </c>
      <c r="B957" s="16" t="s">
        <v>3102</v>
      </c>
      <c r="C957" s="17">
        <v>45887</v>
      </c>
      <c r="D957" s="15" t="s">
        <v>3103</v>
      </c>
      <c r="E957" s="23"/>
      <c r="F957" s="19" t="s">
        <v>2569</v>
      </c>
      <c r="G957" s="18" t="s">
        <v>2570</v>
      </c>
      <c r="H957" s="20" t="s">
        <v>66</v>
      </c>
      <c r="I957" s="15">
        <v>1</v>
      </c>
      <c r="J957" s="15" t="s">
        <v>23</v>
      </c>
      <c r="K957" s="15"/>
      <c r="L957" s="21" t="s">
        <v>18</v>
      </c>
      <c r="M957" s="22">
        <v>0</v>
      </c>
      <c r="N957" s="22">
        <v>-345</v>
      </c>
      <c r="O957" s="22">
        <v>6555</v>
      </c>
      <c r="P957" s="22">
        <v>6555</v>
      </c>
      <c r="Q957" t="str" cm="1">
        <f t="array" ref="Q957">_xlfn.TEXTJOIN("、",TRUE,IF('學員資料-三民高中'!$B$2:$B$454=$F957,'學員資料-三民高中'!$G$2:$G$454,""))</f>
        <v/>
      </c>
      <c r="R957" t="str" cm="1">
        <f t="array" ref="R957">_xlfn.TEXTJOIN("、",TRUE,IF('學員資料-新北高中'!$B$2:$B$583=$F957,'學員資料-新北高中'!$G$2:$G$583,""))</f>
        <v/>
      </c>
      <c r="S957" t="str" cm="1">
        <f t="array" ref="S957">_xlfn.TEXTJOIN("、",TRUE,IF('學員資料-三重商工'!$B$2:$B$472=$F957,'學員資料-三重商工'!$G$2:$G$472,""))</f>
        <v/>
      </c>
      <c r="T957">
        <f t="shared" si="14"/>
        <v>0</v>
      </c>
    </row>
    <row r="958" spans="1:20" ht="14.25" hidden="1" customHeight="1">
      <c r="A958" s="15">
        <v>957</v>
      </c>
      <c r="B958" s="16" t="s">
        <v>3104</v>
      </c>
      <c r="C958" s="17">
        <v>45887</v>
      </c>
      <c r="D958" s="15" t="s">
        <v>3105</v>
      </c>
      <c r="E958" s="23"/>
      <c r="F958" s="19" t="s">
        <v>3106</v>
      </c>
      <c r="G958" s="18" t="s">
        <v>3107</v>
      </c>
      <c r="H958" s="20" t="s">
        <v>130</v>
      </c>
      <c r="I958" s="15">
        <v>1</v>
      </c>
      <c r="J958" s="15" t="s">
        <v>25</v>
      </c>
      <c r="K958" s="15"/>
      <c r="L958" s="21" t="s">
        <v>18</v>
      </c>
      <c r="M958" s="22">
        <v>0</v>
      </c>
      <c r="N958" s="22">
        <v>-990</v>
      </c>
      <c r="O958" s="22">
        <v>8910</v>
      </c>
      <c r="P958" s="22">
        <v>8910</v>
      </c>
      <c r="Q958" t="str" cm="1">
        <f t="array" ref="Q958">_xlfn.TEXTJOIN("、",TRUE,IF('學員資料-三民高中'!$B$2:$B$454=$F958,'學員資料-三民高中'!$G$2:$G$454,""))</f>
        <v/>
      </c>
      <c r="R958" t="str" cm="1">
        <f t="array" ref="R958">_xlfn.TEXTJOIN("、",TRUE,IF('學員資料-新北高中'!$B$2:$B$583=$F958,'學員資料-新北高中'!$G$2:$G$583,""))</f>
        <v/>
      </c>
      <c r="S958" t="str" cm="1">
        <f t="array" ref="S958">_xlfn.TEXTJOIN("、",TRUE,IF('學員資料-三重商工'!$B$2:$B$472=$F958,'學員資料-三重商工'!$G$2:$G$472,""))</f>
        <v>0916688755.1</v>
      </c>
      <c r="T958">
        <f t="shared" si="14"/>
        <v>1</v>
      </c>
    </row>
    <row r="959" spans="1:20" ht="14.25" hidden="1" customHeight="1">
      <c r="A959" s="15">
        <v>958</v>
      </c>
      <c r="B959" s="16" t="s">
        <v>3108</v>
      </c>
      <c r="C959" s="17">
        <v>45887</v>
      </c>
      <c r="D959" s="15" t="s">
        <v>3109</v>
      </c>
      <c r="E959" s="23"/>
      <c r="F959" s="19" t="s">
        <v>3110</v>
      </c>
      <c r="G959" s="18" t="s">
        <v>3111</v>
      </c>
      <c r="H959" s="20" t="s">
        <v>130</v>
      </c>
      <c r="I959" s="15">
        <v>1</v>
      </c>
      <c r="J959" s="15" t="s">
        <v>25</v>
      </c>
      <c r="K959" s="15"/>
      <c r="L959" s="21" t="s">
        <v>16</v>
      </c>
      <c r="M959" s="22">
        <v>0</v>
      </c>
      <c r="N959" s="22">
        <v>-3960</v>
      </c>
      <c r="O959" s="22">
        <v>5940</v>
      </c>
      <c r="P959" s="22">
        <v>5940</v>
      </c>
      <c r="Q959" t="str" cm="1">
        <f t="array" ref="Q959">_xlfn.TEXTJOIN("、",TRUE,IF('學員資料-三民高中'!$B$2:$B$454=$F959,'學員資料-三民高中'!$G$2:$G$454,""))</f>
        <v/>
      </c>
      <c r="R959" t="str" cm="1">
        <f t="array" ref="R959">_xlfn.TEXTJOIN("、",TRUE,IF('學員資料-新北高中'!$B$2:$B$583=$F959,'學員資料-新北高中'!$G$2:$G$583,""))</f>
        <v>0920627698</v>
      </c>
      <c r="S959" t="str" cm="1">
        <f t="array" ref="S959">_xlfn.TEXTJOIN("、",TRUE,IF('學員資料-三重商工'!$B$2:$B$472=$F959,'學員資料-三重商工'!$G$2:$G$472,""))</f>
        <v/>
      </c>
      <c r="T959">
        <f t="shared" si="14"/>
        <v>1</v>
      </c>
    </row>
    <row r="960" spans="1:20" ht="14.25" hidden="1" customHeight="1">
      <c r="A960" s="15">
        <v>959</v>
      </c>
      <c r="B960" s="16" t="s">
        <v>3112</v>
      </c>
      <c r="C960" s="17">
        <v>45886</v>
      </c>
      <c r="D960" s="15" t="s">
        <v>3113</v>
      </c>
      <c r="E960" s="18" t="s">
        <v>78</v>
      </c>
      <c r="F960" s="19" t="s">
        <v>635</v>
      </c>
      <c r="G960" s="18" t="s">
        <v>636</v>
      </c>
      <c r="H960" s="20" t="s">
        <v>66</v>
      </c>
      <c r="I960" s="15">
        <v>1</v>
      </c>
      <c r="J960" s="15" t="s">
        <v>23</v>
      </c>
      <c r="K960" s="15"/>
      <c r="L960" s="21" t="s">
        <v>16</v>
      </c>
      <c r="M960" s="22">
        <v>0</v>
      </c>
      <c r="N960" s="22">
        <v>-3400</v>
      </c>
      <c r="O960" s="22">
        <v>3500</v>
      </c>
      <c r="P960" s="22">
        <v>3500</v>
      </c>
      <c r="Q960" t="str" cm="1">
        <f t="array" ref="Q960">_xlfn.TEXTJOIN("、",TRUE,IF('學員資料-三民高中'!$B$2:$B$454=$F960,'學員資料-三民高中'!$G$2:$G$454,""))</f>
        <v/>
      </c>
      <c r="R960" t="str" cm="1">
        <f t="array" ref="R960">_xlfn.TEXTJOIN("、",TRUE,IF('學員資料-新北高中'!$B$2:$B$583=$F960,'學員資料-新北高中'!$G$2:$G$583,""))</f>
        <v>0960719183</v>
      </c>
      <c r="S960" t="str" cm="1">
        <f t="array" ref="S960">_xlfn.TEXTJOIN("、",TRUE,IF('學員資料-三重商工'!$B$2:$B$472=$F960,'學員資料-三重商工'!$G$2:$G$472,""))</f>
        <v/>
      </c>
      <c r="T960">
        <f t="shared" si="14"/>
        <v>1</v>
      </c>
    </row>
    <row r="961" spans="1:20" ht="14.25" hidden="1" customHeight="1">
      <c r="A961" s="15">
        <v>960</v>
      </c>
      <c r="B961" s="16" t="s">
        <v>3114</v>
      </c>
      <c r="C961" s="17">
        <v>45886</v>
      </c>
      <c r="D961" s="15" t="s">
        <v>3115</v>
      </c>
      <c r="E961" s="23"/>
      <c r="F961" s="19" t="s">
        <v>2201</v>
      </c>
      <c r="G961" s="18" t="s">
        <v>2202</v>
      </c>
      <c r="H961" s="20" t="s">
        <v>52</v>
      </c>
      <c r="I961" s="15">
        <v>1</v>
      </c>
      <c r="J961" s="15" t="s">
        <v>24</v>
      </c>
      <c r="K961" s="15"/>
      <c r="L961" s="21" t="s">
        <v>18</v>
      </c>
      <c r="M961" s="22">
        <v>0</v>
      </c>
      <c r="N961" s="22">
        <v>-375</v>
      </c>
      <c r="O961" s="22">
        <v>7125</v>
      </c>
      <c r="P961" s="22">
        <v>7125</v>
      </c>
      <c r="Q961" t="str" cm="1">
        <f t="array" ref="Q961">_xlfn.TEXTJOIN("、",TRUE,IF('學員資料-三民高中'!$B$2:$B$454=$F961,'學員資料-三民高中'!$G$2:$G$454,""))</f>
        <v/>
      </c>
      <c r="R961" t="str" cm="1">
        <f t="array" ref="R961">_xlfn.TEXTJOIN("、",TRUE,IF('學員資料-新北高中'!$B$2:$B$583=$F961,'學員資料-新北高中'!$G$2:$G$583,""))</f>
        <v>0953964779</v>
      </c>
      <c r="S961" t="str" cm="1">
        <f t="array" ref="S961">_xlfn.TEXTJOIN("、",TRUE,IF('學員資料-三重商工'!$B$2:$B$472=$F961,'學員資料-三重商工'!$G$2:$G$472,""))</f>
        <v/>
      </c>
      <c r="T961">
        <f t="shared" si="14"/>
        <v>1</v>
      </c>
    </row>
    <row r="962" spans="1:20" ht="14.25" hidden="1" customHeight="1">
      <c r="A962" s="15">
        <v>961</v>
      </c>
      <c r="B962" s="16" t="s">
        <v>3116</v>
      </c>
      <c r="C962" s="17">
        <v>45886</v>
      </c>
      <c r="D962" s="15" t="s">
        <v>3117</v>
      </c>
      <c r="E962" s="23"/>
      <c r="F962" s="19" t="s">
        <v>1039</v>
      </c>
      <c r="G962" s="18" t="s">
        <v>1040</v>
      </c>
      <c r="H962" s="20" t="s">
        <v>52</v>
      </c>
      <c r="I962" s="15">
        <v>1</v>
      </c>
      <c r="J962" s="15" t="s">
        <v>24</v>
      </c>
      <c r="K962" s="15"/>
      <c r="L962" s="21" t="s">
        <v>18</v>
      </c>
      <c r="M962" s="22">
        <v>0</v>
      </c>
      <c r="N962" s="22">
        <v>-375</v>
      </c>
      <c r="O962" s="22">
        <v>7125</v>
      </c>
      <c r="P962" s="22">
        <v>7125</v>
      </c>
      <c r="Q962" t="str" cm="1">
        <f t="array" ref="Q962">_xlfn.TEXTJOIN("、",TRUE,IF('學員資料-三民高中'!$B$2:$B$454=$F962,'學員資料-三民高中'!$G$2:$G$454,""))</f>
        <v>0919475518</v>
      </c>
      <c r="R962" t="str" cm="1">
        <f t="array" ref="R962">_xlfn.TEXTJOIN("、",TRUE,IF('學員資料-新北高中'!$B$2:$B$583=$F962,'學員資料-新北高中'!$G$2:$G$583,""))</f>
        <v/>
      </c>
      <c r="S962" t="str" cm="1">
        <f t="array" ref="S962">_xlfn.TEXTJOIN("、",TRUE,IF('學員資料-三重商工'!$B$2:$B$472=$F962,'學員資料-三重商工'!$G$2:$G$472,""))</f>
        <v/>
      </c>
      <c r="T962">
        <f t="shared" si="14"/>
        <v>1</v>
      </c>
    </row>
    <row r="963" spans="1:20" ht="14.25" hidden="1" customHeight="1">
      <c r="A963" s="15">
        <v>962</v>
      </c>
      <c r="B963" s="16" t="s">
        <v>3118</v>
      </c>
      <c r="C963" s="17">
        <v>45886</v>
      </c>
      <c r="D963" s="15" t="s">
        <v>3119</v>
      </c>
      <c r="E963" s="23"/>
      <c r="F963" s="19" t="s">
        <v>3120</v>
      </c>
      <c r="G963" s="18" t="s">
        <v>3121</v>
      </c>
      <c r="H963" s="20" t="s">
        <v>66</v>
      </c>
      <c r="I963" s="15">
        <v>1</v>
      </c>
      <c r="J963" s="15" t="s">
        <v>23</v>
      </c>
      <c r="K963" s="15"/>
      <c r="L963" s="21" t="s">
        <v>17</v>
      </c>
      <c r="M963" s="22">
        <v>0</v>
      </c>
      <c r="N963" s="22">
        <v>-345</v>
      </c>
      <c r="O963" s="22">
        <v>6555</v>
      </c>
      <c r="P963" s="22">
        <v>6555</v>
      </c>
      <c r="Q963" t="str" cm="1">
        <f t="array" ref="Q963">_xlfn.TEXTJOIN("、",TRUE,IF('學員資料-三民高中'!$B$2:$B$454=$F963,'學員資料-三民高中'!$G$2:$G$454,""))</f>
        <v/>
      </c>
      <c r="R963" t="str" cm="1">
        <f t="array" ref="R963">_xlfn.TEXTJOIN("、",TRUE,IF('學員資料-新北高中'!$B$2:$B$583=$F963,'學員資料-新北高中'!$G$2:$G$583,""))</f>
        <v/>
      </c>
      <c r="S963" t="str" cm="1">
        <f t="array" ref="S963">_xlfn.TEXTJOIN("、",TRUE,IF('學員資料-三重商工'!$B$2:$B$472=$F963,'學員資料-三重商工'!$G$2:$G$472,""))</f>
        <v>0922713907-1</v>
      </c>
      <c r="T963">
        <f t="shared" ref="T963:T1026" si="15">3-COUNTBLANK(Q963:S963)</f>
        <v>1</v>
      </c>
    </row>
    <row r="964" spans="1:20" ht="14.25" hidden="1" customHeight="1">
      <c r="A964" s="15">
        <v>963</v>
      </c>
      <c r="B964" s="16" t="s">
        <v>3122</v>
      </c>
      <c r="C964" s="17">
        <v>45885</v>
      </c>
      <c r="D964" s="15" t="s">
        <v>3123</v>
      </c>
      <c r="E964" s="23"/>
      <c r="F964" s="19" t="s">
        <v>852</v>
      </c>
      <c r="G964" s="18" t="s">
        <v>853</v>
      </c>
      <c r="H964" s="20" t="s">
        <v>130</v>
      </c>
      <c r="I964" s="15">
        <v>1</v>
      </c>
      <c r="J964" s="15" t="s">
        <v>25</v>
      </c>
      <c r="K964" s="15"/>
      <c r="L964" s="21" t="s">
        <v>16</v>
      </c>
      <c r="M964" s="22">
        <v>0</v>
      </c>
      <c r="N964" s="22">
        <v>0</v>
      </c>
      <c r="O964" s="22">
        <v>9900</v>
      </c>
      <c r="P964" s="22">
        <v>9900</v>
      </c>
      <c r="Q964" t="str" cm="1">
        <f t="array" ref="Q964">_xlfn.TEXTJOIN("、",TRUE,IF('學員資料-三民高中'!$B$2:$B$454=$F964,'學員資料-三民高中'!$G$2:$G$454,""))</f>
        <v/>
      </c>
      <c r="R964" t="str" cm="1">
        <f t="array" ref="R964">_xlfn.TEXTJOIN("、",TRUE,IF('學員資料-新北高中'!$B$2:$B$583=$F964,'學員資料-新北高中'!$G$2:$G$583,""))</f>
        <v>0928516113</v>
      </c>
      <c r="S964" t="str" cm="1">
        <f t="array" ref="S964">_xlfn.TEXTJOIN("、",TRUE,IF('學員資料-三重商工'!$B$2:$B$472=$F964,'學員資料-三重商工'!$G$2:$G$472,""))</f>
        <v/>
      </c>
      <c r="T964">
        <f t="shared" si="15"/>
        <v>1</v>
      </c>
    </row>
    <row r="965" spans="1:20" ht="43.5" hidden="1" customHeight="1">
      <c r="A965" s="15">
        <v>964</v>
      </c>
      <c r="B965" s="16" t="s">
        <v>3124</v>
      </c>
      <c r="C965" s="17">
        <v>45885</v>
      </c>
      <c r="D965" s="15" t="s">
        <v>3125</v>
      </c>
      <c r="E965" s="23"/>
      <c r="F965" s="19" t="s">
        <v>3126</v>
      </c>
      <c r="G965" s="18" t="s">
        <v>3127</v>
      </c>
      <c r="H965" s="20" t="s">
        <v>1531</v>
      </c>
      <c r="I965" s="15">
        <v>3</v>
      </c>
      <c r="J965" s="15" t="s">
        <v>24</v>
      </c>
      <c r="K965" s="15"/>
      <c r="L965" s="21" t="s">
        <v>16</v>
      </c>
      <c r="M965" s="22">
        <v>0</v>
      </c>
      <c r="N965" s="22">
        <v>-1620</v>
      </c>
      <c r="O965" s="22">
        <v>30780</v>
      </c>
      <c r="P965" s="22">
        <v>30780</v>
      </c>
      <c r="Q965" t="str" cm="1">
        <f t="array" ref="Q965">_xlfn.TEXTJOIN("、",TRUE,IF('學員資料-三民高中'!$B$2:$B$454=$F965,'學員資料-三民高中'!$G$2:$G$454,""))</f>
        <v/>
      </c>
      <c r="R965" t="str" cm="1">
        <f t="array" ref="R965">_xlfn.TEXTJOIN("、",TRUE,IF('學員資料-新北高中'!$B$2:$B$583=$F965,'學員資料-新北高中'!$G$2:$G$583,""))</f>
        <v>0913666118</v>
      </c>
      <c r="S965" t="str" cm="1">
        <f t="array" ref="S965">_xlfn.TEXTJOIN("、",TRUE,IF('學員資料-三重商工'!$B$2:$B$472=$F965,'學員資料-三重商工'!$G$2:$G$472,""))</f>
        <v/>
      </c>
      <c r="T965">
        <f t="shared" si="15"/>
        <v>1</v>
      </c>
    </row>
    <row r="966" spans="1:20" ht="28.5" hidden="1" customHeight="1">
      <c r="A966" s="15">
        <v>965</v>
      </c>
      <c r="B966" s="16" t="s">
        <v>3128</v>
      </c>
      <c r="C966" s="17">
        <v>45885</v>
      </c>
      <c r="D966" s="15" t="s">
        <v>3129</v>
      </c>
      <c r="E966" s="23"/>
      <c r="F966" s="19" t="s">
        <v>1504</v>
      </c>
      <c r="G966" s="18" t="s">
        <v>1505</v>
      </c>
      <c r="H966" s="20" t="s">
        <v>1985</v>
      </c>
      <c r="I966" s="15">
        <v>2</v>
      </c>
      <c r="J966" s="15" t="s">
        <v>23</v>
      </c>
      <c r="K966" s="15"/>
      <c r="L966" s="21" t="s">
        <v>16</v>
      </c>
      <c r="M966" s="22">
        <v>0</v>
      </c>
      <c r="N966" s="22">
        <v>-900</v>
      </c>
      <c r="O966" s="22">
        <v>17100</v>
      </c>
      <c r="P966" s="22">
        <v>17100</v>
      </c>
      <c r="Q966" t="str" cm="1">
        <f t="array" ref="Q966">_xlfn.TEXTJOIN("、",TRUE,IF('學員資料-三民高中'!$B$2:$B$454=$F966,'學員資料-三民高中'!$G$2:$G$454,""))</f>
        <v/>
      </c>
      <c r="R966" t="str" cm="1">
        <f t="array" ref="R966">_xlfn.TEXTJOIN("、",TRUE,IF('學員資料-新北高中'!$B$2:$B$583=$F966,'學員資料-新北高中'!$G$2:$G$583,""))</f>
        <v>0955333911-1</v>
      </c>
      <c r="S966" t="str" cm="1">
        <f t="array" ref="S966">_xlfn.TEXTJOIN("、",TRUE,IF('學員資料-三重商工'!$B$2:$B$472=$F966,'學員資料-三重商工'!$G$2:$G$472,""))</f>
        <v/>
      </c>
      <c r="T966">
        <f t="shared" si="15"/>
        <v>1</v>
      </c>
    </row>
    <row r="967" spans="1:20" ht="14.25" hidden="1" customHeight="1">
      <c r="A967" s="15">
        <v>966</v>
      </c>
      <c r="B967" s="16" t="s">
        <v>3130</v>
      </c>
      <c r="C967" s="17">
        <v>45885</v>
      </c>
      <c r="D967" s="15" t="s">
        <v>3131</v>
      </c>
      <c r="E967" s="23"/>
      <c r="F967" s="19" t="s">
        <v>2317</v>
      </c>
      <c r="G967" s="18" t="s">
        <v>2318</v>
      </c>
      <c r="H967" s="20" t="s">
        <v>266</v>
      </c>
      <c r="I967" s="15">
        <v>1</v>
      </c>
      <c r="J967" s="15" t="s">
        <v>24</v>
      </c>
      <c r="K967" s="15"/>
      <c r="L967" s="21" t="s">
        <v>16</v>
      </c>
      <c r="M967" s="22">
        <v>0</v>
      </c>
      <c r="N967" s="22">
        <v>-540</v>
      </c>
      <c r="O967" s="22">
        <v>10260</v>
      </c>
      <c r="P967" s="22">
        <v>10260</v>
      </c>
      <c r="Q967" t="str" cm="1">
        <f t="array" ref="Q967">_xlfn.TEXTJOIN("、",TRUE,IF('學員資料-三民高中'!$B$2:$B$454=$F967,'學員資料-三民高中'!$G$2:$G$454,""))</f>
        <v/>
      </c>
      <c r="R967" t="str" cm="1">
        <f t="array" ref="R967">_xlfn.TEXTJOIN("、",TRUE,IF('學員資料-新北高中'!$B$2:$B$583=$F967,'學員資料-新北高中'!$G$2:$G$583,""))</f>
        <v>0937027629</v>
      </c>
      <c r="S967" t="str" cm="1">
        <f t="array" ref="S967">_xlfn.TEXTJOIN("、",TRUE,IF('學員資料-三重商工'!$B$2:$B$472=$F967,'學員資料-三重商工'!$G$2:$G$472,""))</f>
        <v/>
      </c>
      <c r="T967">
        <f t="shared" si="15"/>
        <v>1</v>
      </c>
    </row>
    <row r="968" spans="1:20" ht="14.25" hidden="1" customHeight="1">
      <c r="A968" s="15">
        <v>967</v>
      </c>
      <c r="B968" s="16" t="s">
        <v>3132</v>
      </c>
      <c r="C968" s="17">
        <v>45885</v>
      </c>
      <c r="D968" s="15" t="s">
        <v>3133</v>
      </c>
      <c r="E968" s="23"/>
      <c r="F968" s="19" t="s">
        <v>3134</v>
      </c>
      <c r="G968" s="18" t="s">
        <v>3135</v>
      </c>
      <c r="H968" s="20" t="s">
        <v>52</v>
      </c>
      <c r="I968" s="15">
        <v>1</v>
      </c>
      <c r="J968" s="15" t="s">
        <v>24</v>
      </c>
      <c r="K968" s="15"/>
      <c r="L968" s="21" t="s">
        <v>18</v>
      </c>
      <c r="M968" s="22">
        <v>0</v>
      </c>
      <c r="N968" s="22">
        <v>-375</v>
      </c>
      <c r="O968" s="22">
        <v>7125</v>
      </c>
      <c r="P968" s="22">
        <v>7125</v>
      </c>
      <c r="Q968" t="str" cm="1">
        <f t="array" ref="Q968">_xlfn.TEXTJOIN("、",TRUE,IF('學員資料-三民高中'!$B$2:$B$454=$F968,'學員資料-三民高中'!$G$2:$G$454,""))</f>
        <v/>
      </c>
      <c r="R968" t="str" cm="1">
        <f t="array" ref="R968">_xlfn.TEXTJOIN("、",TRUE,IF('學員資料-新北高中'!$B$2:$B$583=$F968,'學員資料-新北高中'!$G$2:$G$583,""))</f>
        <v/>
      </c>
      <c r="S968" t="str" cm="1">
        <f t="array" ref="S968">_xlfn.TEXTJOIN("、",TRUE,IF('學員資料-三重商工'!$B$2:$B$472=$F968,'學員資料-三重商工'!$G$2:$G$472,""))</f>
        <v>0911822047-1</v>
      </c>
      <c r="T968">
        <f t="shared" si="15"/>
        <v>1</v>
      </c>
    </row>
    <row r="969" spans="1:20" ht="14.25" hidden="1" customHeight="1">
      <c r="A969" s="15">
        <v>968</v>
      </c>
      <c r="B969" s="16" t="s">
        <v>3136</v>
      </c>
      <c r="C969" s="17">
        <v>45885</v>
      </c>
      <c r="D969" s="15" t="s">
        <v>3137</v>
      </c>
      <c r="E969" s="23"/>
      <c r="F969" s="19" t="s">
        <v>3138</v>
      </c>
      <c r="G969" s="18" t="s">
        <v>3139</v>
      </c>
      <c r="H969" s="20" t="s">
        <v>52</v>
      </c>
      <c r="I969" s="15">
        <v>1</v>
      </c>
      <c r="J969" s="15" t="s">
        <v>24</v>
      </c>
      <c r="K969" s="15"/>
      <c r="L969" s="21" t="s">
        <v>18</v>
      </c>
      <c r="M969" s="22">
        <v>0</v>
      </c>
      <c r="N969" s="22">
        <v>-375</v>
      </c>
      <c r="O969" s="22">
        <v>7125</v>
      </c>
      <c r="P969" s="22">
        <v>7125</v>
      </c>
      <c r="Q969" t="str" cm="1">
        <f t="array" ref="Q969">_xlfn.TEXTJOIN("、",TRUE,IF('學員資料-三民高中'!$B$2:$B$454=$F969,'學員資料-三民高中'!$G$2:$G$454,""))</f>
        <v/>
      </c>
      <c r="R969" t="str" cm="1">
        <f t="array" ref="R969">_xlfn.TEXTJOIN("、",TRUE,IF('學員資料-新北高中'!$B$2:$B$583=$F969,'學員資料-新北高中'!$G$2:$G$583,""))</f>
        <v>0916760790</v>
      </c>
      <c r="S969" t="str" cm="1">
        <f t="array" ref="S969">_xlfn.TEXTJOIN("、",TRUE,IF('學員資料-三重商工'!$B$2:$B$472=$F969,'學員資料-三重商工'!$G$2:$G$472,""))</f>
        <v/>
      </c>
      <c r="T969">
        <f t="shared" si="15"/>
        <v>1</v>
      </c>
    </row>
    <row r="970" spans="1:20" ht="14.25" hidden="1" customHeight="1">
      <c r="A970" s="15">
        <v>969</v>
      </c>
      <c r="B970" s="16" t="s">
        <v>3140</v>
      </c>
      <c r="C970" s="17">
        <v>45885</v>
      </c>
      <c r="D970" s="15" t="s">
        <v>3141</v>
      </c>
      <c r="E970" s="23"/>
      <c r="F970" s="19" t="s">
        <v>3142</v>
      </c>
      <c r="G970" s="18" t="s">
        <v>3143</v>
      </c>
      <c r="H970" s="20" t="s">
        <v>66</v>
      </c>
      <c r="I970" s="15">
        <v>1</v>
      </c>
      <c r="J970" s="15" t="s">
        <v>23</v>
      </c>
      <c r="K970" s="15"/>
      <c r="L970" s="21" t="s">
        <v>18</v>
      </c>
      <c r="M970" s="22">
        <v>0</v>
      </c>
      <c r="N970" s="22">
        <v>-345</v>
      </c>
      <c r="O970" s="22">
        <v>6555</v>
      </c>
      <c r="P970" s="22">
        <v>6555</v>
      </c>
      <c r="Q970" t="str" cm="1">
        <f t="array" ref="Q970">_xlfn.TEXTJOIN("、",TRUE,IF('學員資料-三民高中'!$B$2:$B$454=$F970,'學員資料-三民高中'!$G$2:$G$454,""))</f>
        <v/>
      </c>
      <c r="R970" t="str" cm="1">
        <f t="array" ref="R970">_xlfn.TEXTJOIN("、",TRUE,IF('學員資料-新北高中'!$B$2:$B$583=$F970,'學員資料-新北高中'!$G$2:$G$583,""))</f>
        <v/>
      </c>
      <c r="S970" t="str" cm="1">
        <f t="array" ref="S970">_xlfn.TEXTJOIN("、",TRUE,IF('學員資料-三重商工'!$B$2:$B$472=$F970,'學員資料-三重商工'!$G$2:$G$472,""))</f>
        <v>0939507422</v>
      </c>
      <c r="T970">
        <f t="shared" si="15"/>
        <v>1</v>
      </c>
    </row>
    <row r="971" spans="1:20" ht="14.25" hidden="1" customHeight="1">
      <c r="A971" s="15">
        <v>970</v>
      </c>
      <c r="B971" s="16" t="s">
        <v>3144</v>
      </c>
      <c r="C971" s="17">
        <v>45885</v>
      </c>
      <c r="D971" s="15" t="s">
        <v>3145</v>
      </c>
      <c r="E971" s="23"/>
      <c r="F971" s="19" t="s">
        <v>326</v>
      </c>
      <c r="G971" s="18" t="s">
        <v>327</v>
      </c>
      <c r="H971" s="20" t="s">
        <v>210</v>
      </c>
      <c r="I971" s="15">
        <v>1</v>
      </c>
      <c r="J971" s="15" t="s">
        <v>26</v>
      </c>
      <c r="K971" s="15"/>
      <c r="L971" s="21" t="s">
        <v>18</v>
      </c>
      <c r="M971" s="22">
        <v>0</v>
      </c>
      <c r="N971" s="22">
        <v>-1200</v>
      </c>
      <c r="O971" s="22">
        <v>10800</v>
      </c>
      <c r="P971" s="22">
        <v>10800</v>
      </c>
      <c r="Q971" t="str" cm="1">
        <f t="array" ref="Q971">_xlfn.TEXTJOIN("、",TRUE,IF('學員資料-三民高中'!$B$2:$B$454=$F971,'學員資料-三民高中'!$G$2:$G$454,""))</f>
        <v/>
      </c>
      <c r="R971" t="str" cm="1">
        <f t="array" ref="R971">_xlfn.TEXTJOIN("、",TRUE,IF('學員資料-新北高中'!$B$2:$B$583=$F971,'學員資料-新北高中'!$G$2:$G$583,""))</f>
        <v/>
      </c>
      <c r="S971" t="str" cm="1">
        <f t="array" ref="S971">_xlfn.TEXTJOIN("、",TRUE,IF('學員資料-三重商工'!$B$2:$B$472=$F971,'學員資料-三重商工'!$G$2:$G$472,""))</f>
        <v>0955812685</v>
      </c>
      <c r="T971">
        <f t="shared" si="15"/>
        <v>1</v>
      </c>
    </row>
    <row r="972" spans="1:20" ht="14.25" hidden="1" customHeight="1">
      <c r="A972" s="15">
        <v>971</v>
      </c>
      <c r="B972" s="16" t="s">
        <v>3146</v>
      </c>
      <c r="C972" s="17">
        <v>45885</v>
      </c>
      <c r="D972" s="15" t="s">
        <v>3147</v>
      </c>
      <c r="E972" s="23"/>
      <c r="F972" s="19" t="s">
        <v>2943</v>
      </c>
      <c r="G972" s="18" t="s">
        <v>2944</v>
      </c>
      <c r="H972" s="20" t="s">
        <v>3148</v>
      </c>
      <c r="I972" s="15">
        <v>1</v>
      </c>
      <c r="J972" s="15" t="s">
        <v>25</v>
      </c>
      <c r="K972" s="21" t="s">
        <v>116</v>
      </c>
      <c r="L972" s="21" t="s">
        <v>16</v>
      </c>
      <c r="M972" s="22">
        <v>0</v>
      </c>
      <c r="N972" s="22">
        <v>0</v>
      </c>
      <c r="O972" s="22">
        <v>2100</v>
      </c>
      <c r="P972" s="22">
        <v>2100</v>
      </c>
      <c r="Q972" t="str" cm="1">
        <f t="array" ref="Q972">_xlfn.TEXTJOIN("、",TRUE,IF('學員資料-三民高中'!$B$2:$B$454=$F972,'學員資料-三民高中'!$G$2:$G$454,""))</f>
        <v>0975159677</v>
      </c>
      <c r="R972" t="str" cm="1">
        <f t="array" ref="R972">_xlfn.TEXTJOIN("、",TRUE,IF('學員資料-新北高中'!$B$2:$B$583=$F972,'學員資料-新北高中'!$G$2:$G$583,""))</f>
        <v/>
      </c>
      <c r="S972" t="str" cm="1">
        <f t="array" ref="S972">_xlfn.TEXTJOIN("、",TRUE,IF('學員資料-三重商工'!$B$2:$B$472=$F972,'學員資料-三重商工'!$G$2:$G$472,""))</f>
        <v/>
      </c>
      <c r="T972">
        <f t="shared" si="15"/>
        <v>1</v>
      </c>
    </row>
    <row r="973" spans="1:20" ht="14.25" hidden="1" customHeight="1">
      <c r="A973" s="15">
        <v>972</v>
      </c>
      <c r="B973" s="16" t="s">
        <v>3149</v>
      </c>
      <c r="C973" s="17">
        <v>45885</v>
      </c>
      <c r="D973" s="15" t="s">
        <v>3150</v>
      </c>
      <c r="E973" s="23"/>
      <c r="F973" s="19" t="s">
        <v>1345</v>
      </c>
      <c r="G973" s="18" t="s">
        <v>1346</v>
      </c>
      <c r="H973" s="20" t="s">
        <v>52</v>
      </c>
      <c r="I973" s="15">
        <v>1</v>
      </c>
      <c r="J973" s="15" t="s">
        <v>24</v>
      </c>
      <c r="K973" s="15"/>
      <c r="L973" s="21" t="s">
        <v>18</v>
      </c>
      <c r="M973" s="22">
        <v>0</v>
      </c>
      <c r="N973" s="22">
        <v>-375</v>
      </c>
      <c r="O973" s="22">
        <v>7125</v>
      </c>
      <c r="P973" s="22">
        <v>7125</v>
      </c>
      <c r="Q973" t="str" cm="1">
        <f t="array" ref="Q973">_xlfn.TEXTJOIN("、",TRUE,IF('學員資料-三民高中'!$B$2:$B$454=$F973,'學員資料-三民高中'!$G$2:$G$454,""))</f>
        <v>0982307834</v>
      </c>
      <c r="R973" t="str" cm="1">
        <f t="array" ref="R973">_xlfn.TEXTJOIN("、",TRUE,IF('學員資料-新北高中'!$B$2:$B$583=$F973,'學員資料-新北高中'!$G$2:$G$583,""))</f>
        <v/>
      </c>
      <c r="S973" t="str" cm="1">
        <f t="array" ref="S973">_xlfn.TEXTJOIN("、",TRUE,IF('學員資料-三重商工'!$B$2:$B$472=$F973,'學員資料-三重商工'!$G$2:$G$472,""))</f>
        <v/>
      </c>
      <c r="T973">
        <f t="shared" si="15"/>
        <v>1</v>
      </c>
    </row>
    <row r="974" spans="1:20" ht="14.25" hidden="1" customHeight="1">
      <c r="A974" s="15">
        <v>973</v>
      </c>
      <c r="B974" s="16" t="s">
        <v>3151</v>
      </c>
      <c r="C974" s="17">
        <v>45884</v>
      </c>
      <c r="D974" s="15" t="s">
        <v>3152</v>
      </c>
      <c r="E974" s="18" t="s">
        <v>763</v>
      </c>
      <c r="F974" s="19" t="s">
        <v>2650</v>
      </c>
      <c r="G974" s="18" t="s">
        <v>2651</v>
      </c>
      <c r="H974" s="20" t="s">
        <v>52</v>
      </c>
      <c r="I974" s="15">
        <v>1</v>
      </c>
      <c r="J974" s="15" t="s">
        <v>24</v>
      </c>
      <c r="K974" s="15"/>
      <c r="L974" s="21" t="s">
        <v>16</v>
      </c>
      <c r="M974" s="22">
        <v>0</v>
      </c>
      <c r="N974" s="22">
        <v>0</v>
      </c>
      <c r="O974" s="22">
        <v>7500</v>
      </c>
      <c r="P974" s="22">
        <v>7500</v>
      </c>
      <c r="Q974" t="str" cm="1">
        <f t="array" ref="Q974">_xlfn.TEXTJOIN("、",TRUE,IF('學員資料-三民高中'!$B$2:$B$454=$F974,'學員資料-三民高中'!$G$2:$G$454,""))</f>
        <v>0932022220</v>
      </c>
      <c r="R974" t="str" cm="1">
        <f t="array" ref="R974">_xlfn.TEXTJOIN("、",TRUE,IF('學員資料-新北高中'!$B$2:$B$583=$F974,'學員資料-新北高中'!$G$2:$G$583,""))</f>
        <v/>
      </c>
      <c r="S974" t="str" cm="1">
        <f t="array" ref="S974">_xlfn.TEXTJOIN("、",TRUE,IF('學員資料-三重商工'!$B$2:$B$472=$F974,'學員資料-三重商工'!$G$2:$G$472,""))</f>
        <v/>
      </c>
      <c r="T974">
        <f t="shared" si="15"/>
        <v>1</v>
      </c>
    </row>
    <row r="975" spans="1:20" ht="14.25" hidden="1" customHeight="1">
      <c r="A975" s="15">
        <v>974</v>
      </c>
      <c r="B975" s="16" t="s">
        <v>3153</v>
      </c>
      <c r="C975" s="17">
        <v>45884</v>
      </c>
      <c r="D975" s="15" t="s">
        <v>3154</v>
      </c>
      <c r="E975" s="18" t="s">
        <v>763</v>
      </c>
      <c r="F975" s="19" t="s">
        <v>2650</v>
      </c>
      <c r="G975" s="18" t="s">
        <v>2651</v>
      </c>
      <c r="H975" s="20" t="s">
        <v>2984</v>
      </c>
      <c r="I975" s="15">
        <v>1</v>
      </c>
      <c r="J975" s="15" t="s">
        <v>24</v>
      </c>
      <c r="K975" s="21" t="s">
        <v>116</v>
      </c>
      <c r="L975" s="21" t="s">
        <v>16</v>
      </c>
      <c r="M975" s="22">
        <v>0</v>
      </c>
      <c r="N975" s="22">
        <v>0</v>
      </c>
      <c r="O975" s="22">
        <v>1400</v>
      </c>
      <c r="P975" s="22">
        <v>1400</v>
      </c>
      <c r="Q975" t="str" cm="1">
        <f t="array" ref="Q975">_xlfn.TEXTJOIN("、",TRUE,IF('學員資料-三民高中'!$B$2:$B$454=$F975,'學員資料-三民高中'!$G$2:$G$454,""))</f>
        <v>0932022220</v>
      </c>
      <c r="R975" t="str" cm="1">
        <f t="array" ref="R975">_xlfn.TEXTJOIN("、",TRUE,IF('學員資料-新北高中'!$B$2:$B$583=$F975,'學員資料-新北高中'!$G$2:$G$583,""))</f>
        <v/>
      </c>
      <c r="S975" t="str" cm="1">
        <f t="array" ref="S975">_xlfn.TEXTJOIN("、",TRUE,IF('學員資料-三重商工'!$B$2:$B$472=$F975,'學員資料-三重商工'!$G$2:$G$472,""))</f>
        <v/>
      </c>
      <c r="T975">
        <f t="shared" si="15"/>
        <v>1</v>
      </c>
    </row>
    <row r="976" spans="1:20" ht="14.25" hidden="1" customHeight="1">
      <c r="A976" s="15">
        <v>975</v>
      </c>
      <c r="B976" s="16" t="s">
        <v>3155</v>
      </c>
      <c r="C976" s="17">
        <v>45884</v>
      </c>
      <c r="D976" s="15" t="s">
        <v>3156</v>
      </c>
      <c r="E976" s="23"/>
      <c r="F976" s="19" t="s">
        <v>1450</v>
      </c>
      <c r="G976" s="18" t="s">
        <v>1451</v>
      </c>
      <c r="H976" s="20" t="s">
        <v>66</v>
      </c>
      <c r="I976" s="15">
        <v>1</v>
      </c>
      <c r="J976" s="15" t="s">
        <v>23</v>
      </c>
      <c r="K976" s="15"/>
      <c r="L976" s="21" t="s">
        <v>18</v>
      </c>
      <c r="M976" s="22">
        <v>0</v>
      </c>
      <c r="N976" s="22">
        <v>-345</v>
      </c>
      <c r="O976" s="22">
        <v>6555</v>
      </c>
      <c r="P976" s="22">
        <v>6555</v>
      </c>
      <c r="Q976" t="str" cm="1">
        <f t="array" ref="Q976">_xlfn.TEXTJOIN("、",TRUE,IF('學員資料-三民高中'!$B$2:$B$454=$F976,'學員資料-三民高中'!$G$2:$G$454,""))</f>
        <v>0930941302</v>
      </c>
      <c r="R976" t="str" cm="1">
        <f t="array" ref="R976">_xlfn.TEXTJOIN("、",TRUE,IF('學員資料-新北高中'!$B$2:$B$583=$F976,'學員資料-新北高中'!$G$2:$G$583,""))</f>
        <v/>
      </c>
      <c r="S976" t="str" cm="1">
        <f t="array" ref="S976">_xlfn.TEXTJOIN("、",TRUE,IF('學員資料-三重商工'!$B$2:$B$472=$F976,'學員資料-三重商工'!$G$2:$G$472,""))</f>
        <v/>
      </c>
      <c r="T976">
        <f t="shared" si="15"/>
        <v>1</v>
      </c>
    </row>
    <row r="977" spans="1:20" ht="14.25" hidden="1" customHeight="1">
      <c r="A977" s="15">
        <v>976</v>
      </c>
      <c r="B977" s="16" t="s">
        <v>3157</v>
      </c>
      <c r="C977" s="17">
        <v>45884</v>
      </c>
      <c r="D977" s="15" t="s">
        <v>3158</v>
      </c>
      <c r="E977" s="23"/>
      <c r="F977" s="19" t="s">
        <v>1462</v>
      </c>
      <c r="G977" s="18" t="s">
        <v>1463</v>
      </c>
      <c r="H977" s="20" t="s">
        <v>52</v>
      </c>
      <c r="I977" s="15">
        <v>1</v>
      </c>
      <c r="J977" s="15" t="s">
        <v>24</v>
      </c>
      <c r="K977" s="15"/>
      <c r="L977" s="21" t="s">
        <v>16</v>
      </c>
      <c r="M977" s="22">
        <v>0</v>
      </c>
      <c r="N977" s="22">
        <v>-375</v>
      </c>
      <c r="O977" s="22">
        <v>7125</v>
      </c>
      <c r="P977" s="22">
        <v>7125</v>
      </c>
      <c r="Q977" t="str" cm="1">
        <f t="array" ref="Q977">_xlfn.TEXTJOIN("、",TRUE,IF('學員資料-三民高中'!$B$2:$B$454=$F977,'學員資料-三民高中'!$G$2:$G$454,""))</f>
        <v>0987823723</v>
      </c>
      <c r="R977" t="str" cm="1">
        <f t="array" ref="R977">_xlfn.TEXTJOIN("、",TRUE,IF('學員資料-新北高中'!$B$2:$B$583=$F977,'學員資料-新北高中'!$G$2:$G$583,""))</f>
        <v/>
      </c>
      <c r="S977" t="str" cm="1">
        <f t="array" ref="S977">_xlfn.TEXTJOIN("、",TRUE,IF('學員資料-三重商工'!$B$2:$B$472=$F977,'學員資料-三重商工'!$G$2:$G$472,""))</f>
        <v/>
      </c>
      <c r="T977">
        <f t="shared" si="15"/>
        <v>1</v>
      </c>
    </row>
    <row r="978" spans="1:20" ht="14.25" hidden="1" customHeight="1">
      <c r="A978" s="15">
        <v>977</v>
      </c>
      <c r="B978" s="16" t="s">
        <v>3159</v>
      </c>
      <c r="C978" s="17">
        <v>45884</v>
      </c>
      <c r="D978" s="15" t="s">
        <v>3160</v>
      </c>
      <c r="E978" s="23"/>
      <c r="F978" s="19" t="s">
        <v>3161</v>
      </c>
      <c r="G978" s="18" t="s">
        <v>3162</v>
      </c>
      <c r="H978" s="20" t="s">
        <v>66</v>
      </c>
      <c r="I978" s="15">
        <v>1</v>
      </c>
      <c r="J978" s="15" t="s">
        <v>23</v>
      </c>
      <c r="K978" s="15"/>
      <c r="L978" s="21" t="s">
        <v>16</v>
      </c>
      <c r="M978" s="22">
        <v>0</v>
      </c>
      <c r="N978" s="22">
        <v>-345</v>
      </c>
      <c r="O978" s="22">
        <v>6555</v>
      </c>
      <c r="P978" s="22">
        <v>6555</v>
      </c>
      <c r="Q978" t="str" cm="1">
        <f t="array" ref="Q978">_xlfn.TEXTJOIN("、",TRUE,IF('學員資料-三民高中'!$B$2:$B$454=$F978,'學員資料-三民高中'!$G$2:$G$454,""))</f>
        <v>0911283587</v>
      </c>
      <c r="R978" t="str" cm="1">
        <f t="array" ref="R978">_xlfn.TEXTJOIN("、",TRUE,IF('學員資料-新北高中'!$B$2:$B$583=$F978,'學員資料-新北高中'!$G$2:$G$583,""))</f>
        <v/>
      </c>
      <c r="S978" t="str" cm="1">
        <f t="array" ref="S978">_xlfn.TEXTJOIN("、",TRUE,IF('學員資料-三重商工'!$B$2:$B$472=$F978,'學員資料-三重商工'!$G$2:$G$472,""))</f>
        <v/>
      </c>
      <c r="T978">
        <f t="shared" si="15"/>
        <v>1</v>
      </c>
    </row>
    <row r="979" spans="1:20" ht="14.25" hidden="1" customHeight="1">
      <c r="A979" s="15">
        <v>978</v>
      </c>
      <c r="B979" s="16" t="s">
        <v>3163</v>
      </c>
      <c r="C979" s="17">
        <v>45884</v>
      </c>
      <c r="D979" s="15" t="s">
        <v>3164</v>
      </c>
      <c r="E979" s="23"/>
      <c r="F979" s="19" t="s">
        <v>3165</v>
      </c>
      <c r="G979" s="18" t="s">
        <v>3166</v>
      </c>
      <c r="H979" s="20" t="s">
        <v>52</v>
      </c>
      <c r="I979" s="15">
        <v>1</v>
      </c>
      <c r="J979" s="15" t="s">
        <v>24</v>
      </c>
      <c r="K979" s="15"/>
      <c r="L979" s="21" t="s">
        <v>18</v>
      </c>
      <c r="M979" s="22">
        <v>0</v>
      </c>
      <c r="N979" s="22">
        <v>-375</v>
      </c>
      <c r="O979" s="22">
        <v>7125</v>
      </c>
      <c r="P979" s="22">
        <v>7125</v>
      </c>
      <c r="Q979" t="str" cm="1">
        <f t="array" ref="Q979">_xlfn.TEXTJOIN("、",TRUE,IF('學員資料-三民高中'!$B$2:$B$454=$F979,'學員資料-三民高中'!$G$2:$G$454,""))</f>
        <v>0933298190</v>
      </c>
      <c r="R979" t="str" cm="1">
        <f t="array" ref="R979">_xlfn.TEXTJOIN("、",TRUE,IF('學員資料-新北高中'!$B$2:$B$583=$F979,'學員資料-新北高中'!$G$2:$G$583,""))</f>
        <v/>
      </c>
      <c r="S979" t="str" cm="1">
        <f t="array" ref="S979">_xlfn.TEXTJOIN("、",TRUE,IF('學員資料-三重商工'!$B$2:$B$472=$F979,'學員資料-三重商工'!$G$2:$G$472,""))</f>
        <v/>
      </c>
      <c r="T979">
        <f t="shared" si="15"/>
        <v>1</v>
      </c>
    </row>
    <row r="980" spans="1:20" ht="28.5" hidden="1" customHeight="1">
      <c r="A980" s="15">
        <v>979</v>
      </c>
      <c r="B980" s="16" t="s">
        <v>3167</v>
      </c>
      <c r="C980" s="17">
        <v>45884</v>
      </c>
      <c r="D980" s="15" t="s">
        <v>3168</v>
      </c>
      <c r="E980" s="23"/>
      <c r="F980" s="19" t="s">
        <v>1524</v>
      </c>
      <c r="G980" s="18" t="s">
        <v>1525</v>
      </c>
      <c r="H980" s="20" t="s">
        <v>75</v>
      </c>
      <c r="I980" s="15">
        <v>2</v>
      </c>
      <c r="J980" s="15" t="s">
        <v>23</v>
      </c>
      <c r="K980" s="15"/>
      <c r="L980" s="21" t="s">
        <v>18</v>
      </c>
      <c r="M980" s="22">
        <v>0</v>
      </c>
      <c r="N980" s="22">
        <v>-690</v>
      </c>
      <c r="O980" s="22">
        <v>13110</v>
      </c>
      <c r="P980" s="22">
        <v>13110</v>
      </c>
      <c r="Q980" t="str" cm="1">
        <f t="array" ref="Q980">_xlfn.TEXTJOIN("、",TRUE,IF('學員資料-三民高中'!$B$2:$B$454=$F980,'學員資料-三民高中'!$G$2:$G$454,""))</f>
        <v>0978726876-1</v>
      </c>
      <c r="R980" t="str" cm="1">
        <f t="array" ref="R980">_xlfn.TEXTJOIN("、",TRUE,IF('學員資料-新北高中'!$B$2:$B$583=$F980,'學員資料-新北高中'!$G$2:$G$583,""))</f>
        <v/>
      </c>
      <c r="S980" t="str" cm="1">
        <f t="array" ref="S980">_xlfn.TEXTJOIN("、",TRUE,IF('學員資料-三重商工'!$B$2:$B$472=$F980,'學員資料-三重商工'!$G$2:$G$472,""))</f>
        <v/>
      </c>
      <c r="T980">
        <f t="shared" si="15"/>
        <v>1</v>
      </c>
    </row>
    <row r="981" spans="1:20" ht="14.25" hidden="1" customHeight="1">
      <c r="A981" s="15">
        <v>980</v>
      </c>
      <c r="B981" s="16" t="s">
        <v>3169</v>
      </c>
      <c r="C981" s="17">
        <v>45884</v>
      </c>
      <c r="D981" s="15" t="s">
        <v>3170</v>
      </c>
      <c r="E981" s="23"/>
      <c r="F981" s="19" t="s">
        <v>1524</v>
      </c>
      <c r="G981" s="18" t="s">
        <v>1525</v>
      </c>
      <c r="H981" s="20" t="s">
        <v>66</v>
      </c>
      <c r="I981" s="15">
        <v>1</v>
      </c>
      <c r="J981" s="15" t="s">
        <v>23</v>
      </c>
      <c r="K981" s="15"/>
      <c r="L981" s="21" t="s">
        <v>18</v>
      </c>
      <c r="M981" s="22">
        <v>0</v>
      </c>
      <c r="N981" s="22">
        <v>-345</v>
      </c>
      <c r="O981" s="22">
        <v>6555</v>
      </c>
      <c r="P981" s="22">
        <v>6555</v>
      </c>
      <c r="Q981" t="str" cm="1">
        <f t="array" ref="Q981">_xlfn.TEXTJOIN("、",TRUE,IF('學員資料-三民高中'!$B$2:$B$454=$F981,'學員資料-三民高中'!$G$2:$G$454,""))</f>
        <v>0978726876-1</v>
      </c>
      <c r="R981" t="str" cm="1">
        <f t="array" ref="R981">_xlfn.TEXTJOIN("、",TRUE,IF('學員資料-新北高中'!$B$2:$B$583=$F981,'學員資料-新北高中'!$G$2:$G$583,""))</f>
        <v/>
      </c>
      <c r="S981" t="str" cm="1">
        <f t="array" ref="S981">_xlfn.TEXTJOIN("、",TRUE,IF('學員資料-三重商工'!$B$2:$B$472=$F981,'學員資料-三重商工'!$G$2:$G$472,""))</f>
        <v/>
      </c>
      <c r="T981">
        <f t="shared" si="15"/>
        <v>1</v>
      </c>
    </row>
    <row r="982" spans="1:20" ht="14.25" hidden="1" customHeight="1">
      <c r="A982" s="15">
        <v>981</v>
      </c>
      <c r="B982" s="16" t="s">
        <v>3171</v>
      </c>
      <c r="C982" s="17">
        <v>45883</v>
      </c>
      <c r="D982" s="15" t="s">
        <v>3172</v>
      </c>
      <c r="E982" s="18" t="s">
        <v>78</v>
      </c>
      <c r="F982" s="19" t="s">
        <v>2410</v>
      </c>
      <c r="G982" s="18" t="s">
        <v>2411</v>
      </c>
      <c r="H982" s="20" t="s">
        <v>130</v>
      </c>
      <c r="I982" s="15">
        <v>1</v>
      </c>
      <c r="J982" s="15" t="s">
        <v>25</v>
      </c>
      <c r="K982" s="15"/>
      <c r="L982" s="21" t="s">
        <v>16</v>
      </c>
      <c r="M982" s="22">
        <v>0</v>
      </c>
      <c r="N982" s="22">
        <v>-3960</v>
      </c>
      <c r="O982" s="22">
        <v>5940</v>
      </c>
      <c r="P982" s="22">
        <v>5940</v>
      </c>
      <c r="Q982" t="str" cm="1">
        <f t="array" ref="Q982">_xlfn.TEXTJOIN("、",TRUE,IF('學員資料-三民高中'!$B$2:$B$454=$F982,'學員資料-三民高中'!$G$2:$G$454,""))</f>
        <v/>
      </c>
      <c r="R982" t="str" cm="1">
        <f t="array" ref="R982">_xlfn.TEXTJOIN("、",TRUE,IF('學員資料-新北高中'!$B$2:$B$583=$F982,'學員資料-新北高中'!$G$2:$G$583,""))</f>
        <v>0952058379</v>
      </c>
      <c r="S982" t="str" cm="1">
        <f t="array" ref="S982">_xlfn.TEXTJOIN("、",TRUE,IF('學員資料-三重商工'!$B$2:$B$472=$F982,'學員資料-三重商工'!$G$2:$G$472,""))</f>
        <v/>
      </c>
      <c r="T982">
        <f t="shared" si="15"/>
        <v>1</v>
      </c>
    </row>
    <row r="983" spans="1:20" ht="28.5" hidden="1" customHeight="1">
      <c r="A983" s="15">
        <v>982</v>
      </c>
      <c r="B983" s="16" t="s">
        <v>3173</v>
      </c>
      <c r="C983" s="17">
        <v>45883</v>
      </c>
      <c r="D983" s="15" t="s">
        <v>3174</v>
      </c>
      <c r="E983" s="18" t="s">
        <v>763</v>
      </c>
      <c r="F983" s="19" t="s">
        <v>3175</v>
      </c>
      <c r="G983" s="18" t="s">
        <v>3176</v>
      </c>
      <c r="H983" s="20" t="s">
        <v>821</v>
      </c>
      <c r="I983" s="15">
        <v>2</v>
      </c>
      <c r="J983" s="15" t="s">
        <v>26</v>
      </c>
      <c r="K983" s="15"/>
      <c r="L983" s="21" t="s">
        <v>16</v>
      </c>
      <c r="M983" s="22">
        <v>0</v>
      </c>
      <c r="N983" s="22">
        <v>-2400</v>
      </c>
      <c r="O983" s="22">
        <v>21600</v>
      </c>
      <c r="P983" s="22">
        <v>21600</v>
      </c>
      <c r="Q983" t="str" cm="1">
        <f t="array" ref="Q983">_xlfn.TEXTJOIN("、",TRUE,IF('學員資料-三民高中'!$B$2:$B$454=$F983,'學員資料-三民高中'!$G$2:$G$454,""))</f>
        <v>0920002928</v>
      </c>
      <c r="R983" t="str" cm="1">
        <f t="array" ref="R983">_xlfn.TEXTJOIN("、",TRUE,IF('學員資料-新北高中'!$B$2:$B$583=$F983,'學員資料-新北高中'!$G$2:$G$583,""))</f>
        <v/>
      </c>
      <c r="S983" t="str" cm="1">
        <f t="array" ref="S983">_xlfn.TEXTJOIN("、",TRUE,IF('學員資料-三重商工'!$B$2:$B$472=$F983,'學員資料-三重商工'!$G$2:$G$472,""))</f>
        <v/>
      </c>
      <c r="T983">
        <f t="shared" si="15"/>
        <v>1</v>
      </c>
    </row>
    <row r="984" spans="1:20" ht="14.25" hidden="1" customHeight="1">
      <c r="A984" s="15">
        <v>983</v>
      </c>
      <c r="B984" s="16" t="s">
        <v>3177</v>
      </c>
      <c r="C984" s="17">
        <v>45883</v>
      </c>
      <c r="D984" s="15" t="s">
        <v>3178</v>
      </c>
      <c r="E984" s="18" t="s">
        <v>1324</v>
      </c>
      <c r="F984" s="19" t="s">
        <v>3179</v>
      </c>
      <c r="G984" s="18" t="s">
        <v>3180</v>
      </c>
      <c r="H984" s="20" t="s">
        <v>130</v>
      </c>
      <c r="I984" s="15">
        <v>1</v>
      </c>
      <c r="J984" s="15" t="s">
        <v>25</v>
      </c>
      <c r="K984" s="15"/>
      <c r="L984" s="21" t="s">
        <v>17</v>
      </c>
      <c r="M984" s="22">
        <v>0</v>
      </c>
      <c r="N984" s="22">
        <v>-990</v>
      </c>
      <c r="O984" s="22">
        <v>8910</v>
      </c>
      <c r="P984" s="22">
        <v>8910</v>
      </c>
      <c r="Q984" t="str" cm="1">
        <f t="array" ref="Q984">_xlfn.TEXTJOIN("、",TRUE,IF('學員資料-三民高中'!$B$2:$B$454=$F984,'學員資料-三民高中'!$G$2:$G$454,""))</f>
        <v/>
      </c>
      <c r="R984" t="str" cm="1">
        <f t="array" ref="R984">_xlfn.TEXTJOIN("、",TRUE,IF('學員資料-新北高中'!$B$2:$B$583=$F984,'學員資料-新北高中'!$G$2:$G$583,""))</f>
        <v>0920352108</v>
      </c>
      <c r="S984" t="str" cm="1">
        <f t="array" ref="S984">_xlfn.TEXTJOIN("、",TRUE,IF('學員資料-三重商工'!$B$2:$B$472=$F984,'學員資料-三重商工'!$G$2:$G$472,""))</f>
        <v/>
      </c>
      <c r="T984">
        <f t="shared" si="15"/>
        <v>1</v>
      </c>
    </row>
    <row r="985" spans="1:20" ht="14.25" hidden="1" customHeight="1">
      <c r="A985" s="15">
        <v>984</v>
      </c>
      <c r="B985" s="16" t="s">
        <v>3181</v>
      </c>
      <c r="C985" s="17">
        <v>45883</v>
      </c>
      <c r="D985" s="15" t="s">
        <v>3182</v>
      </c>
      <c r="E985" s="18" t="s">
        <v>1324</v>
      </c>
      <c r="F985" s="19" t="s">
        <v>1508</v>
      </c>
      <c r="G985" s="18" t="s">
        <v>1509</v>
      </c>
      <c r="H985" s="20" t="s">
        <v>52</v>
      </c>
      <c r="I985" s="15">
        <v>1</v>
      </c>
      <c r="J985" s="15" t="s">
        <v>24</v>
      </c>
      <c r="K985" s="15"/>
      <c r="L985" s="21" t="s">
        <v>17</v>
      </c>
      <c r="M985" s="22">
        <v>0</v>
      </c>
      <c r="N985" s="22">
        <v>-375</v>
      </c>
      <c r="O985" s="22">
        <v>7125</v>
      </c>
      <c r="P985" s="22">
        <v>7125</v>
      </c>
      <c r="Q985" t="str" cm="1">
        <f t="array" ref="Q985">_xlfn.TEXTJOIN("、",TRUE,IF('學員資料-三民高中'!$B$2:$B$454=$F985,'學員資料-三民高中'!$G$2:$G$454,""))</f>
        <v/>
      </c>
      <c r="R985" t="str" cm="1">
        <f t="array" ref="R985">_xlfn.TEXTJOIN("、",TRUE,IF('學員資料-新北高中'!$B$2:$B$583=$F985,'學員資料-新北高中'!$G$2:$G$583,""))</f>
        <v>0935676683</v>
      </c>
      <c r="S985" t="str" cm="1">
        <f t="array" ref="S985">_xlfn.TEXTJOIN("、",TRUE,IF('學員資料-三重商工'!$B$2:$B$472=$F985,'學員資料-三重商工'!$G$2:$G$472,""))</f>
        <v/>
      </c>
      <c r="T985">
        <f t="shared" si="15"/>
        <v>1</v>
      </c>
    </row>
    <row r="986" spans="1:20" ht="14.25" hidden="1" customHeight="1">
      <c r="A986" s="15">
        <v>985</v>
      </c>
      <c r="B986" s="16" t="s">
        <v>3183</v>
      </c>
      <c r="C986" s="17">
        <v>45883</v>
      </c>
      <c r="D986" s="15" t="s">
        <v>3184</v>
      </c>
      <c r="E986" s="18" t="s">
        <v>1324</v>
      </c>
      <c r="F986" s="19" t="s">
        <v>770</v>
      </c>
      <c r="G986" s="18" t="s">
        <v>771</v>
      </c>
      <c r="H986" s="20" t="s">
        <v>130</v>
      </c>
      <c r="I986" s="15">
        <v>1</v>
      </c>
      <c r="J986" s="15" t="s">
        <v>25</v>
      </c>
      <c r="K986" s="15"/>
      <c r="L986" s="21" t="s">
        <v>17</v>
      </c>
      <c r="M986" s="22">
        <v>0</v>
      </c>
      <c r="N986" s="22">
        <v>-990</v>
      </c>
      <c r="O986" s="22">
        <v>8910</v>
      </c>
      <c r="P986" s="22">
        <v>8910</v>
      </c>
      <c r="Q986" t="str" cm="1">
        <f t="array" ref="Q986">_xlfn.TEXTJOIN("、",TRUE,IF('學員資料-三民高中'!$B$2:$B$454=$F986,'學員資料-三民高中'!$G$2:$G$454,""))</f>
        <v/>
      </c>
      <c r="R986" t="str" cm="1">
        <f t="array" ref="R986">_xlfn.TEXTJOIN("、",TRUE,IF('學員資料-新北高中'!$B$2:$B$583=$F986,'學員資料-新北高中'!$G$2:$G$583,""))</f>
        <v>0918884177</v>
      </c>
      <c r="S986" t="str" cm="1">
        <f t="array" ref="S986">_xlfn.TEXTJOIN("、",TRUE,IF('學員資料-三重商工'!$B$2:$B$472=$F986,'學員資料-三重商工'!$G$2:$G$472,""))</f>
        <v/>
      </c>
      <c r="T986">
        <f t="shared" si="15"/>
        <v>1</v>
      </c>
    </row>
    <row r="987" spans="1:20" ht="14.25" hidden="1" customHeight="1">
      <c r="A987" s="15">
        <v>986</v>
      </c>
      <c r="B987" s="16" t="s">
        <v>3185</v>
      </c>
      <c r="C987" s="17">
        <v>45883</v>
      </c>
      <c r="D987" s="15" t="s">
        <v>3186</v>
      </c>
      <c r="E987" s="23"/>
      <c r="F987" s="19" t="s">
        <v>1175</v>
      </c>
      <c r="G987" s="18" t="s">
        <v>1176</v>
      </c>
      <c r="H987" s="20" t="s">
        <v>66</v>
      </c>
      <c r="I987" s="15">
        <v>1</v>
      </c>
      <c r="J987" s="15" t="s">
        <v>23</v>
      </c>
      <c r="K987" s="15"/>
      <c r="L987" s="21" t="s">
        <v>16</v>
      </c>
      <c r="M987" s="22">
        <v>0</v>
      </c>
      <c r="N987" s="22">
        <v>0</v>
      </c>
      <c r="O987" s="22">
        <v>6900</v>
      </c>
      <c r="P987" s="22">
        <v>6900</v>
      </c>
      <c r="Q987" t="str" cm="1">
        <f t="array" ref="Q987">_xlfn.TEXTJOIN("、",TRUE,IF('學員資料-三民高中'!$B$2:$B$454=$F987,'學員資料-三民高中'!$G$2:$G$454,""))</f>
        <v>0963008351</v>
      </c>
      <c r="R987" t="str" cm="1">
        <f t="array" ref="R987">_xlfn.TEXTJOIN("、",TRUE,IF('學員資料-新北高中'!$B$2:$B$583=$F987,'學員資料-新北高中'!$G$2:$G$583,""))</f>
        <v/>
      </c>
      <c r="S987" t="str" cm="1">
        <f t="array" ref="S987">_xlfn.TEXTJOIN("、",TRUE,IF('學員資料-三重商工'!$B$2:$B$472=$F987,'學員資料-三重商工'!$G$2:$G$472,""))</f>
        <v/>
      </c>
      <c r="T987">
        <f t="shared" si="15"/>
        <v>1</v>
      </c>
    </row>
    <row r="988" spans="1:20" ht="14.25" hidden="1" customHeight="1">
      <c r="A988" s="15">
        <v>987</v>
      </c>
      <c r="B988" s="16" t="s">
        <v>3187</v>
      </c>
      <c r="C988" s="17">
        <v>45883</v>
      </c>
      <c r="D988" s="15" t="s">
        <v>3188</v>
      </c>
      <c r="E988" s="23"/>
      <c r="F988" s="19" t="s">
        <v>846</v>
      </c>
      <c r="G988" s="18" t="s">
        <v>847</v>
      </c>
      <c r="H988" s="20" t="s">
        <v>210</v>
      </c>
      <c r="I988" s="15">
        <v>1</v>
      </c>
      <c r="J988" s="15" t="s">
        <v>26</v>
      </c>
      <c r="K988" s="15"/>
      <c r="L988" s="21" t="s">
        <v>17</v>
      </c>
      <c r="M988" s="22">
        <v>0</v>
      </c>
      <c r="N988" s="22">
        <v>-1200</v>
      </c>
      <c r="O988" s="22">
        <v>10800</v>
      </c>
      <c r="P988" s="22">
        <v>10800</v>
      </c>
      <c r="Q988" t="str" cm="1">
        <f t="array" ref="Q988">_xlfn.TEXTJOIN("、",TRUE,IF('學員資料-三民高中'!$B$2:$B$454=$F988,'學員資料-三民高中'!$G$2:$G$454,""))</f>
        <v/>
      </c>
      <c r="R988" t="str" cm="1">
        <f t="array" ref="R988">_xlfn.TEXTJOIN("、",TRUE,IF('學員資料-新北高中'!$B$2:$B$583=$F988,'學員資料-新北高中'!$G$2:$G$583,""))</f>
        <v/>
      </c>
      <c r="S988" t="str" cm="1">
        <f t="array" ref="S988">_xlfn.TEXTJOIN("、",TRUE,IF('學員資料-三重商工'!$B$2:$B$472=$F988,'學員資料-三重商工'!$G$2:$G$472,""))</f>
        <v>0928579181</v>
      </c>
      <c r="T988">
        <f t="shared" si="15"/>
        <v>1</v>
      </c>
    </row>
    <row r="989" spans="1:20" ht="28.5" hidden="1" customHeight="1">
      <c r="A989" s="15">
        <v>988</v>
      </c>
      <c r="B989" s="16" t="s">
        <v>3189</v>
      </c>
      <c r="C989" s="17">
        <v>45883</v>
      </c>
      <c r="D989" s="15" t="s">
        <v>3190</v>
      </c>
      <c r="E989" s="23"/>
      <c r="F989" s="19" t="s">
        <v>3191</v>
      </c>
      <c r="G989" s="18" t="s">
        <v>3192</v>
      </c>
      <c r="H989" s="20" t="s">
        <v>99</v>
      </c>
      <c r="I989" s="15">
        <v>2</v>
      </c>
      <c r="J989" s="15" t="s">
        <v>24</v>
      </c>
      <c r="K989" s="15"/>
      <c r="L989" s="21" t="s">
        <v>17</v>
      </c>
      <c r="M989" s="22">
        <v>0</v>
      </c>
      <c r="N989" s="22">
        <v>-750</v>
      </c>
      <c r="O989" s="22">
        <v>14250</v>
      </c>
      <c r="P989" s="22">
        <v>14250</v>
      </c>
      <c r="Q989" t="str" cm="1">
        <f t="array" ref="Q989">_xlfn.TEXTJOIN("、",TRUE,IF('學員資料-三民高中'!$B$2:$B$454=$F989,'學員資料-三民高中'!$G$2:$G$454,""))</f>
        <v/>
      </c>
      <c r="R989" t="str" cm="1">
        <f t="array" ref="R989">_xlfn.TEXTJOIN("、",TRUE,IF('學員資料-新北高中'!$B$2:$B$583=$F989,'學員資料-新北高中'!$G$2:$G$583,""))</f>
        <v/>
      </c>
      <c r="S989" t="str" cm="1">
        <f t="array" ref="S989">_xlfn.TEXTJOIN("、",TRUE,IF('學員資料-三重商工'!$B$2:$B$472=$F989,'學員資料-三重商工'!$G$2:$G$472,""))</f>
        <v>0926368926</v>
      </c>
      <c r="T989">
        <f t="shared" si="15"/>
        <v>1</v>
      </c>
    </row>
    <row r="990" spans="1:20" ht="14.25" hidden="1" customHeight="1">
      <c r="A990" s="15">
        <v>989</v>
      </c>
      <c r="B990" s="16" t="s">
        <v>3193</v>
      </c>
      <c r="C990" s="17">
        <v>45883</v>
      </c>
      <c r="D990" s="15" t="s">
        <v>3194</v>
      </c>
      <c r="E990" s="18" t="s">
        <v>1324</v>
      </c>
      <c r="F990" s="19" t="s">
        <v>542</v>
      </c>
      <c r="G990" s="18" t="s">
        <v>543</v>
      </c>
      <c r="H990" s="20" t="s">
        <v>66</v>
      </c>
      <c r="I990" s="15">
        <v>1</v>
      </c>
      <c r="J990" s="15" t="s">
        <v>23</v>
      </c>
      <c r="K990" s="15"/>
      <c r="L990" s="21" t="s">
        <v>16</v>
      </c>
      <c r="M990" s="22">
        <v>0</v>
      </c>
      <c r="N990" s="22">
        <v>-345</v>
      </c>
      <c r="O990" s="22">
        <v>6555</v>
      </c>
      <c r="P990" s="22">
        <v>6555</v>
      </c>
      <c r="Q990" t="str" cm="1">
        <f t="array" ref="Q990">_xlfn.TEXTJOIN("、",TRUE,IF('學員資料-三民高中'!$B$2:$B$454=$F990,'學員資料-三民高中'!$G$2:$G$454,""))</f>
        <v/>
      </c>
      <c r="R990" t="str" cm="1">
        <f t="array" ref="R990">_xlfn.TEXTJOIN("、",TRUE,IF('學員資料-新北高中'!$B$2:$B$583=$F990,'學員資料-新北高中'!$G$2:$G$583,""))</f>
        <v>0918068640</v>
      </c>
      <c r="S990" t="str" cm="1">
        <f t="array" ref="S990">_xlfn.TEXTJOIN("、",TRUE,IF('學員資料-三重商工'!$B$2:$B$472=$F990,'學員資料-三重商工'!$G$2:$G$472,""))</f>
        <v/>
      </c>
      <c r="T990">
        <f t="shared" si="15"/>
        <v>1</v>
      </c>
    </row>
    <row r="991" spans="1:20" ht="14.25" hidden="1" customHeight="1">
      <c r="A991" s="15">
        <v>990</v>
      </c>
      <c r="B991" s="16" t="s">
        <v>3195</v>
      </c>
      <c r="C991" s="17">
        <v>45882</v>
      </c>
      <c r="D991" s="15" t="s">
        <v>3196</v>
      </c>
      <c r="E991" s="18" t="s">
        <v>763</v>
      </c>
      <c r="F991" s="19" t="s">
        <v>1637</v>
      </c>
      <c r="G991" s="18" t="s">
        <v>1641</v>
      </c>
      <c r="H991" s="20" t="s">
        <v>210</v>
      </c>
      <c r="I991" s="15">
        <v>1</v>
      </c>
      <c r="J991" s="15" t="s">
        <v>26</v>
      </c>
      <c r="K991" s="15"/>
      <c r="L991" s="21" t="s">
        <v>16</v>
      </c>
      <c r="M991" s="22">
        <v>0</v>
      </c>
      <c r="N991" s="22">
        <v>0</v>
      </c>
      <c r="O991" s="22">
        <v>12000</v>
      </c>
      <c r="P991" s="22">
        <v>12000</v>
      </c>
      <c r="Q991" t="str" cm="1">
        <f t="array" ref="Q991">_xlfn.TEXTJOIN("、",TRUE,IF('學員資料-三民高中'!$B$2:$B$454=$F991,'學員資料-三民高中'!$G$2:$G$454,""))</f>
        <v>0926909998</v>
      </c>
      <c r="R991" t="str" cm="1">
        <f t="array" ref="R991">_xlfn.TEXTJOIN("、",TRUE,IF('學員資料-新北高中'!$B$2:$B$583=$F991,'學員資料-新北高中'!$G$2:$G$583,""))</f>
        <v/>
      </c>
      <c r="S991" t="str" cm="1">
        <f t="array" ref="S991">_xlfn.TEXTJOIN("、",TRUE,IF('學員資料-三重商工'!$B$2:$B$472=$F991,'學員資料-三重商工'!$G$2:$G$472,""))</f>
        <v/>
      </c>
      <c r="T991">
        <f t="shared" si="15"/>
        <v>1</v>
      </c>
    </row>
    <row r="992" spans="1:20" ht="14.25" hidden="1" customHeight="1">
      <c r="A992" s="15">
        <v>991</v>
      </c>
      <c r="B992" s="16" t="s">
        <v>3197</v>
      </c>
      <c r="C992" s="17">
        <v>45882</v>
      </c>
      <c r="D992" s="15" t="s">
        <v>3198</v>
      </c>
      <c r="E992" s="23"/>
      <c r="F992" s="19" t="s">
        <v>1903</v>
      </c>
      <c r="G992" s="18" t="s">
        <v>1904</v>
      </c>
      <c r="H992" s="20" t="s">
        <v>52</v>
      </c>
      <c r="I992" s="15">
        <v>1</v>
      </c>
      <c r="J992" s="15" t="s">
        <v>24</v>
      </c>
      <c r="K992" s="15"/>
      <c r="L992" s="21" t="s">
        <v>18</v>
      </c>
      <c r="M992" s="22">
        <v>0</v>
      </c>
      <c r="N992" s="22">
        <v>-375</v>
      </c>
      <c r="O992" s="22">
        <v>7125</v>
      </c>
      <c r="P992" s="22">
        <v>7125</v>
      </c>
      <c r="Q992" t="str" cm="1">
        <f t="array" ref="Q992">_xlfn.TEXTJOIN("、",TRUE,IF('學員資料-三民高中'!$B$2:$B$454=$F992,'學員資料-三民高中'!$G$2:$G$454,""))</f>
        <v>0921866024</v>
      </c>
      <c r="R992" t="str" cm="1">
        <f t="array" ref="R992">_xlfn.TEXTJOIN("、",TRUE,IF('學員資料-新北高中'!$B$2:$B$583=$F992,'學員資料-新北高中'!$G$2:$G$583,""))</f>
        <v/>
      </c>
      <c r="S992" t="str" cm="1">
        <f t="array" ref="S992">_xlfn.TEXTJOIN("、",TRUE,IF('學員資料-三重商工'!$B$2:$B$472=$F992,'學員資料-三重商工'!$G$2:$G$472,""))</f>
        <v/>
      </c>
      <c r="T992">
        <f t="shared" si="15"/>
        <v>1</v>
      </c>
    </row>
    <row r="993" spans="1:20" ht="14.25" hidden="1" customHeight="1">
      <c r="A993" s="15">
        <v>992</v>
      </c>
      <c r="B993" s="16" t="s">
        <v>3199</v>
      </c>
      <c r="C993" s="17">
        <v>45882</v>
      </c>
      <c r="D993" s="15" t="s">
        <v>3200</v>
      </c>
      <c r="E993" s="23"/>
      <c r="F993" s="19" t="s">
        <v>1843</v>
      </c>
      <c r="G993" s="18" t="s">
        <v>1844</v>
      </c>
      <c r="H993" s="20" t="s">
        <v>210</v>
      </c>
      <c r="I993" s="15">
        <v>1</v>
      </c>
      <c r="J993" s="15" t="s">
        <v>26</v>
      </c>
      <c r="K993" s="15"/>
      <c r="L993" s="21" t="s">
        <v>18</v>
      </c>
      <c r="M993" s="22">
        <v>0</v>
      </c>
      <c r="N993" s="22">
        <v>-1200</v>
      </c>
      <c r="O993" s="22">
        <v>10800</v>
      </c>
      <c r="P993" s="22">
        <v>10800</v>
      </c>
      <c r="Q993" t="str" cm="1">
        <f t="array" ref="Q993">_xlfn.TEXTJOIN("、",TRUE,IF('學員資料-三民高中'!$B$2:$B$454=$F993,'學員資料-三民高中'!$G$2:$G$454,""))</f>
        <v/>
      </c>
      <c r="R993" t="str" cm="1">
        <f t="array" ref="R993">_xlfn.TEXTJOIN("、",TRUE,IF('學員資料-新北高中'!$B$2:$B$583=$F993,'學員資料-新北高中'!$G$2:$G$583,""))</f>
        <v/>
      </c>
      <c r="S993" t="str" cm="1">
        <f t="array" ref="S993">_xlfn.TEXTJOIN("、",TRUE,IF('學員資料-三重商工'!$B$2:$B$472=$F993,'學員資料-三重商工'!$G$2:$G$472,""))</f>
        <v>0981643377-1</v>
      </c>
      <c r="T993">
        <f t="shared" si="15"/>
        <v>1</v>
      </c>
    </row>
    <row r="994" spans="1:20" ht="14.25" hidden="1" customHeight="1">
      <c r="A994" s="15">
        <v>993</v>
      </c>
      <c r="B994" s="16" t="s">
        <v>3201</v>
      </c>
      <c r="C994" s="17">
        <v>45882</v>
      </c>
      <c r="D994" s="15" t="s">
        <v>3202</v>
      </c>
      <c r="E994" s="23"/>
      <c r="F994" s="19" t="s">
        <v>1843</v>
      </c>
      <c r="G994" s="18" t="s">
        <v>1844</v>
      </c>
      <c r="H994" s="20" t="s">
        <v>210</v>
      </c>
      <c r="I994" s="15">
        <v>1</v>
      </c>
      <c r="J994" s="15" t="s">
        <v>26</v>
      </c>
      <c r="K994" s="15"/>
      <c r="L994" s="21" t="s">
        <v>18</v>
      </c>
      <c r="M994" s="22">
        <v>0</v>
      </c>
      <c r="N994" s="22">
        <v>-1200</v>
      </c>
      <c r="O994" s="22">
        <v>10800</v>
      </c>
      <c r="P994" s="22">
        <v>10800</v>
      </c>
      <c r="Q994" t="str" cm="1">
        <f t="array" ref="Q994">_xlfn.TEXTJOIN("、",TRUE,IF('學員資料-三民高中'!$B$2:$B$454=$F994,'學員資料-三民高中'!$G$2:$G$454,""))</f>
        <v/>
      </c>
      <c r="R994" t="str" cm="1">
        <f t="array" ref="R994">_xlfn.TEXTJOIN("、",TRUE,IF('學員資料-新北高中'!$B$2:$B$583=$F994,'學員資料-新北高中'!$G$2:$G$583,""))</f>
        <v/>
      </c>
      <c r="S994" t="str" cm="1">
        <f t="array" ref="S994">_xlfn.TEXTJOIN("、",TRUE,IF('學員資料-三重商工'!$B$2:$B$472=$F994,'學員資料-三重商工'!$G$2:$G$472,""))</f>
        <v>0981643377-1</v>
      </c>
      <c r="T994">
        <f t="shared" si="15"/>
        <v>1</v>
      </c>
    </row>
    <row r="995" spans="1:20" ht="14.25" hidden="1" customHeight="1">
      <c r="A995" s="15">
        <v>994</v>
      </c>
      <c r="B995" s="16" t="s">
        <v>3203</v>
      </c>
      <c r="C995" s="17">
        <v>45882</v>
      </c>
      <c r="D995" s="15" t="s">
        <v>3204</v>
      </c>
      <c r="E995" s="23"/>
      <c r="F995" s="19" t="s">
        <v>1365</v>
      </c>
      <c r="G995" s="18" t="s">
        <v>1366</v>
      </c>
      <c r="H995" s="20" t="s">
        <v>52</v>
      </c>
      <c r="I995" s="15">
        <v>1</v>
      </c>
      <c r="J995" s="15" t="s">
        <v>24</v>
      </c>
      <c r="K995" s="15"/>
      <c r="L995" s="21" t="s">
        <v>16</v>
      </c>
      <c r="M995" s="22">
        <v>0</v>
      </c>
      <c r="N995" s="22">
        <v>-375</v>
      </c>
      <c r="O995" s="22">
        <v>7125</v>
      </c>
      <c r="P995" s="22">
        <v>7125</v>
      </c>
      <c r="Q995" t="str" cm="1">
        <f t="array" ref="Q995">_xlfn.TEXTJOIN("、",TRUE,IF('學員資料-三民高中'!$B$2:$B$454=$F995,'學員資料-三民高中'!$G$2:$G$454,""))</f>
        <v/>
      </c>
      <c r="R995" t="str" cm="1">
        <f t="array" ref="R995">_xlfn.TEXTJOIN("、",TRUE,IF('學員資料-新北高中'!$B$2:$B$583=$F995,'學員資料-新北高中'!$G$2:$G$583,""))</f>
        <v/>
      </c>
      <c r="S995" t="str" cm="1">
        <f t="array" ref="S995">_xlfn.TEXTJOIN("、",TRUE,IF('學員資料-三重商工'!$B$2:$B$472=$F995,'學員資料-三重商工'!$G$2:$G$472,""))</f>
        <v>0921241382</v>
      </c>
      <c r="T995">
        <f t="shared" si="15"/>
        <v>1</v>
      </c>
    </row>
    <row r="996" spans="1:20" ht="14.25" hidden="1" customHeight="1">
      <c r="A996" s="15">
        <v>995</v>
      </c>
      <c r="B996" s="16" t="s">
        <v>3205</v>
      </c>
      <c r="C996" s="17">
        <v>45882</v>
      </c>
      <c r="D996" s="15" t="s">
        <v>3206</v>
      </c>
      <c r="E996" s="23"/>
      <c r="F996" s="19" t="s">
        <v>1832</v>
      </c>
      <c r="G996" s="18" t="s">
        <v>1833</v>
      </c>
      <c r="H996" s="20" t="s">
        <v>52</v>
      </c>
      <c r="I996" s="15">
        <v>1</v>
      </c>
      <c r="J996" s="15" t="s">
        <v>24</v>
      </c>
      <c r="K996" s="15"/>
      <c r="L996" s="21" t="s">
        <v>16</v>
      </c>
      <c r="M996" s="22">
        <v>0</v>
      </c>
      <c r="N996" s="22">
        <v>-375</v>
      </c>
      <c r="O996" s="22">
        <v>7125</v>
      </c>
      <c r="P996" s="22">
        <v>7125</v>
      </c>
      <c r="Q996" t="str" cm="1">
        <f t="array" ref="Q996">_xlfn.TEXTJOIN("、",TRUE,IF('學員資料-三民高中'!$B$2:$B$454=$F996,'學員資料-三民高中'!$G$2:$G$454,""))</f>
        <v/>
      </c>
      <c r="R996" t="str" cm="1">
        <f t="array" ref="R996">_xlfn.TEXTJOIN("、",TRUE,IF('學員資料-新北高中'!$B$2:$B$583=$F996,'學員資料-新北高中'!$G$2:$G$583,""))</f>
        <v/>
      </c>
      <c r="S996" t="str" cm="1">
        <f t="array" ref="S996">_xlfn.TEXTJOIN("、",TRUE,IF('學員資料-三重商工'!$B$2:$B$472=$F996,'學員資料-三重商工'!$G$2:$G$472,""))</f>
        <v>0930980802</v>
      </c>
      <c r="T996">
        <f t="shared" si="15"/>
        <v>1</v>
      </c>
    </row>
    <row r="997" spans="1:20" ht="14.25" hidden="1" customHeight="1">
      <c r="A997" s="15">
        <v>996</v>
      </c>
      <c r="B997" s="16" t="s">
        <v>3207</v>
      </c>
      <c r="C997" s="17">
        <v>45882</v>
      </c>
      <c r="D997" s="15" t="s">
        <v>3208</v>
      </c>
      <c r="E997" s="23"/>
      <c r="F997" s="19" t="s">
        <v>3209</v>
      </c>
      <c r="G997" s="18" t="s">
        <v>3210</v>
      </c>
      <c r="H997" s="20" t="s">
        <v>66</v>
      </c>
      <c r="I997" s="15">
        <v>1</v>
      </c>
      <c r="J997" s="15" t="s">
        <v>23</v>
      </c>
      <c r="K997" s="15"/>
      <c r="L997" s="21" t="s">
        <v>18</v>
      </c>
      <c r="M997" s="22">
        <v>0</v>
      </c>
      <c r="N997" s="22">
        <v>-345</v>
      </c>
      <c r="O997" s="22">
        <v>6555</v>
      </c>
      <c r="P997" s="22">
        <v>6555</v>
      </c>
      <c r="Q997" t="str" cm="1">
        <f t="array" ref="Q997">_xlfn.TEXTJOIN("、",TRUE,IF('學員資料-三民高中'!$B$2:$B$454=$F997,'學員資料-三民高中'!$G$2:$G$454,""))</f>
        <v/>
      </c>
      <c r="R997" t="str" cm="1">
        <f t="array" ref="R997">_xlfn.TEXTJOIN("、",TRUE,IF('學員資料-新北高中'!$B$2:$B$583=$F997,'學員資料-新北高中'!$G$2:$G$583,""))</f>
        <v/>
      </c>
      <c r="S997" t="str" cm="1">
        <f t="array" ref="S997">_xlfn.TEXTJOIN("、",TRUE,IF('學員資料-三重商工'!$B$2:$B$472=$F997,'學員資料-三重商工'!$G$2:$G$472,""))</f>
        <v>0956788386</v>
      </c>
      <c r="T997">
        <f t="shared" si="15"/>
        <v>1</v>
      </c>
    </row>
    <row r="998" spans="1:20" ht="14.25" hidden="1" customHeight="1">
      <c r="A998" s="15">
        <v>997</v>
      </c>
      <c r="B998" s="16" t="s">
        <v>3211</v>
      </c>
      <c r="C998" s="17">
        <v>45882</v>
      </c>
      <c r="D998" s="15" t="s">
        <v>3212</v>
      </c>
      <c r="E998" s="23"/>
      <c r="F998" s="19" t="s">
        <v>3213</v>
      </c>
      <c r="G998" s="18" t="s">
        <v>3214</v>
      </c>
      <c r="H998" s="20" t="s">
        <v>52</v>
      </c>
      <c r="I998" s="15">
        <v>1</v>
      </c>
      <c r="J998" s="15" t="s">
        <v>24</v>
      </c>
      <c r="K998" s="15"/>
      <c r="L998" s="21" t="s">
        <v>16</v>
      </c>
      <c r="M998" s="22">
        <v>0</v>
      </c>
      <c r="N998" s="22">
        <v>-3000</v>
      </c>
      <c r="O998" s="22">
        <v>4500</v>
      </c>
      <c r="P998" s="22">
        <v>4500</v>
      </c>
      <c r="Q998" t="str" cm="1">
        <f t="array" ref="Q998">_xlfn.TEXTJOIN("、",TRUE,IF('學員資料-三民高中'!$B$2:$B$454=$F998,'學員資料-三民高中'!$G$2:$G$454,""))</f>
        <v/>
      </c>
      <c r="R998" t="str" cm="1">
        <f t="array" ref="R998">_xlfn.TEXTJOIN("、",TRUE,IF('學員資料-新北高中'!$B$2:$B$583=$F998,'學員資料-新北高中'!$G$2:$G$583,""))</f>
        <v/>
      </c>
      <c r="S998" t="str" cm="1">
        <f t="array" ref="S998">_xlfn.TEXTJOIN("、",TRUE,IF('學員資料-三重商工'!$B$2:$B$472=$F998,'學員資料-三重商工'!$G$2:$G$472,""))</f>
        <v>0926238656</v>
      </c>
      <c r="T998">
        <f t="shared" si="15"/>
        <v>1</v>
      </c>
    </row>
    <row r="999" spans="1:20" ht="43.5" hidden="1" customHeight="1">
      <c r="A999" s="15">
        <v>998</v>
      </c>
      <c r="B999" s="16" t="s">
        <v>3215</v>
      </c>
      <c r="C999" s="17">
        <v>45882</v>
      </c>
      <c r="D999" s="15" t="s">
        <v>3216</v>
      </c>
      <c r="E999" s="18" t="s">
        <v>1324</v>
      </c>
      <c r="F999" s="19" t="s">
        <v>3217</v>
      </c>
      <c r="G999" s="23" t="s">
        <v>3218</v>
      </c>
      <c r="H999" s="20" t="s">
        <v>3219</v>
      </c>
      <c r="I999" s="15">
        <v>3</v>
      </c>
      <c r="J999" s="15" t="s">
        <v>23</v>
      </c>
      <c r="K999" s="21" t="s">
        <v>116</v>
      </c>
      <c r="L999" s="21" t="s">
        <v>16</v>
      </c>
      <c r="M999" s="22">
        <v>0</v>
      </c>
      <c r="N999" s="22">
        <v>0</v>
      </c>
      <c r="O999" s="22">
        <v>4500</v>
      </c>
      <c r="P999" s="22">
        <v>4500</v>
      </c>
      <c r="Q999" t="str" cm="1">
        <f t="array" ref="Q999">_xlfn.TEXTJOIN("、",TRUE,IF('學員資料-三民高中'!$B$2:$B$454=$F999,'學員資料-三民高中'!$G$2:$G$454,""))</f>
        <v/>
      </c>
      <c r="R999" t="str" cm="1">
        <f t="array" ref="R999">_xlfn.TEXTJOIN("、",TRUE,IF('學員資料-新北高中'!$B$2:$B$583=$F999,'學員資料-新北高中'!$G$2:$G$583,""))</f>
        <v>0966236683</v>
      </c>
      <c r="S999" t="str" cm="1">
        <f t="array" ref="S999">_xlfn.TEXTJOIN("、",TRUE,IF('學員資料-三重商工'!$B$2:$B$472=$F999,'學員資料-三重商工'!$G$2:$G$472,""))</f>
        <v/>
      </c>
      <c r="T999">
        <f t="shared" si="15"/>
        <v>1</v>
      </c>
    </row>
    <row r="1000" spans="1:20" ht="14.25" hidden="1" customHeight="1">
      <c r="A1000" s="15">
        <v>999</v>
      </c>
      <c r="B1000" s="16" t="s">
        <v>3220</v>
      </c>
      <c r="C1000" s="17">
        <v>45881</v>
      </c>
      <c r="D1000" s="15" t="s">
        <v>3221</v>
      </c>
      <c r="E1000" s="23"/>
      <c r="F1000" s="19" t="s">
        <v>1081</v>
      </c>
      <c r="G1000" s="18" t="s">
        <v>1082</v>
      </c>
      <c r="H1000" s="20" t="s">
        <v>52</v>
      </c>
      <c r="I1000" s="15">
        <v>1</v>
      </c>
      <c r="J1000" s="15" t="s">
        <v>24</v>
      </c>
      <c r="K1000" s="15"/>
      <c r="L1000" s="21" t="s">
        <v>18</v>
      </c>
      <c r="M1000" s="22">
        <v>0</v>
      </c>
      <c r="N1000" s="22">
        <v>-375</v>
      </c>
      <c r="O1000" s="22">
        <v>7125</v>
      </c>
      <c r="P1000" s="22">
        <v>7125</v>
      </c>
      <c r="Q1000" t="str" cm="1">
        <f t="array" ref="Q1000">_xlfn.TEXTJOIN("、",TRUE,IF('學員資料-三民高中'!$B$2:$B$454=$F1000,'學員資料-三民高中'!$G$2:$G$454,""))</f>
        <v/>
      </c>
      <c r="R1000" t="str" cm="1">
        <f t="array" ref="R1000">_xlfn.TEXTJOIN("、",TRUE,IF('學員資料-新北高中'!$B$2:$B$583=$F1000,'學員資料-新北高中'!$G$2:$G$583,""))</f>
        <v/>
      </c>
      <c r="S1000" t="str" cm="1">
        <f t="array" ref="S1000">_xlfn.TEXTJOIN("、",TRUE,IF('學員資料-三重商工'!$B$2:$B$472=$F1000,'學員資料-三重商工'!$G$2:$G$472,""))</f>
        <v>0911260592</v>
      </c>
      <c r="T1000">
        <f t="shared" si="15"/>
        <v>1</v>
      </c>
    </row>
    <row r="1001" spans="1:20" ht="14.25" hidden="1" customHeight="1">
      <c r="A1001" s="15">
        <v>1000</v>
      </c>
      <c r="B1001" s="16" t="s">
        <v>3222</v>
      </c>
      <c r="C1001" s="17">
        <v>45880</v>
      </c>
      <c r="D1001" s="15" t="s">
        <v>3223</v>
      </c>
      <c r="E1001" s="18" t="s">
        <v>763</v>
      </c>
      <c r="F1001" s="19" t="s">
        <v>3224</v>
      </c>
      <c r="G1001" s="18" t="s">
        <v>3225</v>
      </c>
      <c r="H1001" s="20" t="s">
        <v>1087</v>
      </c>
      <c r="I1001" s="15">
        <v>1</v>
      </c>
      <c r="J1001" s="15" t="s">
        <v>27</v>
      </c>
      <c r="K1001" s="15"/>
      <c r="L1001" s="21" t="s">
        <v>16</v>
      </c>
      <c r="M1001" s="22">
        <v>0</v>
      </c>
      <c r="N1001" s="22">
        <v>0</v>
      </c>
      <c r="O1001" s="22">
        <v>15000</v>
      </c>
      <c r="P1001" s="22">
        <v>15000</v>
      </c>
      <c r="Q1001" t="str" cm="1">
        <f t="array" ref="Q1001">_xlfn.TEXTJOIN("、",TRUE,IF('學員資料-三民高中'!$B$2:$B$454=$F1001,'學員資料-三民高中'!$G$2:$G$454,""))</f>
        <v>0987567936</v>
      </c>
      <c r="R1001" t="str" cm="1">
        <f t="array" ref="R1001">_xlfn.TEXTJOIN("、",TRUE,IF('學員資料-新北高中'!$B$2:$B$583=$F1001,'學員資料-新北高中'!$G$2:$G$583,""))</f>
        <v/>
      </c>
      <c r="S1001" t="str" cm="1">
        <f t="array" ref="S1001">_xlfn.TEXTJOIN("、",TRUE,IF('學員資料-三重商工'!$B$2:$B$472=$F1001,'學員資料-三重商工'!$G$2:$G$472,""))</f>
        <v/>
      </c>
      <c r="T1001">
        <f t="shared" si="15"/>
        <v>1</v>
      </c>
    </row>
    <row r="1002" spans="1:20" ht="14.25" hidden="1" customHeight="1">
      <c r="A1002" s="15">
        <v>1001</v>
      </c>
      <c r="B1002" s="16" t="s">
        <v>3226</v>
      </c>
      <c r="C1002" s="17">
        <v>45880</v>
      </c>
      <c r="D1002" s="15" t="s">
        <v>3227</v>
      </c>
      <c r="E1002" s="23"/>
      <c r="F1002" s="19" t="s">
        <v>3228</v>
      </c>
      <c r="G1002" s="18" t="s">
        <v>3229</v>
      </c>
      <c r="H1002" s="20" t="s">
        <v>66</v>
      </c>
      <c r="I1002" s="15">
        <v>1</v>
      </c>
      <c r="J1002" s="15" t="s">
        <v>23</v>
      </c>
      <c r="K1002" s="15"/>
      <c r="L1002" s="21" t="s">
        <v>16</v>
      </c>
      <c r="M1002" s="22">
        <v>0</v>
      </c>
      <c r="N1002" s="22">
        <v>0</v>
      </c>
      <c r="O1002" s="22">
        <v>6900</v>
      </c>
      <c r="P1002" s="22">
        <v>6900</v>
      </c>
      <c r="Q1002" t="str" cm="1">
        <f t="array" ref="Q1002">_xlfn.TEXTJOIN("、",TRUE,IF('學員資料-三民高中'!$B$2:$B$454=$F1002,'學員資料-三民高中'!$G$2:$G$454,""))</f>
        <v/>
      </c>
      <c r="R1002" t="str" cm="1">
        <f t="array" ref="R1002">_xlfn.TEXTJOIN("、",TRUE,IF('學員資料-新北高中'!$B$2:$B$583=$F1002,'學員資料-新北高中'!$G$2:$G$583,""))</f>
        <v/>
      </c>
      <c r="S1002" t="str" cm="1">
        <f t="array" ref="S1002">_xlfn.TEXTJOIN("、",TRUE,IF('學員資料-三重商工'!$B$2:$B$472=$F1002,'學員資料-三重商工'!$G$2:$G$472,""))</f>
        <v>0920218511</v>
      </c>
      <c r="T1002">
        <f t="shared" si="15"/>
        <v>1</v>
      </c>
    </row>
    <row r="1003" spans="1:20" ht="14.25" customHeight="1">
      <c r="A1003" s="15">
        <v>1002</v>
      </c>
      <c r="B1003" s="16" t="s">
        <v>3230</v>
      </c>
      <c r="C1003" s="17">
        <v>45880</v>
      </c>
      <c r="D1003" s="15" t="s">
        <v>3231</v>
      </c>
      <c r="E1003" s="23"/>
      <c r="F1003" s="19"/>
      <c r="G1003" s="23" t="s">
        <v>3232</v>
      </c>
      <c r="H1003" s="20" t="s">
        <v>66</v>
      </c>
      <c r="I1003" s="15">
        <v>1</v>
      </c>
      <c r="J1003" s="15" t="s">
        <v>23</v>
      </c>
      <c r="K1003" s="15"/>
      <c r="L1003" s="21" t="s">
        <v>16</v>
      </c>
      <c r="M1003" s="22">
        <v>0</v>
      </c>
      <c r="N1003" s="22">
        <v>0</v>
      </c>
      <c r="O1003" s="22">
        <v>6900</v>
      </c>
      <c r="P1003" s="22">
        <v>6900</v>
      </c>
      <c r="Q1003" t="str" cm="1">
        <f t="array" ref="Q1003">_xlfn.TEXTJOIN("、",TRUE,IF('學員資料-三民高中'!$B$2:$B$454=$F1003,'學員資料-三民高中'!$G$2:$G$454,""))</f>
        <v/>
      </c>
      <c r="R1003" t="str" cm="1">
        <f t="array" ref="R1003">_xlfn.TEXTJOIN("、",TRUE,IF('學員資料-新北高中'!$B$2:$B$583=$F1003,'學員資料-新北高中'!$G$2:$G$583,""))</f>
        <v/>
      </c>
      <c r="S1003" t="str" cm="1">
        <f t="array" ref="S1003">_xlfn.TEXTJOIN("、",TRUE,IF('學員資料-三重商工'!$B$2:$B$472=$F1003,'學員資料-三重商工'!$G$2:$G$472,""))</f>
        <v/>
      </c>
      <c r="T1003">
        <f t="shared" si="15"/>
        <v>0</v>
      </c>
    </row>
    <row r="1004" spans="1:20" ht="14.25" hidden="1" customHeight="1">
      <c r="A1004" s="15">
        <v>1003</v>
      </c>
      <c r="B1004" s="16" t="s">
        <v>3233</v>
      </c>
      <c r="C1004" s="17">
        <v>45880</v>
      </c>
      <c r="D1004" s="15" t="s">
        <v>3234</v>
      </c>
      <c r="E1004" s="23"/>
      <c r="F1004" s="19" t="s">
        <v>1023</v>
      </c>
      <c r="G1004" s="18" t="s">
        <v>1024</v>
      </c>
      <c r="H1004" s="20" t="s">
        <v>52</v>
      </c>
      <c r="I1004" s="15">
        <v>1</v>
      </c>
      <c r="J1004" s="15" t="s">
        <v>24</v>
      </c>
      <c r="K1004" s="15"/>
      <c r="L1004" s="21" t="s">
        <v>16</v>
      </c>
      <c r="M1004" s="22">
        <v>0</v>
      </c>
      <c r="N1004" s="22">
        <v>0</v>
      </c>
      <c r="O1004" s="22">
        <v>7500</v>
      </c>
      <c r="P1004" s="22">
        <v>7500</v>
      </c>
      <c r="Q1004" t="str" cm="1">
        <f t="array" ref="Q1004">_xlfn.TEXTJOIN("、",TRUE,IF('學員資料-三民高中'!$B$2:$B$454=$F1004,'學員資料-三民高中'!$G$2:$G$454,""))</f>
        <v>0978360915</v>
      </c>
      <c r="R1004" t="str" cm="1">
        <f t="array" ref="R1004">_xlfn.TEXTJOIN("、",TRUE,IF('學員資料-新北高中'!$B$2:$B$583=$F1004,'學員資料-新北高中'!$G$2:$G$583,""))</f>
        <v/>
      </c>
      <c r="S1004" t="str" cm="1">
        <f t="array" ref="S1004">_xlfn.TEXTJOIN("、",TRUE,IF('學員資料-三重商工'!$B$2:$B$472=$F1004,'學員資料-三重商工'!$G$2:$G$472,""))</f>
        <v/>
      </c>
      <c r="T1004">
        <f t="shared" si="15"/>
        <v>1</v>
      </c>
    </row>
    <row r="1005" spans="1:20" ht="14.25" hidden="1" customHeight="1">
      <c r="A1005" s="15">
        <v>1004</v>
      </c>
      <c r="B1005" s="16" t="s">
        <v>3235</v>
      </c>
      <c r="C1005" s="17">
        <v>45879</v>
      </c>
      <c r="D1005" s="15" t="s">
        <v>3236</v>
      </c>
      <c r="E1005" s="23"/>
      <c r="F1005" s="19" t="s">
        <v>1680</v>
      </c>
      <c r="G1005" s="18" t="s">
        <v>1681</v>
      </c>
      <c r="H1005" s="20" t="s">
        <v>52</v>
      </c>
      <c r="I1005" s="15">
        <v>1</v>
      </c>
      <c r="J1005" s="15" t="s">
        <v>24</v>
      </c>
      <c r="K1005" s="15"/>
      <c r="L1005" s="21" t="s">
        <v>16</v>
      </c>
      <c r="M1005" s="22">
        <v>0</v>
      </c>
      <c r="N1005" s="22">
        <v>0</v>
      </c>
      <c r="O1005" s="22">
        <v>7500</v>
      </c>
      <c r="P1005" s="22">
        <v>7500</v>
      </c>
      <c r="Q1005" t="str" cm="1">
        <f t="array" ref="Q1005">_xlfn.TEXTJOIN("、",TRUE,IF('學員資料-三民高中'!$B$2:$B$454=$F1005,'學員資料-三民高中'!$G$2:$G$454,""))</f>
        <v>0926750010</v>
      </c>
      <c r="R1005" t="str" cm="1">
        <f t="array" ref="R1005">_xlfn.TEXTJOIN("、",TRUE,IF('學員資料-新北高中'!$B$2:$B$583=$F1005,'學員資料-新北高中'!$G$2:$G$583,""))</f>
        <v/>
      </c>
      <c r="S1005" t="str" cm="1">
        <f t="array" ref="S1005">_xlfn.TEXTJOIN("、",TRUE,IF('學員資料-三重商工'!$B$2:$B$472=$F1005,'學員資料-三重商工'!$G$2:$G$472,""))</f>
        <v/>
      </c>
      <c r="T1005">
        <f t="shared" si="15"/>
        <v>1</v>
      </c>
    </row>
    <row r="1006" spans="1:20" ht="14.25" hidden="1" customHeight="1">
      <c r="A1006" s="15">
        <v>1005</v>
      </c>
      <c r="B1006" s="16" t="s">
        <v>3237</v>
      </c>
      <c r="C1006" s="17">
        <v>45879</v>
      </c>
      <c r="D1006" s="15" t="s">
        <v>3238</v>
      </c>
      <c r="E1006" s="23"/>
      <c r="F1006" s="19" t="s">
        <v>3239</v>
      </c>
      <c r="G1006" s="18" t="s">
        <v>3240</v>
      </c>
      <c r="H1006" s="20" t="s">
        <v>52</v>
      </c>
      <c r="I1006" s="15">
        <v>1</v>
      </c>
      <c r="J1006" s="15" t="s">
        <v>24</v>
      </c>
      <c r="K1006" s="15"/>
      <c r="L1006" s="21" t="s">
        <v>16</v>
      </c>
      <c r="M1006" s="22">
        <v>0</v>
      </c>
      <c r="N1006" s="22">
        <v>0</v>
      </c>
      <c r="O1006" s="22">
        <v>7500</v>
      </c>
      <c r="P1006" s="22">
        <v>7500</v>
      </c>
      <c r="Q1006" t="str" cm="1">
        <f t="array" ref="Q1006">_xlfn.TEXTJOIN("、",TRUE,IF('學員資料-三民高中'!$B$2:$B$454=$F1006,'學員資料-三民高中'!$G$2:$G$454,""))</f>
        <v/>
      </c>
      <c r="R1006" t="str" cm="1">
        <f t="array" ref="R1006">_xlfn.TEXTJOIN("、",TRUE,IF('學員資料-新北高中'!$B$2:$B$583=$F1006,'學員資料-新北高中'!$G$2:$G$583,""))</f>
        <v/>
      </c>
      <c r="S1006" t="str" cm="1">
        <f t="array" ref="S1006">_xlfn.TEXTJOIN("、",TRUE,IF('學員資料-三重商工'!$B$2:$B$472=$F1006,'學員資料-三重商工'!$G$2:$G$472,""))</f>
        <v>0989988426-1</v>
      </c>
      <c r="T1006">
        <f t="shared" si="15"/>
        <v>1</v>
      </c>
    </row>
    <row r="1007" spans="1:20" ht="14.25" hidden="1" customHeight="1">
      <c r="A1007" s="15">
        <v>1006</v>
      </c>
      <c r="B1007" s="16" t="s">
        <v>3241</v>
      </c>
      <c r="C1007" s="17">
        <v>45879</v>
      </c>
      <c r="D1007" s="15" t="s">
        <v>3242</v>
      </c>
      <c r="E1007" s="23"/>
      <c r="F1007" s="19" t="s">
        <v>1752</v>
      </c>
      <c r="G1007" s="18" t="s">
        <v>1753</v>
      </c>
      <c r="H1007" s="20" t="s">
        <v>66</v>
      </c>
      <c r="I1007" s="15">
        <v>1</v>
      </c>
      <c r="J1007" s="15" t="s">
        <v>23</v>
      </c>
      <c r="K1007" s="15"/>
      <c r="L1007" s="21" t="s">
        <v>16</v>
      </c>
      <c r="M1007" s="22">
        <v>0</v>
      </c>
      <c r="N1007" s="22">
        <v>0</v>
      </c>
      <c r="O1007" s="22">
        <v>6900</v>
      </c>
      <c r="P1007" s="22">
        <v>6900</v>
      </c>
      <c r="Q1007" t="str" cm="1">
        <f t="array" ref="Q1007">_xlfn.TEXTJOIN("、",TRUE,IF('學員資料-三民高中'!$B$2:$B$454=$F1007,'學員資料-三民高中'!$G$2:$G$454,""))</f>
        <v/>
      </c>
      <c r="R1007" t="str" cm="1">
        <f t="array" ref="R1007">_xlfn.TEXTJOIN("、",TRUE,IF('學員資料-新北高中'!$B$2:$B$583=$F1007,'學員資料-新北高中'!$G$2:$G$583,""))</f>
        <v/>
      </c>
      <c r="S1007" t="str" cm="1">
        <f t="array" ref="S1007">_xlfn.TEXTJOIN("、",TRUE,IF('學員資料-三重商工'!$B$2:$B$472=$F1007,'學員資料-三重商工'!$G$2:$G$472,""))</f>
        <v>0922825253</v>
      </c>
      <c r="T1007">
        <f t="shared" si="15"/>
        <v>1</v>
      </c>
    </row>
    <row r="1008" spans="1:20" ht="14.25" hidden="1" customHeight="1">
      <c r="A1008" s="15">
        <v>1007</v>
      </c>
      <c r="B1008" s="16" t="s">
        <v>3243</v>
      </c>
      <c r="C1008" s="17">
        <v>45879</v>
      </c>
      <c r="D1008" s="15" t="s">
        <v>3244</v>
      </c>
      <c r="E1008" s="23"/>
      <c r="F1008" s="19" t="s">
        <v>3245</v>
      </c>
      <c r="G1008" s="18" t="s">
        <v>3246</v>
      </c>
      <c r="H1008" s="20" t="s">
        <v>130</v>
      </c>
      <c r="I1008" s="15">
        <v>1</v>
      </c>
      <c r="J1008" s="15" t="s">
        <v>25</v>
      </c>
      <c r="K1008" s="15"/>
      <c r="L1008" s="21" t="s">
        <v>16</v>
      </c>
      <c r="M1008" s="22">
        <v>0</v>
      </c>
      <c r="N1008" s="22">
        <v>0</v>
      </c>
      <c r="O1008" s="22">
        <v>9900</v>
      </c>
      <c r="P1008" s="22">
        <v>9900</v>
      </c>
      <c r="Q1008" t="str" cm="1">
        <f t="array" ref="Q1008">_xlfn.TEXTJOIN("、",TRUE,IF('學員資料-三民高中'!$B$2:$B$454=$F1008,'學員資料-三民高中'!$G$2:$G$454,""))</f>
        <v/>
      </c>
      <c r="R1008" t="str" cm="1">
        <f t="array" ref="R1008">_xlfn.TEXTJOIN("、",TRUE,IF('學員資料-新北高中'!$B$2:$B$583=$F1008,'學員資料-新北高中'!$G$2:$G$583,""))</f>
        <v>0972335371</v>
      </c>
      <c r="S1008" t="str" cm="1">
        <f t="array" ref="S1008">_xlfn.TEXTJOIN("、",TRUE,IF('學員資料-三重商工'!$B$2:$B$472=$F1008,'學員資料-三重商工'!$G$2:$G$472,""))</f>
        <v/>
      </c>
      <c r="T1008">
        <f t="shared" si="15"/>
        <v>1</v>
      </c>
    </row>
    <row r="1009" spans="1:20" ht="14.25" hidden="1" customHeight="1">
      <c r="A1009" s="15">
        <v>1008</v>
      </c>
      <c r="B1009" s="16" t="s">
        <v>3247</v>
      </c>
      <c r="C1009" s="17">
        <v>45879</v>
      </c>
      <c r="D1009" s="15" t="s">
        <v>3248</v>
      </c>
      <c r="E1009" s="23"/>
      <c r="F1009" s="19" t="s">
        <v>3249</v>
      </c>
      <c r="G1009" s="18" t="s">
        <v>3250</v>
      </c>
      <c r="H1009" s="20" t="s">
        <v>52</v>
      </c>
      <c r="I1009" s="15">
        <v>1</v>
      </c>
      <c r="J1009" s="15" t="s">
        <v>24</v>
      </c>
      <c r="K1009" s="15"/>
      <c r="L1009" s="21" t="s">
        <v>16</v>
      </c>
      <c r="M1009" s="22">
        <v>0</v>
      </c>
      <c r="N1009" s="22">
        <v>0</v>
      </c>
      <c r="O1009" s="22">
        <v>7500</v>
      </c>
      <c r="P1009" s="22">
        <v>7500</v>
      </c>
      <c r="Q1009" t="str" cm="1">
        <f t="array" ref="Q1009">_xlfn.TEXTJOIN("、",TRUE,IF('學員資料-三民高中'!$B$2:$B$454=$F1009,'學員資料-三民高中'!$G$2:$G$454,""))</f>
        <v>0972878118</v>
      </c>
      <c r="R1009" t="str" cm="1">
        <f t="array" ref="R1009">_xlfn.TEXTJOIN("、",TRUE,IF('學員資料-新北高中'!$B$2:$B$583=$F1009,'學員資料-新北高中'!$G$2:$G$583,""))</f>
        <v/>
      </c>
      <c r="S1009" t="str" cm="1">
        <f t="array" ref="S1009">_xlfn.TEXTJOIN("、",TRUE,IF('學員資料-三重商工'!$B$2:$B$472=$F1009,'學員資料-三重商工'!$G$2:$G$472,""))</f>
        <v/>
      </c>
      <c r="T1009">
        <f t="shared" si="15"/>
        <v>1</v>
      </c>
    </row>
    <row r="1010" spans="1:20" ht="14.25" hidden="1" customHeight="1">
      <c r="A1010" s="15">
        <v>1009</v>
      </c>
      <c r="B1010" s="16" t="s">
        <v>3251</v>
      </c>
      <c r="C1010" s="17">
        <v>45878</v>
      </c>
      <c r="D1010" s="15" t="s">
        <v>3252</v>
      </c>
      <c r="E1010" s="18" t="s">
        <v>44</v>
      </c>
      <c r="F1010" s="19" t="s">
        <v>2076</v>
      </c>
      <c r="G1010" s="18" t="s">
        <v>2077</v>
      </c>
      <c r="H1010" s="20" t="s">
        <v>52</v>
      </c>
      <c r="I1010" s="15">
        <v>1</v>
      </c>
      <c r="J1010" s="15" t="s">
        <v>24</v>
      </c>
      <c r="K1010" s="15"/>
      <c r="L1010" s="21" t="s">
        <v>16</v>
      </c>
      <c r="M1010" s="22">
        <v>0</v>
      </c>
      <c r="N1010" s="22">
        <v>0</v>
      </c>
      <c r="O1010" s="22">
        <v>7500</v>
      </c>
      <c r="P1010" s="22">
        <v>7500</v>
      </c>
      <c r="Q1010" t="str" cm="1">
        <f t="array" ref="Q1010">_xlfn.TEXTJOIN("、",TRUE,IF('學員資料-三民高中'!$B$2:$B$454=$F1010,'學員資料-三民高中'!$G$2:$G$454,""))</f>
        <v/>
      </c>
      <c r="R1010" t="str" cm="1">
        <f t="array" ref="R1010">_xlfn.TEXTJOIN("、",TRUE,IF('學員資料-新北高中'!$B$2:$B$583=$F1010,'學員資料-新北高中'!$G$2:$G$583,""))</f>
        <v/>
      </c>
      <c r="S1010" t="str" cm="1">
        <f t="array" ref="S1010">_xlfn.TEXTJOIN("、",TRUE,IF('學員資料-三重商工'!$B$2:$B$472=$F1010,'學員資料-三重商工'!$G$2:$G$472,""))</f>
        <v>0972935707</v>
      </c>
      <c r="T1010">
        <f t="shared" si="15"/>
        <v>1</v>
      </c>
    </row>
    <row r="1011" spans="1:20" ht="14.25" customHeight="1">
      <c r="A1011" s="15">
        <v>1010</v>
      </c>
      <c r="B1011" s="16" t="s">
        <v>3253</v>
      </c>
      <c r="C1011" s="17">
        <v>45878</v>
      </c>
      <c r="D1011" s="15" t="s">
        <v>3254</v>
      </c>
      <c r="E1011" s="23"/>
      <c r="F1011" s="19" t="s">
        <v>3255</v>
      </c>
      <c r="G1011" s="18" t="s">
        <v>3256</v>
      </c>
      <c r="H1011" s="20" t="s">
        <v>66</v>
      </c>
      <c r="I1011" s="15">
        <v>1</v>
      </c>
      <c r="J1011" s="15" t="s">
        <v>23</v>
      </c>
      <c r="K1011" s="15"/>
      <c r="L1011" s="21" t="s">
        <v>16</v>
      </c>
      <c r="M1011" s="22">
        <v>0</v>
      </c>
      <c r="N1011" s="22">
        <v>0</v>
      </c>
      <c r="O1011" s="22">
        <v>6900</v>
      </c>
      <c r="P1011" s="22">
        <v>6900</v>
      </c>
      <c r="Q1011" t="str" cm="1">
        <f t="array" ref="Q1011">_xlfn.TEXTJOIN("、",TRUE,IF('學員資料-三民高中'!$B$2:$B$454=$F1011,'學員資料-三民高中'!$G$2:$G$454,""))</f>
        <v/>
      </c>
      <c r="R1011" t="str" cm="1">
        <f t="array" ref="R1011">_xlfn.TEXTJOIN("、",TRUE,IF('學員資料-新北高中'!$B$2:$B$583=$F1011,'學員資料-新北高中'!$G$2:$G$583,""))</f>
        <v/>
      </c>
      <c r="S1011" t="str" cm="1">
        <f t="array" ref="S1011">_xlfn.TEXTJOIN("、",TRUE,IF('學員資料-三重商工'!$B$2:$B$472=$F1011,'學員資料-三重商工'!$G$2:$G$472,""))</f>
        <v/>
      </c>
      <c r="T1011">
        <f t="shared" si="15"/>
        <v>0</v>
      </c>
    </row>
    <row r="1012" spans="1:20" ht="14.25" hidden="1" customHeight="1">
      <c r="A1012" s="15">
        <v>1011</v>
      </c>
      <c r="B1012" s="16" t="s">
        <v>3257</v>
      </c>
      <c r="C1012" s="17">
        <v>45878</v>
      </c>
      <c r="D1012" s="15" t="s">
        <v>3258</v>
      </c>
      <c r="E1012" s="23"/>
      <c r="F1012" s="19" t="s">
        <v>3259</v>
      </c>
      <c r="G1012" s="18" t="s">
        <v>3260</v>
      </c>
      <c r="H1012" s="20" t="s">
        <v>66</v>
      </c>
      <c r="I1012" s="15">
        <v>1</v>
      </c>
      <c r="J1012" s="15" t="s">
        <v>23</v>
      </c>
      <c r="K1012" s="15"/>
      <c r="L1012" s="21" t="s">
        <v>16</v>
      </c>
      <c r="M1012" s="22">
        <v>0</v>
      </c>
      <c r="N1012" s="22">
        <v>0</v>
      </c>
      <c r="O1012" s="22">
        <v>6900</v>
      </c>
      <c r="P1012" s="22">
        <v>6900</v>
      </c>
      <c r="Q1012" t="str" cm="1">
        <f t="array" ref="Q1012">_xlfn.TEXTJOIN("、",TRUE,IF('學員資料-三民高中'!$B$2:$B$454=$F1012,'學員資料-三民高中'!$G$2:$G$454,""))</f>
        <v/>
      </c>
      <c r="R1012" t="str" cm="1">
        <f t="array" ref="R1012">_xlfn.TEXTJOIN("、",TRUE,IF('學員資料-新北高中'!$B$2:$B$583=$F1012,'學員資料-新北高中'!$G$2:$G$583,""))</f>
        <v>0955555219</v>
      </c>
      <c r="S1012" t="str" cm="1">
        <f t="array" ref="S1012">_xlfn.TEXTJOIN("、",TRUE,IF('學員資料-三重商工'!$B$2:$B$472=$F1012,'學員資料-三重商工'!$G$2:$G$472,""))</f>
        <v/>
      </c>
      <c r="T1012">
        <f t="shared" si="15"/>
        <v>1</v>
      </c>
    </row>
    <row r="1013" spans="1:20" ht="14.25" hidden="1" customHeight="1">
      <c r="A1013" s="15">
        <v>1012</v>
      </c>
      <c r="B1013" s="16" t="s">
        <v>3261</v>
      </c>
      <c r="C1013" s="17">
        <v>45878</v>
      </c>
      <c r="D1013" s="15" t="s">
        <v>3262</v>
      </c>
      <c r="E1013" s="23"/>
      <c r="F1013" s="19" t="s">
        <v>2509</v>
      </c>
      <c r="G1013" s="18" t="s">
        <v>2510</v>
      </c>
      <c r="H1013" s="20" t="s">
        <v>130</v>
      </c>
      <c r="I1013" s="15">
        <v>1</v>
      </c>
      <c r="J1013" s="15" t="s">
        <v>25</v>
      </c>
      <c r="K1013" s="15"/>
      <c r="L1013" s="21" t="s">
        <v>16</v>
      </c>
      <c r="M1013" s="22">
        <v>0</v>
      </c>
      <c r="N1013" s="22">
        <v>0</v>
      </c>
      <c r="O1013" s="22">
        <v>9900</v>
      </c>
      <c r="P1013" s="22">
        <v>9900</v>
      </c>
      <c r="Q1013" t="str" cm="1">
        <f t="array" ref="Q1013">_xlfn.TEXTJOIN("、",TRUE,IF('學員資料-三民高中'!$B$2:$B$454=$F1013,'學員資料-三民高中'!$G$2:$G$454,""))</f>
        <v>0978773970</v>
      </c>
      <c r="R1013" t="str" cm="1">
        <f t="array" ref="R1013">_xlfn.TEXTJOIN("、",TRUE,IF('學員資料-新北高中'!$B$2:$B$583=$F1013,'學員資料-新北高中'!$G$2:$G$583,""))</f>
        <v/>
      </c>
      <c r="S1013" t="str" cm="1">
        <f t="array" ref="S1013">_xlfn.TEXTJOIN("、",TRUE,IF('學員資料-三重商工'!$B$2:$B$472=$F1013,'學員資料-三重商工'!$G$2:$G$472,""))</f>
        <v/>
      </c>
      <c r="T1013">
        <f t="shared" si="15"/>
        <v>1</v>
      </c>
    </row>
    <row r="1014" spans="1:20" ht="14.25" hidden="1" customHeight="1">
      <c r="A1014" s="15">
        <v>1013</v>
      </c>
      <c r="B1014" s="16" t="s">
        <v>3263</v>
      </c>
      <c r="C1014" s="17">
        <v>45878</v>
      </c>
      <c r="D1014" s="15" t="s">
        <v>3264</v>
      </c>
      <c r="E1014" s="23"/>
      <c r="F1014" s="19" t="s">
        <v>3265</v>
      </c>
      <c r="G1014" s="18" t="s">
        <v>3266</v>
      </c>
      <c r="H1014" s="20" t="s">
        <v>1087</v>
      </c>
      <c r="I1014" s="15">
        <v>1</v>
      </c>
      <c r="J1014" s="15" t="s">
        <v>27</v>
      </c>
      <c r="K1014" s="15"/>
      <c r="L1014" s="21" t="s">
        <v>16</v>
      </c>
      <c r="M1014" s="22">
        <v>0</v>
      </c>
      <c r="N1014" s="22">
        <v>0</v>
      </c>
      <c r="O1014" s="22">
        <v>15000</v>
      </c>
      <c r="P1014" s="22">
        <v>15000</v>
      </c>
      <c r="Q1014" t="str" cm="1">
        <f t="array" ref="Q1014">_xlfn.TEXTJOIN("、",TRUE,IF('學員資料-三民高中'!$B$2:$B$454=$F1014,'學員資料-三民高中'!$G$2:$G$454,""))</f>
        <v>0910203216</v>
      </c>
      <c r="R1014" t="str" cm="1">
        <f t="array" ref="R1014">_xlfn.TEXTJOIN("、",TRUE,IF('學員資料-新北高中'!$B$2:$B$583=$F1014,'學員資料-新北高中'!$G$2:$G$583,""))</f>
        <v/>
      </c>
      <c r="S1014" t="str" cm="1">
        <f t="array" ref="S1014">_xlfn.TEXTJOIN("、",TRUE,IF('學員資料-三重商工'!$B$2:$B$472=$F1014,'學員資料-三重商工'!$G$2:$G$472,""))</f>
        <v/>
      </c>
      <c r="T1014">
        <f t="shared" si="15"/>
        <v>1</v>
      </c>
    </row>
    <row r="1015" spans="1:20" ht="14.25" hidden="1" customHeight="1">
      <c r="A1015" s="15">
        <v>1014</v>
      </c>
      <c r="B1015" s="16" t="s">
        <v>3267</v>
      </c>
      <c r="C1015" s="17">
        <v>45878</v>
      </c>
      <c r="D1015" s="15" t="s">
        <v>3268</v>
      </c>
      <c r="E1015" s="18" t="s">
        <v>44</v>
      </c>
      <c r="F1015" s="19" t="s">
        <v>1316</v>
      </c>
      <c r="G1015" s="18" t="s">
        <v>1317</v>
      </c>
      <c r="H1015" s="20" t="s">
        <v>130</v>
      </c>
      <c r="I1015" s="15">
        <v>1</v>
      </c>
      <c r="J1015" s="15" t="s">
        <v>25</v>
      </c>
      <c r="K1015" s="15"/>
      <c r="L1015" s="21" t="s">
        <v>16</v>
      </c>
      <c r="M1015" s="22">
        <v>0</v>
      </c>
      <c r="N1015" s="22">
        <v>0</v>
      </c>
      <c r="O1015" s="22">
        <v>9900</v>
      </c>
      <c r="P1015" s="22">
        <v>9900</v>
      </c>
      <c r="Q1015" t="str" cm="1">
        <f t="array" ref="Q1015">_xlfn.TEXTJOIN("、",TRUE,IF('學員資料-三民高中'!$B$2:$B$454=$F1015,'學員資料-三民高中'!$G$2:$G$454,""))</f>
        <v/>
      </c>
      <c r="R1015" t="str" cm="1">
        <f t="array" ref="R1015">_xlfn.TEXTJOIN("、",TRUE,IF('學員資料-新北高中'!$B$2:$B$583=$F1015,'學員資料-新北高中'!$G$2:$G$583,""))</f>
        <v/>
      </c>
      <c r="S1015" t="str" cm="1">
        <f t="array" ref="S1015">_xlfn.TEXTJOIN("、",TRUE,IF('學員資料-三重商工'!$B$2:$B$472=$F1015,'學員資料-三重商工'!$G$2:$G$472,""))</f>
        <v>0915680699</v>
      </c>
      <c r="T1015">
        <f t="shared" si="15"/>
        <v>1</v>
      </c>
    </row>
    <row r="1016" spans="1:20" ht="14.25" hidden="1" customHeight="1">
      <c r="A1016" s="15">
        <v>1015</v>
      </c>
      <c r="B1016" s="16" t="s">
        <v>3269</v>
      </c>
      <c r="C1016" s="17">
        <v>45878</v>
      </c>
      <c r="D1016" s="15" t="s">
        <v>3270</v>
      </c>
      <c r="E1016" s="18" t="s">
        <v>44</v>
      </c>
      <c r="F1016" s="19" t="s">
        <v>1787</v>
      </c>
      <c r="G1016" s="18" t="s">
        <v>1788</v>
      </c>
      <c r="H1016" s="20" t="s">
        <v>52</v>
      </c>
      <c r="I1016" s="15">
        <v>1</v>
      </c>
      <c r="J1016" s="15" t="s">
        <v>24</v>
      </c>
      <c r="K1016" s="15"/>
      <c r="L1016" s="21" t="s">
        <v>16</v>
      </c>
      <c r="M1016" s="22">
        <v>0</v>
      </c>
      <c r="N1016" s="22">
        <v>0</v>
      </c>
      <c r="O1016" s="22">
        <v>7500</v>
      </c>
      <c r="P1016" s="22">
        <v>7500</v>
      </c>
      <c r="Q1016" t="str" cm="1">
        <f t="array" ref="Q1016">_xlfn.TEXTJOIN("、",TRUE,IF('學員資料-三民高中'!$B$2:$B$454=$F1016,'學員資料-三民高中'!$G$2:$G$454,""))</f>
        <v/>
      </c>
      <c r="R1016" t="str" cm="1">
        <f t="array" ref="R1016">_xlfn.TEXTJOIN("、",TRUE,IF('學員資料-新北高中'!$B$2:$B$583=$F1016,'學員資料-新北高中'!$G$2:$G$583,""))</f>
        <v/>
      </c>
      <c r="S1016" t="str" cm="1">
        <f t="array" ref="S1016">_xlfn.TEXTJOIN("、",TRUE,IF('學員資料-三重商工'!$B$2:$B$472=$F1016,'學員資料-三重商工'!$G$2:$G$472,""))</f>
        <v>0988797796</v>
      </c>
      <c r="T1016">
        <f t="shared" si="15"/>
        <v>1</v>
      </c>
    </row>
    <row r="1017" spans="1:20" ht="14.25" hidden="1" customHeight="1">
      <c r="A1017" s="15">
        <v>1016</v>
      </c>
      <c r="B1017" s="16" t="s">
        <v>3271</v>
      </c>
      <c r="C1017" s="17">
        <v>45878</v>
      </c>
      <c r="D1017" s="15" t="s">
        <v>3272</v>
      </c>
      <c r="E1017" s="23"/>
      <c r="F1017" s="19" t="s">
        <v>3273</v>
      </c>
      <c r="G1017" s="18" t="s">
        <v>3274</v>
      </c>
      <c r="H1017" s="20" t="s">
        <v>210</v>
      </c>
      <c r="I1017" s="15">
        <v>1</v>
      </c>
      <c r="J1017" s="15" t="s">
        <v>26</v>
      </c>
      <c r="K1017" s="15"/>
      <c r="L1017" s="21" t="s">
        <v>16</v>
      </c>
      <c r="M1017" s="22">
        <v>0</v>
      </c>
      <c r="N1017" s="22">
        <v>-1800</v>
      </c>
      <c r="O1017" s="22">
        <v>10200</v>
      </c>
      <c r="P1017" s="22">
        <v>10200</v>
      </c>
      <c r="Q1017" t="str" cm="1">
        <f t="array" ref="Q1017">_xlfn.TEXTJOIN("、",TRUE,IF('學員資料-三民高中'!$B$2:$B$454=$F1017,'學員資料-三民高中'!$G$2:$G$454,""))</f>
        <v>0926332176-1</v>
      </c>
      <c r="R1017" t="str" cm="1">
        <f t="array" ref="R1017">_xlfn.TEXTJOIN("、",TRUE,IF('學員資料-新北高中'!$B$2:$B$583=$F1017,'學員資料-新北高中'!$G$2:$G$583,""))</f>
        <v/>
      </c>
      <c r="S1017" t="str" cm="1">
        <f t="array" ref="S1017">_xlfn.TEXTJOIN("、",TRUE,IF('學員資料-三重商工'!$B$2:$B$472=$F1017,'學員資料-三重商工'!$G$2:$G$472,""))</f>
        <v/>
      </c>
      <c r="T1017">
        <f t="shared" si="15"/>
        <v>1</v>
      </c>
    </row>
    <row r="1018" spans="1:20" ht="14.25" hidden="1" customHeight="1">
      <c r="A1018" s="15">
        <v>1017</v>
      </c>
      <c r="B1018" s="16" t="s">
        <v>3275</v>
      </c>
      <c r="C1018" s="17">
        <v>45878</v>
      </c>
      <c r="D1018" s="15" t="s">
        <v>3276</v>
      </c>
      <c r="E1018" s="23"/>
      <c r="F1018" s="19" t="s">
        <v>3277</v>
      </c>
      <c r="G1018" s="18" t="s">
        <v>3278</v>
      </c>
      <c r="H1018" s="20" t="s">
        <v>52</v>
      </c>
      <c r="I1018" s="15">
        <v>1</v>
      </c>
      <c r="J1018" s="15" t="s">
        <v>24</v>
      </c>
      <c r="K1018" s="15"/>
      <c r="L1018" s="21" t="s">
        <v>16</v>
      </c>
      <c r="M1018" s="22">
        <v>0</v>
      </c>
      <c r="N1018" s="22">
        <v>0</v>
      </c>
      <c r="O1018" s="22">
        <v>7500</v>
      </c>
      <c r="P1018" s="22">
        <v>7500</v>
      </c>
      <c r="Q1018" t="str" cm="1">
        <f t="array" ref="Q1018">_xlfn.TEXTJOIN("、",TRUE,IF('學員資料-三民高中'!$B$2:$B$454=$F1018,'學員資料-三民高中'!$G$2:$G$454,""))</f>
        <v>09728781118</v>
      </c>
      <c r="R1018" t="str" cm="1">
        <f t="array" ref="R1018">_xlfn.TEXTJOIN("、",TRUE,IF('學員資料-新北高中'!$B$2:$B$583=$F1018,'學員資料-新北高中'!$G$2:$G$583,""))</f>
        <v/>
      </c>
      <c r="S1018" t="str" cm="1">
        <f t="array" ref="S1018">_xlfn.TEXTJOIN("、",TRUE,IF('學員資料-三重商工'!$B$2:$B$472=$F1018,'學員資料-三重商工'!$G$2:$G$472,""))</f>
        <v/>
      </c>
      <c r="T1018">
        <f t="shared" si="15"/>
        <v>1</v>
      </c>
    </row>
    <row r="1019" spans="1:20" ht="28.5" hidden="1" customHeight="1">
      <c r="A1019" s="15">
        <v>1018</v>
      </c>
      <c r="B1019" s="16" t="s">
        <v>3279</v>
      </c>
      <c r="C1019" s="17">
        <v>45877</v>
      </c>
      <c r="D1019" s="15" t="s">
        <v>3280</v>
      </c>
      <c r="E1019" s="18" t="s">
        <v>78</v>
      </c>
      <c r="F1019" s="19" t="s">
        <v>3281</v>
      </c>
      <c r="G1019" s="18" t="s">
        <v>3282</v>
      </c>
      <c r="H1019" s="20" t="s">
        <v>3283</v>
      </c>
      <c r="I1019" s="15">
        <v>2</v>
      </c>
      <c r="J1019" s="15" t="s">
        <v>25</v>
      </c>
      <c r="K1019" s="15"/>
      <c r="L1019" s="21" t="s">
        <v>16</v>
      </c>
      <c r="M1019" s="22">
        <v>0</v>
      </c>
      <c r="N1019" s="22">
        <v>-4454</v>
      </c>
      <c r="O1019" s="22">
        <v>25246</v>
      </c>
      <c r="P1019" s="22">
        <v>25246</v>
      </c>
      <c r="Q1019" t="str" cm="1">
        <f t="array" ref="Q1019">_xlfn.TEXTJOIN("、",TRUE,IF('學員資料-三民高中'!$B$2:$B$454=$F1019,'學員資料-三民高中'!$G$2:$G$454,""))</f>
        <v/>
      </c>
      <c r="R1019" t="str" cm="1">
        <f t="array" ref="R1019">_xlfn.TEXTJOIN("、",TRUE,IF('學員資料-新北高中'!$B$2:$B$583=$F1019,'學員資料-新北高中'!$G$2:$G$583,""))</f>
        <v>0920096096</v>
      </c>
      <c r="S1019" t="str" cm="1">
        <f t="array" ref="S1019">_xlfn.TEXTJOIN("、",TRUE,IF('學員資料-三重商工'!$B$2:$B$472=$F1019,'學員資料-三重商工'!$G$2:$G$472,""))</f>
        <v/>
      </c>
      <c r="T1019">
        <f t="shared" si="15"/>
        <v>1</v>
      </c>
    </row>
    <row r="1020" spans="1:20" ht="57.75" hidden="1" customHeight="1">
      <c r="A1020" s="15">
        <v>1019</v>
      </c>
      <c r="B1020" s="16" t="s">
        <v>3284</v>
      </c>
      <c r="C1020" s="17">
        <v>45877</v>
      </c>
      <c r="D1020" s="15" t="s">
        <v>3285</v>
      </c>
      <c r="E1020" s="18" t="s">
        <v>1324</v>
      </c>
      <c r="F1020" s="19" t="s">
        <v>3286</v>
      </c>
      <c r="G1020" s="18" t="s">
        <v>3287</v>
      </c>
      <c r="H1020" s="20" t="s">
        <v>3288</v>
      </c>
      <c r="I1020" s="15">
        <v>4</v>
      </c>
      <c r="J1020" s="15" t="s">
        <v>24</v>
      </c>
      <c r="K1020" s="15"/>
      <c r="L1020" s="21" t="s">
        <v>16</v>
      </c>
      <c r="M1020" s="22">
        <v>0</v>
      </c>
      <c r="N1020" s="22">
        <v>-2160</v>
      </c>
      <c r="O1020" s="22">
        <v>41040</v>
      </c>
      <c r="P1020" s="22">
        <v>41040</v>
      </c>
      <c r="Q1020" t="str" cm="1">
        <f t="array" ref="Q1020">_xlfn.TEXTJOIN("、",TRUE,IF('學員資料-三民高中'!$B$2:$B$454=$F1020,'學員資料-三民高中'!$G$2:$G$454,""))</f>
        <v/>
      </c>
      <c r="R1020" t="str" cm="1">
        <f t="array" ref="R1020">_xlfn.TEXTJOIN("、",TRUE,IF('學員資料-新北高中'!$B$2:$B$583=$F1020,'學員資料-新北高中'!$G$2:$G$583,""))</f>
        <v>0976763318</v>
      </c>
      <c r="S1020" t="str" cm="1">
        <f t="array" ref="S1020">_xlfn.TEXTJOIN("、",TRUE,IF('學員資料-三重商工'!$B$2:$B$472=$F1020,'學員資料-三重商工'!$G$2:$G$472,""))</f>
        <v/>
      </c>
      <c r="T1020">
        <f t="shared" si="15"/>
        <v>1</v>
      </c>
    </row>
    <row r="1021" spans="1:20" ht="28.5" hidden="1" customHeight="1">
      <c r="A1021" s="15">
        <v>1020</v>
      </c>
      <c r="B1021" s="16" t="s">
        <v>3289</v>
      </c>
      <c r="C1021" s="17">
        <v>45877</v>
      </c>
      <c r="D1021" s="15" t="s">
        <v>3290</v>
      </c>
      <c r="E1021" s="18" t="s">
        <v>1324</v>
      </c>
      <c r="F1021" s="19" t="s">
        <v>1983</v>
      </c>
      <c r="G1021" s="18" t="s">
        <v>1984</v>
      </c>
      <c r="H1021" s="20" t="s">
        <v>1985</v>
      </c>
      <c r="I1021" s="15">
        <v>2</v>
      </c>
      <c r="J1021" s="15" t="s">
        <v>23</v>
      </c>
      <c r="K1021" s="15"/>
      <c r="L1021" s="21" t="s">
        <v>16</v>
      </c>
      <c r="M1021" s="22">
        <v>0</v>
      </c>
      <c r="N1021" s="22">
        <v>-900</v>
      </c>
      <c r="O1021" s="22">
        <v>17100</v>
      </c>
      <c r="P1021" s="22">
        <v>17100</v>
      </c>
      <c r="Q1021" t="str" cm="1">
        <f t="array" ref="Q1021">_xlfn.TEXTJOIN("、",TRUE,IF('學員資料-三民高中'!$B$2:$B$454=$F1021,'學員資料-三民高中'!$G$2:$G$454,""))</f>
        <v/>
      </c>
      <c r="R1021" t="str" cm="1">
        <f t="array" ref="R1021">_xlfn.TEXTJOIN("、",TRUE,IF('學員資料-新北高中'!$B$2:$B$583=$F1021,'學員資料-新北高中'!$G$2:$G$583,""))</f>
        <v>0925385363</v>
      </c>
      <c r="S1021" t="str" cm="1">
        <f t="array" ref="S1021">_xlfn.TEXTJOIN("、",TRUE,IF('學員資料-三重商工'!$B$2:$B$472=$F1021,'學員資料-三重商工'!$G$2:$G$472,""))</f>
        <v/>
      </c>
      <c r="T1021">
        <f t="shared" si="15"/>
        <v>1</v>
      </c>
    </row>
    <row r="1022" spans="1:20" ht="28.5" hidden="1" customHeight="1">
      <c r="A1022" s="15">
        <v>1021</v>
      </c>
      <c r="B1022" s="16" t="s">
        <v>3291</v>
      </c>
      <c r="C1022" s="17">
        <v>45877</v>
      </c>
      <c r="D1022" s="15" t="s">
        <v>3292</v>
      </c>
      <c r="E1022" s="18" t="s">
        <v>1324</v>
      </c>
      <c r="F1022" s="19" t="s">
        <v>1983</v>
      </c>
      <c r="G1022" s="18" t="s">
        <v>1984</v>
      </c>
      <c r="H1022" s="20" t="s">
        <v>1985</v>
      </c>
      <c r="I1022" s="15">
        <v>2</v>
      </c>
      <c r="J1022" s="15" t="s">
        <v>23</v>
      </c>
      <c r="K1022" s="15"/>
      <c r="L1022" s="21" t="s">
        <v>16</v>
      </c>
      <c r="M1022" s="22">
        <v>0</v>
      </c>
      <c r="N1022" s="22">
        <v>-900</v>
      </c>
      <c r="O1022" s="22">
        <v>17100</v>
      </c>
      <c r="P1022" s="22">
        <v>17100</v>
      </c>
      <c r="Q1022" t="str" cm="1">
        <f t="array" ref="Q1022">_xlfn.TEXTJOIN("、",TRUE,IF('學員資料-三民高中'!$B$2:$B$454=$F1022,'學員資料-三民高中'!$G$2:$G$454,""))</f>
        <v/>
      </c>
      <c r="R1022" t="str" cm="1">
        <f t="array" ref="R1022">_xlfn.TEXTJOIN("、",TRUE,IF('學員資料-新北高中'!$B$2:$B$583=$F1022,'學員資料-新北高中'!$G$2:$G$583,""))</f>
        <v>0925385363</v>
      </c>
      <c r="S1022" t="str" cm="1">
        <f t="array" ref="S1022">_xlfn.TEXTJOIN("、",TRUE,IF('學員資料-三重商工'!$B$2:$B$472=$F1022,'學員資料-三重商工'!$G$2:$G$472,""))</f>
        <v/>
      </c>
      <c r="T1022">
        <f t="shared" si="15"/>
        <v>1</v>
      </c>
    </row>
    <row r="1023" spans="1:20" ht="14.25" hidden="1" customHeight="1">
      <c r="A1023" s="15">
        <v>1022</v>
      </c>
      <c r="B1023" s="16" t="s">
        <v>3293</v>
      </c>
      <c r="C1023" s="17">
        <v>45877</v>
      </c>
      <c r="D1023" s="15" t="s">
        <v>3294</v>
      </c>
      <c r="E1023" s="23"/>
      <c r="F1023" s="19" t="s">
        <v>3295</v>
      </c>
      <c r="G1023" s="18" t="s">
        <v>3296</v>
      </c>
      <c r="H1023" s="20" t="s">
        <v>66</v>
      </c>
      <c r="I1023" s="15">
        <v>1</v>
      </c>
      <c r="J1023" s="15" t="s">
        <v>23</v>
      </c>
      <c r="K1023" s="15"/>
      <c r="L1023" s="21" t="s">
        <v>16</v>
      </c>
      <c r="M1023" s="22">
        <v>0</v>
      </c>
      <c r="N1023" s="22">
        <v>0</v>
      </c>
      <c r="O1023" s="22">
        <v>6900</v>
      </c>
      <c r="P1023" s="22">
        <v>6900</v>
      </c>
      <c r="Q1023" t="str" cm="1">
        <f t="array" ref="Q1023">_xlfn.TEXTJOIN("、",TRUE,IF('學員資料-三民高中'!$B$2:$B$454=$F1023,'學員資料-三民高中'!$G$2:$G$454,""))</f>
        <v/>
      </c>
      <c r="R1023" t="str" cm="1">
        <f t="array" ref="R1023">_xlfn.TEXTJOIN("、",TRUE,IF('學員資料-新北高中'!$B$2:$B$583=$F1023,'學員資料-新北高中'!$G$2:$G$583,""))</f>
        <v/>
      </c>
      <c r="S1023" t="str" cm="1">
        <f t="array" ref="S1023">_xlfn.TEXTJOIN("、",TRUE,IF('學員資料-三重商工'!$B$2:$B$472=$F1023,'學員資料-三重商工'!$G$2:$G$472,""))</f>
        <v>0915490757-1</v>
      </c>
      <c r="T1023">
        <f t="shared" si="15"/>
        <v>1</v>
      </c>
    </row>
    <row r="1024" spans="1:20" ht="14.25" hidden="1" customHeight="1">
      <c r="A1024" s="15">
        <v>1023</v>
      </c>
      <c r="B1024" s="16" t="s">
        <v>3297</v>
      </c>
      <c r="C1024" s="17">
        <v>45877</v>
      </c>
      <c r="D1024" s="15" t="s">
        <v>3298</v>
      </c>
      <c r="E1024" s="18" t="s">
        <v>1324</v>
      </c>
      <c r="F1024" s="19" t="s">
        <v>3259</v>
      </c>
      <c r="G1024" s="18" t="s">
        <v>3260</v>
      </c>
      <c r="H1024" s="20" t="s">
        <v>2989</v>
      </c>
      <c r="I1024" s="15">
        <v>1</v>
      </c>
      <c r="J1024" s="15" t="s">
        <v>23</v>
      </c>
      <c r="K1024" s="21" t="s">
        <v>116</v>
      </c>
      <c r="L1024" s="21" t="s">
        <v>16</v>
      </c>
      <c r="M1024" s="22">
        <v>0</v>
      </c>
      <c r="N1024" s="22">
        <v>0</v>
      </c>
      <c r="O1024" s="22">
        <v>1200</v>
      </c>
      <c r="P1024" s="22">
        <v>1200</v>
      </c>
      <c r="Q1024" t="str" cm="1">
        <f t="array" ref="Q1024">_xlfn.TEXTJOIN("、",TRUE,IF('學員資料-三民高中'!$B$2:$B$454=$F1024,'學員資料-三民高中'!$G$2:$G$454,""))</f>
        <v/>
      </c>
      <c r="R1024" t="str" cm="1">
        <f t="array" ref="R1024">_xlfn.TEXTJOIN("、",TRUE,IF('學員資料-新北高中'!$B$2:$B$583=$F1024,'學員資料-新北高中'!$G$2:$G$583,""))</f>
        <v>0955555219</v>
      </c>
      <c r="S1024" t="str" cm="1">
        <f t="array" ref="S1024">_xlfn.TEXTJOIN("、",TRUE,IF('學員資料-三重商工'!$B$2:$B$472=$F1024,'學員資料-三重商工'!$G$2:$G$472,""))</f>
        <v/>
      </c>
      <c r="T1024">
        <f t="shared" si="15"/>
        <v>1</v>
      </c>
    </row>
    <row r="1025" spans="1:20" ht="14.25" hidden="1" customHeight="1">
      <c r="A1025" s="15">
        <v>1024</v>
      </c>
      <c r="B1025" s="16" t="s">
        <v>3299</v>
      </c>
      <c r="C1025" s="17">
        <v>45876</v>
      </c>
      <c r="D1025" s="15" t="s">
        <v>3300</v>
      </c>
      <c r="E1025" s="18" t="s">
        <v>1324</v>
      </c>
      <c r="F1025" s="19" t="s">
        <v>3301</v>
      </c>
      <c r="G1025" s="18" t="s">
        <v>3302</v>
      </c>
      <c r="H1025" s="20" t="s">
        <v>52</v>
      </c>
      <c r="I1025" s="15">
        <v>1</v>
      </c>
      <c r="J1025" s="15" t="s">
        <v>24</v>
      </c>
      <c r="K1025" s="15"/>
      <c r="L1025" s="21" t="s">
        <v>16</v>
      </c>
      <c r="M1025" s="22">
        <v>0</v>
      </c>
      <c r="N1025" s="22">
        <v>0</v>
      </c>
      <c r="O1025" s="22">
        <v>7500</v>
      </c>
      <c r="P1025" s="22">
        <v>7500</v>
      </c>
      <c r="Q1025" t="str" cm="1">
        <f t="array" ref="Q1025">_xlfn.TEXTJOIN("、",TRUE,IF('學員資料-三民高中'!$B$2:$B$454=$F1025,'學員資料-三民高中'!$G$2:$G$454,""))</f>
        <v/>
      </c>
      <c r="R1025" t="str" cm="1">
        <f t="array" ref="R1025">_xlfn.TEXTJOIN("、",TRUE,IF('學員資料-新北高中'!$B$2:$B$583=$F1025,'學員資料-新北高中'!$G$2:$G$583,""))</f>
        <v>0912028677</v>
      </c>
      <c r="S1025" t="str" cm="1">
        <f t="array" ref="S1025">_xlfn.TEXTJOIN("、",TRUE,IF('學員資料-三重商工'!$B$2:$B$472=$F1025,'學員資料-三重商工'!$G$2:$G$472,""))</f>
        <v/>
      </c>
      <c r="T1025">
        <f t="shared" si="15"/>
        <v>1</v>
      </c>
    </row>
    <row r="1026" spans="1:20" ht="14.25" hidden="1" customHeight="1">
      <c r="A1026" s="15">
        <v>1025</v>
      </c>
      <c r="B1026" s="16" t="s">
        <v>3303</v>
      </c>
      <c r="C1026" s="17">
        <v>45875</v>
      </c>
      <c r="D1026" s="15" t="s">
        <v>3304</v>
      </c>
      <c r="E1026" s="23"/>
      <c r="F1026" s="19" t="s">
        <v>3305</v>
      </c>
      <c r="G1026" s="18" t="s">
        <v>3306</v>
      </c>
      <c r="H1026" s="20" t="s">
        <v>130</v>
      </c>
      <c r="I1026" s="15">
        <v>1</v>
      </c>
      <c r="J1026" s="15" t="s">
        <v>25</v>
      </c>
      <c r="K1026" s="15"/>
      <c r="L1026" s="21" t="s">
        <v>16</v>
      </c>
      <c r="M1026" s="22">
        <v>0</v>
      </c>
      <c r="N1026" s="22">
        <v>0</v>
      </c>
      <c r="O1026" s="22">
        <v>9900</v>
      </c>
      <c r="P1026" s="22">
        <v>9900</v>
      </c>
      <c r="Q1026" t="str" cm="1">
        <f t="array" ref="Q1026">_xlfn.TEXTJOIN("、",TRUE,IF('學員資料-三民高中'!$B$2:$B$454=$F1026,'學員資料-三民高中'!$G$2:$G$454,""))</f>
        <v/>
      </c>
      <c r="R1026" t="str" cm="1">
        <f t="array" ref="R1026">_xlfn.TEXTJOIN("、",TRUE,IF('學員資料-新北高中'!$B$2:$B$583=$F1026,'學員資料-新北高中'!$G$2:$G$583,""))</f>
        <v/>
      </c>
      <c r="S1026" t="str" cm="1">
        <f t="array" ref="S1026">_xlfn.TEXTJOIN("、",TRUE,IF('學員資料-三重商工'!$B$2:$B$472=$F1026,'學員資料-三重商工'!$G$2:$G$472,""))</f>
        <v>0987122163</v>
      </c>
      <c r="T1026">
        <f t="shared" si="15"/>
        <v>1</v>
      </c>
    </row>
    <row r="1027" spans="1:20" ht="14.25" hidden="1" customHeight="1">
      <c r="A1027" s="15">
        <v>1026</v>
      </c>
      <c r="B1027" s="16" t="s">
        <v>3307</v>
      </c>
      <c r="C1027" s="17">
        <v>45875</v>
      </c>
      <c r="D1027" s="15" t="s">
        <v>3308</v>
      </c>
      <c r="E1027" s="18" t="s">
        <v>763</v>
      </c>
      <c r="F1027" s="19" t="s">
        <v>3309</v>
      </c>
      <c r="G1027" s="18" t="s">
        <v>3310</v>
      </c>
      <c r="H1027" s="20" t="s">
        <v>52</v>
      </c>
      <c r="I1027" s="15">
        <v>1</v>
      </c>
      <c r="J1027" s="15" t="s">
        <v>24</v>
      </c>
      <c r="K1027" s="15"/>
      <c r="L1027" s="21" t="s">
        <v>16</v>
      </c>
      <c r="M1027" s="22">
        <v>0</v>
      </c>
      <c r="N1027" s="22">
        <v>0</v>
      </c>
      <c r="O1027" s="22">
        <v>7500</v>
      </c>
      <c r="P1027" s="22">
        <v>7500</v>
      </c>
      <c r="Q1027" t="str" cm="1">
        <f t="array" ref="Q1027">_xlfn.TEXTJOIN("、",TRUE,IF('學員資料-三民高中'!$B$2:$B$454=$F1027,'學員資料-三民高中'!$G$2:$G$454,""))</f>
        <v>0988523082</v>
      </c>
      <c r="R1027" t="str" cm="1">
        <f t="array" ref="R1027">_xlfn.TEXTJOIN("、",TRUE,IF('學員資料-新北高中'!$B$2:$B$583=$F1027,'學員資料-新北高中'!$G$2:$G$583,""))</f>
        <v/>
      </c>
      <c r="S1027" t="str" cm="1">
        <f t="array" ref="S1027">_xlfn.TEXTJOIN("、",TRUE,IF('學員資料-三重商工'!$B$2:$B$472=$F1027,'學員資料-三重商工'!$G$2:$G$472,""))</f>
        <v/>
      </c>
      <c r="T1027">
        <f t="shared" ref="T1027:T1090" si="16">3-COUNTBLANK(Q1027:S1027)</f>
        <v>1</v>
      </c>
    </row>
    <row r="1028" spans="1:20" ht="14.25" hidden="1" customHeight="1">
      <c r="A1028" s="15">
        <v>1027</v>
      </c>
      <c r="B1028" s="16" t="s">
        <v>3311</v>
      </c>
      <c r="C1028" s="17">
        <v>45875</v>
      </c>
      <c r="D1028" s="15" t="s">
        <v>3312</v>
      </c>
      <c r="E1028" s="23"/>
      <c r="F1028" s="19" t="s">
        <v>3313</v>
      </c>
      <c r="G1028" s="18" t="s">
        <v>3314</v>
      </c>
      <c r="H1028" s="20" t="s">
        <v>66</v>
      </c>
      <c r="I1028" s="15">
        <v>1</v>
      </c>
      <c r="J1028" s="15" t="s">
        <v>23</v>
      </c>
      <c r="K1028" s="15"/>
      <c r="L1028" s="21" t="s">
        <v>16</v>
      </c>
      <c r="M1028" s="22">
        <v>0</v>
      </c>
      <c r="N1028" s="22">
        <v>0</v>
      </c>
      <c r="O1028" s="22">
        <v>6900</v>
      </c>
      <c r="P1028" s="22">
        <v>6900</v>
      </c>
      <c r="Q1028" t="str" cm="1">
        <f t="array" ref="Q1028">_xlfn.TEXTJOIN("、",TRUE,IF('學員資料-三民高中'!$B$2:$B$454=$F1028,'學員資料-三民高中'!$G$2:$G$454,""))</f>
        <v/>
      </c>
      <c r="R1028" t="str" cm="1">
        <f t="array" ref="R1028">_xlfn.TEXTJOIN("、",TRUE,IF('學員資料-新北高中'!$B$2:$B$583=$F1028,'學員資料-新北高中'!$G$2:$G$583,""))</f>
        <v/>
      </c>
      <c r="S1028" t="str" cm="1">
        <f t="array" ref="S1028">_xlfn.TEXTJOIN("、",TRUE,IF('學員資料-三重商工'!$B$2:$B$472=$F1028,'學員資料-三重商工'!$G$2:$G$472,""))</f>
        <v>0919501937.1</v>
      </c>
      <c r="T1028">
        <f t="shared" si="16"/>
        <v>1</v>
      </c>
    </row>
    <row r="1029" spans="1:20" ht="14.25" hidden="1" customHeight="1">
      <c r="A1029" s="15">
        <v>1028</v>
      </c>
      <c r="B1029" s="16" t="s">
        <v>3315</v>
      </c>
      <c r="C1029" s="17">
        <v>45874</v>
      </c>
      <c r="D1029" s="15" t="s">
        <v>3316</v>
      </c>
      <c r="E1029" s="23"/>
      <c r="F1029" s="19" t="s">
        <v>3317</v>
      </c>
      <c r="G1029" s="18" t="s">
        <v>3318</v>
      </c>
      <c r="H1029" s="20" t="s">
        <v>66</v>
      </c>
      <c r="I1029" s="15">
        <v>1</v>
      </c>
      <c r="J1029" s="15" t="s">
        <v>23</v>
      </c>
      <c r="K1029" s="15"/>
      <c r="L1029" s="21" t="s">
        <v>16</v>
      </c>
      <c r="M1029" s="22">
        <v>0</v>
      </c>
      <c r="N1029" s="22">
        <v>0</v>
      </c>
      <c r="O1029" s="22">
        <v>6900</v>
      </c>
      <c r="P1029" s="22">
        <v>6900</v>
      </c>
      <c r="Q1029" t="str" cm="1">
        <f t="array" ref="Q1029">_xlfn.TEXTJOIN("、",TRUE,IF('學員資料-三民高中'!$B$2:$B$454=$F1029,'學員資料-三民高中'!$G$2:$G$454,""))</f>
        <v/>
      </c>
      <c r="R1029" t="str" cm="1">
        <f t="array" ref="R1029">_xlfn.TEXTJOIN("、",TRUE,IF('學員資料-新北高中'!$B$2:$B$583=$F1029,'學員資料-新北高中'!$G$2:$G$583,""))</f>
        <v/>
      </c>
      <c r="S1029" t="str" cm="1">
        <f t="array" ref="S1029">_xlfn.TEXTJOIN("、",TRUE,IF('學員資料-三重商工'!$B$2:$B$472=$F1029,'學員資料-三重商工'!$G$2:$G$472,""))</f>
        <v>0911259035</v>
      </c>
      <c r="T1029">
        <f t="shared" si="16"/>
        <v>1</v>
      </c>
    </row>
    <row r="1030" spans="1:20" ht="14.25" hidden="1" customHeight="1">
      <c r="A1030" s="15">
        <v>1029</v>
      </c>
      <c r="B1030" s="16" t="s">
        <v>3319</v>
      </c>
      <c r="C1030" s="17">
        <v>45874</v>
      </c>
      <c r="D1030" s="15" t="s">
        <v>3320</v>
      </c>
      <c r="E1030" s="23"/>
      <c r="F1030" s="19" t="s">
        <v>3321</v>
      </c>
      <c r="G1030" s="18" t="s">
        <v>3322</v>
      </c>
      <c r="H1030" s="20" t="s">
        <v>210</v>
      </c>
      <c r="I1030" s="15">
        <v>1</v>
      </c>
      <c r="J1030" s="15" t="s">
        <v>26</v>
      </c>
      <c r="K1030" s="15"/>
      <c r="L1030" s="21" t="s">
        <v>16</v>
      </c>
      <c r="M1030" s="22">
        <v>0</v>
      </c>
      <c r="N1030" s="22">
        <v>0</v>
      </c>
      <c r="O1030" s="22">
        <v>12000</v>
      </c>
      <c r="P1030" s="22">
        <v>12000</v>
      </c>
      <c r="Q1030" t="str" cm="1">
        <f t="array" ref="Q1030">_xlfn.TEXTJOIN("、",TRUE,IF('學員資料-三民高中'!$B$2:$B$454=$F1030,'學員資料-三民高中'!$G$2:$G$454,""))</f>
        <v/>
      </c>
      <c r="R1030" t="str" cm="1">
        <f t="array" ref="R1030">_xlfn.TEXTJOIN("、",TRUE,IF('學員資料-新北高中'!$B$2:$B$583=$F1030,'學員資料-新北高中'!$G$2:$G$583,""))</f>
        <v/>
      </c>
      <c r="S1030" t="str" cm="1">
        <f t="array" ref="S1030">_xlfn.TEXTJOIN("、",TRUE,IF('學員資料-三重商工'!$B$2:$B$472=$F1030,'學員資料-三重商工'!$G$2:$G$472,""))</f>
        <v>0918810928</v>
      </c>
      <c r="T1030">
        <f t="shared" si="16"/>
        <v>1</v>
      </c>
    </row>
    <row r="1031" spans="1:20" ht="14.25" hidden="1" customHeight="1">
      <c r="A1031" s="15">
        <v>1030</v>
      </c>
      <c r="B1031" s="16" t="s">
        <v>3323</v>
      </c>
      <c r="C1031" s="17">
        <v>45874</v>
      </c>
      <c r="D1031" s="15" t="s">
        <v>3324</v>
      </c>
      <c r="E1031" s="18" t="s">
        <v>763</v>
      </c>
      <c r="F1031" s="19" t="s">
        <v>2647</v>
      </c>
      <c r="G1031" s="18" t="s">
        <v>804</v>
      </c>
      <c r="H1031" s="20" t="s">
        <v>66</v>
      </c>
      <c r="I1031" s="15">
        <v>1</v>
      </c>
      <c r="J1031" s="15" t="s">
        <v>23</v>
      </c>
      <c r="K1031" s="15"/>
      <c r="L1031" s="21" t="s">
        <v>16</v>
      </c>
      <c r="M1031" s="22">
        <v>0</v>
      </c>
      <c r="N1031" s="22">
        <v>0</v>
      </c>
      <c r="O1031" s="22">
        <v>6900</v>
      </c>
      <c r="P1031" s="22">
        <v>6900</v>
      </c>
      <c r="Q1031" t="str" cm="1">
        <f t="array" ref="Q1031">_xlfn.TEXTJOIN("、",TRUE,IF('學員資料-三民高中'!$B$2:$B$454=$F1031,'學員資料-三民高中'!$G$2:$G$454,""))</f>
        <v>0936122822</v>
      </c>
      <c r="R1031" t="str" cm="1">
        <f t="array" ref="R1031">_xlfn.TEXTJOIN("、",TRUE,IF('學員資料-新北高中'!$B$2:$B$583=$F1031,'學員資料-新北高中'!$G$2:$G$583,""))</f>
        <v/>
      </c>
      <c r="S1031" t="str" cm="1">
        <f t="array" ref="S1031">_xlfn.TEXTJOIN("、",TRUE,IF('學員資料-三重商工'!$B$2:$B$472=$F1031,'學員資料-三重商工'!$G$2:$G$472,""))</f>
        <v/>
      </c>
      <c r="T1031">
        <f t="shared" si="16"/>
        <v>1</v>
      </c>
    </row>
    <row r="1032" spans="1:20" ht="14.25" hidden="1" customHeight="1">
      <c r="A1032" s="15">
        <v>1031</v>
      </c>
      <c r="B1032" s="16" t="s">
        <v>3325</v>
      </c>
      <c r="C1032" s="17">
        <v>45874</v>
      </c>
      <c r="D1032" s="15" t="s">
        <v>3326</v>
      </c>
      <c r="E1032" s="23"/>
      <c r="F1032" s="19" t="s">
        <v>716</v>
      </c>
      <c r="G1032" s="18" t="s">
        <v>717</v>
      </c>
      <c r="H1032" s="20" t="s">
        <v>130</v>
      </c>
      <c r="I1032" s="15">
        <v>1</v>
      </c>
      <c r="J1032" s="15" t="s">
        <v>25</v>
      </c>
      <c r="K1032" s="15"/>
      <c r="L1032" s="21" t="s">
        <v>16</v>
      </c>
      <c r="M1032" s="22">
        <v>0</v>
      </c>
      <c r="N1032" s="22">
        <v>0</v>
      </c>
      <c r="O1032" s="22">
        <v>9900</v>
      </c>
      <c r="P1032" s="22">
        <v>9900</v>
      </c>
      <c r="Q1032" t="str" cm="1">
        <f t="array" ref="Q1032">_xlfn.TEXTJOIN("、",TRUE,IF('學員資料-三民高中'!$B$2:$B$454=$F1032,'學員資料-三民高中'!$G$2:$G$454,""))</f>
        <v/>
      </c>
      <c r="R1032" t="str" cm="1">
        <f t="array" ref="R1032">_xlfn.TEXTJOIN("、",TRUE,IF('學員資料-新北高中'!$B$2:$B$583=$F1032,'學員資料-新北高中'!$G$2:$G$583,""))</f>
        <v/>
      </c>
      <c r="S1032" t="str" cm="1">
        <f t="array" ref="S1032">_xlfn.TEXTJOIN("、",TRUE,IF('學員資料-三重商工'!$B$2:$B$472=$F1032,'學員資料-三重商工'!$G$2:$G$472,""))</f>
        <v>0928573701</v>
      </c>
      <c r="T1032">
        <f t="shared" si="16"/>
        <v>1</v>
      </c>
    </row>
    <row r="1033" spans="1:20" ht="14.25" hidden="1" customHeight="1">
      <c r="A1033" s="15">
        <v>1032</v>
      </c>
      <c r="B1033" s="16" t="s">
        <v>3327</v>
      </c>
      <c r="C1033" s="17">
        <v>45874</v>
      </c>
      <c r="D1033" s="15" t="s">
        <v>3328</v>
      </c>
      <c r="E1033" s="18" t="s">
        <v>763</v>
      </c>
      <c r="F1033" s="19" t="s">
        <v>3329</v>
      </c>
      <c r="G1033" s="18" t="s">
        <v>3330</v>
      </c>
      <c r="H1033" s="20" t="s">
        <v>52</v>
      </c>
      <c r="I1033" s="15">
        <v>1</v>
      </c>
      <c r="J1033" s="15" t="s">
        <v>24</v>
      </c>
      <c r="K1033" s="15"/>
      <c r="L1033" s="21" t="s">
        <v>16</v>
      </c>
      <c r="M1033" s="22">
        <v>0</v>
      </c>
      <c r="N1033" s="22">
        <v>0</v>
      </c>
      <c r="O1033" s="22">
        <v>7500</v>
      </c>
      <c r="P1033" s="22">
        <v>7500</v>
      </c>
      <c r="Q1033" t="str" cm="1">
        <f t="array" ref="Q1033">_xlfn.TEXTJOIN("、",TRUE,IF('學員資料-三民高中'!$B$2:$B$454=$F1033,'學員資料-三民高中'!$G$2:$G$454,""))</f>
        <v>0903915039</v>
      </c>
      <c r="R1033" t="str" cm="1">
        <f t="array" ref="R1033">_xlfn.TEXTJOIN("、",TRUE,IF('學員資料-新北高中'!$B$2:$B$583=$F1033,'學員資料-新北高中'!$G$2:$G$583,""))</f>
        <v/>
      </c>
      <c r="S1033" t="str" cm="1">
        <f t="array" ref="S1033">_xlfn.TEXTJOIN("、",TRUE,IF('學員資料-三重商工'!$B$2:$B$472=$F1033,'學員資料-三重商工'!$G$2:$G$472,""))</f>
        <v/>
      </c>
      <c r="T1033">
        <f t="shared" si="16"/>
        <v>1</v>
      </c>
    </row>
    <row r="1034" spans="1:20" ht="14.25" hidden="1" customHeight="1">
      <c r="A1034" s="15">
        <v>1033</v>
      </c>
      <c r="B1034" s="16" t="s">
        <v>3331</v>
      </c>
      <c r="C1034" s="17">
        <v>45874</v>
      </c>
      <c r="D1034" s="15" t="s">
        <v>3332</v>
      </c>
      <c r="E1034" s="23"/>
      <c r="F1034" s="19" t="s">
        <v>3333</v>
      </c>
      <c r="G1034" s="18" t="s">
        <v>3334</v>
      </c>
      <c r="H1034" s="20" t="s">
        <v>52</v>
      </c>
      <c r="I1034" s="15">
        <v>1</v>
      </c>
      <c r="J1034" s="15" t="s">
        <v>24</v>
      </c>
      <c r="K1034" s="15"/>
      <c r="L1034" s="21" t="s">
        <v>18</v>
      </c>
      <c r="M1034" s="22">
        <v>0</v>
      </c>
      <c r="N1034" s="22">
        <v>0</v>
      </c>
      <c r="O1034" s="22">
        <v>7500</v>
      </c>
      <c r="P1034" s="22">
        <v>7500</v>
      </c>
      <c r="Q1034" t="str" cm="1">
        <f t="array" ref="Q1034">_xlfn.TEXTJOIN("、",TRUE,IF('學員資料-三民高中'!$B$2:$B$454=$F1034,'學員資料-三民高中'!$G$2:$G$454,""))</f>
        <v/>
      </c>
      <c r="R1034" t="str" cm="1">
        <f t="array" ref="R1034">_xlfn.TEXTJOIN("、",TRUE,IF('學員資料-新北高中'!$B$2:$B$583=$F1034,'學員資料-新北高中'!$G$2:$G$583,""))</f>
        <v/>
      </c>
      <c r="S1034" t="str" cm="1">
        <f t="array" ref="S1034">_xlfn.TEXTJOIN("、",TRUE,IF('學員資料-三重商工'!$B$2:$B$472=$F1034,'學員資料-三重商工'!$G$2:$G$472,""))</f>
        <v>0987361358</v>
      </c>
      <c r="T1034">
        <f t="shared" si="16"/>
        <v>1</v>
      </c>
    </row>
    <row r="1035" spans="1:20" ht="14.25" hidden="1" customHeight="1">
      <c r="A1035" s="15">
        <v>1034</v>
      </c>
      <c r="B1035" s="16" t="s">
        <v>3335</v>
      </c>
      <c r="C1035" s="17">
        <v>45874</v>
      </c>
      <c r="D1035" s="15" t="s">
        <v>3336</v>
      </c>
      <c r="E1035" s="18" t="s">
        <v>1324</v>
      </c>
      <c r="F1035" s="19" t="s">
        <v>3337</v>
      </c>
      <c r="G1035" s="18" t="s">
        <v>3338</v>
      </c>
      <c r="H1035" s="20" t="s">
        <v>52</v>
      </c>
      <c r="I1035" s="15">
        <v>1</v>
      </c>
      <c r="J1035" s="15" t="s">
        <v>24</v>
      </c>
      <c r="K1035" s="15"/>
      <c r="L1035" s="21" t="s">
        <v>16</v>
      </c>
      <c r="M1035" s="22">
        <v>0</v>
      </c>
      <c r="N1035" s="22">
        <v>0</v>
      </c>
      <c r="O1035" s="22">
        <v>7500</v>
      </c>
      <c r="P1035" s="22">
        <v>7500</v>
      </c>
      <c r="Q1035" t="str" cm="1">
        <f t="array" ref="Q1035">_xlfn.TEXTJOIN("、",TRUE,IF('學員資料-三民高中'!$B$2:$B$454=$F1035,'學員資料-三民高中'!$G$2:$G$454,""))</f>
        <v/>
      </c>
      <c r="R1035" t="str" cm="1">
        <f t="array" ref="R1035">_xlfn.TEXTJOIN("、",TRUE,IF('學員資料-新北高中'!$B$2:$B$583=$F1035,'學員資料-新北高中'!$G$2:$G$583,""))</f>
        <v>0916260953</v>
      </c>
      <c r="S1035" t="str" cm="1">
        <f t="array" ref="S1035">_xlfn.TEXTJOIN("、",TRUE,IF('學員資料-三重商工'!$B$2:$B$472=$F1035,'學員資料-三重商工'!$G$2:$G$472,""))</f>
        <v/>
      </c>
      <c r="T1035">
        <f t="shared" si="16"/>
        <v>1</v>
      </c>
    </row>
    <row r="1036" spans="1:20" ht="14.25" hidden="1" customHeight="1">
      <c r="A1036" s="15">
        <v>1035</v>
      </c>
      <c r="B1036" s="16" t="s">
        <v>3339</v>
      </c>
      <c r="C1036" s="17">
        <v>45873</v>
      </c>
      <c r="D1036" s="15" t="s">
        <v>3340</v>
      </c>
      <c r="E1036" s="18" t="s">
        <v>78</v>
      </c>
      <c r="F1036" s="19" t="s">
        <v>3110</v>
      </c>
      <c r="G1036" s="18" t="s">
        <v>3111</v>
      </c>
      <c r="H1036" s="20" t="s">
        <v>130</v>
      </c>
      <c r="I1036" s="15">
        <v>1</v>
      </c>
      <c r="J1036" s="15" t="s">
        <v>25</v>
      </c>
      <c r="K1036" s="15"/>
      <c r="L1036" s="21" t="s">
        <v>16</v>
      </c>
      <c r="M1036" s="22">
        <v>0</v>
      </c>
      <c r="N1036" s="22">
        <v>-3960</v>
      </c>
      <c r="O1036" s="22">
        <v>5940</v>
      </c>
      <c r="P1036" s="22">
        <v>5940</v>
      </c>
      <c r="Q1036" t="str" cm="1">
        <f t="array" ref="Q1036">_xlfn.TEXTJOIN("、",TRUE,IF('學員資料-三民高中'!$B$2:$B$454=$F1036,'學員資料-三民高中'!$G$2:$G$454,""))</f>
        <v/>
      </c>
      <c r="R1036" t="str" cm="1">
        <f t="array" ref="R1036">_xlfn.TEXTJOIN("、",TRUE,IF('學員資料-新北高中'!$B$2:$B$583=$F1036,'學員資料-新北高中'!$G$2:$G$583,""))</f>
        <v>0920627698</v>
      </c>
      <c r="S1036" t="str" cm="1">
        <f t="array" ref="S1036">_xlfn.TEXTJOIN("、",TRUE,IF('學員資料-三重商工'!$B$2:$B$472=$F1036,'學員資料-三重商工'!$G$2:$G$472,""))</f>
        <v/>
      </c>
      <c r="T1036">
        <f t="shared" si="16"/>
        <v>1</v>
      </c>
    </row>
    <row r="1037" spans="1:20" ht="14.25" hidden="1" customHeight="1">
      <c r="A1037" s="15">
        <v>1036</v>
      </c>
      <c r="B1037" s="16" t="s">
        <v>3341</v>
      </c>
      <c r="C1037" s="17">
        <v>45873</v>
      </c>
      <c r="D1037" s="15" t="s">
        <v>3342</v>
      </c>
      <c r="E1037" s="23"/>
      <c r="F1037" s="19" t="s">
        <v>888</v>
      </c>
      <c r="G1037" s="18" t="s">
        <v>889</v>
      </c>
      <c r="H1037" s="20" t="s">
        <v>66</v>
      </c>
      <c r="I1037" s="15">
        <v>1</v>
      </c>
      <c r="J1037" s="15" t="s">
        <v>23</v>
      </c>
      <c r="K1037" s="15"/>
      <c r="L1037" s="21" t="s">
        <v>16</v>
      </c>
      <c r="M1037" s="22">
        <v>0</v>
      </c>
      <c r="N1037" s="22">
        <v>0</v>
      </c>
      <c r="O1037" s="22">
        <v>6900</v>
      </c>
      <c r="P1037" s="22">
        <v>6900</v>
      </c>
      <c r="Q1037" t="str" cm="1">
        <f t="array" ref="Q1037">_xlfn.TEXTJOIN("、",TRUE,IF('學員資料-三民高中'!$B$2:$B$454=$F1037,'學員資料-三民高中'!$G$2:$G$454,""))</f>
        <v/>
      </c>
      <c r="R1037" t="str" cm="1">
        <f t="array" ref="R1037">_xlfn.TEXTJOIN("、",TRUE,IF('學員資料-新北高中'!$B$2:$B$583=$F1037,'學員資料-新北高中'!$G$2:$G$583,""))</f>
        <v>0900099919</v>
      </c>
      <c r="S1037" t="str" cm="1">
        <f t="array" ref="S1037">_xlfn.TEXTJOIN("、",TRUE,IF('學員資料-三重商工'!$B$2:$B$472=$F1037,'學員資料-三重商工'!$G$2:$G$472,""))</f>
        <v/>
      </c>
      <c r="T1037">
        <f t="shared" si="16"/>
        <v>1</v>
      </c>
    </row>
    <row r="1038" spans="1:20" ht="28.5" hidden="1" customHeight="1">
      <c r="A1038" s="15">
        <v>1037</v>
      </c>
      <c r="B1038" s="16" t="s">
        <v>3343</v>
      </c>
      <c r="C1038" s="17">
        <v>45873</v>
      </c>
      <c r="D1038" s="15" t="s">
        <v>3344</v>
      </c>
      <c r="E1038" s="18" t="s">
        <v>1324</v>
      </c>
      <c r="F1038" s="19" t="s">
        <v>681</v>
      </c>
      <c r="G1038" s="18" t="s">
        <v>682</v>
      </c>
      <c r="H1038" s="20" t="s">
        <v>1985</v>
      </c>
      <c r="I1038" s="15">
        <v>2</v>
      </c>
      <c r="J1038" s="15" t="s">
        <v>23</v>
      </c>
      <c r="K1038" s="15"/>
      <c r="L1038" s="21" t="s">
        <v>16</v>
      </c>
      <c r="M1038" s="22">
        <v>0</v>
      </c>
      <c r="N1038" s="22">
        <v>-7200</v>
      </c>
      <c r="O1038" s="22">
        <v>10800</v>
      </c>
      <c r="P1038" s="22">
        <v>10800</v>
      </c>
      <c r="Q1038" t="str" cm="1">
        <f t="array" ref="Q1038">_xlfn.TEXTJOIN("、",TRUE,IF('學員資料-三民高中'!$B$2:$B$454=$F1038,'學員資料-三民高中'!$G$2:$G$454,""))</f>
        <v/>
      </c>
      <c r="R1038" t="str" cm="1">
        <f t="array" ref="R1038">_xlfn.TEXTJOIN("、",TRUE,IF('學員資料-新北高中'!$B$2:$B$583=$F1038,'學員資料-新北高中'!$G$2:$G$583,""))</f>
        <v>0956888791</v>
      </c>
      <c r="S1038" t="str" cm="1">
        <f t="array" ref="S1038">_xlfn.TEXTJOIN("、",TRUE,IF('學員資料-三重商工'!$B$2:$B$472=$F1038,'學員資料-三重商工'!$G$2:$G$472,""))</f>
        <v/>
      </c>
      <c r="T1038">
        <f t="shared" si="16"/>
        <v>1</v>
      </c>
    </row>
    <row r="1039" spans="1:20" ht="14.25" hidden="1" customHeight="1">
      <c r="A1039" s="15">
        <v>1038</v>
      </c>
      <c r="B1039" s="16" t="s">
        <v>3345</v>
      </c>
      <c r="C1039" s="17">
        <v>45873</v>
      </c>
      <c r="D1039" s="15" t="s">
        <v>3346</v>
      </c>
      <c r="E1039" s="23"/>
      <c r="F1039" s="19" t="s">
        <v>2847</v>
      </c>
      <c r="G1039" s="18" t="s">
        <v>2848</v>
      </c>
      <c r="H1039" s="20" t="s">
        <v>130</v>
      </c>
      <c r="I1039" s="15">
        <v>1</v>
      </c>
      <c r="J1039" s="15" t="s">
        <v>25</v>
      </c>
      <c r="K1039" s="15"/>
      <c r="L1039" s="21" t="s">
        <v>16</v>
      </c>
      <c r="M1039" s="22">
        <v>0</v>
      </c>
      <c r="N1039" s="22">
        <v>0</v>
      </c>
      <c r="O1039" s="22">
        <v>9900</v>
      </c>
      <c r="P1039" s="22">
        <v>9900</v>
      </c>
      <c r="Q1039" t="str" cm="1">
        <f t="array" ref="Q1039">_xlfn.TEXTJOIN("、",TRUE,IF('學員資料-三民高中'!$B$2:$B$454=$F1039,'學員資料-三民高中'!$G$2:$G$454,""))</f>
        <v>0975561272</v>
      </c>
      <c r="R1039" t="str" cm="1">
        <f t="array" ref="R1039">_xlfn.TEXTJOIN("、",TRUE,IF('學員資料-新北高中'!$B$2:$B$583=$F1039,'學員資料-新北高中'!$G$2:$G$583,""))</f>
        <v/>
      </c>
      <c r="S1039" t="str" cm="1">
        <f t="array" ref="S1039">_xlfn.TEXTJOIN("、",TRUE,IF('學員資料-三重商工'!$B$2:$B$472=$F1039,'學員資料-三重商工'!$G$2:$G$472,""))</f>
        <v/>
      </c>
      <c r="T1039">
        <f t="shared" si="16"/>
        <v>1</v>
      </c>
    </row>
    <row r="1040" spans="1:20" ht="14.25" hidden="1" customHeight="1">
      <c r="A1040" s="15">
        <v>1039</v>
      </c>
      <c r="B1040" s="16" t="s">
        <v>3347</v>
      </c>
      <c r="C1040" s="17">
        <v>45872</v>
      </c>
      <c r="D1040" s="15" t="s">
        <v>3348</v>
      </c>
      <c r="E1040" s="23"/>
      <c r="F1040" s="19" t="s">
        <v>3349</v>
      </c>
      <c r="G1040" s="18" t="s">
        <v>3350</v>
      </c>
      <c r="H1040" s="20" t="s">
        <v>66</v>
      </c>
      <c r="I1040" s="15">
        <v>1</v>
      </c>
      <c r="J1040" s="15" t="s">
        <v>23</v>
      </c>
      <c r="K1040" s="15"/>
      <c r="L1040" s="21" t="s">
        <v>16</v>
      </c>
      <c r="M1040" s="22">
        <v>0</v>
      </c>
      <c r="N1040" s="22">
        <v>0</v>
      </c>
      <c r="O1040" s="22">
        <v>6900</v>
      </c>
      <c r="P1040" s="22">
        <v>6900</v>
      </c>
      <c r="Q1040" t="str" cm="1">
        <f t="array" ref="Q1040">_xlfn.TEXTJOIN("、",TRUE,IF('學員資料-三民高中'!$B$2:$B$454=$F1040,'學員資料-三民高中'!$G$2:$G$454,""))</f>
        <v/>
      </c>
      <c r="R1040" t="str" cm="1">
        <f t="array" ref="R1040">_xlfn.TEXTJOIN("、",TRUE,IF('學員資料-新北高中'!$B$2:$B$583=$F1040,'學員資料-新北高中'!$G$2:$G$583,""))</f>
        <v/>
      </c>
      <c r="S1040" t="str" cm="1">
        <f t="array" ref="S1040">_xlfn.TEXTJOIN("、",TRUE,IF('學員資料-三重商工'!$B$2:$B$472=$F1040,'學員資料-三重商工'!$G$2:$G$472,""))</f>
        <v>0922398633</v>
      </c>
      <c r="T1040">
        <f t="shared" si="16"/>
        <v>1</v>
      </c>
    </row>
    <row r="1041" spans="1:20" ht="14.25" hidden="1" customHeight="1">
      <c r="A1041" s="15">
        <v>1040</v>
      </c>
      <c r="B1041" s="16" t="s">
        <v>3351</v>
      </c>
      <c r="C1041" s="17">
        <v>45872</v>
      </c>
      <c r="D1041" s="15" t="s">
        <v>3352</v>
      </c>
      <c r="E1041" s="23"/>
      <c r="F1041" s="19" t="s">
        <v>3353</v>
      </c>
      <c r="G1041" s="18" t="s">
        <v>3354</v>
      </c>
      <c r="H1041" s="20" t="s">
        <v>52</v>
      </c>
      <c r="I1041" s="15">
        <v>1</v>
      </c>
      <c r="J1041" s="15" t="s">
        <v>24</v>
      </c>
      <c r="K1041" s="15"/>
      <c r="L1041" s="21" t="s">
        <v>16</v>
      </c>
      <c r="M1041" s="22">
        <v>0</v>
      </c>
      <c r="N1041" s="22">
        <v>0</v>
      </c>
      <c r="O1041" s="22">
        <v>7500</v>
      </c>
      <c r="P1041" s="22">
        <v>7500</v>
      </c>
      <c r="Q1041" t="str" cm="1">
        <f t="array" ref="Q1041">_xlfn.TEXTJOIN("、",TRUE,IF('學員資料-三民高中'!$B$2:$B$454=$F1041,'學員資料-三民高中'!$G$2:$G$454,""))</f>
        <v>0916175109</v>
      </c>
      <c r="R1041" t="str" cm="1">
        <f t="array" ref="R1041">_xlfn.TEXTJOIN("、",TRUE,IF('學員資料-新北高中'!$B$2:$B$583=$F1041,'學員資料-新北高中'!$G$2:$G$583,""))</f>
        <v/>
      </c>
      <c r="S1041" t="str" cm="1">
        <f t="array" ref="S1041">_xlfn.TEXTJOIN("、",TRUE,IF('學員資料-三重商工'!$B$2:$B$472=$F1041,'學員資料-三重商工'!$G$2:$G$472,""))</f>
        <v/>
      </c>
      <c r="T1041">
        <f t="shared" si="16"/>
        <v>1</v>
      </c>
    </row>
    <row r="1042" spans="1:20" ht="14.25" hidden="1" customHeight="1">
      <c r="A1042" s="15">
        <v>1041</v>
      </c>
      <c r="B1042" s="16" t="s">
        <v>3355</v>
      </c>
      <c r="C1042" s="17">
        <v>45872</v>
      </c>
      <c r="D1042" s="15" t="s">
        <v>3356</v>
      </c>
      <c r="E1042" s="18" t="s">
        <v>44</v>
      </c>
      <c r="F1042" s="19" t="s">
        <v>550</v>
      </c>
      <c r="G1042" s="18" t="s">
        <v>551</v>
      </c>
      <c r="H1042" s="20" t="s">
        <v>66</v>
      </c>
      <c r="I1042" s="15">
        <v>1</v>
      </c>
      <c r="J1042" s="15" t="s">
        <v>23</v>
      </c>
      <c r="K1042" s="15"/>
      <c r="L1042" s="21" t="s">
        <v>16</v>
      </c>
      <c r="M1042" s="22">
        <v>0</v>
      </c>
      <c r="N1042" s="22">
        <v>0</v>
      </c>
      <c r="O1042" s="22">
        <v>6900</v>
      </c>
      <c r="P1042" s="22">
        <v>6900</v>
      </c>
      <c r="Q1042" t="str" cm="1">
        <f t="array" ref="Q1042">_xlfn.TEXTJOIN("、",TRUE,IF('學員資料-三民高中'!$B$2:$B$454=$F1042,'學員資料-三民高中'!$G$2:$G$454,""))</f>
        <v/>
      </c>
      <c r="R1042" t="str" cm="1">
        <f t="array" ref="R1042">_xlfn.TEXTJOIN("、",TRUE,IF('學員資料-新北高中'!$B$2:$B$583=$F1042,'學員資料-新北高中'!$G$2:$G$583,""))</f>
        <v/>
      </c>
      <c r="S1042" t="str" cm="1">
        <f t="array" ref="S1042">_xlfn.TEXTJOIN("、",TRUE,IF('學員資料-三重商工'!$B$2:$B$472=$F1042,'學員資料-三重商工'!$G$2:$G$472,""))</f>
        <v>0933037462</v>
      </c>
      <c r="T1042">
        <f t="shared" si="16"/>
        <v>1</v>
      </c>
    </row>
    <row r="1043" spans="1:20" ht="14.25" hidden="1" customHeight="1">
      <c r="A1043" s="15">
        <v>1042</v>
      </c>
      <c r="B1043" s="16" t="s">
        <v>3357</v>
      </c>
      <c r="C1043" s="17">
        <v>45872</v>
      </c>
      <c r="D1043" s="15" t="s">
        <v>3358</v>
      </c>
      <c r="E1043" s="18" t="s">
        <v>954</v>
      </c>
      <c r="F1043" s="19" t="s">
        <v>3359</v>
      </c>
      <c r="G1043" s="18" t="s">
        <v>3360</v>
      </c>
      <c r="H1043" s="20" t="s">
        <v>266</v>
      </c>
      <c r="I1043" s="15">
        <v>1</v>
      </c>
      <c r="J1043" s="15" t="s">
        <v>24</v>
      </c>
      <c r="K1043" s="15"/>
      <c r="L1043" s="21" t="s">
        <v>16</v>
      </c>
      <c r="M1043" s="22">
        <v>0</v>
      </c>
      <c r="N1043" s="22">
        <v>-1620</v>
      </c>
      <c r="O1043" s="22">
        <v>9180</v>
      </c>
      <c r="P1043" s="22">
        <v>9180</v>
      </c>
      <c r="Q1043" t="str" cm="1">
        <f t="array" ref="Q1043">_xlfn.TEXTJOIN("、",TRUE,IF('學員資料-三民高中'!$B$2:$B$454=$F1043,'學員資料-三民高中'!$G$2:$G$454,""))</f>
        <v/>
      </c>
      <c r="R1043" t="str" cm="1">
        <f t="array" ref="R1043">_xlfn.TEXTJOIN("、",TRUE,IF('學員資料-新北高中'!$B$2:$B$583=$F1043,'學員資料-新北高中'!$G$2:$G$583,""))</f>
        <v>0912127414</v>
      </c>
      <c r="S1043" t="str" cm="1">
        <f t="array" ref="S1043">_xlfn.TEXTJOIN("、",TRUE,IF('學員資料-三重商工'!$B$2:$B$472=$F1043,'學員資料-三重商工'!$G$2:$G$472,""))</f>
        <v/>
      </c>
      <c r="T1043">
        <f t="shared" si="16"/>
        <v>1</v>
      </c>
    </row>
    <row r="1044" spans="1:20" ht="14.25" hidden="1" customHeight="1">
      <c r="A1044" s="15">
        <v>1043</v>
      </c>
      <c r="B1044" s="16" t="s">
        <v>3361</v>
      </c>
      <c r="C1044" s="17">
        <v>45872</v>
      </c>
      <c r="D1044" s="15" t="s">
        <v>3362</v>
      </c>
      <c r="E1044" s="18" t="s">
        <v>44</v>
      </c>
      <c r="F1044" s="19" t="s">
        <v>2585</v>
      </c>
      <c r="G1044" s="18" t="s">
        <v>2586</v>
      </c>
      <c r="H1044" s="20" t="s">
        <v>52</v>
      </c>
      <c r="I1044" s="15">
        <v>1</v>
      </c>
      <c r="J1044" s="15" t="s">
        <v>24</v>
      </c>
      <c r="K1044" s="15"/>
      <c r="L1044" s="21" t="s">
        <v>16</v>
      </c>
      <c r="M1044" s="22">
        <v>0</v>
      </c>
      <c r="N1044" s="22">
        <v>0</v>
      </c>
      <c r="O1044" s="22">
        <v>7500</v>
      </c>
      <c r="P1044" s="22">
        <v>7500</v>
      </c>
      <c r="Q1044" t="str" cm="1">
        <f t="array" ref="Q1044">_xlfn.TEXTJOIN("、",TRUE,IF('學員資料-三民高中'!$B$2:$B$454=$F1044,'學員資料-三民高中'!$G$2:$G$454,""))</f>
        <v/>
      </c>
      <c r="R1044" t="str" cm="1">
        <f t="array" ref="R1044">_xlfn.TEXTJOIN("、",TRUE,IF('學員資料-新北高中'!$B$2:$B$583=$F1044,'學員資料-新北高中'!$G$2:$G$583,""))</f>
        <v/>
      </c>
      <c r="S1044" t="str" cm="1">
        <f t="array" ref="S1044">_xlfn.TEXTJOIN("、",TRUE,IF('學員資料-三重商工'!$B$2:$B$472=$F1044,'學員資料-三重商工'!$G$2:$G$472,""))</f>
        <v>0928099559</v>
      </c>
      <c r="T1044">
        <f t="shared" si="16"/>
        <v>1</v>
      </c>
    </row>
    <row r="1045" spans="1:20" ht="14.25" hidden="1" customHeight="1">
      <c r="A1045" s="15">
        <v>1044</v>
      </c>
      <c r="B1045" s="16" t="s">
        <v>3363</v>
      </c>
      <c r="C1045" s="17">
        <v>45871</v>
      </c>
      <c r="D1045" s="15" t="s">
        <v>3364</v>
      </c>
      <c r="E1045" s="23"/>
      <c r="F1045" s="19" t="s">
        <v>3365</v>
      </c>
      <c r="G1045" s="18" t="s">
        <v>3366</v>
      </c>
      <c r="H1045" s="20" t="s">
        <v>130</v>
      </c>
      <c r="I1045" s="15">
        <v>1</v>
      </c>
      <c r="J1045" s="15" t="s">
        <v>25</v>
      </c>
      <c r="K1045" s="15"/>
      <c r="L1045" s="21" t="s">
        <v>16</v>
      </c>
      <c r="M1045" s="22">
        <v>0</v>
      </c>
      <c r="N1045" s="22">
        <v>0</v>
      </c>
      <c r="O1045" s="22">
        <v>9900</v>
      </c>
      <c r="P1045" s="22">
        <v>9900</v>
      </c>
      <c r="Q1045" t="str" cm="1">
        <f t="array" ref="Q1045">_xlfn.TEXTJOIN("、",TRUE,IF('學員資料-三民高中'!$B$2:$B$454=$F1045,'學員資料-三民高中'!$G$2:$G$454,""))</f>
        <v/>
      </c>
      <c r="R1045" t="str" cm="1">
        <f t="array" ref="R1045">_xlfn.TEXTJOIN("、",TRUE,IF('學員資料-新北高中'!$B$2:$B$583=$F1045,'學員資料-新北高中'!$G$2:$G$583,""))</f>
        <v/>
      </c>
      <c r="S1045" t="str" cm="1">
        <f t="array" ref="S1045">_xlfn.TEXTJOIN("、",TRUE,IF('學員資料-三重商工'!$B$2:$B$472=$F1045,'學員資料-三重商工'!$G$2:$G$472,""))</f>
        <v>0952663043-1</v>
      </c>
      <c r="T1045">
        <f t="shared" si="16"/>
        <v>1</v>
      </c>
    </row>
    <row r="1046" spans="1:20" ht="14.25" hidden="1" customHeight="1">
      <c r="A1046" s="15">
        <v>1045</v>
      </c>
      <c r="B1046" s="16" t="s">
        <v>3367</v>
      </c>
      <c r="C1046" s="17">
        <v>45871</v>
      </c>
      <c r="D1046" s="15" t="s">
        <v>3368</v>
      </c>
      <c r="E1046" s="23"/>
      <c r="F1046" s="19" t="s">
        <v>2090</v>
      </c>
      <c r="G1046" s="18" t="s">
        <v>2091</v>
      </c>
      <c r="H1046" s="20" t="s">
        <v>66</v>
      </c>
      <c r="I1046" s="15">
        <v>1</v>
      </c>
      <c r="J1046" s="15" t="s">
        <v>23</v>
      </c>
      <c r="K1046" s="15"/>
      <c r="L1046" s="21" t="s">
        <v>16</v>
      </c>
      <c r="M1046" s="22">
        <v>0</v>
      </c>
      <c r="N1046" s="22">
        <v>0</v>
      </c>
      <c r="O1046" s="22">
        <v>6900</v>
      </c>
      <c r="P1046" s="22">
        <v>6900</v>
      </c>
      <c r="Q1046" t="str" cm="1">
        <f t="array" ref="Q1046">_xlfn.TEXTJOIN("、",TRUE,IF('學員資料-三民高中'!$B$2:$B$454=$F1046,'學員資料-三民高中'!$G$2:$G$454,""))</f>
        <v/>
      </c>
      <c r="R1046" t="str" cm="1">
        <f t="array" ref="R1046">_xlfn.TEXTJOIN("、",TRUE,IF('學員資料-新北高中'!$B$2:$B$583=$F1046,'學員資料-新北高中'!$G$2:$G$583,""))</f>
        <v/>
      </c>
      <c r="S1046" t="str" cm="1">
        <f t="array" ref="S1046">_xlfn.TEXTJOIN("、",TRUE,IF('學員資料-三重商工'!$B$2:$B$472=$F1046,'學員資料-三重商工'!$G$2:$G$472,""))</f>
        <v>0926740107</v>
      </c>
      <c r="T1046">
        <f t="shared" si="16"/>
        <v>1</v>
      </c>
    </row>
    <row r="1047" spans="1:20" ht="14.25" hidden="1" customHeight="1">
      <c r="A1047" s="15">
        <v>1046</v>
      </c>
      <c r="B1047" s="16" t="s">
        <v>3369</v>
      </c>
      <c r="C1047" s="17">
        <v>45871</v>
      </c>
      <c r="D1047" s="15" t="s">
        <v>3370</v>
      </c>
      <c r="E1047" s="23"/>
      <c r="F1047" s="19" t="s">
        <v>3371</v>
      </c>
      <c r="G1047" s="18" t="s">
        <v>3372</v>
      </c>
      <c r="H1047" s="20" t="s">
        <v>1087</v>
      </c>
      <c r="I1047" s="15">
        <v>1</v>
      </c>
      <c r="J1047" s="15" t="s">
        <v>27</v>
      </c>
      <c r="K1047" s="15"/>
      <c r="L1047" s="21" t="s">
        <v>16</v>
      </c>
      <c r="M1047" s="22">
        <v>0</v>
      </c>
      <c r="N1047" s="22">
        <v>0</v>
      </c>
      <c r="O1047" s="22">
        <v>15000</v>
      </c>
      <c r="P1047" s="22">
        <v>15000</v>
      </c>
      <c r="Q1047" t="str" cm="1">
        <f t="array" ref="Q1047">_xlfn.TEXTJOIN("、",TRUE,IF('學員資料-三民高中'!$B$2:$B$454=$F1047,'學員資料-三民高中'!$G$2:$G$454,""))</f>
        <v>0970021852</v>
      </c>
      <c r="R1047" t="str" cm="1">
        <f t="array" ref="R1047">_xlfn.TEXTJOIN("、",TRUE,IF('學員資料-新北高中'!$B$2:$B$583=$F1047,'學員資料-新北高中'!$G$2:$G$583,""))</f>
        <v/>
      </c>
      <c r="S1047" t="str" cm="1">
        <f t="array" ref="S1047">_xlfn.TEXTJOIN("、",TRUE,IF('學員資料-三重商工'!$B$2:$B$472=$F1047,'學員資料-三重商工'!$G$2:$G$472,""))</f>
        <v/>
      </c>
      <c r="T1047">
        <f t="shared" si="16"/>
        <v>1</v>
      </c>
    </row>
    <row r="1048" spans="1:20" ht="14.25" hidden="1" customHeight="1">
      <c r="A1048" s="15">
        <v>1047</v>
      </c>
      <c r="B1048" s="16" t="s">
        <v>3373</v>
      </c>
      <c r="C1048" s="17">
        <v>45871</v>
      </c>
      <c r="D1048" s="15" t="s">
        <v>3374</v>
      </c>
      <c r="E1048" s="23"/>
      <c r="F1048" s="19" t="s">
        <v>1791</v>
      </c>
      <c r="G1048" s="18" t="s">
        <v>1792</v>
      </c>
      <c r="H1048" s="20" t="s">
        <v>66</v>
      </c>
      <c r="I1048" s="15">
        <v>1</v>
      </c>
      <c r="J1048" s="15" t="s">
        <v>23</v>
      </c>
      <c r="K1048" s="15"/>
      <c r="L1048" s="21" t="s">
        <v>16</v>
      </c>
      <c r="M1048" s="22">
        <v>0</v>
      </c>
      <c r="N1048" s="22">
        <v>0</v>
      </c>
      <c r="O1048" s="22">
        <v>6900</v>
      </c>
      <c r="P1048" s="22">
        <v>6900</v>
      </c>
      <c r="Q1048" t="str" cm="1">
        <f t="array" ref="Q1048">_xlfn.TEXTJOIN("、",TRUE,IF('學員資料-三民高中'!$B$2:$B$454=$F1048,'學員資料-三民高中'!$G$2:$G$454,""))</f>
        <v/>
      </c>
      <c r="R1048" t="str" cm="1">
        <f t="array" ref="R1048">_xlfn.TEXTJOIN("、",TRUE,IF('學員資料-新北高中'!$B$2:$B$583=$F1048,'學員資料-新北高中'!$G$2:$G$583,""))</f>
        <v/>
      </c>
      <c r="S1048" t="str" cm="1">
        <f t="array" ref="S1048">_xlfn.TEXTJOIN("、",TRUE,IF('學員資料-三重商工'!$B$2:$B$472=$F1048,'學員資料-三重商工'!$G$2:$G$472,""))</f>
        <v>0912188682</v>
      </c>
      <c r="T1048">
        <f t="shared" si="16"/>
        <v>1</v>
      </c>
    </row>
    <row r="1049" spans="1:20" ht="14.25" hidden="1" customHeight="1">
      <c r="A1049" s="15">
        <v>1048</v>
      </c>
      <c r="B1049" s="16" t="s">
        <v>3375</v>
      </c>
      <c r="C1049" s="17">
        <v>45871</v>
      </c>
      <c r="D1049" s="15" t="s">
        <v>3376</v>
      </c>
      <c r="E1049" s="23"/>
      <c r="F1049" s="19" t="s">
        <v>3377</v>
      </c>
      <c r="G1049" s="18" t="s">
        <v>3378</v>
      </c>
      <c r="H1049" s="20" t="s">
        <v>52</v>
      </c>
      <c r="I1049" s="15">
        <v>1</v>
      </c>
      <c r="J1049" s="15" t="s">
        <v>24</v>
      </c>
      <c r="K1049" s="15"/>
      <c r="L1049" s="21" t="s">
        <v>16</v>
      </c>
      <c r="M1049" s="22">
        <v>0</v>
      </c>
      <c r="N1049" s="22">
        <v>0</v>
      </c>
      <c r="O1049" s="22">
        <v>7500</v>
      </c>
      <c r="P1049" s="22">
        <v>7500</v>
      </c>
      <c r="Q1049" t="str" cm="1">
        <f t="array" ref="Q1049">_xlfn.TEXTJOIN("、",TRUE,IF('學員資料-三民高中'!$B$2:$B$454=$F1049,'學員資料-三民高中'!$G$2:$G$454,""))</f>
        <v/>
      </c>
      <c r="R1049" t="str" cm="1">
        <f t="array" ref="R1049">_xlfn.TEXTJOIN("、",TRUE,IF('學員資料-新北高中'!$B$2:$B$583=$F1049,'學員資料-新北高中'!$G$2:$G$583,""))</f>
        <v>0920753702</v>
      </c>
      <c r="S1049" t="str" cm="1">
        <f t="array" ref="S1049">_xlfn.TEXTJOIN("、",TRUE,IF('學員資料-三重商工'!$B$2:$B$472=$F1049,'學員資料-三重商工'!$G$2:$G$472,""))</f>
        <v/>
      </c>
      <c r="T1049">
        <f t="shared" si="16"/>
        <v>1</v>
      </c>
    </row>
    <row r="1050" spans="1:20" ht="14.25" hidden="1" customHeight="1">
      <c r="A1050" s="15">
        <v>1049</v>
      </c>
      <c r="B1050" s="16" t="s">
        <v>3379</v>
      </c>
      <c r="C1050" s="17">
        <v>45870</v>
      </c>
      <c r="D1050" s="15" t="s">
        <v>3380</v>
      </c>
      <c r="E1050" s="18" t="s">
        <v>1324</v>
      </c>
      <c r="F1050" s="19" t="s">
        <v>3381</v>
      </c>
      <c r="G1050" s="18" t="s">
        <v>3382</v>
      </c>
      <c r="H1050" s="20" t="s">
        <v>47</v>
      </c>
      <c r="I1050" s="15">
        <v>1</v>
      </c>
      <c r="J1050" s="15" t="s">
        <v>24</v>
      </c>
      <c r="K1050" s="15"/>
      <c r="L1050" s="21" t="s">
        <v>16</v>
      </c>
      <c r="M1050" s="22">
        <v>0</v>
      </c>
      <c r="N1050" s="22">
        <v>0</v>
      </c>
      <c r="O1050" s="22">
        <v>9000</v>
      </c>
      <c r="P1050" s="22">
        <v>9000</v>
      </c>
      <c r="Q1050" t="str" cm="1">
        <f t="array" ref="Q1050">_xlfn.TEXTJOIN("、",TRUE,IF('學員資料-三民高中'!$B$2:$B$454=$F1050,'學員資料-三民高中'!$G$2:$G$454,""))</f>
        <v/>
      </c>
      <c r="R1050" t="str" cm="1">
        <f t="array" ref="R1050">_xlfn.TEXTJOIN("、",TRUE,IF('學員資料-新北高中'!$B$2:$B$583=$F1050,'學員資料-新北高中'!$G$2:$G$583,""))</f>
        <v>0912546951</v>
      </c>
      <c r="S1050" t="str" cm="1">
        <f t="array" ref="S1050">_xlfn.TEXTJOIN("、",TRUE,IF('學員資料-三重商工'!$B$2:$B$472=$F1050,'學員資料-三重商工'!$G$2:$G$472,""))</f>
        <v/>
      </c>
      <c r="T1050">
        <f t="shared" si="16"/>
        <v>1</v>
      </c>
    </row>
    <row r="1051" spans="1:20" ht="14.25" hidden="1" customHeight="1">
      <c r="A1051" s="15">
        <v>1050</v>
      </c>
      <c r="B1051" s="16" t="s">
        <v>3383</v>
      </c>
      <c r="C1051" s="17">
        <v>45870</v>
      </c>
      <c r="D1051" s="15" t="s">
        <v>3384</v>
      </c>
      <c r="E1051" s="18" t="s">
        <v>763</v>
      </c>
      <c r="F1051" s="19" t="s">
        <v>1320</v>
      </c>
      <c r="G1051" s="18" t="s">
        <v>1321</v>
      </c>
      <c r="H1051" s="20" t="s">
        <v>52</v>
      </c>
      <c r="I1051" s="15">
        <v>1</v>
      </c>
      <c r="J1051" s="15" t="s">
        <v>24</v>
      </c>
      <c r="K1051" s="15"/>
      <c r="L1051" s="21" t="s">
        <v>16</v>
      </c>
      <c r="M1051" s="22">
        <v>0</v>
      </c>
      <c r="N1051" s="22">
        <v>0</v>
      </c>
      <c r="O1051" s="22">
        <v>7500</v>
      </c>
      <c r="P1051" s="22">
        <v>7500</v>
      </c>
      <c r="Q1051" t="str" cm="1">
        <f t="array" ref="Q1051">_xlfn.TEXTJOIN("、",TRUE,IF('學員資料-三民高中'!$B$2:$B$454=$F1051,'學員資料-三民高中'!$G$2:$G$454,""))</f>
        <v>0963394102</v>
      </c>
      <c r="R1051" t="str" cm="1">
        <f t="array" ref="R1051">_xlfn.TEXTJOIN("、",TRUE,IF('學員資料-新北高中'!$B$2:$B$583=$F1051,'學員資料-新北高中'!$G$2:$G$583,""))</f>
        <v/>
      </c>
      <c r="S1051" t="str" cm="1">
        <f t="array" ref="S1051">_xlfn.TEXTJOIN("、",TRUE,IF('學員資料-三重商工'!$B$2:$B$472=$F1051,'學員資料-三重商工'!$G$2:$G$472,""))</f>
        <v/>
      </c>
      <c r="T1051">
        <f t="shared" si="16"/>
        <v>1</v>
      </c>
    </row>
    <row r="1052" spans="1:20" ht="14.25" hidden="1" customHeight="1">
      <c r="A1052" s="15">
        <v>1051</v>
      </c>
      <c r="B1052" s="16" t="s">
        <v>3385</v>
      </c>
      <c r="C1052" s="17">
        <v>45870</v>
      </c>
      <c r="D1052" s="15" t="s">
        <v>3386</v>
      </c>
      <c r="E1052" s="18" t="s">
        <v>78</v>
      </c>
      <c r="F1052" s="19" t="s">
        <v>3387</v>
      </c>
      <c r="G1052" s="18" t="s">
        <v>3388</v>
      </c>
      <c r="H1052" s="20" t="s">
        <v>47</v>
      </c>
      <c r="I1052" s="15">
        <v>1</v>
      </c>
      <c r="J1052" s="15" t="s">
        <v>24</v>
      </c>
      <c r="K1052" s="15"/>
      <c r="L1052" s="21" t="s">
        <v>16</v>
      </c>
      <c r="M1052" s="22">
        <v>0</v>
      </c>
      <c r="N1052" s="22">
        <v>-1350</v>
      </c>
      <c r="O1052" s="22">
        <v>7650</v>
      </c>
      <c r="P1052" s="22">
        <v>7650</v>
      </c>
      <c r="Q1052" t="str" cm="1">
        <f t="array" ref="Q1052">_xlfn.TEXTJOIN("、",TRUE,IF('學員資料-三民高中'!$B$2:$B$454=$F1052,'學員資料-三民高中'!$G$2:$G$454,""))</f>
        <v/>
      </c>
      <c r="R1052" t="str" cm="1">
        <f t="array" ref="R1052">_xlfn.TEXTJOIN("、",TRUE,IF('學員資料-新北高中'!$B$2:$B$583=$F1052,'學員資料-新北高中'!$G$2:$G$583,""))</f>
        <v>0910928157-1</v>
      </c>
      <c r="S1052" t="str" cm="1">
        <f t="array" ref="S1052">_xlfn.TEXTJOIN("、",TRUE,IF('學員資料-三重商工'!$B$2:$B$472=$F1052,'學員資料-三重商工'!$G$2:$G$472,""))</f>
        <v/>
      </c>
      <c r="T1052">
        <f t="shared" si="16"/>
        <v>1</v>
      </c>
    </row>
    <row r="1053" spans="1:20" ht="72" hidden="1" customHeight="1">
      <c r="A1053" s="15">
        <v>1052</v>
      </c>
      <c r="B1053" s="16" t="s">
        <v>3389</v>
      </c>
      <c r="C1053" s="17">
        <v>45870</v>
      </c>
      <c r="D1053" s="15" t="s">
        <v>3390</v>
      </c>
      <c r="E1053" s="18" t="s">
        <v>78</v>
      </c>
      <c r="F1053" s="19" t="s">
        <v>3391</v>
      </c>
      <c r="G1053" s="18" t="s">
        <v>3392</v>
      </c>
      <c r="H1053" s="20" t="s">
        <v>3393</v>
      </c>
      <c r="I1053" s="15">
        <v>5</v>
      </c>
      <c r="J1053" s="15" t="s">
        <v>24</v>
      </c>
      <c r="K1053" s="15"/>
      <c r="L1053" s="21" t="s">
        <v>16</v>
      </c>
      <c r="M1053" s="22">
        <v>0</v>
      </c>
      <c r="N1053" s="22">
        <v>-8100</v>
      </c>
      <c r="O1053" s="22">
        <v>45900</v>
      </c>
      <c r="P1053" s="22">
        <v>45900</v>
      </c>
      <c r="Q1053" t="str" cm="1">
        <f t="array" ref="Q1053">_xlfn.TEXTJOIN("、",TRUE,IF('學員資料-三民高中'!$B$2:$B$454=$F1053,'學員資料-三民高中'!$G$2:$G$454,""))</f>
        <v/>
      </c>
      <c r="R1053" t="str" cm="1">
        <f t="array" ref="R1053">_xlfn.TEXTJOIN("、",TRUE,IF('學員資料-新北高中'!$B$2:$B$583=$F1053,'學員資料-新北高中'!$G$2:$G$583,""))</f>
        <v>0926281670</v>
      </c>
      <c r="S1053" t="str" cm="1">
        <f t="array" ref="S1053">_xlfn.TEXTJOIN("、",TRUE,IF('學員資料-三重商工'!$B$2:$B$472=$F1053,'學員資料-三重商工'!$G$2:$G$472,""))</f>
        <v/>
      </c>
      <c r="T1053">
        <f t="shared" si="16"/>
        <v>1</v>
      </c>
    </row>
    <row r="1054" spans="1:20" ht="28.5" hidden="1" customHeight="1">
      <c r="A1054" s="15">
        <v>1053</v>
      </c>
      <c r="B1054" s="16" t="s">
        <v>3394</v>
      </c>
      <c r="C1054" s="17">
        <v>45870</v>
      </c>
      <c r="D1054" s="15" t="s">
        <v>3395</v>
      </c>
      <c r="E1054" s="18" t="s">
        <v>78</v>
      </c>
      <c r="F1054" s="19" t="s">
        <v>3396</v>
      </c>
      <c r="G1054" s="18" t="s">
        <v>3397</v>
      </c>
      <c r="H1054" s="20" t="s">
        <v>726</v>
      </c>
      <c r="I1054" s="15">
        <v>2</v>
      </c>
      <c r="J1054" s="15" t="s">
        <v>24</v>
      </c>
      <c r="K1054" s="15"/>
      <c r="L1054" s="21" t="s">
        <v>16</v>
      </c>
      <c r="M1054" s="22">
        <v>0</v>
      </c>
      <c r="N1054" s="22">
        <v>-2700</v>
      </c>
      <c r="O1054" s="22">
        <v>15300</v>
      </c>
      <c r="P1054" s="22">
        <v>15300</v>
      </c>
      <c r="Q1054" t="str" cm="1">
        <f t="array" ref="Q1054">_xlfn.TEXTJOIN("、",TRUE,IF('學員資料-三民高中'!$B$2:$B$454=$F1054,'學員資料-三民高中'!$G$2:$G$454,""))</f>
        <v/>
      </c>
      <c r="R1054" t="str" cm="1">
        <f t="array" ref="R1054">_xlfn.TEXTJOIN("、",TRUE,IF('學員資料-新北高中'!$B$2:$B$583=$F1054,'學員資料-新北高中'!$G$2:$G$583,""))</f>
        <v>0927673831-1</v>
      </c>
      <c r="S1054" t="str" cm="1">
        <f t="array" ref="S1054">_xlfn.TEXTJOIN("、",TRUE,IF('學員資料-三重商工'!$B$2:$B$472=$F1054,'學員資料-三重商工'!$G$2:$G$472,""))</f>
        <v/>
      </c>
      <c r="T1054">
        <f t="shared" si="16"/>
        <v>1</v>
      </c>
    </row>
    <row r="1055" spans="1:20" ht="14.25" hidden="1" customHeight="1">
      <c r="A1055" s="15">
        <v>1054</v>
      </c>
      <c r="B1055" s="16" t="s">
        <v>3398</v>
      </c>
      <c r="C1055" s="17">
        <v>45870</v>
      </c>
      <c r="D1055" s="15" t="s">
        <v>3399</v>
      </c>
      <c r="E1055" s="18" t="s">
        <v>78</v>
      </c>
      <c r="F1055" s="19" t="s">
        <v>858</v>
      </c>
      <c r="G1055" s="18" t="s">
        <v>859</v>
      </c>
      <c r="H1055" s="20" t="s">
        <v>112</v>
      </c>
      <c r="I1055" s="15">
        <v>1</v>
      </c>
      <c r="J1055" s="15" t="s">
        <v>23</v>
      </c>
      <c r="K1055" s="15"/>
      <c r="L1055" s="21" t="s">
        <v>16</v>
      </c>
      <c r="M1055" s="22">
        <v>0</v>
      </c>
      <c r="N1055" s="22">
        <v>-1242</v>
      </c>
      <c r="O1055" s="22">
        <v>7038</v>
      </c>
      <c r="P1055" s="22">
        <v>7038</v>
      </c>
      <c r="Q1055" t="str" cm="1">
        <f t="array" ref="Q1055">_xlfn.TEXTJOIN("、",TRUE,IF('學員資料-三民高中'!$B$2:$B$454=$F1055,'學員資料-三民高中'!$G$2:$G$454,""))</f>
        <v/>
      </c>
      <c r="R1055" t="str" cm="1">
        <f t="array" ref="R1055">_xlfn.TEXTJOIN("、",TRUE,IF('學員資料-新北高中'!$B$2:$B$583=$F1055,'學員資料-新北高中'!$G$2:$G$583,""))</f>
        <v>0975759723</v>
      </c>
      <c r="S1055" t="str" cm="1">
        <f t="array" ref="S1055">_xlfn.TEXTJOIN("、",TRUE,IF('學員資料-三重商工'!$B$2:$B$472=$F1055,'學員資料-三重商工'!$G$2:$G$472,""))</f>
        <v/>
      </c>
      <c r="T1055">
        <f t="shared" si="16"/>
        <v>1</v>
      </c>
    </row>
    <row r="1056" spans="1:20" ht="28.5" hidden="1" customHeight="1">
      <c r="A1056" s="15">
        <v>1055</v>
      </c>
      <c r="B1056" s="16" t="s">
        <v>3400</v>
      </c>
      <c r="C1056" s="17">
        <v>45870</v>
      </c>
      <c r="D1056" s="15" t="s">
        <v>3401</v>
      </c>
      <c r="E1056" s="18" t="s">
        <v>78</v>
      </c>
      <c r="F1056" s="19" t="s">
        <v>1720</v>
      </c>
      <c r="G1056" s="18" t="s">
        <v>1721</v>
      </c>
      <c r="H1056" s="20" t="s">
        <v>244</v>
      </c>
      <c r="I1056" s="15">
        <v>2</v>
      </c>
      <c r="J1056" s="15" t="s">
        <v>23</v>
      </c>
      <c r="K1056" s="15"/>
      <c r="L1056" s="21" t="s">
        <v>16</v>
      </c>
      <c r="M1056" s="22">
        <v>0</v>
      </c>
      <c r="N1056" s="22">
        <v>-2484</v>
      </c>
      <c r="O1056" s="22">
        <v>14076</v>
      </c>
      <c r="P1056" s="22">
        <v>14076</v>
      </c>
      <c r="Q1056" t="str" cm="1">
        <f t="array" ref="Q1056">_xlfn.TEXTJOIN("、",TRUE,IF('學員資料-三民高中'!$B$2:$B$454=$F1056,'學員資料-三民高中'!$G$2:$G$454,""))</f>
        <v/>
      </c>
      <c r="R1056" t="str" cm="1">
        <f t="array" ref="R1056">_xlfn.TEXTJOIN("、",TRUE,IF('學員資料-新北高中'!$B$2:$B$583=$F1056,'學員資料-新北高中'!$G$2:$G$583,""))</f>
        <v>0910462117</v>
      </c>
      <c r="S1056" t="str" cm="1">
        <f t="array" ref="S1056">_xlfn.TEXTJOIN("、",TRUE,IF('學員資料-三重商工'!$B$2:$B$472=$F1056,'學員資料-三重商工'!$G$2:$G$472,""))</f>
        <v/>
      </c>
      <c r="T1056">
        <f t="shared" si="16"/>
        <v>1</v>
      </c>
    </row>
    <row r="1057" spans="1:20" ht="28.5" hidden="1" customHeight="1">
      <c r="A1057" s="15">
        <v>1056</v>
      </c>
      <c r="B1057" s="16" t="s">
        <v>3402</v>
      </c>
      <c r="C1057" s="17">
        <v>45870</v>
      </c>
      <c r="D1057" s="15" t="s">
        <v>3403</v>
      </c>
      <c r="E1057" s="18" t="s">
        <v>78</v>
      </c>
      <c r="F1057" s="19" t="s">
        <v>1724</v>
      </c>
      <c r="G1057" s="18" t="s">
        <v>1725</v>
      </c>
      <c r="H1057" s="20" t="s">
        <v>726</v>
      </c>
      <c r="I1057" s="15">
        <v>2</v>
      </c>
      <c r="J1057" s="15" t="s">
        <v>24</v>
      </c>
      <c r="K1057" s="15"/>
      <c r="L1057" s="21" t="s">
        <v>16</v>
      </c>
      <c r="M1057" s="22">
        <v>0</v>
      </c>
      <c r="N1057" s="22">
        <v>-2700</v>
      </c>
      <c r="O1057" s="22">
        <v>15300</v>
      </c>
      <c r="P1057" s="22">
        <v>15300</v>
      </c>
      <c r="Q1057" t="str" cm="1">
        <f t="array" ref="Q1057">_xlfn.TEXTJOIN("、",TRUE,IF('學員資料-三民高中'!$B$2:$B$454=$F1057,'學員資料-三民高中'!$G$2:$G$454,""))</f>
        <v/>
      </c>
      <c r="R1057" t="str" cm="1">
        <f t="array" ref="R1057">_xlfn.TEXTJOIN("、",TRUE,IF('學員資料-新北高中'!$B$2:$B$583=$F1057,'學員資料-新北高中'!$G$2:$G$583,""))</f>
        <v>0937503938</v>
      </c>
      <c r="S1057" t="str" cm="1">
        <f t="array" ref="S1057">_xlfn.TEXTJOIN("、",TRUE,IF('學員資料-三重商工'!$B$2:$B$472=$F1057,'學員資料-三重商工'!$G$2:$G$472,""))</f>
        <v/>
      </c>
      <c r="T1057">
        <f t="shared" si="16"/>
        <v>1</v>
      </c>
    </row>
    <row r="1058" spans="1:20" ht="14.25" hidden="1" customHeight="1">
      <c r="A1058" s="15">
        <v>1057</v>
      </c>
      <c r="B1058" s="16" t="s">
        <v>3404</v>
      </c>
      <c r="C1058" s="17">
        <v>45870</v>
      </c>
      <c r="D1058" s="15" t="s">
        <v>3405</v>
      </c>
      <c r="E1058" s="18" t="s">
        <v>78</v>
      </c>
      <c r="F1058" s="19" t="s">
        <v>179</v>
      </c>
      <c r="G1058" s="18" t="s">
        <v>180</v>
      </c>
      <c r="H1058" s="20" t="s">
        <v>47</v>
      </c>
      <c r="I1058" s="15">
        <v>1</v>
      </c>
      <c r="J1058" s="15" t="s">
        <v>24</v>
      </c>
      <c r="K1058" s="15"/>
      <c r="L1058" s="21" t="s">
        <v>16</v>
      </c>
      <c r="M1058" s="22">
        <v>0</v>
      </c>
      <c r="N1058" s="22">
        <v>-1350</v>
      </c>
      <c r="O1058" s="22">
        <v>7650</v>
      </c>
      <c r="P1058" s="22">
        <v>7650</v>
      </c>
      <c r="Q1058" t="str" cm="1">
        <f t="array" ref="Q1058">_xlfn.TEXTJOIN("、",TRUE,IF('學員資料-三民高中'!$B$2:$B$454=$F1058,'學員資料-三民高中'!$G$2:$G$454,""))</f>
        <v/>
      </c>
      <c r="R1058" t="str" cm="1">
        <f t="array" ref="R1058">_xlfn.TEXTJOIN("、",TRUE,IF('學員資料-新北高中'!$B$2:$B$583=$F1058,'學員資料-新北高中'!$G$2:$G$583,""))</f>
        <v>0989026921</v>
      </c>
      <c r="S1058" t="str" cm="1">
        <f t="array" ref="S1058">_xlfn.TEXTJOIN("、",TRUE,IF('學員資料-三重商工'!$B$2:$B$472=$F1058,'學員資料-三重商工'!$G$2:$G$472,""))</f>
        <v/>
      </c>
      <c r="T1058">
        <f t="shared" si="16"/>
        <v>1</v>
      </c>
    </row>
    <row r="1059" spans="1:20" ht="43.5" hidden="1" customHeight="1">
      <c r="A1059" s="15">
        <v>1058</v>
      </c>
      <c r="B1059" s="16" t="s">
        <v>3406</v>
      </c>
      <c r="C1059" s="17">
        <v>45870</v>
      </c>
      <c r="D1059" s="15" t="s">
        <v>3407</v>
      </c>
      <c r="E1059" s="18" t="s">
        <v>78</v>
      </c>
      <c r="F1059" s="19" t="s">
        <v>987</v>
      </c>
      <c r="G1059" s="18" t="s">
        <v>988</v>
      </c>
      <c r="H1059" s="20" t="s">
        <v>624</v>
      </c>
      <c r="I1059" s="15">
        <v>3</v>
      </c>
      <c r="J1059" s="15" t="s">
        <v>24</v>
      </c>
      <c r="K1059" s="15"/>
      <c r="L1059" s="21" t="s">
        <v>16</v>
      </c>
      <c r="M1059" s="22">
        <v>0</v>
      </c>
      <c r="N1059" s="22">
        <v>-4050</v>
      </c>
      <c r="O1059" s="22">
        <v>22950</v>
      </c>
      <c r="P1059" s="22">
        <v>22950</v>
      </c>
      <c r="Q1059" t="str" cm="1">
        <f t="array" ref="Q1059">_xlfn.TEXTJOIN("、",TRUE,IF('學員資料-三民高中'!$B$2:$B$454=$F1059,'學員資料-三民高中'!$G$2:$G$454,""))</f>
        <v/>
      </c>
      <c r="R1059" t="str" cm="1">
        <f t="array" ref="R1059">_xlfn.TEXTJOIN("、",TRUE,IF('學員資料-新北高中'!$B$2:$B$583=$F1059,'學員資料-新北高中'!$G$2:$G$583,""))</f>
        <v>0926552248</v>
      </c>
      <c r="S1059" t="str" cm="1">
        <f t="array" ref="S1059">_xlfn.TEXTJOIN("、",TRUE,IF('學員資料-三重商工'!$B$2:$B$472=$F1059,'學員資料-三重商工'!$G$2:$G$472,""))</f>
        <v/>
      </c>
      <c r="T1059">
        <f t="shared" si="16"/>
        <v>1</v>
      </c>
    </row>
    <row r="1060" spans="1:20" ht="14.25" hidden="1" customHeight="1">
      <c r="A1060" s="15">
        <v>1059</v>
      </c>
      <c r="B1060" s="16" t="s">
        <v>3408</v>
      </c>
      <c r="C1060" s="17">
        <v>45870</v>
      </c>
      <c r="D1060" s="15" t="s">
        <v>3409</v>
      </c>
      <c r="E1060" s="18" t="s">
        <v>78</v>
      </c>
      <c r="F1060" s="19" t="s">
        <v>3410</v>
      </c>
      <c r="G1060" s="18" t="s">
        <v>3411</v>
      </c>
      <c r="H1060" s="20" t="s">
        <v>47</v>
      </c>
      <c r="I1060" s="15">
        <v>1</v>
      </c>
      <c r="J1060" s="15" t="s">
        <v>24</v>
      </c>
      <c r="K1060" s="15"/>
      <c r="L1060" s="21" t="s">
        <v>16</v>
      </c>
      <c r="M1060" s="22">
        <v>0</v>
      </c>
      <c r="N1060" s="22">
        <v>-1350</v>
      </c>
      <c r="O1060" s="22">
        <v>7650</v>
      </c>
      <c r="P1060" s="22">
        <v>7650</v>
      </c>
      <c r="Q1060" t="str" cm="1">
        <f t="array" ref="Q1060">_xlfn.TEXTJOIN("、",TRUE,IF('學員資料-三民高中'!$B$2:$B$454=$F1060,'學員資料-三民高中'!$G$2:$G$454,""))</f>
        <v/>
      </c>
      <c r="R1060" t="str" cm="1">
        <f t="array" ref="R1060">_xlfn.TEXTJOIN("、",TRUE,IF('學員資料-新北高中'!$B$2:$B$583=$F1060,'學員資料-新北高中'!$G$2:$G$583,""))</f>
        <v>0937215418</v>
      </c>
      <c r="S1060" t="str" cm="1">
        <f t="array" ref="S1060">_xlfn.TEXTJOIN("、",TRUE,IF('學員資料-三重商工'!$B$2:$B$472=$F1060,'學員資料-三重商工'!$G$2:$G$472,""))</f>
        <v/>
      </c>
      <c r="T1060">
        <f t="shared" si="16"/>
        <v>1</v>
      </c>
    </row>
    <row r="1061" spans="1:20" ht="14.25" hidden="1" customHeight="1">
      <c r="A1061" s="15">
        <v>1060</v>
      </c>
      <c r="B1061" s="16" t="s">
        <v>3412</v>
      </c>
      <c r="C1061" s="17">
        <v>45869</v>
      </c>
      <c r="D1061" s="15" t="s">
        <v>3413</v>
      </c>
      <c r="E1061" s="23"/>
      <c r="F1061" s="19" t="s">
        <v>2764</v>
      </c>
      <c r="G1061" s="18" t="s">
        <v>2765</v>
      </c>
      <c r="H1061" s="20" t="s">
        <v>66</v>
      </c>
      <c r="I1061" s="15">
        <v>1</v>
      </c>
      <c r="J1061" s="15" t="s">
        <v>23</v>
      </c>
      <c r="K1061" s="15"/>
      <c r="L1061" s="21" t="s">
        <v>16</v>
      </c>
      <c r="M1061" s="22">
        <v>0</v>
      </c>
      <c r="N1061" s="22">
        <v>0</v>
      </c>
      <c r="O1061" s="22">
        <v>6900</v>
      </c>
      <c r="P1061" s="22">
        <v>6900</v>
      </c>
      <c r="Q1061" t="str" cm="1">
        <f t="array" ref="Q1061">_xlfn.TEXTJOIN("、",TRUE,IF('學員資料-三民高中'!$B$2:$B$454=$F1061,'學員資料-三民高中'!$G$2:$G$454,""))</f>
        <v/>
      </c>
      <c r="R1061" t="str" cm="1">
        <f t="array" ref="R1061">_xlfn.TEXTJOIN("、",TRUE,IF('學員資料-新北高中'!$B$2:$B$583=$F1061,'學員資料-新北高中'!$G$2:$G$583,""))</f>
        <v>0933055618</v>
      </c>
      <c r="S1061" t="str" cm="1">
        <f t="array" ref="S1061">_xlfn.TEXTJOIN("、",TRUE,IF('學員資料-三重商工'!$B$2:$B$472=$F1061,'學員資料-三重商工'!$G$2:$G$472,""))</f>
        <v/>
      </c>
      <c r="T1061">
        <f t="shared" si="16"/>
        <v>1</v>
      </c>
    </row>
    <row r="1062" spans="1:20" ht="14.25" hidden="1" customHeight="1">
      <c r="A1062" s="15">
        <v>1061</v>
      </c>
      <c r="B1062" s="16" t="s">
        <v>3414</v>
      </c>
      <c r="C1062" s="17">
        <v>45869</v>
      </c>
      <c r="D1062" s="15" t="s">
        <v>3415</v>
      </c>
      <c r="E1062" s="23"/>
      <c r="F1062" s="19" t="s">
        <v>3416</v>
      </c>
      <c r="G1062" s="18" t="s">
        <v>3417</v>
      </c>
      <c r="H1062" s="20" t="s">
        <v>52</v>
      </c>
      <c r="I1062" s="15">
        <v>1</v>
      </c>
      <c r="J1062" s="15" t="s">
        <v>24</v>
      </c>
      <c r="K1062" s="15"/>
      <c r="L1062" s="21" t="s">
        <v>16</v>
      </c>
      <c r="M1062" s="22">
        <v>0</v>
      </c>
      <c r="N1062" s="22">
        <v>0</v>
      </c>
      <c r="O1062" s="22">
        <v>7500</v>
      </c>
      <c r="P1062" s="22">
        <v>7500</v>
      </c>
      <c r="Q1062" t="str" cm="1">
        <f t="array" ref="Q1062">_xlfn.TEXTJOIN("、",TRUE,IF('學員資料-三民高中'!$B$2:$B$454=$F1062,'學員資料-三民高中'!$G$2:$G$454,""))</f>
        <v/>
      </c>
      <c r="R1062" t="str" cm="1">
        <f t="array" ref="R1062">_xlfn.TEXTJOIN("、",TRUE,IF('學員資料-新北高中'!$B$2:$B$583=$F1062,'學員資料-新北高中'!$G$2:$G$583,""))</f>
        <v>0911553715</v>
      </c>
      <c r="S1062" t="str" cm="1">
        <f t="array" ref="S1062">_xlfn.TEXTJOIN("、",TRUE,IF('學員資料-三重商工'!$B$2:$B$472=$F1062,'學員資料-三重商工'!$G$2:$G$472,""))</f>
        <v/>
      </c>
      <c r="T1062">
        <f t="shared" si="16"/>
        <v>1</v>
      </c>
    </row>
    <row r="1063" spans="1:20" ht="14.25" hidden="1" customHeight="1">
      <c r="A1063" s="15">
        <v>1062</v>
      </c>
      <c r="B1063" s="16" t="s">
        <v>3418</v>
      </c>
      <c r="C1063" s="17">
        <v>45869</v>
      </c>
      <c r="D1063" s="15" t="s">
        <v>3419</v>
      </c>
      <c r="E1063" s="23"/>
      <c r="F1063" s="19" t="s">
        <v>2904</v>
      </c>
      <c r="G1063" s="18" t="s">
        <v>2905</v>
      </c>
      <c r="H1063" s="20" t="s">
        <v>66</v>
      </c>
      <c r="I1063" s="15">
        <v>1</v>
      </c>
      <c r="J1063" s="15" t="s">
        <v>23</v>
      </c>
      <c r="K1063" s="15"/>
      <c r="L1063" s="21" t="s">
        <v>16</v>
      </c>
      <c r="M1063" s="22">
        <v>0</v>
      </c>
      <c r="N1063" s="22">
        <v>0</v>
      </c>
      <c r="O1063" s="22">
        <v>6900</v>
      </c>
      <c r="P1063" s="22">
        <v>6900</v>
      </c>
      <c r="Q1063" t="str" cm="1">
        <f t="array" ref="Q1063">_xlfn.TEXTJOIN("、",TRUE,IF('學員資料-三民高中'!$B$2:$B$454=$F1063,'學員資料-三民高中'!$G$2:$G$454,""))</f>
        <v/>
      </c>
      <c r="R1063" t="str" cm="1">
        <f t="array" ref="R1063">_xlfn.TEXTJOIN("、",TRUE,IF('學員資料-新北高中'!$B$2:$B$583=$F1063,'學員資料-新北高中'!$G$2:$G$583,""))</f>
        <v/>
      </c>
      <c r="S1063" t="str" cm="1">
        <f t="array" ref="S1063">_xlfn.TEXTJOIN("、",TRUE,IF('學員資料-三重商工'!$B$2:$B$472=$F1063,'學員資料-三重商工'!$G$2:$G$472,""))</f>
        <v>0986122202</v>
      </c>
      <c r="T1063">
        <f t="shared" si="16"/>
        <v>1</v>
      </c>
    </row>
    <row r="1064" spans="1:20" ht="14.25" hidden="1" customHeight="1">
      <c r="A1064" s="15">
        <v>1063</v>
      </c>
      <c r="B1064" s="16" t="s">
        <v>3420</v>
      </c>
      <c r="C1064" s="17">
        <v>45868</v>
      </c>
      <c r="D1064" s="15" t="s">
        <v>3421</v>
      </c>
      <c r="E1064" s="18" t="s">
        <v>763</v>
      </c>
      <c r="F1064" s="19" t="s">
        <v>242</v>
      </c>
      <c r="G1064" s="18" t="s">
        <v>243</v>
      </c>
      <c r="H1064" s="20" t="s">
        <v>66</v>
      </c>
      <c r="I1064" s="15">
        <v>1</v>
      </c>
      <c r="J1064" s="15" t="s">
        <v>23</v>
      </c>
      <c r="K1064" s="15"/>
      <c r="L1064" s="21" t="s">
        <v>16</v>
      </c>
      <c r="M1064" s="22">
        <v>0</v>
      </c>
      <c r="N1064" s="22">
        <v>0</v>
      </c>
      <c r="O1064" s="22">
        <v>6900</v>
      </c>
      <c r="P1064" s="22">
        <v>6900</v>
      </c>
      <c r="Q1064" t="str" cm="1">
        <f t="array" ref="Q1064">_xlfn.TEXTJOIN("、",TRUE,IF('學員資料-三民高中'!$B$2:$B$454=$F1064,'學員資料-三民高中'!$G$2:$G$454,""))</f>
        <v>0989899080</v>
      </c>
      <c r="R1064" t="str" cm="1">
        <f t="array" ref="R1064">_xlfn.TEXTJOIN("、",TRUE,IF('學員資料-新北高中'!$B$2:$B$583=$F1064,'學員資料-新北高中'!$G$2:$G$583,""))</f>
        <v/>
      </c>
      <c r="S1064" t="str" cm="1">
        <f t="array" ref="S1064">_xlfn.TEXTJOIN("、",TRUE,IF('學員資料-三重商工'!$B$2:$B$472=$F1064,'學員資料-三重商工'!$G$2:$G$472,""))</f>
        <v/>
      </c>
      <c r="T1064">
        <f t="shared" si="16"/>
        <v>1</v>
      </c>
    </row>
    <row r="1065" spans="1:20" ht="14.25" hidden="1" customHeight="1">
      <c r="A1065" s="15">
        <v>1064</v>
      </c>
      <c r="B1065" s="16" t="s">
        <v>3422</v>
      </c>
      <c r="C1065" s="17">
        <v>45868</v>
      </c>
      <c r="D1065" s="15" t="s">
        <v>3423</v>
      </c>
      <c r="E1065" s="23"/>
      <c r="F1065" s="19" t="s">
        <v>3424</v>
      </c>
      <c r="G1065" s="18" t="s">
        <v>3425</v>
      </c>
      <c r="H1065" s="20" t="s">
        <v>66</v>
      </c>
      <c r="I1065" s="15">
        <v>1</v>
      </c>
      <c r="J1065" s="15" t="s">
        <v>23</v>
      </c>
      <c r="K1065" s="15"/>
      <c r="L1065" s="21" t="s">
        <v>16</v>
      </c>
      <c r="M1065" s="22">
        <v>0</v>
      </c>
      <c r="N1065" s="22">
        <v>-2760</v>
      </c>
      <c r="O1065" s="22">
        <v>4140</v>
      </c>
      <c r="P1065" s="22">
        <v>4140</v>
      </c>
      <c r="Q1065" t="str" cm="1">
        <f t="array" ref="Q1065">_xlfn.TEXTJOIN("、",TRUE,IF('學員資料-三民高中'!$B$2:$B$454=$F1065,'學員資料-三民高中'!$G$2:$G$454,""))</f>
        <v/>
      </c>
      <c r="R1065" t="str" cm="1">
        <f t="array" ref="R1065">_xlfn.TEXTJOIN("、",TRUE,IF('學員資料-新北高中'!$B$2:$B$583=$F1065,'學員資料-新北高中'!$G$2:$G$583,""))</f>
        <v/>
      </c>
      <c r="S1065" t="str" cm="1">
        <f t="array" ref="S1065">_xlfn.TEXTJOIN("、",TRUE,IF('學員資料-三重商工'!$B$2:$B$472=$F1065,'學員資料-三重商工'!$G$2:$G$472,""))</f>
        <v>0926238656-1</v>
      </c>
      <c r="T1065">
        <f t="shared" si="16"/>
        <v>1</v>
      </c>
    </row>
    <row r="1066" spans="1:20" ht="14.25" hidden="1" customHeight="1">
      <c r="A1066" s="15">
        <v>1065</v>
      </c>
      <c r="B1066" s="16" t="s">
        <v>3426</v>
      </c>
      <c r="C1066" s="17">
        <v>45867</v>
      </c>
      <c r="D1066" s="15" t="s">
        <v>3427</v>
      </c>
      <c r="E1066" s="23"/>
      <c r="F1066" s="19" t="s">
        <v>1925</v>
      </c>
      <c r="G1066" s="18" t="s">
        <v>1926</v>
      </c>
      <c r="H1066" s="20" t="s">
        <v>66</v>
      </c>
      <c r="I1066" s="15">
        <v>1</v>
      </c>
      <c r="J1066" s="15" t="s">
        <v>23</v>
      </c>
      <c r="K1066" s="15"/>
      <c r="L1066" s="21" t="s">
        <v>16</v>
      </c>
      <c r="M1066" s="22">
        <v>0</v>
      </c>
      <c r="N1066" s="22">
        <v>0</v>
      </c>
      <c r="O1066" s="22">
        <v>6900</v>
      </c>
      <c r="P1066" s="22">
        <v>6900</v>
      </c>
      <c r="Q1066" t="str" cm="1">
        <f t="array" ref="Q1066">_xlfn.TEXTJOIN("、",TRUE,IF('學員資料-三民高中'!$B$2:$B$454=$F1066,'學員資料-三民高中'!$G$2:$G$454,""))</f>
        <v/>
      </c>
      <c r="R1066" t="str" cm="1">
        <f t="array" ref="R1066">_xlfn.TEXTJOIN("、",TRUE,IF('學員資料-新北高中'!$B$2:$B$583=$F1066,'學員資料-新北高中'!$G$2:$G$583,""))</f>
        <v>0902228252</v>
      </c>
      <c r="S1066" t="str" cm="1">
        <f t="array" ref="S1066">_xlfn.TEXTJOIN("、",TRUE,IF('學員資料-三重商工'!$B$2:$B$472=$F1066,'學員資料-三重商工'!$G$2:$G$472,""))</f>
        <v/>
      </c>
      <c r="T1066">
        <f t="shared" si="16"/>
        <v>1</v>
      </c>
    </row>
    <row r="1067" spans="1:20" ht="14.25" hidden="1" customHeight="1">
      <c r="A1067" s="15">
        <v>1066</v>
      </c>
      <c r="B1067" s="16" t="s">
        <v>3428</v>
      </c>
      <c r="C1067" s="17">
        <v>45867</v>
      </c>
      <c r="D1067" s="15" t="s">
        <v>3429</v>
      </c>
      <c r="E1067" s="23"/>
      <c r="F1067" s="19" t="s">
        <v>3430</v>
      </c>
      <c r="G1067" s="18" t="s">
        <v>3431</v>
      </c>
      <c r="H1067" s="20" t="s">
        <v>66</v>
      </c>
      <c r="I1067" s="15">
        <v>1</v>
      </c>
      <c r="J1067" s="15" t="s">
        <v>23</v>
      </c>
      <c r="K1067" s="15"/>
      <c r="L1067" s="21" t="s">
        <v>16</v>
      </c>
      <c r="M1067" s="22">
        <v>0</v>
      </c>
      <c r="N1067" s="22">
        <v>-2760</v>
      </c>
      <c r="O1067" s="22">
        <v>4140</v>
      </c>
      <c r="P1067" s="22">
        <v>4140</v>
      </c>
      <c r="Q1067" t="str" cm="1">
        <f t="array" ref="Q1067">_xlfn.TEXTJOIN("、",TRUE,IF('學員資料-三民高中'!$B$2:$B$454=$F1067,'學員資料-三民高中'!$G$2:$G$454,""))</f>
        <v/>
      </c>
      <c r="R1067" t="str" cm="1">
        <f t="array" ref="R1067">_xlfn.TEXTJOIN("、",TRUE,IF('學員資料-新北高中'!$B$2:$B$583=$F1067,'學員資料-新北高中'!$G$2:$G$583,""))</f>
        <v/>
      </c>
      <c r="S1067" t="str" cm="1">
        <f t="array" ref="S1067">_xlfn.TEXTJOIN("、",TRUE,IF('學員資料-三重商工'!$B$2:$B$472=$F1067,'學員資料-三重商工'!$G$2:$G$472,""))</f>
        <v>0920698620</v>
      </c>
      <c r="T1067">
        <f t="shared" si="16"/>
        <v>1</v>
      </c>
    </row>
    <row r="1068" spans="1:20" ht="14.25" hidden="1" customHeight="1">
      <c r="A1068" s="15">
        <v>1067</v>
      </c>
      <c r="B1068" s="16" t="s">
        <v>3432</v>
      </c>
      <c r="C1068" s="17">
        <v>45867</v>
      </c>
      <c r="D1068" s="15" t="s">
        <v>3433</v>
      </c>
      <c r="E1068" s="23"/>
      <c r="F1068" s="19" t="s">
        <v>3434</v>
      </c>
      <c r="G1068" s="18" t="s">
        <v>3435</v>
      </c>
      <c r="H1068" s="20" t="s">
        <v>52</v>
      </c>
      <c r="I1068" s="15">
        <v>1</v>
      </c>
      <c r="J1068" s="15" t="s">
        <v>24</v>
      </c>
      <c r="K1068" s="15"/>
      <c r="L1068" s="21" t="s">
        <v>16</v>
      </c>
      <c r="M1068" s="22">
        <v>0</v>
      </c>
      <c r="N1068" s="22">
        <v>0</v>
      </c>
      <c r="O1068" s="22">
        <v>7500</v>
      </c>
      <c r="P1068" s="22">
        <v>7500</v>
      </c>
      <c r="Q1068" t="str" cm="1">
        <f t="array" ref="Q1068">_xlfn.TEXTJOIN("、",TRUE,IF('學員資料-三民高中'!$B$2:$B$454=$F1068,'學員資料-三民高中'!$G$2:$G$454,""))</f>
        <v/>
      </c>
      <c r="R1068" t="str" cm="1">
        <f t="array" ref="R1068">_xlfn.TEXTJOIN("、",TRUE,IF('學員資料-新北高中'!$B$2:$B$583=$F1068,'學員資料-新北高中'!$G$2:$G$583,""))</f>
        <v>0975797779</v>
      </c>
      <c r="S1068" t="str" cm="1">
        <f t="array" ref="S1068">_xlfn.TEXTJOIN("、",TRUE,IF('學員資料-三重商工'!$B$2:$B$472=$F1068,'學員資料-三重商工'!$G$2:$G$472,""))</f>
        <v/>
      </c>
      <c r="T1068">
        <f t="shared" si="16"/>
        <v>1</v>
      </c>
    </row>
    <row r="1069" spans="1:20" ht="14.25" hidden="1" customHeight="1">
      <c r="A1069" s="15">
        <v>1068</v>
      </c>
      <c r="B1069" s="16" t="s">
        <v>3436</v>
      </c>
      <c r="C1069" s="17">
        <v>45867</v>
      </c>
      <c r="D1069" s="15" t="s">
        <v>1303</v>
      </c>
      <c r="E1069" s="23"/>
      <c r="F1069" s="19" t="s">
        <v>157</v>
      </c>
      <c r="G1069" s="18" t="s">
        <v>158</v>
      </c>
      <c r="H1069" s="20" t="s">
        <v>52</v>
      </c>
      <c r="I1069" s="15">
        <v>1</v>
      </c>
      <c r="J1069" s="15" t="s">
        <v>24</v>
      </c>
      <c r="K1069" s="15"/>
      <c r="L1069" s="21" t="s">
        <v>16</v>
      </c>
      <c r="M1069" s="22">
        <v>0</v>
      </c>
      <c r="N1069" s="22">
        <v>0</v>
      </c>
      <c r="O1069" s="22">
        <v>7500</v>
      </c>
      <c r="P1069" s="22">
        <v>7500</v>
      </c>
      <c r="Q1069" t="str" cm="1">
        <f t="array" ref="Q1069">_xlfn.TEXTJOIN("、",TRUE,IF('學員資料-三民高中'!$B$2:$B$454=$F1069,'學員資料-三民高中'!$G$2:$G$454,""))</f>
        <v/>
      </c>
      <c r="R1069" t="str" cm="1">
        <f t="array" ref="R1069">_xlfn.TEXTJOIN("、",TRUE,IF('學員資料-新北高中'!$B$2:$B$583=$F1069,'學員資料-新北高中'!$G$2:$G$583,""))</f>
        <v>0911338706-1</v>
      </c>
      <c r="S1069" t="str" cm="1">
        <f t="array" ref="S1069">_xlfn.TEXTJOIN("、",TRUE,IF('學員資料-三重商工'!$B$2:$B$472=$F1069,'學員資料-三重商工'!$G$2:$G$472,""))</f>
        <v/>
      </c>
      <c r="T1069">
        <f t="shared" si="16"/>
        <v>1</v>
      </c>
    </row>
    <row r="1070" spans="1:20" ht="28.5" hidden="1" customHeight="1">
      <c r="A1070" s="15">
        <v>1069</v>
      </c>
      <c r="B1070" s="16" t="s">
        <v>3437</v>
      </c>
      <c r="C1070" s="17">
        <v>45867</v>
      </c>
      <c r="D1070" s="15" t="s">
        <v>3438</v>
      </c>
      <c r="E1070" s="23"/>
      <c r="F1070" s="19" t="s">
        <v>1462</v>
      </c>
      <c r="G1070" s="18" t="s">
        <v>1463</v>
      </c>
      <c r="H1070" s="20" t="s">
        <v>99</v>
      </c>
      <c r="I1070" s="15">
        <v>2</v>
      </c>
      <c r="J1070" s="15" t="s">
        <v>24</v>
      </c>
      <c r="K1070" s="15"/>
      <c r="L1070" s="21" t="s">
        <v>16</v>
      </c>
      <c r="M1070" s="22">
        <v>0</v>
      </c>
      <c r="N1070" s="22">
        <v>0</v>
      </c>
      <c r="O1070" s="22">
        <v>15000</v>
      </c>
      <c r="P1070" s="22">
        <v>15000</v>
      </c>
      <c r="Q1070" t="str" cm="1">
        <f t="array" ref="Q1070">_xlfn.TEXTJOIN("、",TRUE,IF('學員資料-三民高中'!$B$2:$B$454=$F1070,'學員資料-三民高中'!$G$2:$G$454,""))</f>
        <v>0987823723</v>
      </c>
      <c r="R1070" t="str" cm="1">
        <f t="array" ref="R1070">_xlfn.TEXTJOIN("、",TRUE,IF('學員資料-新北高中'!$B$2:$B$583=$F1070,'學員資料-新北高中'!$G$2:$G$583,""))</f>
        <v/>
      </c>
      <c r="S1070" t="str" cm="1">
        <f t="array" ref="S1070">_xlfn.TEXTJOIN("、",TRUE,IF('學員資料-三重商工'!$B$2:$B$472=$F1070,'學員資料-三重商工'!$G$2:$G$472,""))</f>
        <v/>
      </c>
      <c r="T1070">
        <f t="shared" si="16"/>
        <v>1</v>
      </c>
    </row>
    <row r="1071" spans="1:20" ht="14.25" hidden="1" customHeight="1">
      <c r="A1071" s="15">
        <v>1070</v>
      </c>
      <c r="B1071" s="16" t="s">
        <v>3439</v>
      </c>
      <c r="C1071" s="17">
        <v>45866</v>
      </c>
      <c r="D1071" s="15" t="s">
        <v>3440</v>
      </c>
      <c r="E1071" s="23"/>
      <c r="F1071" s="19" t="s">
        <v>3441</v>
      </c>
      <c r="G1071" s="18" t="s">
        <v>3442</v>
      </c>
      <c r="H1071" s="20" t="s">
        <v>52</v>
      </c>
      <c r="I1071" s="15">
        <v>1</v>
      </c>
      <c r="J1071" s="15" t="s">
        <v>24</v>
      </c>
      <c r="K1071" s="15"/>
      <c r="L1071" s="21" t="s">
        <v>17</v>
      </c>
      <c r="M1071" s="22">
        <v>0</v>
      </c>
      <c r="N1071" s="22">
        <v>0</v>
      </c>
      <c r="O1071" s="22">
        <v>7500</v>
      </c>
      <c r="P1071" s="22">
        <v>7500</v>
      </c>
      <c r="Q1071" t="str" cm="1">
        <f t="array" ref="Q1071">_xlfn.TEXTJOIN("、",TRUE,IF('學員資料-三民高中'!$B$2:$B$454=$F1071,'學員資料-三民高中'!$G$2:$G$454,""))</f>
        <v/>
      </c>
      <c r="R1071" t="str" cm="1">
        <f t="array" ref="R1071">_xlfn.TEXTJOIN("、",TRUE,IF('學員資料-新北高中'!$B$2:$B$583=$F1071,'學員資料-新北高中'!$G$2:$G$583,""))</f>
        <v/>
      </c>
      <c r="S1071" t="str" cm="1">
        <f t="array" ref="S1071">_xlfn.TEXTJOIN("、",TRUE,IF('學員資料-三重商工'!$B$2:$B$472=$F1071,'學員資料-三重商工'!$G$2:$G$472,""))</f>
        <v>0925317891</v>
      </c>
      <c r="T1071">
        <f t="shared" si="16"/>
        <v>1</v>
      </c>
    </row>
    <row r="1072" spans="1:20" ht="14.25" hidden="1" customHeight="1">
      <c r="A1072" s="15">
        <v>1071</v>
      </c>
      <c r="B1072" s="16" t="s">
        <v>3443</v>
      </c>
      <c r="C1072" s="17">
        <v>45865</v>
      </c>
      <c r="D1072" s="15" t="s">
        <v>3444</v>
      </c>
      <c r="E1072" s="23"/>
      <c r="F1072" s="19" t="s">
        <v>3349</v>
      </c>
      <c r="G1072" s="18" t="s">
        <v>3350</v>
      </c>
      <c r="H1072" s="20" t="s">
        <v>2989</v>
      </c>
      <c r="I1072" s="15">
        <v>1</v>
      </c>
      <c r="J1072" s="15" t="s">
        <v>23</v>
      </c>
      <c r="K1072" s="21" t="s">
        <v>116</v>
      </c>
      <c r="L1072" s="21" t="s">
        <v>16</v>
      </c>
      <c r="M1072" s="22">
        <v>0</v>
      </c>
      <c r="N1072" s="22">
        <v>0</v>
      </c>
      <c r="O1072" s="22">
        <v>1200</v>
      </c>
      <c r="P1072" s="22">
        <v>1200</v>
      </c>
      <c r="Q1072" t="str" cm="1">
        <f t="array" ref="Q1072">_xlfn.TEXTJOIN("、",TRUE,IF('學員資料-三民高中'!$B$2:$B$454=$F1072,'學員資料-三民高中'!$G$2:$G$454,""))</f>
        <v/>
      </c>
      <c r="R1072" t="str" cm="1">
        <f t="array" ref="R1072">_xlfn.TEXTJOIN("、",TRUE,IF('學員資料-新北高中'!$B$2:$B$583=$F1072,'學員資料-新北高中'!$G$2:$G$583,""))</f>
        <v/>
      </c>
      <c r="S1072" t="str" cm="1">
        <f t="array" ref="S1072">_xlfn.TEXTJOIN("、",TRUE,IF('學員資料-三重商工'!$B$2:$B$472=$F1072,'學員資料-三重商工'!$G$2:$G$472,""))</f>
        <v>0922398633</v>
      </c>
      <c r="T1072">
        <f t="shared" si="16"/>
        <v>1</v>
      </c>
    </row>
    <row r="1073" spans="1:20" ht="14.25" hidden="1" customHeight="1">
      <c r="A1073" s="15">
        <v>1072</v>
      </c>
      <c r="B1073" s="16" t="s">
        <v>3445</v>
      </c>
      <c r="C1073" s="17">
        <v>45865</v>
      </c>
      <c r="D1073" s="15" t="s">
        <v>3446</v>
      </c>
      <c r="E1073" s="23"/>
      <c r="F1073" s="19" t="s">
        <v>1799</v>
      </c>
      <c r="G1073" s="18" t="s">
        <v>1800</v>
      </c>
      <c r="H1073" s="20" t="s">
        <v>66</v>
      </c>
      <c r="I1073" s="15">
        <v>1</v>
      </c>
      <c r="J1073" s="15" t="s">
        <v>23</v>
      </c>
      <c r="K1073" s="15"/>
      <c r="L1073" s="21" t="s">
        <v>16</v>
      </c>
      <c r="M1073" s="22">
        <v>0</v>
      </c>
      <c r="N1073" s="22">
        <v>0</v>
      </c>
      <c r="O1073" s="22">
        <v>6900</v>
      </c>
      <c r="P1073" s="22">
        <v>6900</v>
      </c>
      <c r="Q1073" t="str" cm="1">
        <f t="array" ref="Q1073">_xlfn.TEXTJOIN("、",TRUE,IF('學員資料-三民高中'!$B$2:$B$454=$F1073,'學員資料-三民高中'!$G$2:$G$454,""))</f>
        <v/>
      </c>
      <c r="R1073" t="str" cm="1">
        <f t="array" ref="R1073">_xlfn.TEXTJOIN("、",TRUE,IF('學員資料-新北高中'!$B$2:$B$583=$F1073,'學員資料-新北高中'!$G$2:$G$583,""))</f>
        <v/>
      </c>
      <c r="S1073" t="str" cm="1">
        <f t="array" ref="S1073">_xlfn.TEXTJOIN("、",TRUE,IF('學員資料-三重商工'!$B$2:$B$472=$F1073,'學員資料-三重商工'!$G$2:$G$472,""))</f>
        <v>0939676718</v>
      </c>
      <c r="T1073">
        <f t="shared" si="16"/>
        <v>1</v>
      </c>
    </row>
    <row r="1074" spans="1:20" ht="14.25" hidden="1" customHeight="1">
      <c r="A1074" s="15">
        <v>1073</v>
      </c>
      <c r="B1074" s="16" t="s">
        <v>3447</v>
      </c>
      <c r="C1074" s="17">
        <v>45865</v>
      </c>
      <c r="D1074" s="15" t="s">
        <v>3448</v>
      </c>
      <c r="E1074" s="18" t="s">
        <v>44</v>
      </c>
      <c r="F1074" s="19" t="s">
        <v>234</v>
      </c>
      <c r="G1074" s="18" t="s">
        <v>235</v>
      </c>
      <c r="H1074" s="20" t="s">
        <v>130</v>
      </c>
      <c r="I1074" s="15">
        <v>1</v>
      </c>
      <c r="J1074" s="15" t="s">
        <v>25</v>
      </c>
      <c r="K1074" s="15"/>
      <c r="L1074" s="21" t="s">
        <v>16</v>
      </c>
      <c r="M1074" s="22">
        <v>0</v>
      </c>
      <c r="N1074" s="22">
        <v>0</v>
      </c>
      <c r="O1074" s="22">
        <v>9900</v>
      </c>
      <c r="P1074" s="22">
        <v>9900</v>
      </c>
      <c r="Q1074" t="str" cm="1">
        <f t="array" ref="Q1074">_xlfn.TEXTJOIN("、",TRUE,IF('學員資料-三民高中'!$B$2:$B$454=$F1074,'學員資料-三民高中'!$G$2:$G$454,""))</f>
        <v/>
      </c>
      <c r="R1074" t="str" cm="1">
        <f t="array" ref="R1074">_xlfn.TEXTJOIN("、",TRUE,IF('學員資料-新北高中'!$B$2:$B$583=$F1074,'學員資料-新北高中'!$G$2:$G$583,""))</f>
        <v/>
      </c>
      <c r="S1074" t="str" cm="1">
        <f t="array" ref="S1074">_xlfn.TEXTJOIN("、",TRUE,IF('學員資料-三重商工'!$B$2:$B$472=$F1074,'學員資料-三重商工'!$G$2:$G$472,""))</f>
        <v>0919285029</v>
      </c>
      <c r="T1074">
        <f t="shared" si="16"/>
        <v>1</v>
      </c>
    </row>
    <row r="1075" spans="1:20" ht="14.25" hidden="1" customHeight="1">
      <c r="A1075" s="15">
        <v>1074</v>
      </c>
      <c r="B1075" s="16" t="s">
        <v>3449</v>
      </c>
      <c r="C1075" s="17">
        <v>45865</v>
      </c>
      <c r="D1075" s="15" t="s">
        <v>3450</v>
      </c>
      <c r="E1075" s="18" t="s">
        <v>161</v>
      </c>
      <c r="F1075" s="19" t="s">
        <v>450</v>
      </c>
      <c r="G1075" s="18" t="s">
        <v>451</v>
      </c>
      <c r="H1075" s="20" t="s">
        <v>52</v>
      </c>
      <c r="I1075" s="15">
        <v>1</v>
      </c>
      <c r="J1075" s="15" t="s">
        <v>24</v>
      </c>
      <c r="K1075" s="15"/>
      <c r="L1075" s="21" t="s">
        <v>16</v>
      </c>
      <c r="M1075" s="22">
        <v>0</v>
      </c>
      <c r="N1075" s="22">
        <v>0</v>
      </c>
      <c r="O1075" s="22">
        <v>7500</v>
      </c>
      <c r="P1075" s="22">
        <v>7500</v>
      </c>
      <c r="Q1075" t="str" cm="1">
        <f t="array" ref="Q1075">_xlfn.TEXTJOIN("、",TRUE,IF('學員資料-三民高中'!$B$2:$B$454=$F1075,'學員資料-三民高中'!$G$2:$G$454,""))</f>
        <v/>
      </c>
      <c r="R1075" t="str" cm="1">
        <f t="array" ref="R1075">_xlfn.TEXTJOIN("、",TRUE,IF('學員資料-新北高中'!$B$2:$B$583=$F1075,'學員資料-新北高中'!$G$2:$G$583,""))</f>
        <v/>
      </c>
      <c r="S1075" t="str" cm="1">
        <f t="array" ref="S1075">_xlfn.TEXTJOIN("、",TRUE,IF('學員資料-三重商工'!$B$2:$B$472=$F1075,'學員資料-三重商工'!$G$2:$G$472,""))</f>
        <v>0916242232</v>
      </c>
      <c r="T1075">
        <f t="shared" si="16"/>
        <v>1</v>
      </c>
    </row>
    <row r="1076" spans="1:20" ht="14.25" customHeight="1">
      <c r="A1076" s="15">
        <v>1075</v>
      </c>
      <c r="B1076" s="16" t="s">
        <v>3451</v>
      </c>
      <c r="C1076" s="17">
        <v>45865</v>
      </c>
      <c r="D1076" s="15" t="s">
        <v>3452</v>
      </c>
      <c r="E1076" s="23"/>
      <c r="F1076" s="19" t="s">
        <v>2569</v>
      </c>
      <c r="G1076" s="18" t="s">
        <v>2570</v>
      </c>
      <c r="H1076" s="20" t="s">
        <v>66</v>
      </c>
      <c r="I1076" s="15">
        <v>1</v>
      </c>
      <c r="J1076" s="15" t="s">
        <v>23</v>
      </c>
      <c r="K1076" s="15"/>
      <c r="L1076" s="21" t="s">
        <v>16</v>
      </c>
      <c r="M1076" s="22">
        <v>0</v>
      </c>
      <c r="N1076" s="22">
        <v>0</v>
      </c>
      <c r="O1076" s="22">
        <v>6900</v>
      </c>
      <c r="P1076" s="22">
        <v>6900</v>
      </c>
      <c r="Q1076" t="str" cm="1">
        <f t="array" ref="Q1076">_xlfn.TEXTJOIN("、",TRUE,IF('學員資料-三民高中'!$B$2:$B$454=$F1076,'學員資料-三民高中'!$G$2:$G$454,""))</f>
        <v/>
      </c>
      <c r="R1076" t="str" cm="1">
        <f t="array" ref="R1076">_xlfn.TEXTJOIN("、",TRUE,IF('學員資料-新北高中'!$B$2:$B$583=$F1076,'學員資料-新北高中'!$G$2:$G$583,""))</f>
        <v/>
      </c>
      <c r="S1076" t="str" cm="1">
        <f t="array" ref="S1076">_xlfn.TEXTJOIN("、",TRUE,IF('學員資料-三重商工'!$B$2:$B$472=$F1076,'學員資料-三重商工'!$G$2:$G$472,""))</f>
        <v/>
      </c>
      <c r="T1076">
        <f t="shared" si="16"/>
        <v>0</v>
      </c>
    </row>
    <row r="1077" spans="1:20" ht="14.25" hidden="1" customHeight="1">
      <c r="A1077" s="15">
        <v>1076</v>
      </c>
      <c r="B1077" s="16" t="s">
        <v>3453</v>
      </c>
      <c r="C1077" s="17">
        <v>45865</v>
      </c>
      <c r="D1077" s="15" t="s">
        <v>3454</v>
      </c>
      <c r="E1077" s="23"/>
      <c r="F1077" s="19" t="s">
        <v>1450</v>
      </c>
      <c r="G1077" s="18" t="s">
        <v>1451</v>
      </c>
      <c r="H1077" s="20" t="s">
        <v>66</v>
      </c>
      <c r="I1077" s="15">
        <v>1</v>
      </c>
      <c r="J1077" s="15" t="s">
        <v>23</v>
      </c>
      <c r="K1077" s="15"/>
      <c r="L1077" s="21" t="s">
        <v>16</v>
      </c>
      <c r="M1077" s="22">
        <v>0</v>
      </c>
      <c r="N1077" s="22">
        <v>0</v>
      </c>
      <c r="O1077" s="22">
        <v>6900</v>
      </c>
      <c r="P1077" s="22">
        <v>6900</v>
      </c>
      <c r="Q1077" t="str" cm="1">
        <f t="array" ref="Q1077">_xlfn.TEXTJOIN("、",TRUE,IF('學員資料-三民高中'!$B$2:$B$454=$F1077,'學員資料-三民高中'!$G$2:$G$454,""))</f>
        <v>0930941302</v>
      </c>
      <c r="R1077" t="str" cm="1">
        <f t="array" ref="R1077">_xlfn.TEXTJOIN("、",TRUE,IF('學員資料-新北高中'!$B$2:$B$583=$F1077,'學員資料-新北高中'!$G$2:$G$583,""))</f>
        <v/>
      </c>
      <c r="S1077" t="str" cm="1">
        <f t="array" ref="S1077">_xlfn.TEXTJOIN("、",TRUE,IF('學員資料-三重商工'!$B$2:$B$472=$F1077,'學員資料-三重商工'!$G$2:$G$472,""))</f>
        <v/>
      </c>
      <c r="T1077">
        <f t="shared" si="16"/>
        <v>1</v>
      </c>
    </row>
    <row r="1078" spans="1:20" ht="14.25" hidden="1" customHeight="1">
      <c r="A1078" s="15">
        <v>1077</v>
      </c>
      <c r="B1078" s="16" t="s">
        <v>3455</v>
      </c>
      <c r="C1078" s="17">
        <v>45864</v>
      </c>
      <c r="D1078" s="15" t="s">
        <v>3456</v>
      </c>
      <c r="E1078" s="23"/>
      <c r="F1078" s="19" t="s">
        <v>1652</v>
      </c>
      <c r="G1078" s="18" t="s">
        <v>1653</v>
      </c>
      <c r="H1078" s="20" t="s">
        <v>52</v>
      </c>
      <c r="I1078" s="15">
        <v>1</v>
      </c>
      <c r="J1078" s="15" t="s">
        <v>24</v>
      </c>
      <c r="K1078" s="15"/>
      <c r="L1078" s="21" t="s">
        <v>16</v>
      </c>
      <c r="M1078" s="22">
        <v>0</v>
      </c>
      <c r="N1078" s="22">
        <v>0</v>
      </c>
      <c r="O1078" s="22">
        <v>7500</v>
      </c>
      <c r="P1078" s="22">
        <v>7500</v>
      </c>
      <c r="Q1078" t="str" cm="1">
        <f t="array" ref="Q1078">_xlfn.TEXTJOIN("、",TRUE,IF('學員資料-三民高中'!$B$2:$B$454=$F1078,'學員資料-三民高中'!$G$2:$G$454,""))</f>
        <v/>
      </c>
      <c r="R1078" t="str" cm="1">
        <f t="array" ref="R1078">_xlfn.TEXTJOIN("、",TRUE,IF('學員資料-新北高中'!$B$2:$B$583=$F1078,'學員資料-新北高中'!$G$2:$G$583,""))</f>
        <v>0923113843</v>
      </c>
      <c r="S1078" t="str" cm="1">
        <f t="array" ref="S1078">_xlfn.TEXTJOIN("、",TRUE,IF('學員資料-三重商工'!$B$2:$B$472=$F1078,'學員資料-三重商工'!$G$2:$G$472,""))</f>
        <v/>
      </c>
      <c r="T1078">
        <f t="shared" si="16"/>
        <v>1</v>
      </c>
    </row>
    <row r="1079" spans="1:20" ht="14.25" hidden="1" customHeight="1">
      <c r="A1079" s="15">
        <v>1078</v>
      </c>
      <c r="B1079" s="16" t="s">
        <v>3457</v>
      </c>
      <c r="C1079" s="17">
        <v>45864</v>
      </c>
      <c r="D1079" s="15" t="s">
        <v>3458</v>
      </c>
      <c r="E1079" s="18" t="s">
        <v>44</v>
      </c>
      <c r="F1079" s="19" t="s">
        <v>3459</v>
      </c>
      <c r="G1079" s="18" t="s">
        <v>3460</v>
      </c>
      <c r="H1079" s="20" t="s">
        <v>47</v>
      </c>
      <c r="I1079" s="15">
        <v>1</v>
      </c>
      <c r="J1079" s="15" t="s">
        <v>24</v>
      </c>
      <c r="K1079" s="15"/>
      <c r="L1079" s="21" t="s">
        <v>16</v>
      </c>
      <c r="M1079" s="22">
        <v>0</v>
      </c>
      <c r="N1079" s="22">
        <v>0</v>
      </c>
      <c r="O1079" s="22">
        <v>9000</v>
      </c>
      <c r="P1079" s="22">
        <v>9000</v>
      </c>
      <c r="Q1079" t="str" cm="1">
        <f t="array" ref="Q1079">_xlfn.TEXTJOIN("、",TRUE,IF('學員資料-三民高中'!$B$2:$B$454=$F1079,'學員資料-三民高中'!$G$2:$G$454,""))</f>
        <v/>
      </c>
      <c r="R1079" t="str" cm="1">
        <f t="array" ref="R1079">_xlfn.TEXTJOIN("、",TRUE,IF('學員資料-新北高中'!$B$2:$B$583=$F1079,'學員資料-新北高中'!$G$2:$G$583,""))</f>
        <v/>
      </c>
      <c r="S1079" t="str" cm="1">
        <f t="array" ref="S1079">_xlfn.TEXTJOIN("、",TRUE,IF('學員資料-三重商工'!$B$2:$B$472=$F1079,'學員資料-三重商工'!$G$2:$G$472,""))</f>
        <v>09805946433</v>
      </c>
      <c r="T1079">
        <f t="shared" si="16"/>
        <v>1</v>
      </c>
    </row>
    <row r="1080" spans="1:20" ht="14.25" hidden="1" customHeight="1">
      <c r="A1080" s="15">
        <v>1079</v>
      </c>
      <c r="B1080" s="16" t="s">
        <v>3461</v>
      </c>
      <c r="C1080" s="17">
        <v>45864</v>
      </c>
      <c r="D1080" s="15" t="s">
        <v>3462</v>
      </c>
      <c r="E1080" s="23"/>
      <c r="F1080" s="19" t="s">
        <v>2581</v>
      </c>
      <c r="G1080" s="18" t="s">
        <v>2582</v>
      </c>
      <c r="H1080" s="20" t="s">
        <v>52</v>
      </c>
      <c r="I1080" s="15">
        <v>1</v>
      </c>
      <c r="J1080" s="15" t="s">
        <v>24</v>
      </c>
      <c r="K1080" s="15"/>
      <c r="L1080" s="21" t="s">
        <v>16</v>
      </c>
      <c r="M1080" s="22">
        <v>0</v>
      </c>
      <c r="N1080" s="22">
        <v>0</v>
      </c>
      <c r="O1080" s="22">
        <v>7500</v>
      </c>
      <c r="P1080" s="22">
        <v>7500</v>
      </c>
      <c r="Q1080" t="str" cm="1">
        <f t="array" ref="Q1080">_xlfn.TEXTJOIN("、",TRUE,IF('學員資料-三民高中'!$B$2:$B$454=$F1080,'學員資料-三民高中'!$G$2:$G$454,""))</f>
        <v/>
      </c>
      <c r="R1080" t="str" cm="1">
        <f t="array" ref="R1080">_xlfn.TEXTJOIN("、",TRUE,IF('學員資料-新北高中'!$B$2:$B$583=$F1080,'學員資料-新北高中'!$G$2:$G$583,""))</f>
        <v>0937159190</v>
      </c>
      <c r="S1080" t="str" cm="1">
        <f t="array" ref="S1080">_xlfn.TEXTJOIN("、",TRUE,IF('學員資料-三重商工'!$B$2:$B$472=$F1080,'學員資料-三重商工'!$G$2:$G$472,""))</f>
        <v/>
      </c>
      <c r="T1080">
        <f t="shared" si="16"/>
        <v>1</v>
      </c>
    </row>
    <row r="1081" spans="1:20" ht="14.25" hidden="1" customHeight="1">
      <c r="A1081" s="15">
        <v>1080</v>
      </c>
      <c r="B1081" s="16" t="s">
        <v>3463</v>
      </c>
      <c r="C1081" s="17">
        <v>45864</v>
      </c>
      <c r="D1081" s="15" t="s">
        <v>3464</v>
      </c>
      <c r="E1081" s="18" t="s">
        <v>44</v>
      </c>
      <c r="F1081" s="19" t="s">
        <v>3078</v>
      </c>
      <c r="G1081" s="18" t="s">
        <v>3079</v>
      </c>
      <c r="H1081" s="20" t="s">
        <v>66</v>
      </c>
      <c r="I1081" s="15">
        <v>1</v>
      </c>
      <c r="J1081" s="15" t="s">
        <v>23</v>
      </c>
      <c r="K1081" s="15"/>
      <c r="L1081" s="21" t="s">
        <v>16</v>
      </c>
      <c r="M1081" s="22">
        <v>0</v>
      </c>
      <c r="N1081" s="22">
        <v>0</v>
      </c>
      <c r="O1081" s="22">
        <v>6900</v>
      </c>
      <c r="P1081" s="22">
        <v>6900</v>
      </c>
      <c r="Q1081" t="str" cm="1">
        <f t="array" ref="Q1081">_xlfn.TEXTJOIN("、",TRUE,IF('學員資料-三民高中'!$B$2:$B$454=$F1081,'學員資料-三民高中'!$G$2:$G$454,""))</f>
        <v/>
      </c>
      <c r="R1081" t="str" cm="1">
        <f t="array" ref="R1081">_xlfn.TEXTJOIN("、",TRUE,IF('學員資料-新北高中'!$B$2:$B$583=$F1081,'學員資料-新北高中'!$G$2:$G$583,""))</f>
        <v/>
      </c>
      <c r="S1081" t="str" cm="1">
        <f t="array" ref="S1081">_xlfn.TEXTJOIN("、",TRUE,IF('學員資料-三重商工'!$B$2:$B$472=$F1081,'學員資料-三重商工'!$G$2:$G$472,""))</f>
        <v>0926472506</v>
      </c>
      <c r="T1081">
        <f t="shared" si="16"/>
        <v>1</v>
      </c>
    </row>
    <row r="1082" spans="1:20" ht="14.25" hidden="1" customHeight="1">
      <c r="A1082" s="15">
        <v>1081</v>
      </c>
      <c r="B1082" s="16" t="s">
        <v>3465</v>
      </c>
      <c r="C1082" s="17">
        <v>45864</v>
      </c>
      <c r="D1082" s="15" t="s">
        <v>3466</v>
      </c>
      <c r="E1082" s="18" t="s">
        <v>44</v>
      </c>
      <c r="F1082" s="19" t="s">
        <v>3467</v>
      </c>
      <c r="G1082" s="18" t="s">
        <v>3468</v>
      </c>
      <c r="H1082" s="20" t="s">
        <v>130</v>
      </c>
      <c r="I1082" s="15">
        <v>1</v>
      </c>
      <c r="J1082" s="15" t="s">
        <v>25</v>
      </c>
      <c r="K1082" s="15"/>
      <c r="L1082" s="21" t="s">
        <v>16</v>
      </c>
      <c r="M1082" s="22">
        <v>0</v>
      </c>
      <c r="N1082" s="22">
        <v>0</v>
      </c>
      <c r="O1082" s="22">
        <v>9900</v>
      </c>
      <c r="P1082" s="22">
        <v>9900</v>
      </c>
      <c r="Q1082" t="str" cm="1">
        <f t="array" ref="Q1082">_xlfn.TEXTJOIN("、",TRUE,IF('學員資料-三民高中'!$B$2:$B$454=$F1082,'學員資料-三民高中'!$G$2:$G$454,""))</f>
        <v/>
      </c>
      <c r="R1082" t="str" cm="1">
        <f t="array" ref="R1082">_xlfn.TEXTJOIN("、",TRUE,IF('學員資料-新北高中'!$B$2:$B$583=$F1082,'學員資料-新北高中'!$G$2:$G$583,""))</f>
        <v/>
      </c>
      <c r="S1082" t="str" cm="1">
        <f t="array" ref="S1082">_xlfn.TEXTJOIN("、",TRUE,IF('學員資料-三重商工'!$B$2:$B$472=$F1082,'學員資料-三重商工'!$G$2:$G$472,""))</f>
        <v>0922713907</v>
      </c>
      <c r="T1082">
        <f t="shared" si="16"/>
        <v>1</v>
      </c>
    </row>
    <row r="1083" spans="1:20" ht="14.25" hidden="1" customHeight="1">
      <c r="A1083" s="15">
        <v>1082</v>
      </c>
      <c r="B1083" s="16" t="s">
        <v>3469</v>
      </c>
      <c r="C1083" s="17">
        <v>45864</v>
      </c>
      <c r="D1083" s="15" t="s">
        <v>3470</v>
      </c>
      <c r="E1083" s="23"/>
      <c r="F1083" s="19" t="s">
        <v>3050</v>
      </c>
      <c r="G1083" s="18" t="s">
        <v>3051</v>
      </c>
      <c r="H1083" s="20" t="s">
        <v>52</v>
      </c>
      <c r="I1083" s="15">
        <v>1</v>
      </c>
      <c r="J1083" s="15" t="s">
        <v>24</v>
      </c>
      <c r="K1083" s="15"/>
      <c r="L1083" s="21" t="s">
        <v>16</v>
      </c>
      <c r="M1083" s="22">
        <v>0</v>
      </c>
      <c r="N1083" s="22">
        <v>0</v>
      </c>
      <c r="O1083" s="22">
        <v>7500</v>
      </c>
      <c r="P1083" s="22">
        <v>7500</v>
      </c>
      <c r="Q1083" t="str" cm="1">
        <f t="array" ref="Q1083">_xlfn.TEXTJOIN("、",TRUE,IF('學員資料-三民高中'!$B$2:$B$454=$F1083,'學員資料-三民高中'!$G$2:$G$454,""))</f>
        <v>0921867371</v>
      </c>
      <c r="R1083" t="str" cm="1">
        <f t="array" ref="R1083">_xlfn.TEXTJOIN("、",TRUE,IF('學員資料-新北高中'!$B$2:$B$583=$F1083,'學員資料-新北高中'!$G$2:$G$583,""))</f>
        <v/>
      </c>
      <c r="S1083" t="str" cm="1">
        <f t="array" ref="S1083">_xlfn.TEXTJOIN("、",TRUE,IF('學員資料-三重商工'!$B$2:$B$472=$F1083,'學員資料-三重商工'!$G$2:$G$472,""))</f>
        <v/>
      </c>
      <c r="T1083">
        <f t="shared" si="16"/>
        <v>1</v>
      </c>
    </row>
    <row r="1084" spans="1:20" ht="14.25" hidden="1" customHeight="1">
      <c r="A1084" s="15">
        <v>1083</v>
      </c>
      <c r="B1084" s="16" t="s">
        <v>3471</v>
      </c>
      <c r="C1084" s="17">
        <v>45864</v>
      </c>
      <c r="D1084" s="15" t="s">
        <v>3472</v>
      </c>
      <c r="E1084" s="23"/>
      <c r="F1084" s="19" t="s">
        <v>538</v>
      </c>
      <c r="G1084" s="18" t="s">
        <v>539</v>
      </c>
      <c r="H1084" s="20" t="s">
        <v>52</v>
      </c>
      <c r="I1084" s="15">
        <v>1</v>
      </c>
      <c r="J1084" s="15" t="s">
        <v>24</v>
      </c>
      <c r="K1084" s="15"/>
      <c r="L1084" s="21" t="s">
        <v>16</v>
      </c>
      <c r="M1084" s="22">
        <v>0</v>
      </c>
      <c r="N1084" s="22">
        <v>0</v>
      </c>
      <c r="O1084" s="22">
        <v>7500</v>
      </c>
      <c r="P1084" s="22">
        <v>7500</v>
      </c>
      <c r="Q1084" t="str" cm="1">
        <f t="array" ref="Q1084">_xlfn.TEXTJOIN("、",TRUE,IF('學員資料-三民高中'!$B$2:$B$454=$F1084,'學員資料-三民高中'!$G$2:$G$454,""))</f>
        <v>0939973562</v>
      </c>
      <c r="R1084" t="str" cm="1">
        <f t="array" ref="R1084">_xlfn.TEXTJOIN("、",TRUE,IF('學員資料-新北高中'!$B$2:$B$583=$F1084,'學員資料-新北高中'!$G$2:$G$583,""))</f>
        <v/>
      </c>
      <c r="S1084" t="str" cm="1">
        <f t="array" ref="S1084">_xlfn.TEXTJOIN("、",TRUE,IF('學員資料-三重商工'!$B$2:$B$472=$F1084,'學員資料-三重商工'!$G$2:$G$472,""))</f>
        <v/>
      </c>
      <c r="T1084">
        <f t="shared" si="16"/>
        <v>1</v>
      </c>
    </row>
    <row r="1085" spans="1:20" ht="28.5" hidden="1" customHeight="1">
      <c r="A1085" s="15">
        <v>1084</v>
      </c>
      <c r="B1085" s="16" t="s">
        <v>3473</v>
      </c>
      <c r="C1085" s="17">
        <v>45864</v>
      </c>
      <c r="D1085" s="15" t="s">
        <v>3474</v>
      </c>
      <c r="E1085" s="23"/>
      <c r="F1085" s="19" t="s">
        <v>1879</v>
      </c>
      <c r="G1085" s="18" t="s">
        <v>1880</v>
      </c>
      <c r="H1085" s="20" t="s">
        <v>99</v>
      </c>
      <c r="I1085" s="15">
        <v>2</v>
      </c>
      <c r="J1085" s="15" t="s">
        <v>24</v>
      </c>
      <c r="K1085" s="15"/>
      <c r="L1085" s="21" t="s">
        <v>16</v>
      </c>
      <c r="M1085" s="22">
        <v>0</v>
      </c>
      <c r="N1085" s="22">
        <v>0</v>
      </c>
      <c r="O1085" s="22">
        <v>15000</v>
      </c>
      <c r="P1085" s="22">
        <v>15000</v>
      </c>
      <c r="Q1085" t="str" cm="1">
        <f t="array" ref="Q1085">_xlfn.TEXTJOIN("、",TRUE,IF('學員資料-三民高中'!$B$2:$B$454=$F1085,'學員資料-三民高中'!$G$2:$G$454,""))</f>
        <v>0928223634</v>
      </c>
      <c r="R1085" t="str" cm="1">
        <f t="array" ref="R1085">_xlfn.TEXTJOIN("、",TRUE,IF('學員資料-新北高中'!$B$2:$B$583=$F1085,'學員資料-新北高中'!$G$2:$G$583,""))</f>
        <v/>
      </c>
      <c r="S1085" t="str" cm="1">
        <f t="array" ref="S1085">_xlfn.TEXTJOIN("、",TRUE,IF('學員資料-三重商工'!$B$2:$B$472=$F1085,'學員資料-三重商工'!$G$2:$G$472,""))</f>
        <v/>
      </c>
      <c r="T1085">
        <f t="shared" si="16"/>
        <v>1</v>
      </c>
    </row>
    <row r="1086" spans="1:20" ht="28.5" hidden="1" customHeight="1">
      <c r="A1086" s="15">
        <v>1085</v>
      </c>
      <c r="B1086" s="16" t="s">
        <v>3475</v>
      </c>
      <c r="C1086" s="17">
        <v>45863</v>
      </c>
      <c r="D1086" s="15" t="s">
        <v>3476</v>
      </c>
      <c r="E1086" s="18" t="s">
        <v>3477</v>
      </c>
      <c r="F1086" s="19" t="s">
        <v>3478</v>
      </c>
      <c r="G1086" s="18" t="s">
        <v>3479</v>
      </c>
      <c r="H1086" s="20" t="s">
        <v>726</v>
      </c>
      <c r="I1086" s="15">
        <v>2</v>
      </c>
      <c r="J1086" s="15" t="s">
        <v>24</v>
      </c>
      <c r="K1086" s="15"/>
      <c r="L1086" s="21" t="s">
        <v>16</v>
      </c>
      <c r="M1086" s="22">
        <v>0</v>
      </c>
      <c r="N1086" s="22">
        <v>0</v>
      </c>
      <c r="O1086" s="22">
        <v>18000</v>
      </c>
      <c r="P1086" s="22">
        <v>18000</v>
      </c>
      <c r="Q1086" t="str" cm="1">
        <f t="array" ref="Q1086">_xlfn.TEXTJOIN("、",TRUE,IF('學員資料-三民高中'!$B$2:$B$454=$F1086,'學員資料-三民高中'!$G$2:$G$454,""))</f>
        <v/>
      </c>
      <c r="R1086" t="str" cm="1">
        <f t="array" ref="R1086">_xlfn.TEXTJOIN("、",TRUE,IF('學員資料-新北高中'!$B$2:$B$583=$F1086,'學員資料-新北高中'!$G$2:$G$583,""))</f>
        <v>0933136491-1</v>
      </c>
      <c r="S1086" t="str" cm="1">
        <f t="array" ref="S1086">_xlfn.TEXTJOIN("、",TRUE,IF('學員資料-三重商工'!$B$2:$B$472=$F1086,'學員資料-三重商工'!$G$2:$G$472,""))</f>
        <v/>
      </c>
      <c r="T1086">
        <f t="shared" si="16"/>
        <v>1</v>
      </c>
    </row>
    <row r="1087" spans="1:20" ht="14.25" hidden="1" customHeight="1">
      <c r="A1087" s="15">
        <v>1086</v>
      </c>
      <c r="B1087" s="16" t="s">
        <v>3480</v>
      </c>
      <c r="C1087" s="17">
        <v>45863</v>
      </c>
      <c r="D1087" s="15" t="s">
        <v>3481</v>
      </c>
      <c r="E1087" s="23"/>
      <c r="F1087" s="19" t="s">
        <v>846</v>
      </c>
      <c r="G1087" s="18" t="s">
        <v>847</v>
      </c>
      <c r="H1087" s="20" t="s">
        <v>210</v>
      </c>
      <c r="I1087" s="15">
        <v>1</v>
      </c>
      <c r="J1087" s="15" t="s">
        <v>26</v>
      </c>
      <c r="K1087" s="15"/>
      <c r="L1087" s="21" t="s">
        <v>17</v>
      </c>
      <c r="M1087" s="22">
        <v>0</v>
      </c>
      <c r="N1087" s="22">
        <v>-600</v>
      </c>
      <c r="O1087" s="22">
        <v>11400</v>
      </c>
      <c r="P1087" s="22">
        <v>11400</v>
      </c>
      <c r="Q1087" t="str" cm="1">
        <f t="array" ref="Q1087">_xlfn.TEXTJOIN("、",TRUE,IF('學員資料-三民高中'!$B$2:$B$454=$F1087,'學員資料-三民高中'!$G$2:$G$454,""))</f>
        <v/>
      </c>
      <c r="R1087" t="str" cm="1">
        <f t="array" ref="R1087">_xlfn.TEXTJOIN("、",TRUE,IF('學員資料-新北高中'!$B$2:$B$583=$F1087,'學員資料-新北高中'!$G$2:$G$583,""))</f>
        <v/>
      </c>
      <c r="S1087" t="str" cm="1">
        <f t="array" ref="S1087">_xlfn.TEXTJOIN("、",TRUE,IF('學員資料-三重商工'!$B$2:$B$472=$F1087,'學員資料-三重商工'!$G$2:$G$472,""))</f>
        <v>0928579181</v>
      </c>
      <c r="T1087">
        <f t="shared" si="16"/>
        <v>1</v>
      </c>
    </row>
    <row r="1088" spans="1:20" ht="28.5" hidden="1" customHeight="1">
      <c r="A1088" s="15">
        <v>1087</v>
      </c>
      <c r="B1088" s="16" t="s">
        <v>3482</v>
      </c>
      <c r="C1088" s="17">
        <v>45863</v>
      </c>
      <c r="D1088" s="15" t="s">
        <v>3483</v>
      </c>
      <c r="E1088" s="23"/>
      <c r="F1088" s="19" t="s">
        <v>3484</v>
      </c>
      <c r="G1088" s="18" t="s">
        <v>3485</v>
      </c>
      <c r="H1088" s="20" t="s">
        <v>99</v>
      </c>
      <c r="I1088" s="15">
        <v>2</v>
      </c>
      <c r="J1088" s="15" t="s">
        <v>24</v>
      </c>
      <c r="K1088" s="15"/>
      <c r="L1088" s="21" t="s">
        <v>16</v>
      </c>
      <c r="M1088" s="22">
        <v>0</v>
      </c>
      <c r="N1088" s="22">
        <v>0</v>
      </c>
      <c r="O1088" s="22">
        <v>15000</v>
      </c>
      <c r="P1088" s="22">
        <v>15000</v>
      </c>
      <c r="Q1088" t="str" cm="1">
        <f t="array" ref="Q1088">_xlfn.TEXTJOIN("、",TRUE,IF('學員資料-三民高中'!$B$2:$B$454=$F1088,'學員資料-三民高中'!$G$2:$G$454,""))</f>
        <v/>
      </c>
      <c r="R1088" t="str" cm="1">
        <f t="array" ref="R1088">_xlfn.TEXTJOIN("、",TRUE,IF('學員資料-新北高中'!$B$2:$B$583=$F1088,'學員資料-新北高中'!$G$2:$G$583,""))</f>
        <v/>
      </c>
      <c r="S1088" t="str" cm="1">
        <f t="array" ref="S1088">_xlfn.TEXTJOIN("、",TRUE,IF('學員資料-三重商工'!$B$2:$B$472=$F1088,'學員資料-三重商工'!$G$2:$G$472,""))</f>
        <v>0919501937</v>
      </c>
      <c r="T1088">
        <f t="shared" si="16"/>
        <v>1</v>
      </c>
    </row>
    <row r="1089" spans="1:20" ht="14.25" hidden="1" customHeight="1">
      <c r="A1089" s="15">
        <v>1088</v>
      </c>
      <c r="B1089" s="16" t="s">
        <v>3486</v>
      </c>
      <c r="C1089" s="17">
        <v>45862</v>
      </c>
      <c r="D1089" s="15" t="s">
        <v>3487</v>
      </c>
      <c r="E1089" s="18" t="s">
        <v>78</v>
      </c>
      <c r="F1089" s="19" t="s">
        <v>3488</v>
      </c>
      <c r="G1089" s="18" t="s">
        <v>3489</v>
      </c>
      <c r="H1089" s="20" t="s">
        <v>130</v>
      </c>
      <c r="I1089" s="15">
        <v>1</v>
      </c>
      <c r="J1089" s="15" t="s">
        <v>25</v>
      </c>
      <c r="K1089" s="15"/>
      <c r="L1089" s="21" t="s">
        <v>16</v>
      </c>
      <c r="M1089" s="22">
        <v>0</v>
      </c>
      <c r="N1089" s="22">
        <v>0</v>
      </c>
      <c r="O1089" s="22">
        <v>9900</v>
      </c>
      <c r="P1089" s="22">
        <v>9900</v>
      </c>
      <c r="Q1089" t="str" cm="1">
        <f t="array" ref="Q1089">_xlfn.TEXTJOIN("、",TRUE,IF('學員資料-三民高中'!$B$2:$B$454=$F1089,'學員資料-三民高中'!$G$2:$G$454,""))</f>
        <v/>
      </c>
      <c r="R1089" t="str" cm="1">
        <f t="array" ref="R1089">_xlfn.TEXTJOIN("、",TRUE,IF('學員資料-新北高中'!$B$2:$B$583=$F1089,'學員資料-新北高中'!$G$2:$G$583,""))</f>
        <v>0908553878</v>
      </c>
      <c r="S1089" t="str" cm="1">
        <f t="array" ref="S1089">_xlfn.TEXTJOIN("、",TRUE,IF('學員資料-三重商工'!$B$2:$B$472=$F1089,'學員資料-三重商工'!$G$2:$G$472,""))</f>
        <v/>
      </c>
      <c r="T1089">
        <f t="shared" si="16"/>
        <v>1</v>
      </c>
    </row>
    <row r="1090" spans="1:20" ht="14.25" hidden="1" customHeight="1">
      <c r="A1090" s="15">
        <v>1089</v>
      </c>
      <c r="B1090" s="16" t="s">
        <v>3490</v>
      </c>
      <c r="C1090" s="17">
        <v>45862</v>
      </c>
      <c r="D1090" s="15" t="s">
        <v>3491</v>
      </c>
      <c r="E1090" s="18" t="s">
        <v>763</v>
      </c>
      <c r="F1090" s="19" t="s">
        <v>175</v>
      </c>
      <c r="G1090" s="18" t="s">
        <v>176</v>
      </c>
      <c r="H1090" s="20" t="s">
        <v>130</v>
      </c>
      <c r="I1090" s="15">
        <v>1</v>
      </c>
      <c r="J1090" s="15" t="s">
        <v>25</v>
      </c>
      <c r="K1090" s="15"/>
      <c r="L1090" s="21" t="s">
        <v>16</v>
      </c>
      <c r="M1090" s="22">
        <v>0</v>
      </c>
      <c r="N1090" s="22">
        <v>0</v>
      </c>
      <c r="O1090" s="22">
        <v>9900</v>
      </c>
      <c r="P1090" s="22">
        <v>9900</v>
      </c>
      <c r="Q1090" t="str" cm="1">
        <f t="array" ref="Q1090">_xlfn.TEXTJOIN("、",TRUE,IF('學員資料-三民高中'!$B$2:$B$454=$F1090,'學員資料-三民高中'!$G$2:$G$454,""))</f>
        <v>0919360553</v>
      </c>
      <c r="R1090" t="str" cm="1">
        <f t="array" ref="R1090">_xlfn.TEXTJOIN("、",TRUE,IF('學員資料-新北高中'!$B$2:$B$583=$F1090,'學員資料-新北高中'!$G$2:$G$583,""))</f>
        <v/>
      </c>
      <c r="S1090" t="str" cm="1">
        <f t="array" ref="S1090">_xlfn.TEXTJOIN("、",TRUE,IF('學員資料-三重商工'!$B$2:$B$472=$F1090,'學員資料-三重商工'!$G$2:$G$472,""))</f>
        <v/>
      </c>
      <c r="T1090">
        <f t="shared" si="16"/>
        <v>1</v>
      </c>
    </row>
    <row r="1091" spans="1:20" ht="14.25" hidden="1" customHeight="1">
      <c r="A1091" s="15">
        <v>1090</v>
      </c>
      <c r="B1091" s="16" t="s">
        <v>3492</v>
      </c>
      <c r="C1091" s="17">
        <v>45862</v>
      </c>
      <c r="D1091" s="15" t="s">
        <v>3493</v>
      </c>
      <c r="E1091" s="23"/>
      <c r="F1091" s="19" t="s">
        <v>631</v>
      </c>
      <c r="G1091" s="18" t="s">
        <v>632</v>
      </c>
      <c r="H1091" s="20" t="s">
        <v>52</v>
      </c>
      <c r="I1091" s="15">
        <v>1</v>
      </c>
      <c r="J1091" s="15" t="s">
        <v>24</v>
      </c>
      <c r="K1091" s="15"/>
      <c r="L1091" s="21" t="s">
        <v>16</v>
      </c>
      <c r="M1091" s="22">
        <v>0</v>
      </c>
      <c r="N1091" s="22">
        <v>0</v>
      </c>
      <c r="O1091" s="22">
        <v>7500</v>
      </c>
      <c r="P1091" s="22">
        <v>7500</v>
      </c>
      <c r="Q1091" t="str" cm="1">
        <f t="array" ref="Q1091">_xlfn.TEXTJOIN("、",TRUE,IF('學員資料-三民高中'!$B$2:$B$454=$F1091,'學員資料-三民高中'!$G$2:$G$454,""))</f>
        <v/>
      </c>
      <c r="R1091" t="str" cm="1">
        <f t="array" ref="R1091">_xlfn.TEXTJOIN("、",TRUE,IF('學員資料-新北高中'!$B$2:$B$583=$F1091,'學員資料-新北高中'!$G$2:$G$583,""))</f>
        <v/>
      </c>
      <c r="S1091" t="str" cm="1">
        <f t="array" ref="S1091">_xlfn.TEXTJOIN("、",TRUE,IF('學員資料-三重商工'!$B$2:$B$472=$F1091,'學員資料-三重商工'!$G$2:$G$472,""))</f>
        <v>0939272316</v>
      </c>
      <c r="T1091">
        <f t="shared" ref="T1091:T1154" si="17">3-COUNTBLANK(Q1091:S1091)</f>
        <v>1</v>
      </c>
    </row>
    <row r="1092" spans="1:20" ht="14.25" hidden="1" customHeight="1">
      <c r="A1092" s="15">
        <v>1091</v>
      </c>
      <c r="B1092" s="16" t="s">
        <v>3494</v>
      </c>
      <c r="C1092" s="17">
        <v>45862</v>
      </c>
      <c r="D1092" s="15" t="s">
        <v>3495</v>
      </c>
      <c r="E1092" s="23"/>
      <c r="F1092" s="19" t="s">
        <v>577</v>
      </c>
      <c r="G1092" s="18" t="s">
        <v>578</v>
      </c>
      <c r="H1092" s="20" t="s">
        <v>52</v>
      </c>
      <c r="I1092" s="15">
        <v>1</v>
      </c>
      <c r="J1092" s="15" t="s">
        <v>24</v>
      </c>
      <c r="K1092" s="15"/>
      <c r="L1092" s="21" t="s">
        <v>16</v>
      </c>
      <c r="M1092" s="22">
        <v>0</v>
      </c>
      <c r="N1092" s="22">
        <v>0</v>
      </c>
      <c r="O1092" s="22">
        <v>7500</v>
      </c>
      <c r="P1092" s="22">
        <v>7500</v>
      </c>
      <c r="Q1092" t="str" cm="1">
        <f t="array" ref="Q1092">_xlfn.TEXTJOIN("、",TRUE,IF('學員資料-三民高中'!$B$2:$B$454=$F1092,'學員資料-三民高中'!$G$2:$G$454,""))</f>
        <v/>
      </c>
      <c r="R1092" t="str" cm="1">
        <f t="array" ref="R1092">_xlfn.TEXTJOIN("、",TRUE,IF('學員資料-新北高中'!$B$2:$B$583=$F1092,'學員資料-新北高中'!$G$2:$G$583,""))</f>
        <v>0920310727</v>
      </c>
      <c r="S1092" t="str" cm="1">
        <f t="array" ref="S1092">_xlfn.TEXTJOIN("、",TRUE,IF('學員資料-三重商工'!$B$2:$B$472=$F1092,'學員資料-三重商工'!$G$2:$G$472,""))</f>
        <v/>
      </c>
      <c r="T1092">
        <f t="shared" si="17"/>
        <v>1</v>
      </c>
    </row>
    <row r="1093" spans="1:20" ht="14.25" hidden="1" customHeight="1">
      <c r="A1093" s="15">
        <v>1092</v>
      </c>
      <c r="B1093" s="16" t="s">
        <v>3496</v>
      </c>
      <c r="C1093" s="17">
        <v>45862</v>
      </c>
      <c r="D1093" s="15" t="s">
        <v>3497</v>
      </c>
      <c r="E1093" s="23"/>
      <c r="F1093" s="19" t="s">
        <v>882</v>
      </c>
      <c r="G1093" s="18" t="s">
        <v>883</v>
      </c>
      <c r="H1093" s="20" t="s">
        <v>2984</v>
      </c>
      <c r="I1093" s="15">
        <v>1</v>
      </c>
      <c r="J1093" s="15" t="s">
        <v>24</v>
      </c>
      <c r="K1093" s="21" t="s">
        <v>116</v>
      </c>
      <c r="L1093" s="21" t="s">
        <v>16</v>
      </c>
      <c r="M1093" s="22">
        <v>0</v>
      </c>
      <c r="N1093" s="22">
        <v>0</v>
      </c>
      <c r="O1093" s="22">
        <v>1400</v>
      </c>
      <c r="P1093" s="22">
        <v>1400</v>
      </c>
      <c r="Q1093" t="str" cm="1">
        <f t="array" ref="Q1093">_xlfn.TEXTJOIN("、",TRUE,IF('學員資料-三民高中'!$B$2:$B$454=$F1093,'學員資料-三民高中'!$G$2:$G$454,""))</f>
        <v>0972380184</v>
      </c>
      <c r="R1093" t="str" cm="1">
        <f t="array" ref="R1093">_xlfn.TEXTJOIN("、",TRUE,IF('學員資料-新北高中'!$B$2:$B$583=$F1093,'學員資料-新北高中'!$G$2:$G$583,""))</f>
        <v/>
      </c>
      <c r="S1093" t="str" cm="1">
        <f t="array" ref="S1093">_xlfn.TEXTJOIN("、",TRUE,IF('學員資料-三重商工'!$B$2:$B$472=$F1093,'學員資料-三重商工'!$G$2:$G$472,""))</f>
        <v/>
      </c>
      <c r="T1093">
        <f t="shared" si="17"/>
        <v>1</v>
      </c>
    </row>
    <row r="1094" spans="1:20" ht="14.25" hidden="1" customHeight="1">
      <c r="A1094" s="15">
        <v>1093</v>
      </c>
      <c r="B1094" s="16" t="s">
        <v>3498</v>
      </c>
      <c r="C1094" s="17">
        <v>45861</v>
      </c>
      <c r="D1094" s="15" t="s">
        <v>3499</v>
      </c>
      <c r="E1094" s="23"/>
      <c r="F1094" s="19" t="s">
        <v>3500</v>
      </c>
      <c r="G1094" s="18" t="s">
        <v>3501</v>
      </c>
      <c r="H1094" s="20" t="s">
        <v>130</v>
      </c>
      <c r="I1094" s="15">
        <v>1</v>
      </c>
      <c r="J1094" s="15" t="s">
        <v>25</v>
      </c>
      <c r="K1094" s="15"/>
      <c r="L1094" s="21" t="s">
        <v>16</v>
      </c>
      <c r="M1094" s="22">
        <v>0</v>
      </c>
      <c r="N1094" s="22">
        <v>0</v>
      </c>
      <c r="O1094" s="22">
        <v>9900</v>
      </c>
      <c r="P1094" s="22">
        <v>9900</v>
      </c>
      <c r="Q1094" t="str" cm="1">
        <f t="array" ref="Q1094">_xlfn.TEXTJOIN("、",TRUE,IF('學員資料-三民高中'!$B$2:$B$454=$F1094,'學員資料-三民高中'!$G$2:$G$454,""))</f>
        <v/>
      </c>
      <c r="R1094" t="str" cm="1">
        <f t="array" ref="R1094">_xlfn.TEXTJOIN("、",TRUE,IF('學員資料-新北高中'!$B$2:$B$583=$F1094,'學員資料-新北高中'!$G$2:$G$583,""))</f>
        <v/>
      </c>
      <c r="S1094" t="str" cm="1">
        <f t="array" ref="S1094">_xlfn.TEXTJOIN("、",TRUE,IF('學員資料-三重商工'!$B$2:$B$472=$F1094,'學員資料-三重商工'!$G$2:$G$472,""))</f>
        <v>0920073816</v>
      </c>
      <c r="T1094">
        <f t="shared" si="17"/>
        <v>1</v>
      </c>
    </row>
    <row r="1095" spans="1:20" ht="14.25" hidden="1" customHeight="1">
      <c r="A1095" s="15">
        <v>1094</v>
      </c>
      <c r="B1095" s="16" t="s">
        <v>3502</v>
      </c>
      <c r="C1095" s="17">
        <v>45861</v>
      </c>
      <c r="D1095" s="15" t="s">
        <v>3503</v>
      </c>
      <c r="E1095" s="18" t="s">
        <v>78</v>
      </c>
      <c r="F1095" s="19" t="s">
        <v>3504</v>
      </c>
      <c r="G1095" s="18" t="s">
        <v>3505</v>
      </c>
      <c r="H1095" s="20" t="s">
        <v>52</v>
      </c>
      <c r="I1095" s="15">
        <v>1</v>
      </c>
      <c r="J1095" s="15" t="s">
        <v>24</v>
      </c>
      <c r="K1095" s="15"/>
      <c r="L1095" s="21" t="s">
        <v>16</v>
      </c>
      <c r="M1095" s="22">
        <v>0</v>
      </c>
      <c r="N1095" s="22">
        <v>0</v>
      </c>
      <c r="O1095" s="22">
        <v>7500</v>
      </c>
      <c r="P1095" s="22">
        <v>7500</v>
      </c>
      <c r="Q1095" t="str" cm="1">
        <f t="array" ref="Q1095">_xlfn.TEXTJOIN("、",TRUE,IF('學員資料-三民高中'!$B$2:$B$454=$F1095,'學員資料-三民高中'!$G$2:$G$454,""))</f>
        <v/>
      </c>
      <c r="R1095" t="str" cm="1">
        <f t="array" ref="R1095">_xlfn.TEXTJOIN("、",TRUE,IF('學員資料-新北高中'!$B$2:$B$583=$F1095,'學員資料-新北高中'!$G$2:$G$583,""))</f>
        <v>29717663</v>
      </c>
      <c r="S1095" t="str" cm="1">
        <f t="array" ref="S1095">_xlfn.TEXTJOIN("、",TRUE,IF('學員資料-三重商工'!$B$2:$B$472=$F1095,'學員資料-三重商工'!$G$2:$G$472,""))</f>
        <v/>
      </c>
      <c r="T1095">
        <f t="shared" si="17"/>
        <v>1</v>
      </c>
    </row>
    <row r="1096" spans="1:20" ht="14.25" hidden="1" customHeight="1">
      <c r="A1096" s="15">
        <v>1095</v>
      </c>
      <c r="B1096" s="16" t="s">
        <v>3506</v>
      </c>
      <c r="C1096" s="17">
        <v>45861</v>
      </c>
      <c r="D1096" s="15" t="s">
        <v>3507</v>
      </c>
      <c r="E1096" s="23"/>
      <c r="F1096" s="19" t="s">
        <v>622</v>
      </c>
      <c r="G1096" s="18" t="s">
        <v>623</v>
      </c>
      <c r="H1096" s="20" t="s">
        <v>52</v>
      </c>
      <c r="I1096" s="15">
        <v>1</v>
      </c>
      <c r="J1096" s="15" t="s">
        <v>24</v>
      </c>
      <c r="K1096" s="15"/>
      <c r="L1096" s="21" t="s">
        <v>16</v>
      </c>
      <c r="M1096" s="22">
        <v>0</v>
      </c>
      <c r="N1096" s="22">
        <v>0</v>
      </c>
      <c r="O1096" s="22">
        <v>7500</v>
      </c>
      <c r="P1096" s="22">
        <v>7500</v>
      </c>
      <c r="Q1096" t="str" cm="1">
        <f t="array" ref="Q1096">_xlfn.TEXTJOIN("、",TRUE,IF('學員資料-三民高中'!$B$2:$B$454=$F1096,'學員資料-三民高中'!$G$2:$G$454,""))</f>
        <v/>
      </c>
      <c r="R1096" t="str" cm="1">
        <f t="array" ref="R1096">_xlfn.TEXTJOIN("、",TRUE,IF('學員資料-新北高中'!$B$2:$B$583=$F1096,'學員資料-新北高中'!$G$2:$G$583,""))</f>
        <v/>
      </c>
      <c r="S1096" t="str" cm="1">
        <f t="array" ref="S1096">_xlfn.TEXTJOIN("、",TRUE,IF('學員資料-三重商工'!$B$2:$B$472=$F1096,'學員資料-三重商工'!$G$2:$G$472,""))</f>
        <v>0989564153</v>
      </c>
      <c r="T1096">
        <f t="shared" si="17"/>
        <v>1</v>
      </c>
    </row>
    <row r="1097" spans="1:20" ht="14.25" hidden="1" customHeight="1">
      <c r="A1097" s="15">
        <v>1096</v>
      </c>
      <c r="B1097" s="16" t="s">
        <v>3508</v>
      </c>
      <c r="C1097" s="17">
        <v>45861</v>
      </c>
      <c r="D1097" s="15" t="s">
        <v>3509</v>
      </c>
      <c r="E1097" s="23"/>
      <c r="F1097" s="19" t="s">
        <v>3430</v>
      </c>
      <c r="G1097" s="18" t="s">
        <v>3431</v>
      </c>
      <c r="H1097" s="20" t="s">
        <v>66</v>
      </c>
      <c r="I1097" s="15">
        <v>1</v>
      </c>
      <c r="J1097" s="15" t="s">
        <v>23</v>
      </c>
      <c r="K1097" s="15"/>
      <c r="L1097" s="21" t="s">
        <v>16</v>
      </c>
      <c r="M1097" s="22">
        <v>0</v>
      </c>
      <c r="N1097" s="22">
        <v>-2760</v>
      </c>
      <c r="O1097" s="22">
        <v>4140</v>
      </c>
      <c r="P1097" s="22">
        <v>4140</v>
      </c>
      <c r="Q1097" t="str" cm="1">
        <f t="array" ref="Q1097">_xlfn.TEXTJOIN("、",TRUE,IF('學員資料-三民高中'!$B$2:$B$454=$F1097,'學員資料-三民高中'!$G$2:$G$454,""))</f>
        <v/>
      </c>
      <c r="R1097" t="str" cm="1">
        <f t="array" ref="R1097">_xlfn.TEXTJOIN("、",TRUE,IF('學員資料-新北高中'!$B$2:$B$583=$F1097,'學員資料-新北高中'!$G$2:$G$583,""))</f>
        <v/>
      </c>
      <c r="S1097" t="str" cm="1">
        <f t="array" ref="S1097">_xlfn.TEXTJOIN("、",TRUE,IF('學員資料-三重商工'!$B$2:$B$472=$F1097,'學員資料-三重商工'!$G$2:$G$472,""))</f>
        <v>0920698620</v>
      </c>
      <c r="T1097">
        <f t="shared" si="17"/>
        <v>1</v>
      </c>
    </row>
    <row r="1098" spans="1:20" ht="14.25" hidden="1" customHeight="1">
      <c r="A1098" s="15">
        <v>1097</v>
      </c>
      <c r="B1098" s="16" t="s">
        <v>3510</v>
      </c>
      <c r="C1098" s="17">
        <v>45861</v>
      </c>
      <c r="D1098" s="15" t="s">
        <v>3511</v>
      </c>
      <c r="E1098" s="18" t="s">
        <v>537</v>
      </c>
      <c r="F1098" s="19" t="s">
        <v>3512</v>
      </c>
      <c r="G1098" s="18" t="s">
        <v>3513</v>
      </c>
      <c r="H1098" s="20" t="s">
        <v>3514</v>
      </c>
      <c r="I1098" s="15">
        <v>1</v>
      </c>
      <c r="J1098" s="15" t="s">
        <v>26</v>
      </c>
      <c r="K1098" s="15"/>
      <c r="L1098" s="21" t="s">
        <v>16</v>
      </c>
      <c r="M1098" s="22">
        <v>0</v>
      </c>
      <c r="N1098" s="22">
        <v>-9000</v>
      </c>
      <c r="O1098" s="22">
        <v>9000</v>
      </c>
      <c r="P1098" s="22">
        <v>9000</v>
      </c>
      <c r="Q1098" t="str" cm="1">
        <f t="array" ref="Q1098">_xlfn.TEXTJOIN("、",TRUE,IF('學員資料-三民高中'!$B$2:$B$454=$F1098,'學員資料-三民高中'!$G$2:$G$454,""))</f>
        <v/>
      </c>
      <c r="R1098" t="str" cm="1">
        <f t="array" ref="R1098">_xlfn.TEXTJOIN("、",TRUE,IF('學員資料-新北高中'!$B$2:$B$583=$F1098,'學員資料-新北高中'!$G$2:$G$583,""))</f>
        <v>0953070855</v>
      </c>
      <c r="S1098" t="str" cm="1">
        <f t="array" ref="S1098">_xlfn.TEXTJOIN("、",TRUE,IF('學員資料-三重商工'!$B$2:$B$472=$F1098,'學員資料-三重商工'!$G$2:$G$472,""))</f>
        <v/>
      </c>
      <c r="T1098">
        <f t="shared" si="17"/>
        <v>1</v>
      </c>
    </row>
    <row r="1099" spans="1:20" ht="14.25" hidden="1" customHeight="1">
      <c r="A1099" s="15">
        <v>1098</v>
      </c>
      <c r="B1099" s="16" t="s">
        <v>3515</v>
      </c>
      <c r="C1099" s="17">
        <v>45861</v>
      </c>
      <c r="D1099" s="15" t="s">
        <v>3516</v>
      </c>
      <c r="E1099" s="23"/>
      <c r="F1099" s="19" t="s">
        <v>3517</v>
      </c>
      <c r="G1099" s="18" t="s">
        <v>3518</v>
      </c>
      <c r="H1099" s="20" t="s">
        <v>52</v>
      </c>
      <c r="I1099" s="15">
        <v>1</v>
      </c>
      <c r="J1099" s="15" t="s">
        <v>24</v>
      </c>
      <c r="K1099" s="15"/>
      <c r="L1099" s="21" t="s">
        <v>16</v>
      </c>
      <c r="M1099" s="22">
        <v>0</v>
      </c>
      <c r="N1099" s="22">
        <v>0</v>
      </c>
      <c r="O1099" s="22">
        <v>7500</v>
      </c>
      <c r="P1099" s="22">
        <v>7500</v>
      </c>
      <c r="Q1099" t="str" cm="1">
        <f t="array" ref="Q1099">_xlfn.TEXTJOIN("、",TRUE,IF('學員資料-三民高中'!$B$2:$B$454=$F1099,'學員資料-三民高中'!$G$2:$G$454,""))</f>
        <v>0934183933</v>
      </c>
      <c r="R1099" t="str" cm="1">
        <f t="array" ref="R1099">_xlfn.TEXTJOIN("、",TRUE,IF('學員資料-新北高中'!$B$2:$B$583=$F1099,'學員資料-新北高中'!$G$2:$G$583,""))</f>
        <v/>
      </c>
      <c r="S1099" t="str" cm="1">
        <f t="array" ref="S1099">_xlfn.TEXTJOIN("、",TRUE,IF('學員資料-三重商工'!$B$2:$B$472=$F1099,'學員資料-三重商工'!$G$2:$G$472,""))</f>
        <v/>
      </c>
      <c r="T1099">
        <f t="shared" si="17"/>
        <v>1</v>
      </c>
    </row>
    <row r="1100" spans="1:20" ht="14.25" hidden="1" customHeight="1">
      <c r="A1100" s="15">
        <v>1099</v>
      </c>
      <c r="B1100" s="16" t="s">
        <v>3519</v>
      </c>
      <c r="C1100" s="17">
        <v>45860</v>
      </c>
      <c r="D1100" s="15" t="s">
        <v>3520</v>
      </c>
      <c r="E1100" s="18" t="s">
        <v>78</v>
      </c>
      <c r="F1100" s="19" t="s">
        <v>3521</v>
      </c>
      <c r="G1100" s="18" t="s">
        <v>3522</v>
      </c>
      <c r="H1100" s="20" t="s">
        <v>266</v>
      </c>
      <c r="I1100" s="15">
        <v>1</v>
      </c>
      <c r="J1100" s="15" t="s">
        <v>24</v>
      </c>
      <c r="K1100" s="15"/>
      <c r="L1100" s="21" t="s">
        <v>16</v>
      </c>
      <c r="M1100" s="22">
        <v>0</v>
      </c>
      <c r="N1100" s="22">
        <v>0</v>
      </c>
      <c r="O1100" s="22">
        <v>10800</v>
      </c>
      <c r="P1100" s="22">
        <v>10800</v>
      </c>
      <c r="Q1100" t="str" cm="1">
        <f t="array" ref="Q1100">_xlfn.TEXTJOIN("、",TRUE,IF('學員資料-三民高中'!$B$2:$B$454=$F1100,'學員資料-三民高中'!$G$2:$G$454,""))</f>
        <v/>
      </c>
      <c r="R1100" t="str" cm="1">
        <f t="array" ref="R1100">_xlfn.TEXTJOIN("、",TRUE,IF('學員資料-新北高中'!$B$2:$B$583=$F1100,'學員資料-新北高中'!$G$2:$G$583,""))</f>
        <v>0987586782</v>
      </c>
      <c r="S1100" t="str" cm="1">
        <f t="array" ref="S1100">_xlfn.TEXTJOIN("、",TRUE,IF('學員資料-三重商工'!$B$2:$B$472=$F1100,'學員資料-三重商工'!$G$2:$G$472,""))</f>
        <v/>
      </c>
      <c r="T1100">
        <f t="shared" si="17"/>
        <v>1</v>
      </c>
    </row>
    <row r="1101" spans="1:20" ht="14.25" hidden="1" customHeight="1">
      <c r="A1101" s="15">
        <v>1100</v>
      </c>
      <c r="B1101" s="16" t="s">
        <v>3523</v>
      </c>
      <c r="C1101" s="17">
        <v>45860</v>
      </c>
      <c r="D1101" s="15" t="s">
        <v>3524</v>
      </c>
      <c r="E1101" s="18" t="s">
        <v>763</v>
      </c>
      <c r="F1101" s="19" t="s">
        <v>3525</v>
      </c>
      <c r="G1101" s="18" t="s">
        <v>3526</v>
      </c>
      <c r="H1101" s="20" t="s">
        <v>130</v>
      </c>
      <c r="I1101" s="15">
        <v>1</v>
      </c>
      <c r="J1101" s="15" t="s">
        <v>25</v>
      </c>
      <c r="K1101" s="15"/>
      <c r="L1101" s="21" t="s">
        <v>16</v>
      </c>
      <c r="M1101" s="22">
        <v>0</v>
      </c>
      <c r="N1101" s="22">
        <v>0</v>
      </c>
      <c r="O1101" s="22">
        <v>9900</v>
      </c>
      <c r="P1101" s="22">
        <v>9900</v>
      </c>
      <c r="Q1101" t="str" cm="1">
        <f t="array" ref="Q1101">_xlfn.TEXTJOIN("、",TRUE,IF('學員資料-三民高中'!$B$2:$B$454=$F1101,'學員資料-三民高中'!$G$2:$G$454,""))</f>
        <v>0971169988</v>
      </c>
      <c r="R1101" t="str" cm="1">
        <f t="array" ref="R1101">_xlfn.TEXTJOIN("、",TRUE,IF('學員資料-新北高中'!$B$2:$B$583=$F1101,'學員資料-新北高中'!$G$2:$G$583,""))</f>
        <v/>
      </c>
      <c r="S1101" t="str" cm="1">
        <f t="array" ref="S1101">_xlfn.TEXTJOIN("、",TRUE,IF('學員資料-三重商工'!$B$2:$B$472=$F1101,'學員資料-三重商工'!$G$2:$G$472,""))</f>
        <v/>
      </c>
      <c r="T1101">
        <f t="shared" si="17"/>
        <v>1</v>
      </c>
    </row>
    <row r="1102" spans="1:20" ht="14.25" hidden="1" customHeight="1">
      <c r="A1102" s="15">
        <v>1101</v>
      </c>
      <c r="B1102" s="16" t="s">
        <v>3527</v>
      </c>
      <c r="C1102" s="17">
        <v>45860</v>
      </c>
      <c r="D1102" s="15" t="s">
        <v>3528</v>
      </c>
      <c r="E1102" s="23"/>
      <c r="F1102" s="19" t="s">
        <v>3529</v>
      </c>
      <c r="G1102" s="18" t="s">
        <v>3530</v>
      </c>
      <c r="H1102" s="20" t="s">
        <v>52</v>
      </c>
      <c r="I1102" s="15">
        <v>1</v>
      </c>
      <c r="J1102" s="15" t="s">
        <v>24</v>
      </c>
      <c r="K1102" s="15"/>
      <c r="L1102" s="21" t="s">
        <v>16</v>
      </c>
      <c r="M1102" s="22">
        <v>0</v>
      </c>
      <c r="N1102" s="22">
        <v>0</v>
      </c>
      <c r="O1102" s="22">
        <v>7500</v>
      </c>
      <c r="P1102" s="22">
        <v>7500</v>
      </c>
      <c r="Q1102" t="str" cm="1">
        <f t="array" ref="Q1102">_xlfn.TEXTJOIN("、",TRUE,IF('學員資料-三民高中'!$B$2:$B$454=$F1102,'學員資料-三民高中'!$G$2:$G$454,""))</f>
        <v/>
      </c>
      <c r="R1102" t="str" cm="1">
        <f t="array" ref="R1102">_xlfn.TEXTJOIN("、",TRUE,IF('學員資料-新北高中'!$B$2:$B$583=$F1102,'學員資料-新北高中'!$G$2:$G$583,""))</f>
        <v/>
      </c>
      <c r="S1102" t="str" cm="1">
        <f t="array" ref="S1102">_xlfn.TEXTJOIN("、",TRUE,IF('學員資料-三重商工'!$B$2:$B$472=$F1102,'學員資料-三重商工'!$G$2:$G$472,""))</f>
        <v>0928627168</v>
      </c>
      <c r="T1102">
        <f t="shared" si="17"/>
        <v>1</v>
      </c>
    </row>
    <row r="1103" spans="1:20" ht="28.5" hidden="1" customHeight="1">
      <c r="A1103" s="15">
        <v>1102</v>
      </c>
      <c r="B1103" s="16" t="s">
        <v>3531</v>
      </c>
      <c r="C1103" s="17">
        <v>45860</v>
      </c>
      <c r="D1103" s="15" t="s">
        <v>3532</v>
      </c>
      <c r="E1103" s="23"/>
      <c r="F1103" s="19" t="s">
        <v>3533</v>
      </c>
      <c r="G1103" s="18" t="s">
        <v>3534</v>
      </c>
      <c r="H1103" s="20" t="s">
        <v>75</v>
      </c>
      <c r="I1103" s="15">
        <v>2</v>
      </c>
      <c r="J1103" s="15" t="s">
        <v>23</v>
      </c>
      <c r="K1103" s="15"/>
      <c r="L1103" s="21" t="s">
        <v>16</v>
      </c>
      <c r="M1103" s="22">
        <v>0</v>
      </c>
      <c r="N1103" s="22">
        <v>0</v>
      </c>
      <c r="O1103" s="22">
        <v>13800</v>
      </c>
      <c r="P1103" s="22">
        <v>13800</v>
      </c>
      <c r="Q1103" t="str" cm="1">
        <f t="array" ref="Q1103">_xlfn.TEXTJOIN("、",TRUE,IF('學員資料-三民高中'!$B$2:$B$454=$F1103,'學員資料-三民高中'!$G$2:$G$454,""))</f>
        <v/>
      </c>
      <c r="R1103" t="str" cm="1">
        <f t="array" ref="R1103">_xlfn.TEXTJOIN("、",TRUE,IF('學員資料-新北高中'!$B$2:$B$583=$F1103,'學員資料-新北高中'!$G$2:$G$583,""))</f>
        <v>0939999253</v>
      </c>
      <c r="S1103" t="str" cm="1">
        <f t="array" ref="S1103">_xlfn.TEXTJOIN("、",TRUE,IF('學員資料-三重商工'!$B$2:$B$472=$F1103,'學員資料-三重商工'!$G$2:$G$472,""))</f>
        <v/>
      </c>
      <c r="T1103">
        <f t="shared" si="17"/>
        <v>1</v>
      </c>
    </row>
    <row r="1104" spans="1:20" ht="14.25" hidden="1" customHeight="1">
      <c r="A1104" s="15">
        <v>1103</v>
      </c>
      <c r="B1104" s="16" t="s">
        <v>3535</v>
      </c>
      <c r="C1104" s="17">
        <v>45860</v>
      </c>
      <c r="D1104" s="15" t="s">
        <v>3536</v>
      </c>
      <c r="E1104" s="23"/>
      <c r="F1104" s="19" t="s">
        <v>2171</v>
      </c>
      <c r="G1104" s="18" t="s">
        <v>2172</v>
      </c>
      <c r="H1104" s="20" t="s">
        <v>66</v>
      </c>
      <c r="I1104" s="15">
        <v>1</v>
      </c>
      <c r="J1104" s="15" t="s">
        <v>23</v>
      </c>
      <c r="K1104" s="15"/>
      <c r="L1104" s="21" t="s">
        <v>16</v>
      </c>
      <c r="M1104" s="22">
        <v>0</v>
      </c>
      <c r="N1104" s="22">
        <v>0</v>
      </c>
      <c r="O1104" s="22">
        <v>6900</v>
      </c>
      <c r="P1104" s="22">
        <v>6900</v>
      </c>
      <c r="Q1104" t="str" cm="1">
        <f t="array" ref="Q1104">_xlfn.TEXTJOIN("、",TRUE,IF('學員資料-三民高中'!$B$2:$B$454=$F1104,'學員資料-三民高中'!$G$2:$G$454,""))</f>
        <v/>
      </c>
      <c r="R1104" t="str" cm="1">
        <f t="array" ref="R1104">_xlfn.TEXTJOIN("、",TRUE,IF('學員資料-新北高中'!$B$2:$B$583=$F1104,'學員資料-新北高中'!$G$2:$G$583,""))</f>
        <v>0917631641</v>
      </c>
      <c r="S1104" t="str" cm="1">
        <f t="array" ref="S1104">_xlfn.TEXTJOIN("、",TRUE,IF('學員資料-三重商工'!$B$2:$B$472=$F1104,'學員資料-三重商工'!$G$2:$G$472,""))</f>
        <v/>
      </c>
      <c r="T1104">
        <f t="shared" si="17"/>
        <v>1</v>
      </c>
    </row>
    <row r="1105" spans="1:20" ht="14.25" hidden="1" customHeight="1">
      <c r="A1105" s="15">
        <v>1104</v>
      </c>
      <c r="B1105" s="16" t="s">
        <v>3537</v>
      </c>
      <c r="C1105" s="17">
        <v>45860</v>
      </c>
      <c r="D1105" s="15" t="s">
        <v>3538</v>
      </c>
      <c r="E1105" s="23"/>
      <c r="F1105" s="19" t="s">
        <v>2171</v>
      </c>
      <c r="G1105" s="18" t="s">
        <v>2172</v>
      </c>
      <c r="H1105" s="20" t="s">
        <v>66</v>
      </c>
      <c r="I1105" s="15">
        <v>1</v>
      </c>
      <c r="J1105" s="15" t="s">
        <v>23</v>
      </c>
      <c r="K1105" s="15"/>
      <c r="L1105" s="21" t="s">
        <v>16</v>
      </c>
      <c r="M1105" s="22">
        <v>0</v>
      </c>
      <c r="N1105" s="22">
        <v>0</v>
      </c>
      <c r="O1105" s="22">
        <v>6900</v>
      </c>
      <c r="P1105" s="22">
        <v>6900</v>
      </c>
      <c r="Q1105" t="str" cm="1">
        <f t="array" ref="Q1105">_xlfn.TEXTJOIN("、",TRUE,IF('學員資料-三民高中'!$B$2:$B$454=$F1105,'學員資料-三民高中'!$G$2:$G$454,""))</f>
        <v/>
      </c>
      <c r="R1105" t="str" cm="1">
        <f t="array" ref="R1105">_xlfn.TEXTJOIN("、",TRUE,IF('學員資料-新北高中'!$B$2:$B$583=$F1105,'學員資料-新北高中'!$G$2:$G$583,""))</f>
        <v>0917631641</v>
      </c>
      <c r="S1105" t="str" cm="1">
        <f t="array" ref="S1105">_xlfn.TEXTJOIN("、",TRUE,IF('學員資料-三重商工'!$B$2:$B$472=$F1105,'學員資料-三重商工'!$G$2:$G$472,""))</f>
        <v/>
      </c>
      <c r="T1105">
        <f t="shared" si="17"/>
        <v>1</v>
      </c>
    </row>
    <row r="1106" spans="1:20" ht="14.25" hidden="1" customHeight="1">
      <c r="A1106" s="15">
        <v>1105</v>
      </c>
      <c r="B1106" s="16" t="s">
        <v>3539</v>
      </c>
      <c r="C1106" s="17">
        <v>45860</v>
      </c>
      <c r="D1106" s="15" t="s">
        <v>3540</v>
      </c>
      <c r="E1106" s="23"/>
      <c r="F1106" s="19" t="s">
        <v>3541</v>
      </c>
      <c r="G1106" s="18" t="s">
        <v>3542</v>
      </c>
      <c r="H1106" s="20" t="s">
        <v>52</v>
      </c>
      <c r="I1106" s="15">
        <v>1</v>
      </c>
      <c r="J1106" s="15" t="s">
        <v>24</v>
      </c>
      <c r="K1106" s="15"/>
      <c r="L1106" s="21" t="s">
        <v>16</v>
      </c>
      <c r="M1106" s="22">
        <v>0</v>
      </c>
      <c r="N1106" s="22">
        <v>0</v>
      </c>
      <c r="O1106" s="22">
        <v>7500</v>
      </c>
      <c r="P1106" s="22">
        <v>7500</v>
      </c>
      <c r="Q1106" t="str" cm="1">
        <f t="array" ref="Q1106">_xlfn.TEXTJOIN("、",TRUE,IF('學員資料-三民高中'!$B$2:$B$454=$F1106,'學員資料-三民高中'!$G$2:$G$454,""))</f>
        <v/>
      </c>
      <c r="R1106" t="str" cm="1">
        <f t="array" ref="R1106">_xlfn.TEXTJOIN("、",TRUE,IF('學員資料-新北高中'!$B$2:$B$583=$F1106,'學員資料-新北高中'!$G$2:$G$583,""))</f>
        <v>0933073831</v>
      </c>
      <c r="S1106" t="str" cm="1">
        <f t="array" ref="S1106">_xlfn.TEXTJOIN("、",TRUE,IF('學員資料-三重商工'!$B$2:$B$472=$F1106,'學員資料-三重商工'!$G$2:$G$472,""))</f>
        <v/>
      </c>
      <c r="T1106">
        <f t="shared" si="17"/>
        <v>1</v>
      </c>
    </row>
    <row r="1107" spans="1:20" ht="14.25" hidden="1" customHeight="1">
      <c r="A1107" s="15">
        <v>1106</v>
      </c>
      <c r="B1107" s="16" t="s">
        <v>3543</v>
      </c>
      <c r="C1107" s="17">
        <v>45860</v>
      </c>
      <c r="D1107" s="15" t="s">
        <v>3544</v>
      </c>
      <c r="E1107" s="23"/>
      <c r="F1107" s="19" t="s">
        <v>882</v>
      </c>
      <c r="G1107" s="18" t="s">
        <v>883</v>
      </c>
      <c r="H1107" s="20" t="s">
        <v>2984</v>
      </c>
      <c r="I1107" s="15">
        <v>1</v>
      </c>
      <c r="J1107" s="15" t="s">
        <v>24</v>
      </c>
      <c r="K1107" s="21" t="s">
        <v>116</v>
      </c>
      <c r="L1107" s="21" t="s">
        <v>16</v>
      </c>
      <c r="M1107" s="22">
        <v>0</v>
      </c>
      <c r="N1107" s="22">
        <v>0</v>
      </c>
      <c r="O1107" s="22">
        <v>1400</v>
      </c>
      <c r="P1107" s="22">
        <v>1400</v>
      </c>
      <c r="Q1107" t="str" cm="1">
        <f t="array" ref="Q1107">_xlfn.TEXTJOIN("、",TRUE,IF('學員資料-三民高中'!$B$2:$B$454=$F1107,'學員資料-三民高中'!$G$2:$G$454,""))</f>
        <v>0972380184</v>
      </c>
      <c r="R1107" t="str" cm="1">
        <f t="array" ref="R1107">_xlfn.TEXTJOIN("、",TRUE,IF('學員資料-新北高中'!$B$2:$B$583=$F1107,'學員資料-新北高中'!$G$2:$G$583,""))</f>
        <v/>
      </c>
      <c r="S1107" t="str" cm="1">
        <f t="array" ref="S1107">_xlfn.TEXTJOIN("、",TRUE,IF('學員資料-三重商工'!$B$2:$B$472=$F1107,'學員資料-三重商工'!$G$2:$G$472,""))</f>
        <v/>
      </c>
      <c r="T1107">
        <f t="shared" si="17"/>
        <v>1</v>
      </c>
    </row>
    <row r="1108" spans="1:20" ht="14.25" hidden="1" customHeight="1">
      <c r="A1108" s="15">
        <v>1107</v>
      </c>
      <c r="B1108" s="16" t="s">
        <v>3545</v>
      </c>
      <c r="C1108" s="17">
        <v>45860</v>
      </c>
      <c r="D1108" s="15" t="s">
        <v>3546</v>
      </c>
      <c r="E1108" s="18" t="s">
        <v>3477</v>
      </c>
      <c r="F1108" s="19" t="s">
        <v>3547</v>
      </c>
      <c r="G1108" s="18" t="s">
        <v>3548</v>
      </c>
      <c r="H1108" s="20" t="s">
        <v>3148</v>
      </c>
      <c r="I1108" s="15">
        <v>1</v>
      </c>
      <c r="J1108" s="15" t="s">
        <v>25</v>
      </c>
      <c r="K1108" s="21" t="s">
        <v>116</v>
      </c>
      <c r="L1108" s="21" t="s">
        <v>16</v>
      </c>
      <c r="M1108" s="22">
        <v>0</v>
      </c>
      <c r="N1108" s="22">
        <v>0</v>
      </c>
      <c r="O1108" s="22">
        <v>2100</v>
      </c>
      <c r="P1108" s="22">
        <v>2100</v>
      </c>
      <c r="Q1108" t="str" cm="1">
        <f t="array" ref="Q1108">_xlfn.TEXTJOIN("、",TRUE,IF('學員資料-三民高中'!$B$2:$B$454=$F1108,'學員資料-三民高中'!$G$2:$G$454,""))</f>
        <v/>
      </c>
      <c r="R1108" t="str" cm="1">
        <f t="array" ref="R1108">_xlfn.TEXTJOIN("、",TRUE,IF('學員資料-新北高中'!$B$2:$B$583=$F1108,'學員資料-新北高中'!$G$2:$G$583,""))</f>
        <v>0978401922</v>
      </c>
      <c r="S1108" t="str" cm="1">
        <f t="array" ref="S1108">_xlfn.TEXTJOIN("、",TRUE,IF('學員資料-三重商工'!$B$2:$B$472=$F1108,'學員資料-三重商工'!$G$2:$G$472,""))</f>
        <v/>
      </c>
      <c r="T1108">
        <f t="shared" si="17"/>
        <v>1</v>
      </c>
    </row>
    <row r="1109" spans="1:20" ht="14.25" hidden="1" customHeight="1">
      <c r="A1109" s="15">
        <v>1108</v>
      </c>
      <c r="B1109" s="16" t="s">
        <v>3549</v>
      </c>
      <c r="C1109" s="17">
        <v>45860</v>
      </c>
      <c r="D1109" s="15" t="s">
        <v>885</v>
      </c>
      <c r="E1109" s="23"/>
      <c r="F1109" s="19" t="s">
        <v>3550</v>
      </c>
      <c r="G1109" s="18" t="s">
        <v>3551</v>
      </c>
      <c r="H1109" s="20" t="s">
        <v>66</v>
      </c>
      <c r="I1109" s="15">
        <v>1</v>
      </c>
      <c r="J1109" s="15" t="s">
        <v>23</v>
      </c>
      <c r="K1109" s="15"/>
      <c r="L1109" s="21" t="s">
        <v>16</v>
      </c>
      <c r="M1109" s="22">
        <v>0</v>
      </c>
      <c r="N1109" s="22">
        <v>0</v>
      </c>
      <c r="O1109" s="22">
        <v>6900</v>
      </c>
      <c r="P1109" s="22">
        <v>6900</v>
      </c>
      <c r="Q1109" t="str" cm="1">
        <f t="array" ref="Q1109">_xlfn.TEXTJOIN("、",TRUE,IF('學員資料-三民高中'!$B$2:$B$454=$F1109,'學員資料-三民高中'!$G$2:$G$454,""))</f>
        <v>0986347066</v>
      </c>
      <c r="R1109" t="str" cm="1">
        <f t="array" ref="R1109">_xlfn.TEXTJOIN("、",TRUE,IF('學員資料-新北高中'!$B$2:$B$583=$F1109,'學員資料-新北高中'!$G$2:$G$583,""))</f>
        <v/>
      </c>
      <c r="S1109" t="str" cm="1">
        <f t="array" ref="S1109">_xlfn.TEXTJOIN("、",TRUE,IF('學員資料-三重商工'!$B$2:$B$472=$F1109,'學員資料-三重商工'!$G$2:$G$472,""))</f>
        <v/>
      </c>
      <c r="T1109">
        <f t="shared" si="17"/>
        <v>1</v>
      </c>
    </row>
    <row r="1110" spans="1:20" ht="14.25" hidden="1" customHeight="1">
      <c r="A1110" s="15">
        <v>1109</v>
      </c>
      <c r="B1110" s="16" t="s">
        <v>3552</v>
      </c>
      <c r="C1110" s="17">
        <v>45860</v>
      </c>
      <c r="D1110" s="15" t="s">
        <v>3553</v>
      </c>
      <c r="E1110" s="23"/>
      <c r="F1110" s="19" t="s">
        <v>3042</v>
      </c>
      <c r="G1110" s="18" t="s">
        <v>3043</v>
      </c>
      <c r="H1110" s="20" t="s">
        <v>52</v>
      </c>
      <c r="I1110" s="15">
        <v>1</v>
      </c>
      <c r="J1110" s="15" t="s">
        <v>24</v>
      </c>
      <c r="K1110" s="15"/>
      <c r="L1110" s="21" t="s">
        <v>16</v>
      </c>
      <c r="M1110" s="22">
        <v>0</v>
      </c>
      <c r="N1110" s="22">
        <v>0</v>
      </c>
      <c r="O1110" s="22">
        <v>7500</v>
      </c>
      <c r="P1110" s="22">
        <v>7500</v>
      </c>
      <c r="Q1110" t="str" cm="1">
        <f t="array" ref="Q1110">_xlfn.TEXTJOIN("、",TRUE,IF('學員資料-三民高中'!$B$2:$B$454=$F1110,'學員資料-三民高中'!$G$2:$G$454,""))</f>
        <v>0952183351</v>
      </c>
      <c r="R1110" t="str" cm="1">
        <f t="array" ref="R1110">_xlfn.TEXTJOIN("、",TRUE,IF('學員資料-新北高中'!$B$2:$B$583=$F1110,'學員資料-新北高中'!$G$2:$G$583,""))</f>
        <v/>
      </c>
      <c r="S1110" t="str" cm="1">
        <f t="array" ref="S1110">_xlfn.TEXTJOIN("、",TRUE,IF('學員資料-三重商工'!$B$2:$B$472=$F1110,'學員資料-三重商工'!$G$2:$G$472,""))</f>
        <v/>
      </c>
      <c r="T1110">
        <f t="shared" si="17"/>
        <v>1</v>
      </c>
    </row>
    <row r="1111" spans="1:20" ht="28.5" hidden="1" customHeight="1">
      <c r="A1111" s="15">
        <v>1110</v>
      </c>
      <c r="B1111" s="16" t="s">
        <v>3554</v>
      </c>
      <c r="C1111" s="17">
        <v>45859</v>
      </c>
      <c r="D1111" s="15" t="s">
        <v>3555</v>
      </c>
      <c r="E1111" s="18" t="s">
        <v>763</v>
      </c>
      <c r="F1111" s="19" t="s">
        <v>2529</v>
      </c>
      <c r="G1111" s="18" t="s">
        <v>2530</v>
      </c>
      <c r="H1111" s="20" t="s">
        <v>99</v>
      </c>
      <c r="I1111" s="15">
        <v>2</v>
      </c>
      <c r="J1111" s="15" t="s">
        <v>24</v>
      </c>
      <c r="K1111" s="15"/>
      <c r="L1111" s="21" t="s">
        <v>16</v>
      </c>
      <c r="M1111" s="22">
        <v>0</v>
      </c>
      <c r="N1111" s="22">
        <v>0</v>
      </c>
      <c r="O1111" s="22">
        <v>15000</v>
      </c>
      <c r="P1111" s="22">
        <v>15000</v>
      </c>
      <c r="Q1111" t="str" cm="1">
        <f t="array" ref="Q1111">_xlfn.TEXTJOIN("、",TRUE,IF('學員資料-三民高中'!$B$2:$B$454=$F1111,'學員資料-三民高中'!$G$2:$G$454,""))</f>
        <v>0975928981-1</v>
      </c>
      <c r="R1111" t="str" cm="1">
        <f t="array" ref="R1111">_xlfn.TEXTJOIN("、",TRUE,IF('學員資料-新北高中'!$B$2:$B$583=$F1111,'學員資料-新北高中'!$G$2:$G$583,""))</f>
        <v/>
      </c>
      <c r="S1111" t="str" cm="1">
        <f t="array" ref="S1111">_xlfn.TEXTJOIN("、",TRUE,IF('學員資料-三重商工'!$B$2:$B$472=$F1111,'學員資料-三重商工'!$G$2:$G$472,""))</f>
        <v/>
      </c>
      <c r="T1111">
        <f t="shared" si="17"/>
        <v>1</v>
      </c>
    </row>
    <row r="1112" spans="1:20" ht="14.25" hidden="1" customHeight="1">
      <c r="A1112" s="15">
        <v>1111</v>
      </c>
      <c r="B1112" s="16" t="s">
        <v>3556</v>
      </c>
      <c r="C1112" s="17">
        <v>45859</v>
      </c>
      <c r="D1112" s="15" t="s">
        <v>3557</v>
      </c>
      <c r="E1112" s="23"/>
      <c r="F1112" s="19" t="s">
        <v>3558</v>
      </c>
      <c r="G1112" s="18" t="s">
        <v>3559</v>
      </c>
      <c r="H1112" s="20" t="s">
        <v>52</v>
      </c>
      <c r="I1112" s="15">
        <v>1</v>
      </c>
      <c r="J1112" s="15" t="s">
        <v>24</v>
      </c>
      <c r="K1112" s="15"/>
      <c r="L1112" s="21" t="s">
        <v>16</v>
      </c>
      <c r="M1112" s="22">
        <v>0</v>
      </c>
      <c r="N1112" s="22">
        <v>0</v>
      </c>
      <c r="O1112" s="22">
        <v>7500</v>
      </c>
      <c r="P1112" s="22">
        <v>7500</v>
      </c>
      <c r="Q1112" t="str" cm="1">
        <f t="array" ref="Q1112">_xlfn.TEXTJOIN("、",TRUE,IF('學員資料-三民高中'!$B$2:$B$454=$F1112,'學員資料-三民高中'!$G$2:$G$454,""))</f>
        <v/>
      </c>
      <c r="R1112" t="str" cm="1">
        <f t="array" ref="R1112">_xlfn.TEXTJOIN("、",TRUE,IF('學員資料-新北高中'!$B$2:$B$583=$F1112,'學員資料-新北高中'!$G$2:$G$583,""))</f>
        <v/>
      </c>
      <c r="S1112" t="str" cm="1">
        <f t="array" ref="S1112">_xlfn.TEXTJOIN("、",TRUE,IF('學員資料-三重商工'!$B$2:$B$472=$F1112,'學員資料-三重商工'!$G$2:$G$472,""))</f>
        <v>0983232791</v>
      </c>
      <c r="T1112">
        <f t="shared" si="17"/>
        <v>1</v>
      </c>
    </row>
    <row r="1113" spans="1:20" ht="14.25" hidden="1" customHeight="1">
      <c r="A1113" s="15">
        <v>1112</v>
      </c>
      <c r="B1113" s="16" t="s">
        <v>3560</v>
      </c>
      <c r="C1113" s="17">
        <v>45859</v>
      </c>
      <c r="D1113" s="15" t="s">
        <v>3561</v>
      </c>
      <c r="E1113" s="23"/>
      <c r="F1113" s="19" t="s">
        <v>3562</v>
      </c>
      <c r="G1113" s="18" t="s">
        <v>3563</v>
      </c>
      <c r="H1113" s="20" t="s">
        <v>66</v>
      </c>
      <c r="I1113" s="15">
        <v>1</v>
      </c>
      <c r="J1113" s="15" t="s">
        <v>23</v>
      </c>
      <c r="K1113" s="15"/>
      <c r="L1113" s="21" t="s">
        <v>16</v>
      </c>
      <c r="M1113" s="22">
        <v>0</v>
      </c>
      <c r="N1113" s="22">
        <v>0</v>
      </c>
      <c r="O1113" s="22">
        <v>6900</v>
      </c>
      <c r="P1113" s="22">
        <v>6900</v>
      </c>
      <c r="Q1113" t="str" cm="1">
        <f t="array" ref="Q1113">_xlfn.TEXTJOIN("、",TRUE,IF('學員資料-三民高中'!$B$2:$B$454=$F1113,'學員資料-三民高中'!$G$2:$G$454,""))</f>
        <v>0911394552</v>
      </c>
      <c r="R1113" t="str" cm="1">
        <f t="array" ref="R1113">_xlfn.TEXTJOIN("、",TRUE,IF('學員資料-新北高中'!$B$2:$B$583=$F1113,'學員資料-新北高中'!$G$2:$G$583,""))</f>
        <v/>
      </c>
      <c r="S1113" t="str" cm="1">
        <f t="array" ref="S1113">_xlfn.TEXTJOIN("、",TRUE,IF('學員資料-三重商工'!$B$2:$B$472=$F1113,'學員資料-三重商工'!$G$2:$G$472,""))</f>
        <v/>
      </c>
      <c r="T1113">
        <f t="shared" si="17"/>
        <v>1</v>
      </c>
    </row>
    <row r="1114" spans="1:20" ht="14.25" hidden="1" customHeight="1">
      <c r="A1114" s="15">
        <v>1113</v>
      </c>
      <c r="B1114" s="16" t="s">
        <v>3564</v>
      </c>
      <c r="C1114" s="17">
        <v>45859</v>
      </c>
      <c r="D1114" s="15" t="s">
        <v>3565</v>
      </c>
      <c r="E1114" s="23"/>
      <c r="F1114" s="19" t="s">
        <v>882</v>
      </c>
      <c r="G1114" s="18" t="s">
        <v>883</v>
      </c>
      <c r="H1114" s="20" t="s">
        <v>2984</v>
      </c>
      <c r="I1114" s="15">
        <v>1</v>
      </c>
      <c r="J1114" s="15" t="s">
        <v>24</v>
      </c>
      <c r="K1114" s="21" t="s">
        <v>116</v>
      </c>
      <c r="L1114" s="21" t="s">
        <v>16</v>
      </c>
      <c r="M1114" s="22">
        <v>0</v>
      </c>
      <c r="N1114" s="22">
        <v>0</v>
      </c>
      <c r="O1114" s="22">
        <v>1400</v>
      </c>
      <c r="P1114" s="22">
        <v>1400</v>
      </c>
      <c r="Q1114" t="str" cm="1">
        <f t="array" ref="Q1114">_xlfn.TEXTJOIN("、",TRUE,IF('學員資料-三民高中'!$B$2:$B$454=$F1114,'學員資料-三民高中'!$G$2:$G$454,""))</f>
        <v>0972380184</v>
      </c>
      <c r="R1114" t="str" cm="1">
        <f t="array" ref="R1114">_xlfn.TEXTJOIN("、",TRUE,IF('學員資料-新北高中'!$B$2:$B$583=$F1114,'學員資料-新北高中'!$G$2:$G$583,""))</f>
        <v/>
      </c>
      <c r="S1114" t="str" cm="1">
        <f t="array" ref="S1114">_xlfn.TEXTJOIN("、",TRUE,IF('學員資料-三重商工'!$B$2:$B$472=$F1114,'學員資料-三重商工'!$G$2:$G$472,""))</f>
        <v/>
      </c>
      <c r="T1114">
        <f t="shared" si="17"/>
        <v>1</v>
      </c>
    </row>
    <row r="1115" spans="1:20" ht="14.25" hidden="1" customHeight="1">
      <c r="A1115" s="15">
        <v>1114</v>
      </c>
      <c r="B1115" s="16" t="s">
        <v>3566</v>
      </c>
      <c r="C1115" s="17">
        <v>45859</v>
      </c>
      <c r="D1115" s="15" t="s">
        <v>3567</v>
      </c>
      <c r="E1115" s="23"/>
      <c r="F1115" s="19" t="s">
        <v>3568</v>
      </c>
      <c r="G1115" s="18" t="s">
        <v>3569</v>
      </c>
      <c r="H1115" s="20" t="s">
        <v>52</v>
      </c>
      <c r="I1115" s="15">
        <v>1</v>
      </c>
      <c r="J1115" s="15" t="s">
        <v>24</v>
      </c>
      <c r="K1115" s="15"/>
      <c r="L1115" s="21" t="s">
        <v>16</v>
      </c>
      <c r="M1115" s="22">
        <v>0</v>
      </c>
      <c r="N1115" s="22">
        <v>-3000</v>
      </c>
      <c r="O1115" s="22">
        <v>4500</v>
      </c>
      <c r="P1115" s="22">
        <v>4500</v>
      </c>
      <c r="Q1115" t="str" cm="1">
        <f t="array" ref="Q1115">_xlfn.TEXTJOIN("、",TRUE,IF('學員資料-三民高中'!$B$2:$B$454=$F1115,'學員資料-三民高中'!$G$2:$G$454,""))</f>
        <v/>
      </c>
      <c r="R1115" t="str" cm="1">
        <f t="array" ref="R1115">_xlfn.TEXTJOIN("、",TRUE,IF('學員資料-新北高中'!$B$2:$B$583=$F1115,'學員資料-新北高中'!$G$2:$G$583,""))</f>
        <v/>
      </c>
      <c r="S1115" t="str" cm="1">
        <f t="array" ref="S1115">_xlfn.TEXTJOIN("、",TRUE,IF('學員資料-三重商工'!$B$2:$B$472=$F1115,'學員資料-三重商工'!$G$2:$G$472,""))</f>
        <v>09521895322</v>
      </c>
      <c r="T1115">
        <f t="shared" si="17"/>
        <v>1</v>
      </c>
    </row>
    <row r="1116" spans="1:20" ht="14.25" hidden="1" customHeight="1">
      <c r="A1116" s="15">
        <v>1115</v>
      </c>
      <c r="B1116" s="16" t="s">
        <v>3570</v>
      </c>
      <c r="C1116" s="17">
        <v>45859</v>
      </c>
      <c r="D1116" s="15" t="s">
        <v>3571</v>
      </c>
      <c r="E1116" s="23"/>
      <c r="F1116" s="19" t="s">
        <v>3046</v>
      </c>
      <c r="G1116" s="18" t="s">
        <v>3047</v>
      </c>
      <c r="H1116" s="20" t="s">
        <v>52</v>
      </c>
      <c r="I1116" s="15">
        <v>1</v>
      </c>
      <c r="J1116" s="15" t="s">
        <v>24</v>
      </c>
      <c r="K1116" s="15"/>
      <c r="L1116" s="21" t="s">
        <v>16</v>
      </c>
      <c r="M1116" s="22">
        <v>0</v>
      </c>
      <c r="N1116" s="22">
        <v>0</v>
      </c>
      <c r="O1116" s="22">
        <v>7500</v>
      </c>
      <c r="P1116" s="22">
        <v>7500</v>
      </c>
      <c r="Q1116" t="str" cm="1">
        <f t="array" ref="Q1116">_xlfn.TEXTJOIN("、",TRUE,IF('學員資料-三民高中'!$B$2:$B$454=$F1116,'學員資料-三民高中'!$G$2:$G$454,""))</f>
        <v>0982925304</v>
      </c>
      <c r="R1116" t="str" cm="1">
        <f t="array" ref="R1116">_xlfn.TEXTJOIN("、",TRUE,IF('學員資料-新北高中'!$B$2:$B$583=$F1116,'學員資料-新北高中'!$G$2:$G$583,""))</f>
        <v/>
      </c>
      <c r="S1116" t="str" cm="1">
        <f t="array" ref="S1116">_xlfn.TEXTJOIN("、",TRUE,IF('學員資料-三重商工'!$B$2:$B$472=$F1116,'學員資料-三重商工'!$G$2:$G$472,""))</f>
        <v/>
      </c>
      <c r="T1116">
        <f t="shared" si="17"/>
        <v>1</v>
      </c>
    </row>
    <row r="1117" spans="1:20" ht="14.25" hidden="1" customHeight="1">
      <c r="A1117" s="15">
        <v>1116</v>
      </c>
      <c r="B1117" s="16" t="s">
        <v>3572</v>
      </c>
      <c r="C1117" s="17">
        <v>45859</v>
      </c>
      <c r="D1117" s="15" t="s">
        <v>3573</v>
      </c>
      <c r="E1117" s="23"/>
      <c r="F1117" s="19" t="s">
        <v>3517</v>
      </c>
      <c r="G1117" s="18" t="s">
        <v>3518</v>
      </c>
      <c r="H1117" s="20" t="s">
        <v>52</v>
      </c>
      <c r="I1117" s="15">
        <v>1</v>
      </c>
      <c r="J1117" s="15" t="s">
        <v>24</v>
      </c>
      <c r="K1117" s="15"/>
      <c r="L1117" s="21" t="s">
        <v>16</v>
      </c>
      <c r="M1117" s="22">
        <v>0</v>
      </c>
      <c r="N1117" s="22">
        <v>0</v>
      </c>
      <c r="O1117" s="22">
        <v>7500</v>
      </c>
      <c r="P1117" s="22">
        <v>7500</v>
      </c>
      <c r="Q1117" t="str" cm="1">
        <f t="array" ref="Q1117">_xlfn.TEXTJOIN("、",TRUE,IF('學員資料-三民高中'!$B$2:$B$454=$F1117,'學員資料-三民高中'!$G$2:$G$454,""))</f>
        <v>0934183933</v>
      </c>
      <c r="R1117" t="str" cm="1">
        <f t="array" ref="R1117">_xlfn.TEXTJOIN("、",TRUE,IF('學員資料-新北高中'!$B$2:$B$583=$F1117,'學員資料-新北高中'!$G$2:$G$583,""))</f>
        <v/>
      </c>
      <c r="S1117" t="str" cm="1">
        <f t="array" ref="S1117">_xlfn.TEXTJOIN("、",TRUE,IF('學員資料-三重商工'!$B$2:$B$472=$F1117,'學員資料-三重商工'!$G$2:$G$472,""))</f>
        <v/>
      </c>
      <c r="T1117">
        <f t="shared" si="17"/>
        <v>1</v>
      </c>
    </row>
    <row r="1118" spans="1:20" ht="14.25" hidden="1" customHeight="1">
      <c r="A1118" s="15">
        <v>1117</v>
      </c>
      <c r="B1118" s="16" t="s">
        <v>3574</v>
      </c>
      <c r="C1118" s="17">
        <v>45858</v>
      </c>
      <c r="D1118" s="15" t="s">
        <v>3575</v>
      </c>
      <c r="E1118" s="18" t="s">
        <v>44</v>
      </c>
      <c r="F1118" s="19" t="s">
        <v>3576</v>
      </c>
      <c r="G1118" s="18" t="s">
        <v>3577</v>
      </c>
      <c r="H1118" s="20" t="s">
        <v>66</v>
      </c>
      <c r="I1118" s="15">
        <v>1</v>
      </c>
      <c r="J1118" s="15" t="s">
        <v>23</v>
      </c>
      <c r="K1118" s="15"/>
      <c r="L1118" s="21" t="s">
        <v>16</v>
      </c>
      <c r="M1118" s="22">
        <v>0</v>
      </c>
      <c r="N1118" s="22">
        <v>-345</v>
      </c>
      <c r="O1118" s="22">
        <v>6555</v>
      </c>
      <c r="P1118" s="22">
        <v>6555</v>
      </c>
      <c r="Q1118" t="str" cm="1">
        <f t="array" ref="Q1118">_xlfn.TEXTJOIN("、",TRUE,IF('學員資料-三民高中'!$B$2:$B$454=$F1118,'學員資料-三民高中'!$G$2:$G$454,""))</f>
        <v/>
      </c>
      <c r="R1118" t="str" cm="1">
        <f t="array" ref="R1118">_xlfn.TEXTJOIN("、",TRUE,IF('學員資料-新北高中'!$B$2:$B$583=$F1118,'學員資料-新北高中'!$G$2:$G$583,""))</f>
        <v/>
      </c>
      <c r="S1118" t="str" cm="1">
        <f t="array" ref="S1118">_xlfn.TEXTJOIN("、",TRUE,IF('學員資料-三重商工'!$B$2:$B$472=$F1118,'學員資料-三重商工'!$G$2:$G$472,""))</f>
        <v>0989102754</v>
      </c>
      <c r="T1118">
        <f t="shared" si="17"/>
        <v>1</v>
      </c>
    </row>
    <row r="1119" spans="1:20" ht="14.25" hidden="1" customHeight="1">
      <c r="A1119" s="15">
        <v>1118</v>
      </c>
      <c r="B1119" s="16" t="s">
        <v>3578</v>
      </c>
      <c r="C1119" s="17">
        <v>45858</v>
      </c>
      <c r="D1119" s="15" t="s">
        <v>3579</v>
      </c>
      <c r="E1119" s="18" t="s">
        <v>44</v>
      </c>
      <c r="F1119" s="19" t="s">
        <v>1169</v>
      </c>
      <c r="G1119" s="18" t="s">
        <v>1170</v>
      </c>
      <c r="H1119" s="20" t="s">
        <v>112</v>
      </c>
      <c r="I1119" s="15">
        <v>1</v>
      </c>
      <c r="J1119" s="15" t="s">
        <v>23</v>
      </c>
      <c r="K1119" s="15"/>
      <c r="L1119" s="21" t="s">
        <v>16</v>
      </c>
      <c r="M1119" s="22">
        <v>0</v>
      </c>
      <c r="N1119" s="22">
        <v>0</v>
      </c>
      <c r="O1119" s="22">
        <v>8280</v>
      </c>
      <c r="P1119" s="22">
        <v>8280</v>
      </c>
      <c r="Q1119" t="str" cm="1">
        <f t="array" ref="Q1119">_xlfn.TEXTJOIN("、",TRUE,IF('學員資料-三民高中'!$B$2:$B$454=$F1119,'學員資料-三民高中'!$G$2:$G$454,""))</f>
        <v/>
      </c>
      <c r="R1119" t="str" cm="1">
        <f t="array" ref="R1119">_xlfn.TEXTJOIN("、",TRUE,IF('學員資料-新北高中'!$B$2:$B$583=$F1119,'學員資料-新北高中'!$G$2:$G$583,""))</f>
        <v/>
      </c>
      <c r="S1119" t="str" cm="1">
        <f t="array" ref="S1119">_xlfn.TEXTJOIN("、",TRUE,IF('學員資料-三重商工'!$B$2:$B$472=$F1119,'學員資料-三重商工'!$G$2:$G$472,""))</f>
        <v>0916803354</v>
      </c>
      <c r="T1119">
        <f t="shared" si="17"/>
        <v>1</v>
      </c>
    </row>
    <row r="1120" spans="1:20" ht="14.25" hidden="1" customHeight="1">
      <c r="A1120" s="15">
        <v>1119</v>
      </c>
      <c r="B1120" s="16" t="s">
        <v>3580</v>
      </c>
      <c r="C1120" s="17">
        <v>45858</v>
      </c>
      <c r="D1120" s="15" t="s">
        <v>3581</v>
      </c>
      <c r="E1120" s="23"/>
      <c r="F1120" s="19" t="s">
        <v>3582</v>
      </c>
      <c r="G1120" s="18" t="s">
        <v>3583</v>
      </c>
      <c r="H1120" s="20" t="s">
        <v>52</v>
      </c>
      <c r="I1120" s="15">
        <v>1</v>
      </c>
      <c r="J1120" s="15" t="s">
        <v>24</v>
      </c>
      <c r="K1120" s="15"/>
      <c r="L1120" s="21" t="s">
        <v>16</v>
      </c>
      <c r="M1120" s="22">
        <v>0</v>
      </c>
      <c r="N1120" s="22">
        <v>0</v>
      </c>
      <c r="O1120" s="22">
        <v>7500</v>
      </c>
      <c r="P1120" s="22">
        <v>7500</v>
      </c>
      <c r="Q1120" t="str" cm="1">
        <f t="array" ref="Q1120">_xlfn.TEXTJOIN("、",TRUE,IF('學員資料-三民高中'!$B$2:$B$454=$F1120,'學員資料-三民高中'!$G$2:$G$454,""))</f>
        <v>0952128229</v>
      </c>
      <c r="R1120" t="str" cm="1">
        <f t="array" ref="R1120">_xlfn.TEXTJOIN("、",TRUE,IF('學員資料-新北高中'!$B$2:$B$583=$F1120,'學員資料-新北高中'!$G$2:$G$583,""))</f>
        <v/>
      </c>
      <c r="S1120" t="str" cm="1">
        <f t="array" ref="S1120">_xlfn.TEXTJOIN("、",TRUE,IF('學員資料-三重商工'!$B$2:$B$472=$F1120,'學員資料-三重商工'!$G$2:$G$472,""))</f>
        <v/>
      </c>
      <c r="T1120">
        <f t="shared" si="17"/>
        <v>1</v>
      </c>
    </row>
    <row r="1121" spans="1:20" ht="14.25" hidden="1" customHeight="1">
      <c r="A1121" s="15">
        <v>1120</v>
      </c>
      <c r="B1121" s="16" t="s">
        <v>3584</v>
      </c>
      <c r="C1121" s="17">
        <v>45857</v>
      </c>
      <c r="D1121" s="15" t="s">
        <v>3585</v>
      </c>
      <c r="E1121" s="23"/>
      <c r="F1121" s="19" t="s">
        <v>1596</v>
      </c>
      <c r="G1121" s="18" t="s">
        <v>1597</v>
      </c>
      <c r="H1121" s="20" t="s">
        <v>210</v>
      </c>
      <c r="I1121" s="15">
        <v>1</v>
      </c>
      <c r="J1121" s="15" t="s">
        <v>26</v>
      </c>
      <c r="K1121" s="15"/>
      <c r="L1121" s="21" t="s">
        <v>16</v>
      </c>
      <c r="M1121" s="22">
        <v>0</v>
      </c>
      <c r="N1121" s="22">
        <v>0</v>
      </c>
      <c r="O1121" s="22">
        <v>12000</v>
      </c>
      <c r="P1121" s="22">
        <v>12000</v>
      </c>
      <c r="Q1121" t="str" cm="1">
        <f t="array" ref="Q1121">_xlfn.TEXTJOIN("、",TRUE,IF('學員資料-三民高中'!$B$2:$B$454=$F1121,'學員資料-三民高中'!$G$2:$G$454,""))</f>
        <v>0927959290</v>
      </c>
      <c r="R1121" t="str" cm="1">
        <f t="array" ref="R1121">_xlfn.TEXTJOIN("、",TRUE,IF('學員資料-新北高中'!$B$2:$B$583=$F1121,'學員資料-新北高中'!$G$2:$G$583,""))</f>
        <v/>
      </c>
      <c r="S1121" t="str" cm="1">
        <f t="array" ref="S1121">_xlfn.TEXTJOIN("、",TRUE,IF('學員資料-三重商工'!$B$2:$B$472=$F1121,'學員資料-三重商工'!$G$2:$G$472,""))</f>
        <v/>
      </c>
      <c r="T1121">
        <f t="shared" si="17"/>
        <v>1</v>
      </c>
    </row>
    <row r="1122" spans="1:20" ht="14.25" hidden="1" customHeight="1">
      <c r="A1122" s="15">
        <v>1121</v>
      </c>
      <c r="B1122" s="16" t="s">
        <v>3586</v>
      </c>
      <c r="C1122" s="17">
        <v>45857</v>
      </c>
      <c r="D1122" s="15" t="s">
        <v>3587</v>
      </c>
      <c r="E1122" s="18" t="s">
        <v>537</v>
      </c>
      <c r="F1122" s="19" t="s">
        <v>3337</v>
      </c>
      <c r="G1122" s="18" t="s">
        <v>3338</v>
      </c>
      <c r="H1122" s="20" t="s">
        <v>52</v>
      </c>
      <c r="I1122" s="15">
        <v>1</v>
      </c>
      <c r="J1122" s="15" t="s">
        <v>24</v>
      </c>
      <c r="K1122" s="15"/>
      <c r="L1122" s="21" t="s">
        <v>16</v>
      </c>
      <c r="M1122" s="22">
        <v>0</v>
      </c>
      <c r="N1122" s="22">
        <v>0</v>
      </c>
      <c r="O1122" s="22">
        <v>7500</v>
      </c>
      <c r="P1122" s="22">
        <v>7500</v>
      </c>
      <c r="Q1122" t="str" cm="1">
        <f t="array" ref="Q1122">_xlfn.TEXTJOIN("、",TRUE,IF('學員資料-三民高中'!$B$2:$B$454=$F1122,'學員資料-三民高中'!$G$2:$G$454,""))</f>
        <v/>
      </c>
      <c r="R1122" t="str" cm="1">
        <f t="array" ref="R1122">_xlfn.TEXTJOIN("、",TRUE,IF('學員資料-新北高中'!$B$2:$B$583=$F1122,'學員資料-新北高中'!$G$2:$G$583,""))</f>
        <v>0916260953</v>
      </c>
      <c r="S1122" t="str" cm="1">
        <f t="array" ref="S1122">_xlfn.TEXTJOIN("、",TRUE,IF('學員資料-三重商工'!$B$2:$B$472=$F1122,'學員資料-三重商工'!$G$2:$G$472,""))</f>
        <v/>
      </c>
      <c r="T1122">
        <f t="shared" si="17"/>
        <v>1</v>
      </c>
    </row>
    <row r="1123" spans="1:20" ht="14.25" hidden="1" customHeight="1">
      <c r="A1123" s="15">
        <v>1122</v>
      </c>
      <c r="B1123" s="16" t="s">
        <v>3588</v>
      </c>
      <c r="C1123" s="17">
        <v>45857</v>
      </c>
      <c r="D1123" s="15" t="s">
        <v>3589</v>
      </c>
      <c r="E1123" s="23"/>
      <c r="F1123" s="19" t="s">
        <v>2359</v>
      </c>
      <c r="G1123" s="18" t="s">
        <v>2360</v>
      </c>
      <c r="H1123" s="20" t="s">
        <v>52</v>
      </c>
      <c r="I1123" s="15">
        <v>1</v>
      </c>
      <c r="J1123" s="15" t="s">
        <v>24</v>
      </c>
      <c r="K1123" s="15"/>
      <c r="L1123" s="21" t="s">
        <v>16</v>
      </c>
      <c r="M1123" s="22">
        <v>0</v>
      </c>
      <c r="N1123" s="22">
        <v>0</v>
      </c>
      <c r="O1123" s="22">
        <v>7500</v>
      </c>
      <c r="P1123" s="22">
        <v>7500</v>
      </c>
      <c r="Q1123" t="str" cm="1">
        <f t="array" ref="Q1123">_xlfn.TEXTJOIN("、",TRUE,IF('學員資料-三民高中'!$B$2:$B$454=$F1123,'學員資料-三民高中'!$G$2:$G$454,""))</f>
        <v>0937017975</v>
      </c>
      <c r="R1123" t="str" cm="1">
        <f t="array" ref="R1123">_xlfn.TEXTJOIN("、",TRUE,IF('學員資料-新北高中'!$B$2:$B$583=$F1123,'學員資料-新北高中'!$G$2:$G$583,""))</f>
        <v/>
      </c>
      <c r="S1123" t="str" cm="1">
        <f t="array" ref="S1123">_xlfn.TEXTJOIN("、",TRUE,IF('學員資料-三重商工'!$B$2:$B$472=$F1123,'學員資料-三重商工'!$G$2:$G$472,""))</f>
        <v/>
      </c>
      <c r="T1123">
        <f t="shared" si="17"/>
        <v>1</v>
      </c>
    </row>
    <row r="1124" spans="1:20" ht="14.25" hidden="1" customHeight="1">
      <c r="A1124" s="15">
        <v>1123</v>
      </c>
      <c r="B1124" s="16" t="s">
        <v>3590</v>
      </c>
      <c r="C1124" s="17">
        <v>45857</v>
      </c>
      <c r="D1124" s="15" t="s">
        <v>3591</v>
      </c>
      <c r="E1124" s="23"/>
      <c r="F1124" s="19" t="s">
        <v>60</v>
      </c>
      <c r="G1124" s="18" t="s">
        <v>61</v>
      </c>
      <c r="H1124" s="20" t="s">
        <v>52</v>
      </c>
      <c r="I1124" s="15">
        <v>1</v>
      </c>
      <c r="J1124" s="15" t="s">
        <v>24</v>
      </c>
      <c r="K1124" s="15"/>
      <c r="L1124" s="21" t="s">
        <v>16</v>
      </c>
      <c r="M1124" s="22">
        <v>0</v>
      </c>
      <c r="N1124" s="22">
        <v>0</v>
      </c>
      <c r="O1124" s="22">
        <v>7500</v>
      </c>
      <c r="P1124" s="22">
        <v>7500</v>
      </c>
      <c r="Q1124" t="str" cm="1">
        <f t="array" ref="Q1124">_xlfn.TEXTJOIN("、",TRUE,IF('學員資料-三民高中'!$B$2:$B$454=$F1124,'學員資料-三民高中'!$G$2:$G$454,""))</f>
        <v/>
      </c>
      <c r="R1124" t="str" cm="1">
        <f t="array" ref="R1124">_xlfn.TEXTJOIN("、",TRUE,IF('學員資料-新北高中'!$B$2:$B$583=$F1124,'學員資料-新北高中'!$G$2:$G$583,""))</f>
        <v/>
      </c>
      <c r="S1124" t="str" cm="1">
        <f t="array" ref="S1124">_xlfn.TEXTJOIN("、",TRUE,IF('學員資料-三重商工'!$B$2:$B$472=$F1124,'學員資料-三重商工'!$G$2:$G$472,""))</f>
        <v>0960714198</v>
      </c>
      <c r="T1124">
        <f t="shared" si="17"/>
        <v>1</v>
      </c>
    </row>
    <row r="1125" spans="1:20" ht="14.25" hidden="1" customHeight="1">
      <c r="A1125" s="15">
        <v>1124</v>
      </c>
      <c r="B1125" s="16" t="s">
        <v>3592</v>
      </c>
      <c r="C1125" s="17">
        <v>45856</v>
      </c>
      <c r="D1125" s="15" t="s">
        <v>3593</v>
      </c>
      <c r="E1125" s="23"/>
      <c r="F1125" s="19" t="s">
        <v>1740</v>
      </c>
      <c r="G1125" s="18" t="s">
        <v>1741</v>
      </c>
      <c r="H1125" s="20" t="s">
        <v>210</v>
      </c>
      <c r="I1125" s="15">
        <v>1</v>
      </c>
      <c r="J1125" s="15" t="s">
        <v>26</v>
      </c>
      <c r="K1125" s="15"/>
      <c r="L1125" s="21" t="s">
        <v>16</v>
      </c>
      <c r="M1125" s="22">
        <v>0</v>
      </c>
      <c r="N1125" s="22">
        <v>0</v>
      </c>
      <c r="O1125" s="22">
        <v>12000</v>
      </c>
      <c r="P1125" s="22">
        <v>12000</v>
      </c>
      <c r="Q1125" t="str" cm="1">
        <f t="array" ref="Q1125">_xlfn.TEXTJOIN("、",TRUE,IF('學員資料-三民高中'!$B$2:$B$454=$F1125,'學員資料-三民高中'!$G$2:$G$454,""))</f>
        <v/>
      </c>
      <c r="R1125" t="str" cm="1">
        <f t="array" ref="R1125">_xlfn.TEXTJOIN("、",TRUE,IF('學員資料-新北高中'!$B$2:$B$583=$F1125,'學員資料-新北高中'!$G$2:$G$583,""))</f>
        <v>0960755204</v>
      </c>
      <c r="S1125" t="str" cm="1">
        <f t="array" ref="S1125">_xlfn.TEXTJOIN("、",TRUE,IF('學員資料-三重商工'!$B$2:$B$472=$F1125,'學員資料-三重商工'!$G$2:$G$472,""))</f>
        <v/>
      </c>
      <c r="T1125">
        <f t="shared" si="17"/>
        <v>1</v>
      </c>
    </row>
    <row r="1126" spans="1:20" ht="28.5" hidden="1" customHeight="1">
      <c r="A1126" s="15">
        <v>1125</v>
      </c>
      <c r="B1126" s="16" t="s">
        <v>3594</v>
      </c>
      <c r="C1126" s="17">
        <v>45856</v>
      </c>
      <c r="D1126" s="15" t="s">
        <v>3595</v>
      </c>
      <c r="E1126" s="18" t="s">
        <v>78</v>
      </c>
      <c r="F1126" s="19" t="s">
        <v>1312</v>
      </c>
      <c r="G1126" s="18" t="s">
        <v>1313</v>
      </c>
      <c r="H1126" s="20" t="s">
        <v>99</v>
      </c>
      <c r="I1126" s="15">
        <v>2</v>
      </c>
      <c r="J1126" s="15" t="s">
        <v>24</v>
      </c>
      <c r="K1126" s="15"/>
      <c r="L1126" s="21" t="s">
        <v>16</v>
      </c>
      <c r="M1126" s="22">
        <v>0</v>
      </c>
      <c r="N1126" s="22">
        <v>0</v>
      </c>
      <c r="O1126" s="22">
        <v>15000</v>
      </c>
      <c r="P1126" s="22">
        <v>15000</v>
      </c>
      <c r="Q1126" t="str" cm="1">
        <f t="array" ref="Q1126">_xlfn.TEXTJOIN("、",TRUE,IF('學員資料-三民高中'!$B$2:$B$454=$F1126,'學員資料-三民高中'!$G$2:$G$454,""))</f>
        <v/>
      </c>
      <c r="R1126" t="str" cm="1">
        <f t="array" ref="R1126">_xlfn.TEXTJOIN("、",TRUE,IF('學員資料-新北高中'!$B$2:$B$583=$F1126,'學員資料-新北高中'!$G$2:$G$583,""))</f>
        <v>0937639739</v>
      </c>
      <c r="S1126" t="str" cm="1">
        <f t="array" ref="S1126">_xlfn.TEXTJOIN("、",TRUE,IF('學員資料-三重商工'!$B$2:$B$472=$F1126,'學員資料-三重商工'!$G$2:$G$472,""))</f>
        <v/>
      </c>
      <c r="T1126">
        <f t="shared" si="17"/>
        <v>1</v>
      </c>
    </row>
    <row r="1127" spans="1:20" ht="14.25" hidden="1" customHeight="1">
      <c r="A1127" s="15">
        <v>1126</v>
      </c>
      <c r="B1127" s="16" t="s">
        <v>3596</v>
      </c>
      <c r="C1127" s="17">
        <v>45856</v>
      </c>
      <c r="D1127" s="15" t="s">
        <v>3597</v>
      </c>
      <c r="E1127" s="18" t="s">
        <v>3477</v>
      </c>
      <c r="F1127" s="19" t="s">
        <v>3598</v>
      </c>
      <c r="G1127" s="18" t="s">
        <v>3599</v>
      </c>
      <c r="H1127" s="20" t="s">
        <v>3148</v>
      </c>
      <c r="I1127" s="15">
        <v>1</v>
      </c>
      <c r="J1127" s="15" t="s">
        <v>25</v>
      </c>
      <c r="K1127" s="21" t="s">
        <v>116</v>
      </c>
      <c r="L1127" s="21" t="s">
        <v>16</v>
      </c>
      <c r="M1127" s="22">
        <v>0</v>
      </c>
      <c r="N1127" s="22">
        <v>0</v>
      </c>
      <c r="O1127" s="22">
        <v>2100</v>
      </c>
      <c r="P1127" s="22">
        <v>2100</v>
      </c>
      <c r="Q1127" t="str" cm="1">
        <f t="array" ref="Q1127">_xlfn.TEXTJOIN("、",TRUE,IF('學員資料-三民高中'!$B$2:$B$454=$F1127,'學員資料-三民高中'!$G$2:$G$454,""))</f>
        <v/>
      </c>
      <c r="R1127" t="str" cm="1">
        <f t="array" ref="R1127">_xlfn.TEXTJOIN("、",TRUE,IF('學員資料-新北高中'!$B$2:$B$583=$F1127,'學員資料-新北高中'!$G$2:$G$583,""))</f>
        <v>0958267292</v>
      </c>
      <c r="S1127" t="str" cm="1">
        <f t="array" ref="S1127">_xlfn.TEXTJOIN("、",TRUE,IF('學員資料-三重商工'!$B$2:$B$472=$F1127,'學員資料-三重商工'!$G$2:$G$472,""))</f>
        <v/>
      </c>
      <c r="T1127">
        <f t="shared" si="17"/>
        <v>1</v>
      </c>
    </row>
    <row r="1128" spans="1:20" ht="28.5" hidden="1" customHeight="1">
      <c r="A1128" s="15">
        <v>1127</v>
      </c>
      <c r="B1128" s="16" t="s">
        <v>3600</v>
      </c>
      <c r="C1128" s="17">
        <v>45856</v>
      </c>
      <c r="D1128" s="15" t="s">
        <v>3601</v>
      </c>
      <c r="E1128" s="23"/>
      <c r="F1128" s="19" t="s">
        <v>3602</v>
      </c>
      <c r="G1128" s="18" t="s">
        <v>3603</v>
      </c>
      <c r="H1128" s="20" t="s">
        <v>99</v>
      </c>
      <c r="I1128" s="15">
        <v>2</v>
      </c>
      <c r="J1128" s="15" t="s">
        <v>24</v>
      </c>
      <c r="K1128" s="15"/>
      <c r="L1128" s="21" t="s">
        <v>16</v>
      </c>
      <c r="M1128" s="22">
        <v>0</v>
      </c>
      <c r="N1128" s="22">
        <v>-600</v>
      </c>
      <c r="O1128" s="22">
        <v>14400</v>
      </c>
      <c r="P1128" s="22">
        <v>14400</v>
      </c>
      <c r="Q1128" t="str" cm="1">
        <f t="array" ref="Q1128">_xlfn.TEXTJOIN("、",TRUE,IF('學員資料-三民高中'!$B$2:$B$454=$F1128,'學員資料-三民高中'!$G$2:$G$454,""))</f>
        <v/>
      </c>
      <c r="R1128" t="str" cm="1">
        <f t="array" ref="R1128">_xlfn.TEXTJOIN("、",TRUE,IF('學員資料-新北高中'!$B$2:$B$583=$F1128,'學員資料-新北高中'!$G$2:$G$583,""))</f>
        <v/>
      </c>
      <c r="S1128" t="str" cm="1">
        <f t="array" ref="S1128">_xlfn.TEXTJOIN("、",TRUE,IF('學員資料-三重商工'!$B$2:$B$472=$F1128,'學員資料-三重商工'!$G$2:$G$472,""))</f>
        <v>0936452622</v>
      </c>
      <c r="T1128">
        <f t="shared" si="17"/>
        <v>1</v>
      </c>
    </row>
    <row r="1129" spans="1:20" ht="14.25" hidden="1" customHeight="1">
      <c r="A1129" s="15">
        <v>1128</v>
      </c>
      <c r="B1129" s="16" t="s">
        <v>3604</v>
      </c>
      <c r="C1129" s="17">
        <v>45855</v>
      </c>
      <c r="D1129" s="15" t="s">
        <v>3605</v>
      </c>
      <c r="E1129" s="18" t="s">
        <v>3477</v>
      </c>
      <c r="F1129" s="19" t="s">
        <v>3606</v>
      </c>
      <c r="G1129" s="18" t="s">
        <v>3607</v>
      </c>
      <c r="H1129" s="20" t="s">
        <v>52</v>
      </c>
      <c r="I1129" s="15">
        <v>1</v>
      </c>
      <c r="J1129" s="15" t="s">
        <v>24</v>
      </c>
      <c r="K1129" s="15"/>
      <c r="L1129" s="21" t="s">
        <v>16</v>
      </c>
      <c r="M1129" s="22">
        <v>0</v>
      </c>
      <c r="N1129" s="22">
        <v>0</v>
      </c>
      <c r="O1129" s="22">
        <v>7500</v>
      </c>
      <c r="P1129" s="22">
        <v>7500</v>
      </c>
      <c r="Q1129" t="str" cm="1">
        <f t="array" ref="Q1129">_xlfn.TEXTJOIN("、",TRUE,IF('學員資料-三民高中'!$B$2:$B$454=$F1129,'學員資料-三民高中'!$G$2:$G$454,""))</f>
        <v>0911845540</v>
      </c>
      <c r="R1129" t="str" cm="1">
        <f t="array" ref="R1129">_xlfn.TEXTJOIN("、",TRUE,IF('學員資料-新北高中'!$B$2:$B$583=$F1129,'學員資料-新北高中'!$G$2:$G$583,""))</f>
        <v/>
      </c>
      <c r="S1129" t="str" cm="1">
        <f t="array" ref="S1129">_xlfn.TEXTJOIN("、",TRUE,IF('學員資料-三重商工'!$B$2:$B$472=$F1129,'學員資料-三重商工'!$G$2:$G$472,""))</f>
        <v/>
      </c>
      <c r="T1129">
        <f t="shared" si="17"/>
        <v>1</v>
      </c>
    </row>
    <row r="1130" spans="1:20" ht="14.25" hidden="1" customHeight="1">
      <c r="A1130" s="15">
        <v>1129</v>
      </c>
      <c r="B1130" s="16" t="s">
        <v>3608</v>
      </c>
      <c r="C1130" s="17">
        <v>45855</v>
      </c>
      <c r="D1130" s="15" t="s">
        <v>3609</v>
      </c>
      <c r="E1130" s="23"/>
      <c r="F1130" s="19" t="s">
        <v>3610</v>
      </c>
      <c r="G1130" s="18" t="s">
        <v>3611</v>
      </c>
      <c r="H1130" s="20" t="s">
        <v>66</v>
      </c>
      <c r="I1130" s="15">
        <v>1</v>
      </c>
      <c r="J1130" s="15" t="s">
        <v>23</v>
      </c>
      <c r="K1130" s="15"/>
      <c r="L1130" s="21" t="s">
        <v>16</v>
      </c>
      <c r="M1130" s="22">
        <v>0</v>
      </c>
      <c r="N1130" s="22">
        <v>0</v>
      </c>
      <c r="O1130" s="22">
        <v>6900</v>
      </c>
      <c r="P1130" s="22">
        <v>6900</v>
      </c>
      <c r="Q1130" t="str" cm="1">
        <f t="array" ref="Q1130">_xlfn.TEXTJOIN("、",TRUE,IF('學員資料-三民高中'!$B$2:$B$454=$F1130,'學員資料-三民高中'!$G$2:$G$454,""))</f>
        <v/>
      </c>
      <c r="R1130" t="str" cm="1">
        <f t="array" ref="R1130">_xlfn.TEXTJOIN("、",TRUE,IF('學員資料-新北高中'!$B$2:$B$583=$F1130,'學員資料-新北高中'!$G$2:$G$583,""))</f>
        <v/>
      </c>
      <c r="S1130" t="str" cm="1">
        <f t="array" ref="S1130">_xlfn.TEXTJOIN("、",TRUE,IF('學員資料-三重商工'!$B$2:$B$472=$F1130,'學員資料-三重商工'!$G$2:$G$472,""))</f>
        <v>0921419737</v>
      </c>
      <c r="T1130">
        <f t="shared" si="17"/>
        <v>1</v>
      </c>
    </row>
    <row r="1131" spans="1:20" ht="14.25" hidden="1" customHeight="1">
      <c r="A1131" s="15">
        <v>1130</v>
      </c>
      <c r="B1131" s="16" t="s">
        <v>3612</v>
      </c>
      <c r="C1131" s="17">
        <v>45855</v>
      </c>
      <c r="D1131" s="15" t="s">
        <v>3613</v>
      </c>
      <c r="E1131" s="23"/>
      <c r="F1131" s="19" t="s">
        <v>3614</v>
      </c>
      <c r="G1131" s="18" t="s">
        <v>3615</v>
      </c>
      <c r="H1131" s="20" t="s">
        <v>52</v>
      </c>
      <c r="I1131" s="15">
        <v>1</v>
      </c>
      <c r="J1131" s="15" t="s">
        <v>24</v>
      </c>
      <c r="K1131" s="15"/>
      <c r="L1131" s="21" t="s">
        <v>16</v>
      </c>
      <c r="M1131" s="22">
        <v>0</v>
      </c>
      <c r="N1131" s="22">
        <v>0</v>
      </c>
      <c r="O1131" s="22">
        <v>7500</v>
      </c>
      <c r="P1131" s="22">
        <v>7500</v>
      </c>
      <c r="Q1131" t="str" cm="1">
        <f t="array" ref="Q1131">_xlfn.TEXTJOIN("、",TRUE,IF('學員資料-三民高中'!$B$2:$B$454=$F1131,'學員資料-三民高中'!$G$2:$G$454,""))</f>
        <v/>
      </c>
      <c r="R1131" t="str" cm="1">
        <f t="array" ref="R1131">_xlfn.TEXTJOIN("、",TRUE,IF('學員資料-新北高中'!$B$2:$B$583=$F1131,'學員資料-新北高中'!$G$2:$G$583,""))</f>
        <v/>
      </c>
      <c r="S1131" t="str" cm="1">
        <f t="array" ref="S1131">_xlfn.TEXTJOIN("、",TRUE,IF('學員資料-三重商工'!$B$2:$B$472=$F1131,'學員資料-三重商工'!$G$2:$G$472,""))</f>
        <v>0927159588</v>
      </c>
      <c r="T1131">
        <f t="shared" si="17"/>
        <v>1</v>
      </c>
    </row>
    <row r="1132" spans="1:20" ht="14.25" hidden="1" customHeight="1">
      <c r="A1132" s="15">
        <v>1131</v>
      </c>
      <c r="B1132" s="16" t="s">
        <v>3616</v>
      </c>
      <c r="C1132" s="17">
        <v>45855</v>
      </c>
      <c r="D1132" s="15" t="s">
        <v>3617</v>
      </c>
      <c r="E1132" s="23"/>
      <c r="F1132" s="19" t="s">
        <v>3614</v>
      </c>
      <c r="G1132" s="18" t="s">
        <v>3615</v>
      </c>
      <c r="H1132" s="20" t="s">
        <v>52</v>
      </c>
      <c r="I1132" s="15">
        <v>1</v>
      </c>
      <c r="J1132" s="15" t="s">
        <v>24</v>
      </c>
      <c r="K1132" s="15"/>
      <c r="L1132" s="21" t="s">
        <v>16</v>
      </c>
      <c r="M1132" s="22">
        <v>0</v>
      </c>
      <c r="N1132" s="22">
        <v>0</v>
      </c>
      <c r="O1132" s="22">
        <v>7500</v>
      </c>
      <c r="P1132" s="22">
        <v>7500</v>
      </c>
      <c r="Q1132" t="str" cm="1">
        <f t="array" ref="Q1132">_xlfn.TEXTJOIN("、",TRUE,IF('學員資料-三民高中'!$B$2:$B$454=$F1132,'學員資料-三民高中'!$G$2:$G$454,""))</f>
        <v/>
      </c>
      <c r="R1132" t="str" cm="1">
        <f t="array" ref="R1132">_xlfn.TEXTJOIN("、",TRUE,IF('學員資料-新北高中'!$B$2:$B$583=$F1132,'學員資料-新北高中'!$G$2:$G$583,""))</f>
        <v/>
      </c>
      <c r="S1132" t="str" cm="1">
        <f t="array" ref="S1132">_xlfn.TEXTJOIN("、",TRUE,IF('學員資料-三重商工'!$B$2:$B$472=$F1132,'學員資料-三重商工'!$G$2:$G$472,""))</f>
        <v>0927159588</v>
      </c>
      <c r="T1132">
        <f t="shared" si="17"/>
        <v>1</v>
      </c>
    </row>
    <row r="1133" spans="1:20" ht="14.25" hidden="1" customHeight="1">
      <c r="A1133" s="15">
        <v>1132</v>
      </c>
      <c r="B1133" s="16" t="s">
        <v>3618</v>
      </c>
      <c r="C1133" s="17">
        <v>45855</v>
      </c>
      <c r="D1133" s="15" t="s">
        <v>3619</v>
      </c>
      <c r="E1133" s="23"/>
      <c r="F1133" s="19" t="s">
        <v>3317</v>
      </c>
      <c r="G1133" s="18" t="s">
        <v>3318</v>
      </c>
      <c r="H1133" s="20" t="s">
        <v>66</v>
      </c>
      <c r="I1133" s="15">
        <v>1</v>
      </c>
      <c r="J1133" s="15" t="s">
        <v>23</v>
      </c>
      <c r="K1133" s="15"/>
      <c r="L1133" s="21" t="s">
        <v>16</v>
      </c>
      <c r="M1133" s="22">
        <v>0</v>
      </c>
      <c r="N1133" s="22">
        <v>0</v>
      </c>
      <c r="O1133" s="22">
        <v>6900</v>
      </c>
      <c r="P1133" s="22">
        <v>6900</v>
      </c>
      <c r="Q1133" t="str" cm="1">
        <f t="array" ref="Q1133">_xlfn.TEXTJOIN("、",TRUE,IF('學員資料-三民高中'!$B$2:$B$454=$F1133,'學員資料-三民高中'!$G$2:$G$454,""))</f>
        <v/>
      </c>
      <c r="R1133" t="str" cm="1">
        <f t="array" ref="R1133">_xlfn.TEXTJOIN("、",TRUE,IF('學員資料-新北高中'!$B$2:$B$583=$F1133,'學員資料-新北高中'!$G$2:$G$583,""))</f>
        <v/>
      </c>
      <c r="S1133" t="str" cm="1">
        <f t="array" ref="S1133">_xlfn.TEXTJOIN("、",TRUE,IF('學員資料-三重商工'!$B$2:$B$472=$F1133,'學員資料-三重商工'!$G$2:$G$472,""))</f>
        <v>0911259035</v>
      </c>
      <c r="T1133">
        <f t="shared" si="17"/>
        <v>1</v>
      </c>
    </row>
    <row r="1134" spans="1:20" ht="14.25" hidden="1" customHeight="1">
      <c r="A1134" s="15">
        <v>1133</v>
      </c>
      <c r="B1134" s="16" t="s">
        <v>3620</v>
      </c>
      <c r="C1134" s="17">
        <v>45855</v>
      </c>
      <c r="D1134" s="15" t="s">
        <v>3621</v>
      </c>
      <c r="E1134" s="23"/>
      <c r="F1134" s="19" t="s">
        <v>3622</v>
      </c>
      <c r="G1134" s="18" t="s">
        <v>3623</v>
      </c>
      <c r="H1134" s="20" t="s">
        <v>130</v>
      </c>
      <c r="I1134" s="15">
        <v>1</v>
      </c>
      <c r="J1134" s="15" t="s">
        <v>25</v>
      </c>
      <c r="K1134" s="15"/>
      <c r="L1134" s="21" t="s">
        <v>16</v>
      </c>
      <c r="M1134" s="22">
        <v>0</v>
      </c>
      <c r="N1134" s="22">
        <v>-3960</v>
      </c>
      <c r="O1134" s="22">
        <v>5940</v>
      </c>
      <c r="P1134" s="22">
        <v>5940</v>
      </c>
      <c r="Q1134" t="str" cm="1">
        <f t="array" ref="Q1134">_xlfn.TEXTJOIN("、",TRUE,IF('學員資料-三民高中'!$B$2:$B$454=$F1134,'學員資料-三民高中'!$G$2:$G$454,""))</f>
        <v/>
      </c>
      <c r="R1134" t="str" cm="1">
        <f t="array" ref="R1134">_xlfn.TEXTJOIN("、",TRUE,IF('學員資料-新北高中'!$B$2:$B$583=$F1134,'學員資料-新北高中'!$G$2:$G$583,""))</f>
        <v/>
      </c>
      <c r="S1134" t="str" cm="1">
        <f t="array" ref="S1134">_xlfn.TEXTJOIN("、",TRUE,IF('學員資料-三重商工'!$B$2:$B$472=$F1134,'學員資料-三重商工'!$G$2:$G$472,""))</f>
        <v>0952635475</v>
      </c>
      <c r="T1134">
        <f t="shared" si="17"/>
        <v>1</v>
      </c>
    </row>
    <row r="1135" spans="1:20" ht="14.25" hidden="1" customHeight="1">
      <c r="A1135" s="15">
        <v>1134</v>
      </c>
      <c r="B1135" s="16" t="s">
        <v>3624</v>
      </c>
      <c r="C1135" s="17">
        <v>45855</v>
      </c>
      <c r="D1135" s="15" t="s">
        <v>3625</v>
      </c>
      <c r="E1135" s="18" t="s">
        <v>1324</v>
      </c>
      <c r="F1135" s="19" t="s">
        <v>2171</v>
      </c>
      <c r="G1135" s="18" t="s">
        <v>2172</v>
      </c>
      <c r="H1135" s="20" t="s">
        <v>2984</v>
      </c>
      <c r="I1135" s="15">
        <v>1</v>
      </c>
      <c r="J1135" s="15" t="s">
        <v>24</v>
      </c>
      <c r="K1135" s="21" t="s">
        <v>116</v>
      </c>
      <c r="L1135" s="21" t="s">
        <v>16</v>
      </c>
      <c r="M1135" s="22">
        <v>0</v>
      </c>
      <c r="N1135" s="22">
        <v>0</v>
      </c>
      <c r="O1135" s="22">
        <v>1400</v>
      </c>
      <c r="P1135" s="22">
        <v>1400</v>
      </c>
      <c r="Q1135" t="str" cm="1">
        <f t="array" ref="Q1135">_xlfn.TEXTJOIN("、",TRUE,IF('學員資料-三民高中'!$B$2:$B$454=$F1135,'學員資料-三民高中'!$G$2:$G$454,""))</f>
        <v/>
      </c>
      <c r="R1135" t="str" cm="1">
        <f t="array" ref="R1135">_xlfn.TEXTJOIN("、",TRUE,IF('學員資料-新北高中'!$B$2:$B$583=$F1135,'學員資料-新北高中'!$G$2:$G$583,""))</f>
        <v>0917631641</v>
      </c>
      <c r="S1135" t="str" cm="1">
        <f t="array" ref="S1135">_xlfn.TEXTJOIN("、",TRUE,IF('學員資料-三重商工'!$B$2:$B$472=$F1135,'學員資料-三重商工'!$G$2:$G$472,""))</f>
        <v/>
      </c>
      <c r="T1135">
        <f t="shared" si="17"/>
        <v>1</v>
      </c>
    </row>
    <row r="1136" spans="1:20" ht="14.25" hidden="1" customHeight="1">
      <c r="A1136" s="15">
        <v>1135</v>
      </c>
      <c r="B1136" s="16" t="s">
        <v>3626</v>
      </c>
      <c r="C1136" s="17">
        <v>45854</v>
      </c>
      <c r="D1136" s="15" t="s">
        <v>3627</v>
      </c>
      <c r="E1136" s="18" t="s">
        <v>763</v>
      </c>
      <c r="F1136" s="19" t="s">
        <v>950</v>
      </c>
      <c r="G1136" s="18" t="s">
        <v>951</v>
      </c>
      <c r="H1136" s="20" t="s">
        <v>2984</v>
      </c>
      <c r="I1136" s="15">
        <v>1</v>
      </c>
      <c r="J1136" s="15" t="s">
        <v>24</v>
      </c>
      <c r="K1136" s="21" t="s">
        <v>116</v>
      </c>
      <c r="L1136" s="21" t="s">
        <v>16</v>
      </c>
      <c r="M1136" s="22">
        <v>0</v>
      </c>
      <c r="N1136" s="22">
        <v>0</v>
      </c>
      <c r="O1136" s="22">
        <v>1400</v>
      </c>
      <c r="P1136" s="22">
        <v>1400</v>
      </c>
      <c r="Q1136" t="str" cm="1">
        <f t="array" ref="Q1136">_xlfn.TEXTJOIN("、",TRUE,IF('學員資料-三民高中'!$B$2:$B$454=$F1136,'學員資料-三民高中'!$G$2:$G$454,""))</f>
        <v/>
      </c>
      <c r="R1136" t="str" cm="1">
        <f t="array" ref="R1136">_xlfn.TEXTJOIN("、",TRUE,IF('學員資料-新北高中'!$B$2:$B$583=$F1136,'學員資料-新北高中'!$G$2:$G$583,""))</f>
        <v>0975372886</v>
      </c>
      <c r="S1136" t="str" cm="1">
        <f t="array" ref="S1136">_xlfn.TEXTJOIN("、",TRUE,IF('學員資料-三重商工'!$B$2:$B$472=$F1136,'學員資料-三重商工'!$G$2:$G$472,""))</f>
        <v/>
      </c>
      <c r="T1136">
        <f t="shared" si="17"/>
        <v>1</v>
      </c>
    </row>
    <row r="1137" spans="1:20" ht="14.25" hidden="1" customHeight="1">
      <c r="A1137" s="15">
        <v>1136</v>
      </c>
      <c r="B1137" s="16" t="s">
        <v>3628</v>
      </c>
      <c r="C1137" s="17">
        <v>45854</v>
      </c>
      <c r="D1137" s="15" t="s">
        <v>3629</v>
      </c>
      <c r="E1137" s="23"/>
      <c r="F1137" s="19" t="s">
        <v>716</v>
      </c>
      <c r="G1137" s="18" t="s">
        <v>717</v>
      </c>
      <c r="H1137" s="20" t="s">
        <v>130</v>
      </c>
      <c r="I1137" s="15">
        <v>1</v>
      </c>
      <c r="J1137" s="15" t="s">
        <v>25</v>
      </c>
      <c r="K1137" s="15"/>
      <c r="L1137" s="21" t="s">
        <v>16</v>
      </c>
      <c r="M1137" s="22">
        <v>0</v>
      </c>
      <c r="N1137" s="22">
        <v>0</v>
      </c>
      <c r="O1137" s="22">
        <v>9900</v>
      </c>
      <c r="P1137" s="22">
        <v>9900</v>
      </c>
      <c r="Q1137" t="str" cm="1">
        <f t="array" ref="Q1137">_xlfn.TEXTJOIN("、",TRUE,IF('學員資料-三民高中'!$B$2:$B$454=$F1137,'學員資料-三民高中'!$G$2:$G$454,""))</f>
        <v/>
      </c>
      <c r="R1137" t="str" cm="1">
        <f t="array" ref="R1137">_xlfn.TEXTJOIN("、",TRUE,IF('學員資料-新北高中'!$B$2:$B$583=$F1137,'學員資料-新北高中'!$G$2:$G$583,""))</f>
        <v/>
      </c>
      <c r="S1137" t="str" cm="1">
        <f t="array" ref="S1137">_xlfn.TEXTJOIN("、",TRUE,IF('學員資料-三重商工'!$B$2:$B$472=$F1137,'學員資料-三重商工'!$G$2:$G$472,""))</f>
        <v>0928573701</v>
      </c>
      <c r="T1137">
        <f t="shared" si="17"/>
        <v>1</v>
      </c>
    </row>
    <row r="1138" spans="1:20" ht="14.25" hidden="1" customHeight="1">
      <c r="A1138" s="15">
        <v>1137</v>
      </c>
      <c r="B1138" s="16" t="s">
        <v>3630</v>
      </c>
      <c r="C1138" s="17">
        <v>45854</v>
      </c>
      <c r="D1138" s="15" t="s">
        <v>3631</v>
      </c>
      <c r="E1138" s="23"/>
      <c r="F1138" s="19" t="s">
        <v>3632</v>
      </c>
      <c r="G1138" s="18" t="s">
        <v>3633</v>
      </c>
      <c r="H1138" s="20" t="s">
        <v>52</v>
      </c>
      <c r="I1138" s="15">
        <v>1</v>
      </c>
      <c r="J1138" s="15" t="s">
        <v>24</v>
      </c>
      <c r="K1138" s="15"/>
      <c r="L1138" s="21" t="s">
        <v>16</v>
      </c>
      <c r="M1138" s="22">
        <v>0</v>
      </c>
      <c r="N1138" s="22">
        <v>0</v>
      </c>
      <c r="O1138" s="22">
        <v>7500</v>
      </c>
      <c r="P1138" s="22">
        <v>7500</v>
      </c>
      <c r="Q1138" t="str" cm="1">
        <f t="array" ref="Q1138">_xlfn.TEXTJOIN("、",TRUE,IF('學員資料-三民高中'!$B$2:$B$454=$F1138,'學員資料-三民高中'!$G$2:$G$454,""))</f>
        <v>0953112110</v>
      </c>
      <c r="R1138" t="str" cm="1">
        <f t="array" ref="R1138">_xlfn.TEXTJOIN("、",TRUE,IF('學員資料-新北高中'!$B$2:$B$583=$F1138,'學員資料-新北高中'!$G$2:$G$583,""))</f>
        <v/>
      </c>
      <c r="S1138" t="str" cm="1">
        <f t="array" ref="S1138">_xlfn.TEXTJOIN("、",TRUE,IF('學員資料-三重商工'!$B$2:$B$472=$F1138,'學員資料-三重商工'!$G$2:$G$472,""))</f>
        <v/>
      </c>
      <c r="T1138">
        <f t="shared" si="17"/>
        <v>1</v>
      </c>
    </row>
    <row r="1139" spans="1:20" ht="14.25" hidden="1" customHeight="1">
      <c r="A1139" s="15">
        <v>1138</v>
      </c>
      <c r="B1139" s="16" t="s">
        <v>3634</v>
      </c>
      <c r="C1139" s="17">
        <v>45853</v>
      </c>
      <c r="D1139" s="15" t="s">
        <v>3635</v>
      </c>
      <c r="E1139" s="18" t="s">
        <v>78</v>
      </c>
      <c r="F1139" s="19" t="s">
        <v>3636</v>
      </c>
      <c r="G1139" s="18" t="s">
        <v>3637</v>
      </c>
      <c r="H1139" s="20" t="s">
        <v>130</v>
      </c>
      <c r="I1139" s="15">
        <v>1</v>
      </c>
      <c r="J1139" s="15" t="s">
        <v>25</v>
      </c>
      <c r="K1139" s="15"/>
      <c r="L1139" s="21" t="s">
        <v>16</v>
      </c>
      <c r="M1139" s="22">
        <v>0</v>
      </c>
      <c r="N1139" s="22">
        <v>0</v>
      </c>
      <c r="O1139" s="22">
        <v>9900</v>
      </c>
      <c r="P1139" s="22">
        <v>9900</v>
      </c>
      <c r="Q1139" t="str" cm="1">
        <f t="array" ref="Q1139">_xlfn.TEXTJOIN("、",TRUE,IF('學員資料-三民高中'!$B$2:$B$454=$F1139,'學員資料-三民高中'!$G$2:$G$454,""))</f>
        <v/>
      </c>
      <c r="R1139" t="str" cm="1">
        <f t="array" ref="R1139">_xlfn.TEXTJOIN("、",TRUE,IF('學員資料-新北高中'!$B$2:$B$583=$F1139,'學員資料-新北高中'!$G$2:$G$583,""))</f>
        <v>0908072998</v>
      </c>
      <c r="S1139" t="str" cm="1">
        <f t="array" ref="S1139">_xlfn.TEXTJOIN("、",TRUE,IF('學員資料-三重商工'!$B$2:$B$472=$F1139,'學員資料-三重商工'!$G$2:$G$472,""))</f>
        <v/>
      </c>
      <c r="T1139">
        <f t="shared" si="17"/>
        <v>1</v>
      </c>
    </row>
    <row r="1140" spans="1:20" ht="14.25" hidden="1" customHeight="1">
      <c r="A1140" s="15">
        <v>1139</v>
      </c>
      <c r="B1140" s="16" t="s">
        <v>3638</v>
      </c>
      <c r="C1140" s="17">
        <v>45853</v>
      </c>
      <c r="D1140" s="15" t="s">
        <v>3639</v>
      </c>
      <c r="E1140" s="23"/>
      <c r="F1140" s="19" t="s">
        <v>3640</v>
      </c>
      <c r="G1140" s="18" t="s">
        <v>3641</v>
      </c>
      <c r="H1140" s="20" t="s">
        <v>52</v>
      </c>
      <c r="I1140" s="15">
        <v>1</v>
      </c>
      <c r="J1140" s="15" t="s">
        <v>24</v>
      </c>
      <c r="K1140" s="15"/>
      <c r="L1140" s="21" t="s">
        <v>16</v>
      </c>
      <c r="M1140" s="22">
        <v>0</v>
      </c>
      <c r="N1140" s="22">
        <v>0</v>
      </c>
      <c r="O1140" s="22">
        <v>7500</v>
      </c>
      <c r="P1140" s="22">
        <v>7500</v>
      </c>
      <c r="Q1140" t="str" cm="1">
        <f t="array" ref="Q1140">_xlfn.TEXTJOIN("、",TRUE,IF('學員資料-三民高中'!$B$2:$B$454=$F1140,'學員資料-三民高中'!$G$2:$G$454,""))</f>
        <v>0987308314</v>
      </c>
      <c r="R1140" t="str" cm="1">
        <f t="array" ref="R1140">_xlfn.TEXTJOIN("、",TRUE,IF('學員資料-新北高中'!$B$2:$B$583=$F1140,'學員資料-新北高中'!$G$2:$G$583,""))</f>
        <v/>
      </c>
      <c r="S1140" t="str" cm="1">
        <f t="array" ref="S1140">_xlfn.TEXTJOIN("、",TRUE,IF('學員資料-三重商工'!$B$2:$B$472=$F1140,'學員資料-三重商工'!$G$2:$G$472,""))</f>
        <v/>
      </c>
      <c r="T1140">
        <f t="shared" si="17"/>
        <v>1</v>
      </c>
    </row>
    <row r="1141" spans="1:20" ht="14.25" hidden="1" customHeight="1">
      <c r="A1141" s="15">
        <v>1140</v>
      </c>
      <c r="B1141" s="16" t="s">
        <v>3642</v>
      </c>
      <c r="C1141" s="17">
        <v>45853</v>
      </c>
      <c r="D1141" s="15" t="s">
        <v>3643</v>
      </c>
      <c r="E1141" s="23"/>
      <c r="F1141" s="19" t="s">
        <v>3644</v>
      </c>
      <c r="G1141" s="18" t="s">
        <v>3645</v>
      </c>
      <c r="H1141" s="20" t="s">
        <v>66</v>
      </c>
      <c r="I1141" s="15">
        <v>1</v>
      </c>
      <c r="J1141" s="15" t="s">
        <v>23</v>
      </c>
      <c r="K1141" s="15"/>
      <c r="L1141" s="21" t="s">
        <v>16</v>
      </c>
      <c r="M1141" s="22">
        <v>0</v>
      </c>
      <c r="N1141" s="22">
        <v>0</v>
      </c>
      <c r="O1141" s="22">
        <v>6900</v>
      </c>
      <c r="P1141" s="22">
        <v>6900</v>
      </c>
      <c r="Q1141" t="str" cm="1">
        <f t="array" ref="Q1141">_xlfn.TEXTJOIN("、",TRUE,IF('學員資料-三民高中'!$B$2:$B$454=$F1141,'學員資料-三民高中'!$G$2:$G$454,""))</f>
        <v/>
      </c>
      <c r="R1141" t="str" cm="1">
        <f t="array" ref="R1141">_xlfn.TEXTJOIN("、",TRUE,IF('學員資料-新北高中'!$B$2:$B$583=$F1141,'學員資料-新北高中'!$G$2:$G$583,""))</f>
        <v/>
      </c>
      <c r="S1141" t="str" cm="1">
        <f t="array" ref="S1141">_xlfn.TEXTJOIN("、",TRUE,IF('學員資料-三重商工'!$B$2:$B$472=$F1141,'學員資料-三重商工'!$G$2:$G$472,""))</f>
        <v>0975523637</v>
      </c>
      <c r="T1141">
        <f t="shared" si="17"/>
        <v>1</v>
      </c>
    </row>
    <row r="1142" spans="1:20" ht="14.25" hidden="1" customHeight="1">
      <c r="A1142" s="15">
        <v>1141</v>
      </c>
      <c r="B1142" s="16" t="s">
        <v>3646</v>
      </c>
      <c r="C1142" s="17">
        <v>45853</v>
      </c>
      <c r="D1142" s="15" t="s">
        <v>3647</v>
      </c>
      <c r="E1142" s="23"/>
      <c r="F1142" s="19" t="s">
        <v>3648</v>
      </c>
      <c r="G1142" s="18" t="s">
        <v>3649</v>
      </c>
      <c r="H1142" s="20" t="s">
        <v>66</v>
      </c>
      <c r="I1142" s="15">
        <v>1</v>
      </c>
      <c r="J1142" s="15" t="s">
        <v>23</v>
      </c>
      <c r="K1142" s="15"/>
      <c r="L1142" s="21" t="s">
        <v>16</v>
      </c>
      <c r="M1142" s="22">
        <v>0</v>
      </c>
      <c r="N1142" s="22">
        <v>0</v>
      </c>
      <c r="O1142" s="22">
        <v>6900</v>
      </c>
      <c r="P1142" s="22">
        <v>6900</v>
      </c>
      <c r="Q1142" t="str" cm="1">
        <f t="array" ref="Q1142">_xlfn.TEXTJOIN("、",TRUE,IF('學員資料-三民高中'!$B$2:$B$454=$F1142,'學員資料-三民高中'!$G$2:$G$454,""))</f>
        <v>0983345070</v>
      </c>
      <c r="R1142" t="str" cm="1">
        <f t="array" ref="R1142">_xlfn.TEXTJOIN("、",TRUE,IF('學員資料-新北高中'!$B$2:$B$583=$F1142,'學員資料-新北高中'!$G$2:$G$583,""))</f>
        <v/>
      </c>
      <c r="S1142" t="str" cm="1">
        <f t="array" ref="S1142">_xlfn.TEXTJOIN("、",TRUE,IF('學員資料-三重商工'!$B$2:$B$472=$F1142,'學員資料-三重商工'!$G$2:$G$472,""))</f>
        <v/>
      </c>
      <c r="T1142">
        <f t="shared" si="17"/>
        <v>1</v>
      </c>
    </row>
    <row r="1143" spans="1:20" ht="14.25" hidden="1" customHeight="1">
      <c r="A1143" s="15">
        <v>1142</v>
      </c>
      <c r="B1143" s="16" t="s">
        <v>3650</v>
      </c>
      <c r="C1143" s="17">
        <v>45853</v>
      </c>
      <c r="D1143" s="15" t="s">
        <v>3651</v>
      </c>
      <c r="E1143" s="18" t="s">
        <v>537</v>
      </c>
      <c r="F1143" s="19" t="s">
        <v>3512</v>
      </c>
      <c r="G1143" s="18" t="s">
        <v>3513</v>
      </c>
      <c r="H1143" s="20" t="s">
        <v>3652</v>
      </c>
      <c r="I1143" s="15">
        <v>1</v>
      </c>
      <c r="J1143" s="15" t="s">
        <v>25</v>
      </c>
      <c r="K1143" s="15"/>
      <c r="L1143" s="21" t="s">
        <v>16</v>
      </c>
      <c r="M1143" s="22">
        <v>0</v>
      </c>
      <c r="N1143" s="22">
        <v>-2700</v>
      </c>
      <c r="O1143" s="22">
        <v>12150</v>
      </c>
      <c r="P1143" s="22">
        <v>12150</v>
      </c>
      <c r="Q1143" t="str" cm="1">
        <f t="array" ref="Q1143">_xlfn.TEXTJOIN("、",TRUE,IF('學員資料-三民高中'!$B$2:$B$454=$F1143,'學員資料-三民高中'!$G$2:$G$454,""))</f>
        <v/>
      </c>
      <c r="R1143" t="str" cm="1">
        <f t="array" ref="R1143">_xlfn.TEXTJOIN("、",TRUE,IF('學員資料-新北高中'!$B$2:$B$583=$F1143,'學員資料-新北高中'!$G$2:$G$583,""))</f>
        <v>0953070855</v>
      </c>
      <c r="S1143" t="str" cm="1">
        <f t="array" ref="S1143">_xlfn.TEXTJOIN("、",TRUE,IF('學員資料-三重商工'!$B$2:$B$472=$F1143,'學員資料-三重商工'!$G$2:$G$472,""))</f>
        <v/>
      </c>
      <c r="T1143">
        <f t="shared" si="17"/>
        <v>1</v>
      </c>
    </row>
    <row r="1144" spans="1:20" ht="14.25" hidden="1" customHeight="1">
      <c r="A1144" s="15">
        <v>1143</v>
      </c>
      <c r="B1144" s="16" t="s">
        <v>3653</v>
      </c>
      <c r="C1144" s="17">
        <v>45853</v>
      </c>
      <c r="D1144" s="15" t="s">
        <v>3654</v>
      </c>
      <c r="E1144" s="23"/>
      <c r="F1144" s="19" t="s">
        <v>3655</v>
      </c>
      <c r="G1144" s="18" t="s">
        <v>3656</v>
      </c>
      <c r="H1144" s="20" t="s">
        <v>52</v>
      </c>
      <c r="I1144" s="15">
        <v>1</v>
      </c>
      <c r="J1144" s="15" t="s">
        <v>24</v>
      </c>
      <c r="K1144" s="15"/>
      <c r="L1144" s="21" t="s">
        <v>16</v>
      </c>
      <c r="M1144" s="22">
        <v>0</v>
      </c>
      <c r="N1144" s="22">
        <v>0</v>
      </c>
      <c r="O1144" s="22">
        <v>7500</v>
      </c>
      <c r="P1144" s="22">
        <v>7500</v>
      </c>
      <c r="Q1144" t="str" cm="1">
        <f t="array" ref="Q1144">_xlfn.TEXTJOIN("、",TRUE,IF('學員資料-三民高中'!$B$2:$B$454=$F1144,'學員資料-三民高中'!$G$2:$G$454,""))</f>
        <v>0902688405</v>
      </c>
      <c r="R1144" t="str" cm="1">
        <f t="array" ref="R1144">_xlfn.TEXTJOIN("、",TRUE,IF('學員資料-新北高中'!$B$2:$B$583=$F1144,'學員資料-新北高中'!$G$2:$G$583,""))</f>
        <v/>
      </c>
      <c r="S1144" t="str" cm="1">
        <f t="array" ref="S1144">_xlfn.TEXTJOIN("、",TRUE,IF('學員資料-三重商工'!$B$2:$B$472=$F1144,'學員資料-三重商工'!$G$2:$G$472,""))</f>
        <v/>
      </c>
      <c r="T1144">
        <f t="shared" si="17"/>
        <v>1</v>
      </c>
    </row>
    <row r="1145" spans="1:20" ht="14.25" hidden="1" customHeight="1">
      <c r="A1145" s="15">
        <v>1144</v>
      </c>
      <c r="B1145" s="16" t="s">
        <v>3657</v>
      </c>
      <c r="C1145" s="17">
        <v>45852</v>
      </c>
      <c r="D1145" s="15" t="s">
        <v>3658</v>
      </c>
      <c r="E1145" s="23"/>
      <c r="F1145" s="19" t="s">
        <v>3659</v>
      </c>
      <c r="G1145" s="18" t="s">
        <v>3660</v>
      </c>
      <c r="H1145" s="20" t="s">
        <v>66</v>
      </c>
      <c r="I1145" s="15">
        <v>1</v>
      </c>
      <c r="J1145" s="15" t="s">
        <v>23</v>
      </c>
      <c r="K1145" s="15"/>
      <c r="L1145" s="21" t="s">
        <v>16</v>
      </c>
      <c r="M1145" s="22">
        <v>0</v>
      </c>
      <c r="N1145" s="22">
        <v>0</v>
      </c>
      <c r="O1145" s="22">
        <v>6900</v>
      </c>
      <c r="P1145" s="22">
        <v>6900</v>
      </c>
      <c r="Q1145" t="str" cm="1">
        <f t="array" ref="Q1145">_xlfn.TEXTJOIN("、",TRUE,IF('學員資料-三民高中'!$B$2:$B$454=$F1145,'學員資料-三民高中'!$G$2:$G$454,""))</f>
        <v/>
      </c>
      <c r="R1145" t="str" cm="1">
        <f t="array" ref="R1145">_xlfn.TEXTJOIN("、",TRUE,IF('學員資料-新北高中'!$B$2:$B$583=$F1145,'學員資料-新北高中'!$G$2:$G$583,""))</f>
        <v>0983724286</v>
      </c>
      <c r="S1145" t="str" cm="1">
        <f t="array" ref="S1145">_xlfn.TEXTJOIN("、",TRUE,IF('學員資料-三重商工'!$B$2:$B$472=$F1145,'學員資料-三重商工'!$G$2:$G$472,""))</f>
        <v/>
      </c>
      <c r="T1145">
        <f t="shared" si="17"/>
        <v>1</v>
      </c>
    </row>
    <row r="1146" spans="1:20" ht="14.25" hidden="1" customHeight="1">
      <c r="A1146" s="15">
        <v>1145</v>
      </c>
      <c r="B1146" s="16" t="s">
        <v>3661</v>
      </c>
      <c r="C1146" s="17">
        <v>45852</v>
      </c>
      <c r="D1146" s="15" t="s">
        <v>3662</v>
      </c>
      <c r="E1146" s="18" t="s">
        <v>763</v>
      </c>
      <c r="F1146" s="19" t="s">
        <v>3663</v>
      </c>
      <c r="G1146" s="18" t="s">
        <v>3664</v>
      </c>
      <c r="H1146" s="20" t="s">
        <v>66</v>
      </c>
      <c r="I1146" s="15">
        <v>1</v>
      </c>
      <c r="J1146" s="15" t="s">
        <v>23</v>
      </c>
      <c r="K1146" s="15"/>
      <c r="L1146" s="21" t="s">
        <v>16</v>
      </c>
      <c r="M1146" s="22">
        <v>0</v>
      </c>
      <c r="N1146" s="22">
        <v>0</v>
      </c>
      <c r="O1146" s="22">
        <v>6900</v>
      </c>
      <c r="P1146" s="22">
        <v>6900</v>
      </c>
      <c r="Q1146" t="str" cm="1">
        <f t="array" ref="Q1146">_xlfn.TEXTJOIN("、",TRUE,IF('學員資料-三民高中'!$B$2:$B$454=$F1146,'學員資料-三民高中'!$G$2:$G$454,""))</f>
        <v>0972779318</v>
      </c>
      <c r="R1146" t="str" cm="1">
        <f t="array" ref="R1146">_xlfn.TEXTJOIN("、",TRUE,IF('學員資料-新北高中'!$B$2:$B$583=$F1146,'學員資料-新北高中'!$G$2:$G$583,""))</f>
        <v/>
      </c>
      <c r="S1146" t="str" cm="1">
        <f t="array" ref="S1146">_xlfn.TEXTJOIN("、",TRUE,IF('學員資料-三重商工'!$B$2:$B$472=$F1146,'學員資料-三重商工'!$G$2:$G$472,""))</f>
        <v/>
      </c>
      <c r="T1146">
        <f t="shared" si="17"/>
        <v>1</v>
      </c>
    </row>
    <row r="1147" spans="1:20" ht="14.25" hidden="1" customHeight="1">
      <c r="A1147" s="15">
        <v>1146</v>
      </c>
      <c r="B1147" s="16" t="s">
        <v>3665</v>
      </c>
      <c r="C1147" s="17">
        <v>45852</v>
      </c>
      <c r="D1147" s="15" t="s">
        <v>3666</v>
      </c>
      <c r="E1147" s="23"/>
      <c r="F1147" s="19" t="s">
        <v>2618</v>
      </c>
      <c r="G1147" s="18" t="s">
        <v>2619</v>
      </c>
      <c r="H1147" s="20" t="s">
        <v>130</v>
      </c>
      <c r="I1147" s="15">
        <v>1</v>
      </c>
      <c r="J1147" s="15" t="s">
        <v>25</v>
      </c>
      <c r="K1147" s="15"/>
      <c r="L1147" s="21" t="s">
        <v>16</v>
      </c>
      <c r="M1147" s="22">
        <v>0</v>
      </c>
      <c r="N1147" s="22">
        <v>0</v>
      </c>
      <c r="O1147" s="22">
        <v>9900</v>
      </c>
      <c r="P1147" s="22">
        <v>9900</v>
      </c>
      <c r="Q1147" t="str" cm="1">
        <f t="array" ref="Q1147">_xlfn.TEXTJOIN("、",TRUE,IF('學員資料-三民高中'!$B$2:$B$454=$F1147,'學員資料-三民高中'!$G$2:$G$454,""))</f>
        <v>0920016260</v>
      </c>
      <c r="R1147" t="str" cm="1">
        <f t="array" ref="R1147">_xlfn.TEXTJOIN("、",TRUE,IF('學員資料-新北高中'!$B$2:$B$583=$F1147,'學員資料-新北高中'!$G$2:$G$583,""))</f>
        <v/>
      </c>
      <c r="S1147" t="str" cm="1">
        <f t="array" ref="S1147">_xlfn.TEXTJOIN("、",TRUE,IF('學員資料-三重商工'!$B$2:$B$472=$F1147,'學員資料-三重商工'!$G$2:$G$472,""))</f>
        <v/>
      </c>
      <c r="T1147">
        <f t="shared" si="17"/>
        <v>1</v>
      </c>
    </row>
    <row r="1148" spans="1:20" ht="14.25" hidden="1" customHeight="1">
      <c r="A1148" s="15">
        <v>1147</v>
      </c>
      <c r="B1148" s="16" t="s">
        <v>3667</v>
      </c>
      <c r="C1148" s="17">
        <v>45852</v>
      </c>
      <c r="D1148" s="15" t="s">
        <v>3668</v>
      </c>
      <c r="E1148" s="18" t="s">
        <v>44</v>
      </c>
      <c r="F1148" s="19" t="s">
        <v>3669</v>
      </c>
      <c r="G1148" s="18" t="s">
        <v>3670</v>
      </c>
      <c r="H1148" s="20" t="s">
        <v>52</v>
      </c>
      <c r="I1148" s="15">
        <v>1</v>
      </c>
      <c r="J1148" s="15" t="s">
        <v>24</v>
      </c>
      <c r="K1148" s="15"/>
      <c r="L1148" s="21" t="s">
        <v>16</v>
      </c>
      <c r="M1148" s="22">
        <v>0</v>
      </c>
      <c r="N1148" s="22">
        <v>-3000</v>
      </c>
      <c r="O1148" s="22">
        <v>4500</v>
      </c>
      <c r="P1148" s="22">
        <v>4500</v>
      </c>
      <c r="Q1148" t="str" cm="1">
        <f t="array" ref="Q1148">_xlfn.TEXTJOIN("、",TRUE,IF('學員資料-三民高中'!$B$2:$B$454=$F1148,'學員資料-三民高中'!$G$2:$G$454,""))</f>
        <v/>
      </c>
      <c r="R1148" t="str" cm="1">
        <f t="array" ref="R1148">_xlfn.TEXTJOIN("、",TRUE,IF('學員資料-新北高中'!$B$2:$B$583=$F1148,'學員資料-新北高中'!$G$2:$G$583,""))</f>
        <v/>
      </c>
      <c r="S1148" t="str" cm="1">
        <f t="array" ref="S1148">_xlfn.TEXTJOIN("、",TRUE,IF('學員資料-三重商工'!$B$2:$B$472=$F1148,'學員資料-三重商工'!$G$2:$G$472,""))</f>
        <v>0937368429</v>
      </c>
      <c r="T1148">
        <f t="shared" si="17"/>
        <v>1</v>
      </c>
    </row>
    <row r="1149" spans="1:20" ht="14.25" hidden="1" customHeight="1">
      <c r="A1149" s="15">
        <v>1148</v>
      </c>
      <c r="B1149" s="16" t="s">
        <v>3671</v>
      </c>
      <c r="C1149" s="17">
        <v>45852</v>
      </c>
      <c r="D1149" s="15" t="s">
        <v>3672</v>
      </c>
      <c r="E1149" s="23"/>
      <c r="F1149" s="19" t="s">
        <v>3673</v>
      </c>
      <c r="G1149" s="18" t="s">
        <v>3674</v>
      </c>
      <c r="H1149" s="20" t="s">
        <v>66</v>
      </c>
      <c r="I1149" s="15">
        <v>1</v>
      </c>
      <c r="J1149" s="15" t="s">
        <v>23</v>
      </c>
      <c r="K1149" s="15"/>
      <c r="L1149" s="21" t="s">
        <v>16</v>
      </c>
      <c r="M1149" s="22">
        <v>0</v>
      </c>
      <c r="N1149" s="22">
        <v>0</v>
      </c>
      <c r="O1149" s="22">
        <v>6900</v>
      </c>
      <c r="P1149" s="22">
        <v>6900</v>
      </c>
      <c r="Q1149" t="str" cm="1">
        <f t="array" ref="Q1149">_xlfn.TEXTJOIN("、",TRUE,IF('學員資料-三民高中'!$B$2:$B$454=$F1149,'學員資料-三民高中'!$G$2:$G$454,""))</f>
        <v/>
      </c>
      <c r="R1149" t="str" cm="1">
        <f t="array" ref="R1149">_xlfn.TEXTJOIN("、",TRUE,IF('學員資料-新北高中'!$B$2:$B$583=$F1149,'學員資料-新北高中'!$G$2:$G$583,""))</f>
        <v>0926264668</v>
      </c>
      <c r="S1149" t="str" cm="1">
        <f t="array" ref="S1149">_xlfn.TEXTJOIN("、",TRUE,IF('學員資料-三重商工'!$B$2:$B$472=$F1149,'學員資料-三重商工'!$G$2:$G$472,""))</f>
        <v/>
      </c>
      <c r="T1149">
        <f t="shared" si="17"/>
        <v>1</v>
      </c>
    </row>
    <row r="1150" spans="1:20" ht="14.25" hidden="1" customHeight="1">
      <c r="A1150" s="15">
        <v>1149</v>
      </c>
      <c r="B1150" s="16" t="s">
        <v>3675</v>
      </c>
      <c r="C1150" s="17">
        <v>45852</v>
      </c>
      <c r="D1150" s="15" t="s">
        <v>3676</v>
      </c>
      <c r="E1150" s="18" t="s">
        <v>537</v>
      </c>
      <c r="F1150" s="19" t="s">
        <v>874</v>
      </c>
      <c r="G1150" s="18" t="s">
        <v>875</v>
      </c>
      <c r="H1150" s="20" t="s">
        <v>52</v>
      </c>
      <c r="I1150" s="15">
        <v>1</v>
      </c>
      <c r="J1150" s="15" t="s">
        <v>24</v>
      </c>
      <c r="K1150" s="15"/>
      <c r="L1150" s="21" t="s">
        <v>16</v>
      </c>
      <c r="M1150" s="22">
        <v>0</v>
      </c>
      <c r="N1150" s="22">
        <v>0</v>
      </c>
      <c r="O1150" s="22">
        <v>7500</v>
      </c>
      <c r="P1150" s="22">
        <v>7500</v>
      </c>
      <c r="Q1150" t="str" cm="1">
        <f t="array" ref="Q1150">_xlfn.TEXTJOIN("、",TRUE,IF('學員資料-三民高中'!$B$2:$B$454=$F1150,'學員資料-三民高中'!$G$2:$G$454,""))</f>
        <v/>
      </c>
      <c r="R1150" t="str" cm="1">
        <f t="array" ref="R1150">_xlfn.TEXTJOIN("、",TRUE,IF('學員資料-新北高中'!$B$2:$B$583=$F1150,'學員資料-新北高中'!$G$2:$G$583,""))</f>
        <v>0980674730</v>
      </c>
      <c r="S1150" t="str" cm="1">
        <f t="array" ref="S1150">_xlfn.TEXTJOIN("、",TRUE,IF('學員資料-三重商工'!$B$2:$B$472=$F1150,'學員資料-三重商工'!$G$2:$G$472,""))</f>
        <v/>
      </c>
      <c r="T1150">
        <f t="shared" si="17"/>
        <v>1</v>
      </c>
    </row>
    <row r="1151" spans="1:20" ht="14.25" hidden="1" customHeight="1">
      <c r="A1151" s="15">
        <v>1150</v>
      </c>
      <c r="B1151" s="16" t="s">
        <v>3677</v>
      </c>
      <c r="C1151" s="17">
        <v>45851</v>
      </c>
      <c r="D1151" s="15" t="s">
        <v>3678</v>
      </c>
      <c r="E1151" s="23"/>
      <c r="F1151" s="19" t="s">
        <v>2509</v>
      </c>
      <c r="G1151" s="18" t="s">
        <v>2510</v>
      </c>
      <c r="H1151" s="20" t="s">
        <v>130</v>
      </c>
      <c r="I1151" s="15">
        <v>1</v>
      </c>
      <c r="J1151" s="15" t="s">
        <v>25</v>
      </c>
      <c r="K1151" s="15"/>
      <c r="L1151" s="21" t="s">
        <v>16</v>
      </c>
      <c r="M1151" s="22">
        <v>0</v>
      </c>
      <c r="N1151" s="22">
        <v>0</v>
      </c>
      <c r="O1151" s="22">
        <v>9900</v>
      </c>
      <c r="P1151" s="22">
        <v>9900</v>
      </c>
      <c r="Q1151" t="str" cm="1">
        <f t="array" ref="Q1151">_xlfn.TEXTJOIN("、",TRUE,IF('學員資料-三民高中'!$B$2:$B$454=$F1151,'學員資料-三民高中'!$G$2:$G$454,""))</f>
        <v>0978773970</v>
      </c>
      <c r="R1151" t="str" cm="1">
        <f t="array" ref="R1151">_xlfn.TEXTJOIN("、",TRUE,IF('學員資料-新北高中'!$B$2:$B$583=$F1151,'學員資料-新北高中'!$G$2:$G$583,""))</f>
        <v/>
      </c>
      <c r="S1151" t="str" cm="1">
        <f t="array" ref="S1151">_xlfn.TEXTJOIN("、",TRUE,IF('學員資料-三重商工'!$B$2:$B$472=$F1151,'學員資料-三重商工'!$G$2:$G$472,""))</f>
        <v/>
      </c>
      <c r="T1151">
        <f t="shared" si="17"/>
        <v>1</v>
      </c>
    </row>
    <row r="1152" spans="1:20" ht="14.25" hidden="1" customHeight="1">
      <c r="A1152" s="15">
        <v>1151</v>
      </c>
      <c r="B1152" s="16" t="s">
        <v>3679</v>
      </c>
      <c r="C1152" s="17">
        <v>45851</v>
      </c>
      <c r="D1152" s="15" t="s">
        <v>3680</v>
      </c>
      <c r="E1152" s="18" t="s">
        <v>78</v>
      </c>
      <c r="F1152" s="19" t="s">
        <v>3681</v>
      </c>
      <c r="G1152" s="18" t="s">
        <v>3682</v>
      </c>
      <c r="H1152" s="20" t="s">
        <v>2984</v>
      </c>
      <c r="I1152" s="15">
        <v>1</v>
      </c>
      <c r="J1152" s="15" t="s">
        <v>24</v>
      </c>
      <c r="K1152" s="21" t="s">
        <v>116</v>
      </c>
      <c r="L1152" s="21" t="s">
        <v>16</v>
      </c>
      <c r="M1152" s="22">
        <v>0</v>
      </c>
      <c r="N1152" s="22">
        <v>0</v>
      </c>
      <c r="O1152" s="22">
        <v>1400</v>
      </c>
      <c r="P1152" s="22">
        <v>1400</v>
      </c>
      <c r="Q1152" t="str" cm="1">
        <f t="array" ref="Q1152">_xlfn.TEXTJOIN("、",TRUE,IF('學員資料-三民高中'!$B$2:$B$454=$F1152,'學員資料-三民高中'!$G$2:$G$454,""))</f>
        <v/>
      </c>
      <c r="R1152" t="str" cm="1">
        <f t="array" ref="R1152">_xlfn.TEXTJOIN("、",TRUE,IF('學員資料-新北高中'!$B$2:$B$583=$F1152,'學員資料-新北高中'!$G$2:$G$583,""))</f>
        <v>0922055158</v>
      </c>
      <c r="S1152" t="str" cm="1">
        <f t="array" ref="S1152">_xlfn.TEXTJOIN("、",TRUE,IF('學員資料-三重商工'!$B$2:$B$472=$F1152,'學員資料-三重商工'!$G$2:$G$472,""))</f>
        <v/>
      </c>
      <c r="T1152">
        <f t="shared" si="17"/>
        <v>1</v>
      </c>
    </row>
    <row r="1153" spans="1:20" ht="14.25" hidden="1" customHeight="1">
      <c r="A1153" s="15">
        <v>1152</v>
      </c>
      <c r="B1153" s="16" t="s">
        <v>3683</v>
      </c>
      <c r="C1153" s="17">
        <v>45851</v>
      </c>
      <c r="D1153" s="15" t="s">
        <v>3684</v>
      </c>
      <c r="E1153" s="23"/>
      <c r="F1153" s="19" t="s">
        <v>3685</v>
      </c>
      <c r="G1153" s="18" t="s">
        <v>2795</v>
      </c>
      <c r="H1153" s="20" t="s">
        <v>66</v>
      </c>
      <c r="I1153" s="15">
        <v>1</v>
      </c>
      <c r="J1153" s="15" t="s">
        <v>23</v>
      </c>
      <c r="K1153" s="15"/>
      <c r="L1153" s="21" t="s">
        <v>16</v>
      </c>
      <c r="M1153" s="22">
        <v>0</v>
      </c>
      <c r="N1153" s="22">
        <v>0</v>
      </c>
      <c r="O1153" s="22">
        <v>6900</v>
      </c>
      <c r="P1153" s="22">
        <v>6900</v>
      </c>
      <c r="Q1153" t="str" cm="1">
        <f t="array" ref="Q1153">_xlfn.TEXTJOIN("、",TRUE,IF('學員資料-三民高中'!$B$2:$B$454=$F1153,'學員資料-三民高中'!$G$2:$G$454,""))</f>
        <v>0919000630-1</v>
      </c>
      <c r="R1153" t="str" cm="1">
        <f t="array" ref="R1153">_xlfn.TEXTJOIN("、",TRUE,IF('學員資料-新北高中'!$B$2:$B$583=$F1153,'學員資料-新北高中'!$G$2:$G$583,""))</f>
        <v/>
      </c>
      <c r="S1153" t="str" cm="1">
        <f t="array" ref="S1153">_xlfn.TEXTJOIN("、",TRUE,IF('學員資料-三重商工'!$B$2:$B$472=$F1153,'學員資料-三重商工'!$G$2:$G$472,""))</f>
        <v/>
      </c>
      <c r="T1153">
        <f t="shared" si="17"/>
        <v>1</v>
      </c>
    </row>
    <row r="1154" spans="1:20" ht="14.25" customHeight="1">
      <c r="A1154" s="15">
        <v>1153</v>
      </c>
      <c r="B1154" s="16" t="s">
        <v>3686</v>
      </c>
      <c r="C1154" s="17">
        <v>45851</v>
      </c>
      <c r="D1154" s="15" t="s">
        <v>3687</v>
      </c>
      <c r="E1154" s="23"/>
      <c r="F1154" s="19" t="s">
        <v>2790</v>
      </c>
      <c r="G1154" s="18" t="s">
        <v>2791</v>
      </c>
      <c r="H1154" s="20" t="s">
        <v>66</v>
      </c>
      <c r="I1154" s="15">
        <v>1</v>
      </c>
      <c r="J1154" s="15" t="s">
        <v>23</v>
      </c>
      <c r="K1154" s="15"/>
      <c r="L1154" s="21" t="s">
        <v>16</v>
      </c>
      <c r="M1154" s="22">
        <v>0</v>
      </c>
      <c r="N1154" s="22">
        <v>0</v>
      </c>
      <c r="O1154" s="22">
        <v>6900</v>
      </c>
      <c r="P1154" s="22">
        <v>6900</v>
      </c>
      <c r="Q1154" t="str" cm="1">
        <f t="array" ref="Q1154">_xlfn.TEXTJOIN("、",TRUE,IF('學員資料-三民高中'!$B$2:$B$454=$F1154,'學員資料-三民高中'!$G$2:$G$454,""))</f>
        <v/>
      </c>
      <c r="R1154" t="str" cm="1">
        <f t="array" ref="R1154">_xlfn.TEXTJOIN("、",TRUE,IF('學員資料-新北高中'!$B$2:$B$583=$F1154,'學員資料-新北高中'!$G$2:$G$583,""))</f>
        <v/>
      </c>
      <c r="S1154" t="str" cm="1">
        <f t="array" ref="S1154">_xlfn.TEXTJOIN("、",TRUE,IF('學員資料-三重商工'!$B$2:$B$472=$F1154,'學員資料-三重商工'!$G$2:$G$472,""))</f>
        <v/>
      </c>
      <c r="T1154">
        <f t="shared" si="17"/>
        <v>0</v>
      </c>
    </row>
    <row r="1155" spans="1:20" ht="14.25" hidden="1" customHeight="1">
      <c r="A1155" s="15">
        <v>1154</v>
      </c>
      <c r="B1155" s="16" t="s">
        <v>3688</v>
      </c>
      <c r="C1155" s="17">
        <v>45851</v>
      </c>
      <c r="D1155" s="15" t="s">
        <v>3689</v>
      </c>
      <c r="E1155" s="18" t="s">
        <v>161</v>
      </c>
      <c r="F1155" s="19" t="s">
        <v>3690</v>
      </c>
      <c r="G1155" s="18" t="s">
        <v>3691</v>
      </c>
      <c r="H1155" s="20" t="s">
        <v>52</v>
      </c>
      <c r="I1155" s="15">
        <v>1</v>
      </c>
      <c r="J1155" s="15" t="s">
        <v>24</v>
      </c>
      <c r="K1155" s="15"/>
      <c r="L1155" s="21" t="s">
        <v>16</v>
      </c>
      <c r="M1155" s="22">
        <v>0</v>
      </c>
      <c r="N1155" s="22">
        <v>0</v>
      </c>
      <c r="O1155" s="22">
        <v>7500</v>
      </c>
      <c r="P1155" s="22">
        <v>7500</v>
      </c>
      <c r="Q1155" t="str" cm="1">
        <f t="array" ref="Q1155">_xlfn.TEXTJOIN("、",TRUE,IF('學員資料-三民高中'!$B$2:$B$454=$F1155,'學員資料-三民高中'!$G$2:$G$454,""))</f>
        <v/>
      </c>
      <c r="R1155" t="str" cm="1">
        <f t="array" ref="R1155">_xlfn.TEXTJOIN("、",TRUE,IF('學員資料-新北高中'!$B$2:$B$583=$F1155,'學員資料-新北高中'!$G$2:$G$583,""))</f>
        <v>0937966481</v>
      </c>
      <c r="S1155" t="str" cm="1">
        <f t="array" ref="S1155">_xlfn.TEXTJOIN("、",TRUE,IF('學員資料-三重商工'!$B$2:$B$472=$F1155,'學員資料-三重商工'!$G$2:$G$472,""))</f>
        <v/>
      </c>
      <c r="T1155">
        <f t="shared" ref="T1155:T1218" si="18">3-COUNTBLANK(Q1155:S1155)</f>
        <v>1</v>
      </c>
    </row>
    <row r="1156" spans="1:20" ht="14.25" hidden="1" customHeight="1">
      <c r="A1156" s="15">
        <v>1155</v>
      </c>
      <c r="B1156" s="16" t="s">
        <v>3692</v>
      </c>
      <c r="C1156" s="17">
        <v>45851</v>
      </c>
      <c r="D1156" s="15" t="s">
        <v>3693</v>
      </c>
      <c r="E1156" s="18" t="s">
        <v>161</v>
      </c>
      <c r="F1156" s="19" t="s">
        <v>162</v>
      </c>
      <c r="G1156" s="18" t="s">
        <v>163</v>
      </c>
      <c r="H1156" s="20" t="s">
        <v>52</v>
      </c>
      <c r="I1156" s="15">
        <v>1</v>
      </c>
      <c r="J1156" s="15" t="s">
        <v>24</v>
      </c>
      <c r="K1156" s="15"/>
      <c r="L1156" s="21" t="s">
        <v>16</v>
      </c>
      <c r="M1156" s="22">
        <v>0</v>
      </c>
      <c r="N1156" s="22">
        <v>-375</v>
      </c>
      <c r="O1156" s="22">
        <v>7125</v>
      </c>
      <c r="P1156" s="22">
        <v>7125</v>
      </c>
      <c r="Q1156" t="str" cm="1">
        <f t="array" ref="Q1156">_xlfn.TEXTJOIN("、",TRUE,IF('學員資料-三民高中'!$B$2:$B$454=$F1156,'學員資料-三民高中'!$G$2:$G$454,""))</f>
        <v/>
      </c>
      <c r="R1156" t="str" cm="1">
        <f t="array" ref="R1156">_xlfn.TEXTJOIN("、",TRUE,IF('學員資料-新北高中'!$B$2:$B$583=$F1156,'學員資料-新北高中'!$G$2:$G$583,""))</f>
        <v>0958631638</v>
      </c>
      <c r="S1156" t="str" cm="1">
        <f t="array" ref="S1156">_xlfn.TEXTJOIN("、",TRUE,IF('學員資料-三重商工'!$B$2:$B$472=$F1156,'學員資料-三重商工'!$G$2:$G$472,""))</f>
        <v/>
      </c>
      <c r="T1156">
        <f t="shared" si="18"/>
        <v>1</v>
      </c>
    </row>
    <row r="1157" spans="1:20" ht="14.25" hidden="1" customHeight="1">
      <c r="A1157" s="15">
        <v>1156</v>
      </c>
      <c r="B1157" s="16" t="s">
        <v>3694</v>
      </c>
      <c r="C1157" s="17">
        <v>45850</v>
      </c>
      <c r="D1157" s="15" t="s">
        <v>3695</v>
      </c>
      <c r="E1157" s="23"/>
      <c r="F1157" s="19" t="s">
        <v>3696</v>
      </c>
      <c r="G1157" s="18" t="s">
        <v>3697</v>
      </c>
      <c r="H1157" s="20" t="s">
        <v>210</v>
      </c>
      <c r="I1157" s="15">
        <v>1</v>
      </c>
      <c r="J1157" s="15" t="s">
        <v>26</v>
      </c>
      <c r="K1157" s="15"/>
      <c r="L1157" s="21" t="s">
        <v>16</v>
      </c>
      <c r="M1157" s="22">
        <v>0</v>
      </c>
      <c r="N1157" s="22">
        <v>0</v>
      </c>
      <c r="O1157" s="22">
        <v>12000</v>
      </c>
      <c r="P1157" s="22">
        <v>12000</v>
      </c>
      <c r="Q1157" t="str" cm="1">
        <f t="array" ref="Q1157">_xlfn.TEXTJOIN("、",TRUE,IF('學員資料-三民高中'!$B$2:$B$454=$F1157,'學員資料-三民高中'!$G$2:$G$454,""))</f>
        <v/>
      </c>
      <c r="R1157" t="str" cm="1">
        <f t="array" ref="R1157">_xlfn.TEXTJOIN("、",TRUE,IF('學員資料-新北高中'!$B$2:$B$583=$F1157,'學員資料-新北高中'!$G$2:$G$583,""))</f>
        <v>0918325831</v>
      </c>
      <c r="S1157" t="str" cm="1">
        <f t="array" ref="S1157">_xlfn.TEXTJOIN("、",TRUE,IF('學員資料-三重商工'!$B$2:$B$472=$F1157,'學員資料-三重商工'!$G$2:$G$472,""))</f>
        <v/>
      </c>
      <c r="T1157">
        <f t="shared" si="18"/>
        <v>1</v>
      </c>
    </row>
    <row r="1158" spans="1:20" ht="14.25" hidden="1" customHeight="1">
      <c r="A1158" s="15">
        <v>1157</v>
      </c>
      <c r="B1158" s="16" t="s">
        <v>3698</v>
      </c>
      <c r="C1158" s="17">
        <v>45850</v>
      </c>
      <c r="D1158" s="15" t="s">
        <v>3699</v>
      </c>
      <c r="E1158" s="23"/>
      <c r="F1158" s="19" t="s">
        <v>3700</v>
      </c>
      <c r="G1158" s="18" t="s">
        <v>3701</v>
      </c>
      <c r="H1158" s="20" t="s">
        <v>52</v>
      </c>
      <c r="I1158" s="15">
        <v>1</v>
      </c>
      <c r="J1158" s="15" t="s">
        <v>24</v>
      </c>
      <c r="K1158" s="15"/>
      <c r="L1158" s="21" t="s">
        <v>16</v>
      </c>
      <c r="M1158" s="22">
        <v>0</v>
      </c>
      <c r="N1158" s="22">
        <v>-300</v>
      </c>
      <c r="O1158" s="22">
        <v>7200</v>
      </c>
      <c r="P1158" s="22">
        <v>7200</v>
      </c>
      <c r="Q1158" t="str" cm="1">
        <f t="array" ref="Q1158">_xlfn.TEXTJOIN("、",TRUE,IF('學員資料-三民高中'!$B$2:$B$454=$F1158,'學員資料-三民高中'!$G$2:$G$454,""))</f>
        <v/>
      </c>
      <c r="R1158" t="str" cm="1">
        <f t="array" ref="R1158">_xlfn.TEXTJOIN("、",TRUE,IF('學員資料-新北高中'!$B$2:$B$583=$F1158,'學員資料-新北高中'!$G$2:$G$583,""))</f>
        <v>0910688530</v>
      </c>
      <c r="S1158" t="str" cm="1">
        <f t="array" ref="S1158">_xlfn.TEXTJOIN("、",TRUE,IF('學員資料-三重商工'!$B$2:$B$472=$F1158,'學員資料-三重商工'!$G$2:$G$472,""))</f>
        <v/>
      </c>
      <c r="T1158">
        <f t="shared" si="18"/>
        <v>1</v>
      </c>
    </row>
    <row r="1159" spans="1:20" ht="14.25" hidden="1" customHeight="1">
      <c r="A1159" s="15">
        <v>1158</v>
      </c>
      <c r="B1159" s="16" t="s">
        <v>3702</v>
      </c>
      <c r="C1159" s="17">
        <v>45850</v>
      </c>
      <c r="D1159" s="15" t="s">
        <v>3703</v>
      </c>
      <c r="E1159" s="18" t="s">
        <v>161</v>
      </c>
      <c r="F1159" s="19" t="s">
        <v>3078</v>
      </c>
      <c r="G1159" s="18" t="s">
        <v>3079</v>
      </c>
      <c r="H1159" s="20" t="s">
        <v>2989</v>
      </c>
      <c r="I1159" s="15">
        <v>1</v>
      </c>
      <c r="J1159" s="15" t="s">
        <v>23</v>
      </c>
      <c r="K1159" s="21" t="s">
        <v>116</v>
      </c>
      <c r="L1159" s="21" t="s">
        <v>16</v>
      </c>
      <c r="M1159" s="22">
        <v>0</v>
      </c>
      <c r="N1159" s="22">
        <v>0</v>
      </c>
      <c r="O1159" s="22">
        <v>1200</v>
      </c>
      <c r="P1159" s="22">
        <v>1200</v>
      </c>
      <c r="Q1159" t="str" cm="1">
        <f t="array" ref="Q1159">_xlfn.TEXTJOIN("、",TRUE,IF('學員資料-三民高中'!$B$2:$B$454=$F1159,'學員資料-三民高中'!$G$2:$G$454,""))</f>
        <v/>
      </c>
      <c r="R1159" t="str" cm="1">
        <f t="array" ref="R1159">_xlfn.TEXTJOIN("、",TRUE,IF('學員資料-新北高中'!$B$2:$B$583=$F1159,'學員資料-新北高中'!$G$2:$G$583,""))</f>
        <v/>
      </c>
      <c r="S1159" t="str" cm="1">
        <f t="array" ref="S1159">_xlfn.TEXTJOIN("、",TRUE,IF('學員資料-三重商工'!$B$2:$B$472=$F1159,'學員資料-三重商工'!$G$2:$G$472,""))</f>
        <v>0926472506</v>
      </c>
      <c r="T1159">
        <f t="shared" si="18"/>
        <v>1</v>
      </c>
    </row>
    <row r="1160" spans="1:20" ht="14.25" customHeight="1">
      <c r="A1160" s="15">
        <v>1159</v>
      </c>
      <c r="B1160" s="16" t="s">
        <v>3704</v>
      </c>
      <c r="C1160" s="17">
        <v>45850</v>
      </c>
      <c r="D1160" s="15" t="s">
        <v>3705</v>
      </c>
      <c r="E1160" s="23"/>
      <c r="F1160" s="19" t="s">
        <v>3255</v>
      </c>
      <c r="G1160" s="18" t="s">
        <v>3256</v>
      </c>
      <c r="H1160" s="20" t="s">
        <v>66</v>
      </c>
      <c r="I1160" s="15">
        <v>1</v>
      </c>
      <c r="J1160" s="15" t="s">
        <v>23</v>
      </c>
      <c r="K1160" s="15"/>
      <c r="L1160" s="21" t="s">
        <v>16</v>
      </c>
      <c r="M1160" s="22">
        <v>0</v>
      </c>
      <c r="N1160" s="22">
        <v>0</v>
      </c>
      <c r="O1160" s="22">
        <v>6900</v>
      </c>
      <c r="P1160" s="22">
        <v>6900</v>
      </c>
      <c r="Q1160" t="str" cm="1">
        <f t="array" ref="Q1160">_xlfn.TEXTJOIN("、",TRUE,IF('學員資料-三民高中'!$B$2:$B$454=$F1160,'學員資料-三民高中'!$G$2:$G$454,""))</f>
        <v/>
      </c>
      <c r="R1160" t="str" cm="1">
        <f t="array" ref="R1160">_xlfn.TEXTJOIN("、",TRUE,IF('學員資料-新北高中'!$B$2:$B$583=$F1160,'學員資料-新北高中'!$G$2:$G$583,""))</f>
        <v/>
      </c>
      <c r="S1160" t="str" cm="1">
        <f t="array" ref="S1160">_xlfn.TEXTJOIN("、",TRUE,IF('學員資料-三重商工'!$B$2:$B$472=$F1160,'學員資料-三重商工'!$G$2:$G$472,""))</f>
        <v/>
      </c>
      <c r="T1160">
        <f t="shared" si="18"/>
        <v>0</v>
      </c>
    </row>
    <row r="1161" spans="1:20" ht="14.25" hidden="1" customHeight="1">
      <c r="A1161" s="15">
        <v>1160</v>
      </c>
      <c r="B1161" s="16" t="s">
        <v>3706</v>
      </c>
      <c r="C1161" s="17">
        <v>45850</v>
      </c>
      <c r="D1161" s="15" t="s">
        <v>3707</v>
      </c>
      <c r="E1161" s="18" t="s">
        <v>161</v>
      </c>
      <c r="F1161" s="19" t="s">
        <v>3708</v>
      </c>
      <c r="G1161" s="18" t="s">
        <v>3709</v>
      </c>
      <c r="H1161" s="20" t="s">
        <v>52</v>
      </c>
      <c r="I1161" s="15">
        <v>1</v>
      </c>
      <c r="J1161" s="15" t="s">
        <v>24</v>
      </c>
      <c r="K1161" s="15"/>
      <c r="L1161" s="21" t="s">
        <v>16</v>
      </c>
      <c r="M1161" s="22">
        <v>0</v>
      </c>
      <c r="N1161" s="22">
        <v>0</v>
      </c>
      <c r="O1161" s="22">
        <v>7500</v>
      </c>
      <c r="P1161" s="22">
        <v>7500</v>
      </c>
      <c r="Q1161" t="str" cm="1">
        <f t="array" ref="Q1161">_xlfn.TEXTJOIN("、",TRUE,IF('學員資料-三民高中'!$B$2:$B$454=$F1161,'學員資料-三民高中'!$G$2:$G$454,""))</f>
        <v/>
      </c>
      <c r="R1161" t="str" cm="1">
        <f t="array" ref="R1161">_xlfn.TEXTJOIN("、",TRUE,IF('學員資料-新北高中'!$B$2:$B$583=$F1161,'學員資料-新北高中'!$G$2:$G$583,""))</f>
        <v>0911255987</v>
      </c>
      <c r="S1161" t="str" cm="1">
        <f t="array" ref="S1161">_xlfn.TEXTJOIN("、",TRUE,IF('學員資料-三重商工'!$B$2:$B$472=$F1161,'學員資料-三重商工'!$G$2:$G$472,""))</f>
        <v/>
      </c>
      <c r="T1161">
        <f t="shared" si="18"/>
        <v>1</v>
      </c>
    </row>
    <row r="1162" spans="1:20" ht="43.5" hidden="1" customHeight="1">
      <c r="A1162" s="15">
        <v>1161</v>
      </c>
      <c r="B1162" s="16" t="s">
        <v>3710</v>
      </c>
      <c r="C1162" s="17">
        <v>45850</v>
      </c>
      <c r="D1162" s="15" t="s">
        <v>3711</v>
      </c>
      <c r="E1162" s="23"/>
      <c r="F1162" s="19" t="s">
        <v>3712</v>
      </c>
      <c r="G1162" s="18" t="s">
        <v>3713</v>
      </c>
      <c r="H1162" s="20" t="s">
        <v>1536</v>
      </c>
      <c r="I1162" s="15">
        <v>3</v>
      </c>
      <c r="J1162" s="15" t="s">
        <v>26</v>
      </c>
      <c r="K1162" s="15"/>
      <c r="L1162" s="21" t="s">
        <v>16</v>
      </c>
      <c r="M1162" s="22">
        <v>0</v>
      </c>
      <c r="N1162" s="22">
        <v>0</v>
      </c>
      <c r="O1162" s="22">
        <v>36000</v>
      </c>
      <c r="P1162" s="22">
        <v>36000</v>
      </c>
      <c r="Q1162" t="str" cm="1">
        <f t="array" ref="Q1162">_xlfn.TEXTJOIN("、",TRUE,IF('學員資料-三民高中'!$B$2:$B$454=$F1162,'學員資料-三民高中'!$G$2:$G$454,""))</f>
        <v/>
      </c>
      <c r="R1162" t="str" cm="1">
        <f t="array" ref="R1162">_xlfn.TEXTJOIN("、",TRUE,IF('學員資料-新北高中'!$B$2:$B$583=$F1162,'學員資料-新北高中'!$G$2:$G$583,""))</f>
        <v>0919823051</v>
      </c>
      <c r="S1162" t="str" cm="1">
        <f t="array" ref="S1162">_xlfn.TEXTJOIN("、",TRUE,IF('學員資料-三重商工'!$B$2:$B$472=$F1162,'學員資料-三重商工'!$G$2:$G$472,""))</f>
        <v/>
      </c>
      <c r="T1162">
        <f t="shared" si="18"/>
        <v>1</v>
      </c>
    </row>
    <row r="1163" spans="1:20" ht="14.25" hidden="1" customHeight="1">
      <c r="A1163" s="15">
        <v>1162</v>
      </c>
      <c r="B1163" s="16" t="s">
        <v>3714</v>
      </c>
      <c r="C1163" s="17">
        <v>45850</v>
      </c>
      <c r="D1163" s="15" t="s">
        <v>3715</v>
      </c>
      <c r="E1163" s="23"/>
      <c r="F1163" s="19" t="s">
        <v>3716</v>
      </c>
      <c r="G1163" s="18" t="s">
        <v>3717</v>
      </c>
      <c r="H1163" s="20" t="s">
        <v>130</v>
      </c>
      <c r="I1163" s="15">
        <v>1</v>
      </c>
      <c r="J1163" s="15" t="s">
        <v>25</v>
      </c>
      <c r="K1163" s="15"/>
      <c r="L1163" s="21" t="s">
        <v>16</v>
      </c>
      <c r="M1163" s="22">
        <v>0</v>
      </c>
      <c r="N1163" s="22">
        <v>0</v>
      </c>
      <c r="O1163" s="22">
        <v>9900</v>
      </c>
      <c r="P1163" s="22">
        <v>9900</v>
      </c>
      <c r="Q1163" t="str" cm="1">
        <f t="array" ref="Q1163">_xlfn.TEXTJOIN("、",TRUE,IF('學員資料-三民高中'!$B$2:$B$454=$F1163,'學員資料-三民高中'!$G$2:$G$454,""))</f>
        <v>0965661205-1</v>
      </c>
      <c r="R1163" t="str" cm="1">
        <f t="array" ref="R1163">_xlfn.TEXTJOIN("、",TRUE,IF('學員資料-新北高中'!$B$2:$B$583=$F1163,'學員資料-新北高中'!$G$2:$G$583,""))</f>
        <v/>
      </c>
      <c r="S1163" t="str" cm="1">
        <f t="array" ref="S1163">_xlfn.TEXTJOIN("、",TRUE,IF('學員資料-三重商工'!$B$2:$B$472=$F1163,'學員資料-三重商工'!$G$2:$G$472,""))</f>
        <v/>
      </c>
      <c r="T1163">
        <f t="shared" si="18"/>
        <v>1</v>
      </c>
    </row>
    <row r="1164" spans="1:20" ht="14.25" customHeight="1">
      <c r="A1164" s="15">
        <v>1163</v>
      </c>
      <c r="B1164" s="16" t="s">
        <v>3718</v>
      </c>
      <c r="C1164" s="17">
        <v>45850</v>
      </c>
      <c r="D1164" s="15" t="s">
        <v>3719</v>
      </c>
      <c r="E1164" s="18" t="s">
        <v>161</v>
      </c>
      <c r="F1164" s="19" t="s">
        <v>581</v>
      </c>
      <c r="G1164" s="18" t="s">
        <v>582</v>
      </c>
      <c r="H1164" s="20" t="s">
        <v>130</v>
      </c>
      <c r="I1164" s="15">
        <v>1</v>
      </c>
      <c r="J1164" s="15" t="s">
        <v>25</v>
      </c>
      <c r="K1164" s="15"/>
      <c r="L1164" s="21" t="s">
        <v>16</v>
      </c>
      <c r="M1164" s="22">
        <v>0</v>
      </c>
      <c r="N1164" s="22">
        <v>-2640</v>
      </c>
      <c r="O1164" s="22">
        <v>7260</v>
      </c>
      <c r="P1164" s="22">
        <v>7260</v>
      </c>
      <c r="Q1164" t="str" cm="1">
        <f t="array" ref="Q1164">_xlfn.TEXTJOIN("、",TRUE,IF('學員資料-三民高中'!$B$2:$B$454=$F1164,'學員資料-三民高中'!$G$2:$G$454,""))</f>
        <v/>
      </c>
      <c r="R1164" t="str" cm="1">
        <f t="array" ref="R1164">_xlfn.TEXTJOIN("、",TRUE,IF('學員資料-新北高中'!$B$2:$B$583=$F1164,'學員資料-新北高中'!$G$2:$G$583,""))</f>
        <v/>
      </c>
      <c r="S1164" t="str" cm="1">
        <f t="array" ref="S1164">_xlfn.TEXTJOIN("、",TRUE,IF('學員資料-三重商工'!$B$2:$B$472=$F1164,'學員資料-三重商工'!$G$2:$G$472,""))</f>
        <v/>
      </c>
      <c r="T1164">
        <f t="shared" si="18"/>
        <v>0</v>
      </c>
    </row>
    <row r="1165" spans="1:20" ht="14.25" hidden="1" customHeight="1">
      <c r="A1165" s="15">
        <v>1164</v>
      </c>
      <c r="B1165" s="16" t="s">
        <v>3720</v>
      </c>
      <c r="C1165" s="17">
        <v>45850</v>
      </c>
      <c r="D1165" s="15" t="s">
        <v>3721</v>
      </c>
      <c r="E1165" s="18" t="s">
        <v>161</v>
      </c>
      <c r="F1165" s="19" t="s">
        <v>3722</v>
      </c>
      <c r="G1165" s="18" t="s">
        <v>3723</v>
      </c>
      <c r="H1165" s="20" t="s">
        <v>130</v>
      </c>
      <c r="I1165" s="15">
        <v>1</v>
      </c>
      <c r="J1165" s="15" t="s">
        <v>25</v>
      </c>
      <c r="K1165" s="15"/>
      <c r="L1165" s="21" t="s">
        <v>16</v>
      </c>
      <c r="M1165" s="22">
        <v>0</v>
      </c>
      <c r="N1165" s="22">
        <v>0</v>
      </c>
      <c r="O1165" s="22">
        <v>9900</v>
      </c>
      <c r="P1165" s="22">
        <v>9900</v>
      </c>
      <c r="Q1165" t="str" cm="1">
        <f t="array" ref="Q1165">_xlfn.TEXTJOIN("、",TRUE,IF('學員資料-三民高中'!$B$2:$B$454=$F1165,'學員資料-三民高中'!$G$2:$G$454,""))</f>
        <v/>
      </c>
      <c r="R1165" t="str" cm="1">
        <f t="array" ref="R1165">_xlfn.TEXTJOIN("、",TRUE,IF('學員資料-新北高中'!$B$2:$B$583=$F1165,'學員資料-新北高中'!$G$2:$G$583,""))</f>
        <v/>
      </c>
      <c r="S1165" t="str" cm="1">
        <f t="array" ref="S1165">_xlfn.TEXTJOIN("、",TRUE,IF('學員資料-三重商工'!$B$2:$B$472=$F1165,'學員資料-三重商工'!$G$2:$G$472,""))</f>
        <v>0911822047</v>
      </c>
      <c r="T1165">
        <f t="shared" si="18"/>
        <v>1</v>
      </c>
    </row>
    <row r="1166" spans="1:20" ht="14.25" hidden="1" customHeight="1">
      <c r="A1166" s="15">
        <v>1165</v>
      </c>
      <c r="B1166" s="16" t="s">
        <v>3724</v>
      </c>
      <c r="C1166" s="17">
        <v>45850</v>
      </c>
      <c r="D1166" s="15" t="s">
        <v>3725</v>
      </c>
      <c r="E1166" s="18" t="s">
        <v>161</v>
      </c>
      <c r="F1166" s="19" t="s">
        <v>510</v>
      </c>
      <c r="G1166" s="18" t="s">
        <v>511</v>
      </c>
      <c r="H1166" s="20" t="s">
        <v>130</v>
      </c>
      <c r="I1166" s="15">
        <v>1</v>
      </c>
      <c r="J1166" s="15" t="s">
        <v>25</v>
      </c>
      <c r="K1166" s="15"/>
      <c r="L1166" s="21" t="s">
        <v>16</v>
      </c>
      <c r="M1166" s="22">
        <v>0</v>
      </c>
      <c r="N1166" s="22">
        <v>0</v>
      </c>
      <c r="O1166" s="22">
        <v>9900</v>
      </c>
      <c r="P1166" s="22">
        <v>9900</v>
      </c>
      <c r="Q1166" t="str" cm="1">
        <f t="array" ref="Q1166">_xlfn.TEXTJOIN("、",TRUE,IF('學員資料-三民高中'!$B$2:$B$454=$F1166,'學員資料-三民高中'!$G$2:$G$454,""))</f>
        <v/>
      </c>
      <c r="R1166" t="str" cm="1">
        <f t="array" ref="R1166">_xlfn.TEXTJOIN("、",TRUE,IF('學員資料-新北高中'!$B$2:$B$583=$F1166,'學員資料-新北高中'!$G$2:$G$583,""))</f>
        <v/>
      </c>
      <c r="S1166" t="str" cm="1">
        <f t="array" ref="S1166">_xlfn.TEXTJOIN("、",TRUE,IF('學員資料-三重商工'!$B$2:$B$472=$F1166,'學員資料-三重商工'!$G$2:$G$472,""))</f>
        <v>0932707649</v>
      </c>
      <c r="T1166">
        <f t="shared" si="18"/>
        <v>1</v>
      </c>
    </row>
    <row r="1167" spans="1:20" ht="14.25" hidden="1" customHeight="1">
      <c r="A1167" s="15">
        <v>1166</v>
      </c>
      <c r="B1167" s="16" t="s">
        <v>3726</v>
      </c>
      <c r="C1167" s="17">
        <v>45850</v>
      </c>
      <c r="D1167" s="15" t="s">
        <v>3727</v>
      </c>
      <c r="E1167" s="18" t="s">
        <v>161</v>
      </c>
      <c r="F1167" s="19" t="s">
        <v>1490</v>
      </c>
      <c r="G1167" s="18" t="s">
        <v>1491</v>
      </c>
      <c r="H1167" s="20" t="s">
        <v>66</v>
      </c>
      <c r="I1167" s="15">
        <v>1</v>
      </c>
      <c r="J1167" s="15" t="s">
        <v>23</v>
      </c>
      <c r="K1167" s="15"/>
      <c r="L1167" s="21" t="s">
        <v>16</v>
      </c>
      <c r="M1167" s="22">
        <v>0</v>
      </c>
      <c r="N1167" s="22">
        <v>0</v>
      </c>
      <c r="O1167" s="22">
        <v>6900</v>
      </c>
      <c r="P1167" s="22">
        <v>6900</v>
      </c>
      <c r="Q1167" t="str" cm="1">
        <f t="array" ref="Q1167">_xlfn.TEXTJOIN("、",TRUE,IF('學員資料-三民高中'!$B$2:$B$454=$F1167,'學員資料-三民高中'!$G$2:$G$454,""))</f>
        <v/>
      </c>
      <c r="R1167" t="str" cm="1">
        <f t="array" ref="R1167">_xlfn.TEXTJOIN("、",TRUE,IF('學員資料-新北高中'!$B$2:$B$583=$F1167,'學員資料-新北高中'!$G$2:$G$583,""))</f>
        <v/>
      </c>
      <c r="S1167" t="str" cm="1">
        <f t="array" ref="S1167">_xlfn.TEXTJOIN("、",TRUE,IF('學員資料-三重商工'!$B$2:$B$472=$F1167,'學員資料-三重商工'!$G$2:$G$472,""))</f>
        <v>0936554577</v>
      </c>
      <c r="T1167">
        <f t="shared" si="18"/>
        <v>1</v>
      </c>
    </row>
    <row r="1168" spans="1:20" ht="14.25" hidden="1" customHeight="1">
      <c r="A1168" s="15">
        <v>1167</v>
      </c>
      <c r="B1168" s="16" t="s">
        <v>3728</v>
      </c>
      <c r="C1168" s="17">
        <v>45850</v>
      </c>
      <c r="D1168" s="15" t="s">
        <v>3729</v>
      </c>
      <c r="E1168" s="23"/>
      <c r="F1168" s="19" t="s">
        <v>950</v>
      </c>
      <c r="G1168" s="18" t="s">
        <v>951</v>
      </c>
      <c r="H1168" s="20" t="s">
        <v>2984</v>
      </c>
      <c r="I1168" s="15">
        <v>1</v>
      </c>
      <c r="J1168" s="15" t="s">
        <v>24</v>
      </c>
      <c r="K1168" s="21" t="s">
        <v>116</v>
      </c>
      <c r="L1168" s="21" t="s">
        <v>16</v>
      </c>
      <c r="M1168" s="22">
        <v>0</v>
      </c>
      <c r="N1168" s="22">
        <v>0</v>
      </c>
      <c r="O1168" s="22">
        <v>1400</v>
      </c>
      <c r="P1168" s="22">
        <v>1400</v>
      </c>
      <c r="Q1168" t="str" cm="1">
        <f t="array" ref="Q1168">_xlfn.TEXTJOIN("、",TRUE,IF('學員資料-三民高中'!$B$2:$B$454=$F1168,'學員資料-三民高中'!$G$2:$G$454,""))</f>
        <v/>
      </c>
      <c r="R1168" t="str" cm="1">
        <f t="array" ref="R1168">_xlfn.TEXTJOIN("、",TRUE,IF('學員資料-新北高中'!$B$2:$B$583=$F1168,'學員資料-新北高中'!$G$2:$G$583,""))</f>
        <v>0975372886</v>
      </c>
      <c r="S1168" t="str" cm="1">
        <f t="array" ref="S1168">_xlfn.TEXTJOIN("、",TRUE,IF('學員資料-三重商工'!$B$2:$B$472=$F1168,'學員資料-三重商工'!$G$2:$G$472,""))</f>
        <v/>
      </c>
      <c r="T1168">
        <f t="shared" si="18"/>
        <v>1</v>
      </c>
    </row>
    <row r="1169" spans="1:20" ht="14.25" hidden="1" customHeight="1">
      <c r="A1169" s="15">
        <v>1168</v>
      </c>
      <c r="B1169" s="16" t="s">
        <v>3730</v>
      </c>
      <c r="C1169" s="17">
        <v>45850</v>
      </c>
      <c r="D1169" s="15" t="s">
        <v>3731</v>
      </c>
      <c r="E1169" s="23"/>
      <c r="F1169" s="19" t="s">
        <v>3732</v>
      </c>
      <c r="G1169" s="18" t="s">
        <v>3733</v>
      </c>
      <c r="H1169" s="20" t="s">
        <v>130</v>
      </c>
      <c r="I1169" s="15">
        <v>1</v>
      </c>
      <c r="J1169" s="15" t="s">
        <v>25</v>
      </c>
      <c r="K1169" s="15"/>
      <c r="L1169" s="21" t="s">
        <v>16</v>
      </c>
      <c r="M1169" s="22">
        <v>0</v>
      </c>
      <c r="N1169" s="22">
        <v>0</v>
      </c>
      <c r="O1169" s="22">
        <v>9900</v>
      </c>
      <c r="P1169" s="22">
        <v>9900</v>
      </c>
      <c r="Q1169" t="str" cm="1">
        <f t="array" ref="Q1169">_xlfn.TEXTJOIN("、",TRUE,IF('學員資料-三民高中'!$B$2:$B$454=$F1169,'學員資料-三民高中'!$G$2:$G$454,""))</f>
        <v/>
      </c>
      <c r="R1169" t="str" cm="1">
        <f t="array" ref="R1169">_xlfn.TEXTJOIN("、",TRUE,IF('學員資料-新北高中'!$B$2:$B$583=$F1169,'學員資料-新北高中'!$G$2:$G$583,""))</f>
        <v>0932502538</v>
      </c>
      <c r="S1169" t="str" cm="1">
        <f t="array" ref="S1169">_xlfn.TEXTJOIN("、",TRUE,IF('學員資料-三重商工'!$B$2:$B$472=$F1169,'學員資料-三重商工'!$G$2:$G$472,""))</f>
        <v/>
      </c>
      <c r="T1169">
        <f t="shared" si="18"/>
        <v>1</v>
      </c>
    </row>
    <row r="1170" spans="1:20" ht="14.25" hidden="1" customHeight="1">
      <c r="A1170" s="15">
        <v>1169</v>
      </c>
      <c r="B1170" s="16" t="s">
        <v>3734</v>
      </c>
      <c r="C1170" s="17">
        <v>45849</v>
      </c>
      <c r="D1170" s="15" t="s">
        <v>3735</v>
      </c>
      <c r="E1170" s="18" t="s">
        <v>763</v>
      </c>
      <c r="F1170" s="19" t="s">
        <v>3736</v>
      </c>
      <c r="G1170" s="18" t="s">
        <v>3737</v>
      </c>
      <c r="H1170" s="20" t="s">
        <v>52</v>
      </c>
      <c r="I1170" s="15">
        <v>1</v>
      </c>
      <c r="J1170" s="15" t="s">
        <v>24</v>
      </c>
      <c r="K1170" s="15"/>
      <c r="L1170" s="21" t="s">
        <v>16</v>
      </c>
      <c r="M1170" s="22">
        <v>0</v>
      </c>
      <c r="N1170" s="22">
        <v>0</v>
      </c>
      <c r="O1170" s="22">
        <v>7500</v>
      </c>
      <c r="P1170" s="22">
        <v>7500</v>
      </c>
      <c r="Q1170" t="str" cm="1">
        <f t="array" ref="Q1170">_xlfn.TEXTJOIN("、",TRUE,IF('學員資料-三民高中'!$B$2:$B$454=$F1170,'學員資料-三民高中'!$G$2:$G$454,""))</f>
        <v>0955909343</v>
      </c>
      <c r="R1170" t="str" cm="1">
        <f t="array" ref="R1170">_xlfn.TEXTJOIN("、",TRUE,IF('學員資料-新北高中'!$B$2:$B$583=$F1170,'學員資料-新北高中'!$G$2:$G$583,""))</f>
        <v/>
      </c>
      <c r="S1170" t="str" cm="1">
        <f t="array" ref="S1170">_xlfn.TEXTJOIN("、",TRUE,IF('學員資料-三重商工'!$B$2:$B$472=$F1170,'學員資料-三重商工'!$G$2:$G$472,""))</f>
        <v/>
      </c>
      <c r="T1170">
        <f t="shared" si="18"/>
        <v>1</v>
      </c>
    </row>
    <row r="1171" spans="1:20" ht="14.25" hidden="1" customHeight="1">
      <c r="A1171" s="15">
        <v>1170</v>
      </c>
      <c r="B1171" s="16" t="s">
        <v>3738</v>
      </c>
      <c r="C1171" s="17">
        <v>45849</v>
      </c>
      <c r="D1171" s="15" t="s">
        <v>3739</v>
      </c>
      <c r="E1171" s="23"/>
      <c r="F1171" s="19" t="s">
        <v>3740</v>
      </c>
      <c r="G1171" s="18" t="s">
        <v>3741</v>
      </c>
      <c r="H1171" s="20" t="s">
        <v>130</v>
      </c>
      <c r="I1171" s="15">
        <v>1</v>
      </c>
      <c r="J1171" s="15" t="s">
        <v>25</v>
      </c>
      <c r="K1171" s="15"/>
      <c r="L1171" s="21" t="s">
        <v>16</v>
      </c>
      <c r="M1171" s="22">
        <v>0</v>
      </c>
      <c r="N1171" s="22">
        <v>-3960</v>
      </c>
      <c r="O1171" s="22">
        <v>5940</v>
      </c>
      <c r="P1171" s="22">
        <v>5940</v>
      </c>
      <c r="Q1171" t="str" cm="1">
        <f t="array" ref="Q1171">_xlfn.TEXTJOIN("、",TRUE,IF('學員資料-三民高中'!$B$2:$B$454=$F1171,'學員資料-三民高中'!$G$2:$G$454,""))</f>
        <v>0955285845</v>
      </c>
      <c r="R1171" t="str" cm="1">
        <f t="array" ref="R1171">_xlfn.TEXTJOIN("、",TRUE,IF('學員資料-新北高中'!$B$2:$B$583=$F1171,'學員資料-新北高中'!$G$2:$G$583,""))</f>
        <v/>
      </c>
      <c r="S1171" t="str" cm="1">
        <f t="array" ref="S1171">_xlfn.TEXTJOIN("、",TRUE,IF('學員資料-三重商工'!$B$2:$B$472=$F1171,'學員資料-三重商工'!$G$2:$G$472,""))</f>
        <v/>
      </c>
      <c r="T1171">
        <f t="shared" si="18"/>
        <v>1</v>
      </c>
    </row>
    <row r="1172" spans="1:20" ht="14.25" hidden="1" customHeight="1">
      <c r="A1172" s="15">
        <v>1171</v>
      </c>
      <c r="B1172" s="16" t="s">
        <v>3742</v>
      </c>
      <c r="C1172" s="17">
        <v>45849</v>
      </c>
      <c r="D1172" s="15" t="s">
        <v>3743</v>
      </c>
      <c r="E1172" s="23"/>
      <c r="F1172" s="19" t="s">
        <v>3744</v>
      </c>
      <c r="G1172" s="18" t="s">
        <v>3745</v>
      </c>
      <c r="H1172" s="20" t="s">
        <v>52</v>
      </c>
      <c r="I1172" s="15">
        <v>1</v>
      </c>
      <c r="J1172" s="15" t="s">
        <v>24</v>
      </c>
      <c r="K1172" s="15"/>
      <c r="L1172" s="21" t="s">
        <v>16</v>
      </c>
      <c r="M1172" s="22">
        <v>0</v>
      </c>
      <c r="N1172" s="22">
        <v>0</v>
      </c>
      <c r="O1172" s="22">
        <v>7500</v>
      </c>
      <c r="P1172" s="22">
        <v>7500</v>
      </c>
      <c r="Q1172" t="str" cm="1">
        <f t="array" ref="Q1172">_xlfn.TEXTJOIN("、",TRUE,IF('學員資料-三民高中'!$B$2:$B$454=$F1172,'學員資料-三民高中'!$G$2:$G$454,""))</f>
        <v/>
      </c>
      <c r="R1172" t="str" cm="1">
        <f t="array" ref="R1172">_xlfn.TEXTJOIN("、",TRUE,IF('學員資料-新北高中'!$B$2:$B$583=$F1172,'學員資料-新北高中'!$G$2:$G$583,""))</f>
        <v/>
      </c>
      <c r="S1172" t="str" cm="1">
        <f t="array" ref="S1172">_xlfn.TEXTJOIN("、",TRUE,IF('學員資料-三重商工'!$B$2:$B$472=$F1172,'學員資料-三重商工'!$G$2:$G$472,""))</f>
        <v>0910356072</v>
      </c>
      <c r="T1172">
        <f t="shared" si="18"/>
        <v>1</v>
      </c>
    </row>
    <row r="1173" spans="1:20" ht="28.5" hidden="1" customHeight="1">
      <c r="A1173" s="15">
        <v>1172</v>
      </c>
      <c r="B1173" s="16" t="s">
        <v>3746</v>
      </c>
      <c r="C1173" s="17">
        <v>45849</v>
      </c>
      <c r="D1173" s="15" t="s">
        <v>3747</v>
      </c>
      <c r="E1173" s="23"/>
      <c r="F1173" s="19" t="s">
        <v>3748</v>
      </c>
      <c r="G1173" s="18" t="s">
        <v>3749</v>
      </c>
      <c r="H1173" s="20" t="s">
        <v>99</v>
      </c>
      <c r="I1173" s="15">
        <v>2</v>
      </c>
      <c r="J1173" s="15" t="s">
        <v>24</v>
      </c>
      <c r="K1173" s="15"/>
      <c r="L1173" s="21" t="s">
        <v>16</v>
      </c>
      <c r="M1173" s="22">
        <v>0</v>
      </c>
      <c r="N1173" s="22">
        <v>0</v>
      </c>
      <c r="O1173" s="22">
        <v>15000</v>
      </c>
      <c r="P1173" s="22">
        <v>15000</v>
      </c>
      <c r="Q1173" t="str" cm="1">
        <f t="array" ref="Q1173">_xlfn.TEXTJOIN("、",TRUE,IF('學員資料-三民高中'!$B$2:$B$454=$F1173,'學員資料-三民高中'!$G$2:$G$454,""))</f>
        <v/>
      </c>
      <c r="R1173" t="str" cm="1">
        <f t="array" ref="R1173">_xlfn.TEXTJOIN("、",TRUE,IF('學員資料-新北高中'!$B$2:$B$583=$F1173,'學員資料-新北高中'!$G$2:$G$583,""))</f>
        <v>0936806080</v>
      </c>
      <c r="S1173" t="str" cm="1">
        <f t="array" ref="S1173">_xlfn.TEXTJOIN("、",TRUE,IF('學員資料-三重商工'!$B$2:$B$472=$F1173,'學員資料-三重商工'!$G$2:$G$472,""))</f>
        <v/>
      </c>
      <c r="T1173">
        <f t="shared" si="18"/>
        <v>1</v>
      </c>
    </row>
    <row r="1174" spans="1:20" ht="14.25" hidden="1" customHeight="1">
      <c r="A1174" s="15">
        <v>1173</v>
      </c>
      <c r="B1174" s="16" t="s">
        <v>3750</v>
      </c>
      <c r="C1174" s="17">
        <v>45848</v>
      </c>
      <c r="D1174" s="15" t="s">
        <v>3751</v>
      </c>
      <c r="E1174" s="18" t="s">
        <v>763</v>
      </c>
      <c r="F1174" s="19" t="s">
        <v>1543</v>
      </c>
      <c r="G1174" s="18" t="s">
        <v>1544</v>
      </c>
      <c r="H1174" s="20" t="s">
        <v>130</v>
      </c>
      <c r="I1174" s="15">
        <v>1</v>
      </c>
      <c r="J1174" s="15" t="s">
        <v>25</v>
      </c>
      <c r="K1174" s="15"/>
      <c r="L1174" s="21" t="s">
        <v>16</v>
      </c>
      <c r="M1174" s="22">
        <v>0</v>
      </c>
      <c r="N1174" s="22">
        <v>0</v>
      </c>
      <c r="O1174" s="22">
        <v>9900</v>
      </c>
      <c r="P1174" s="22">
        <v>9900</v>
      </c>
      <c r="Q1174" t="str" cm="1">
        <f t="array" ref="Q1174">_xlfn.TEXTJOIN("、",TRUE,IF('學員資料-三民高中'!$B$2:$B$454=$F1174,'學員資料-三民高中'!$G$2:$G$454,""))</f>
        <v>0914000808-1</v>
      </c>
      <c r="R1174" t="str" cm="1">
        <f t="array" ref="R1174">_xlfn.TEXTJOIN("、",TRUE,IF('學員資料-新北高中'!$B$2:$B$583=$F1174,'學員資料-新北高中'!$G$2:$G$583,""))</f>
        <v/>
      </c>
      <c r="S1174" t="str" cm="1">
        <f t="array" ref="S1174">_xlfn.TEXTJOIN("、",TRUE,IF('學員資料-三重商工'!$B$2:$B$472=$F1174,'學員資料-三重商工'!$G$2:$G$472,""))</f>
        <v/>
      </c>
      <c r="T1174">
        <f t="shared" si="18"/>
        <v>1</v>
      </c>
    </row>
    <row r="1175" spans="1:20" ht="14.25" hidden="1" customHeight="1">
      <c r="A1175" s="15">
        <v>1174</v>
      </c>
      <c r="B1175" s="16" t="s">
        <v>3752</v>
      </c>
      <c r="C1175" s="17">
        <v>45848</v>
      </c>
      <c r="D1175" s="15" t="s">
        <v>3753</v>
      </c>
      <c r="E1175" s="18" t="s">
        <v>3477</v>
      </c>
      <c r="F1175" s="19" t="s">
        <v>3754</v>
      </c>
      <c r="G1175" s="18" t="s">
        <v>3755</v>
      </c>
      <c r="H1175" s="20" t="s">
        <v>52</v>
      </c>
      <c r="I1175" s="15">
        <v>1</v>
      </c>
      <c r="J1175" s="15" t="s">
        <v>24</v>
      </c>
      <c r="K1175" s="15"/>
      <c r="L1175" s="21" t="s">
        <v>16</v>
      </c>
      <c r="M1175" s="22">
        <v>0</v>
      </c>
      <c r="N1175" s="22">
        <v>0</v>
      </c>
      <c r="O1175" s="22">
        <v>7500</v>
      </c>
      <c r="P1175" s="22">
        <v>7500</v>
      </c>
      <c r="Q1175" t="str" cm="1">
        <f t="array" ref="Q1175">_xlfn.TEXTJOIN("、",TRUE,IF('學員資料-三民高中'!$B$2:$B$454=$F1175,'學員資料-三民高中'!$G$2:$G$454,""))</f>
        <v>0928626113</v>
      </c>
      <c r="R1175" t="str" cm="1">
        <f t="array" ref="R1175">_xlfn.TEXTJOIN("、",TRUE,IF('學員資料-新北高中'!$B$2:$B$583=$F1175,'學員資料-新北高中'!$G$2:$G$583,""))</f>
        <v/>
      </c>
      <c r="S1175" t="str" cm="1">
        <f t="array" ref="S1175">_xlfn.TEXTJOIN("、",TRUE,IF('學員資料-三重商工'!$B$2:$B$472=$F1175,'學員資料-三重商工'!$G$2:$G$472,""))</f>
        <v/>
      </c>
      <c r="T1175">
        <f t="shared" si="18"/>
        <v>1</v>
      </c>
    </row>
    <row r="1176" spans="1:20" ht="14.25" hidden="1" customHeight="1">
      <c r="A1176" s="15">
        <v>1175</v>
      </c>
      <c r="B1176" s="16" t="s">
        <v>3756</v>
      </c>
      <c r="C1176" s="17">
        <v>45848</v>
      </c>
      <c r="D1176" s="15" t="s">
        <v>3757</v>
      </c>
      <c r="E1176" s="23"/>
      <c r="F1176" s="19" t="s">
        <v>502</v>
      </c>
      <c r="G1176" s="18" t="s">
        <v>503</v>
      </c>
      <c r="H1176" s="20" t="s">
        <v>66</v>
      </c>
      <c r="I1176" s="15">
        <v>1</v>
      </c>
      <c r="J1176" s="15" t="s">
        <v>23</v>
      </c>
      <c r="K1176" s="15"/>
      <c r="L1176" s="21" t="s">
        <v>16</v>
      </c>
      <c r="M1176" s="22">
        <v>0</v>
      </c>
      <c r="N1176" s="22">
        <v>0</v>
      </c>
      <c r="O1176" s="22">
        <v>6900</v>
      </c>
      <c r="P1176" s="22">
        <v>6900</v>
      </c>
      <c r="Q1176" t="str" cm="1">
        <f t="array" ref="Q1176">_xlfn.TEXTJOIN("、",TRUE,IF('學員資料-三民高中'!$B$2:$B$454=$F1176,'學員資料-三民高中'!$G$2:$G$454,""))</f>
        <v/>
      </c>
      <c r="R1176" t="str" cm="1">
        <f t="array" ref="R1176">_xlfn.TEXTJOIN("、",TRUE,IF('學員資料-新北高中'!$B$2:$B$583=$F1176,'學員資料-新北高中'!$G$2:$G$583,""))</f>
        <v/>
      </c>
      <c r="S1176" t="str" cm="1">
        <f t="array" ref="S1176">_xlfn.TEXTJOIN("、",TRUE,IF('學員資料-三重商工'!$B$2:$B$472=$F1176,'學員資料-三重商工'!$G$2:$G$472,""))</f>
        <v>0917555573</v>
      </c>
      <c r="T1176">
        <f t="shared" si="18"/>
        <v>1</v>
      </c>
    </row>
    <row r="1177" spans="1:20" ht="14.25" hidden="1" customHeight="1">
      <c r="A1177" s="15">
        <v>1176</v>
      </c>
      <c r="B1177" s="16" t="s">
        <v>3758</v>
      </c>
      <c r="C1177" s="17">
        <v>45848</v>
      </c>
      <c r="D1177" s="15" t="s">
        <v>3759</v>
      </c>
      <c r="E1177" s="23"/>
      <c r="F1177" s="19" t="s">
        <v>498</v>
      </c>
      <c r="G1177" s="18" t="s">
        <v>499</v>
      </c>
      <c r="H1177" s="20" t="s">
        <v>52</v>
      </c>
      <c r="I1177" s="15">
        <v>1</v>
      </c>
      <c r="J1177" s="15" t="s">
        <v>24</v>
      </c>
      <c r="K1177" s="15"/>
      <c r="L1177" s="21" t="s">
        <v>16</v>
      </c>
      <c r="M1177" s="22">
        <v>0</v>
      </c>
      <c r="N1177" s="22">
        <v>0</v>
      </c>
      <c r="O1177" s="22">
        <v>7500</v>
      </c>
      <c r="P1177" s="22">
        <v>7500</v>
      </c>
      <c r="Q1177" t="str" cm="1">
        <f t="array" ref="Q1177">_xlfn.TEXTJOIN("、",TRUE,IF('學員資料-三民高中'!$B$2:$B$454=$F1177,'學員資料-三民高中'!$G$2:$G$454,""))</f>
        <v/>
      </c>
      <c r="R1177" t="str" cm="1">
        <f t="array" ref="R1177">_xlfn.TEXTJOIN("、",TRUE,IF('學員資料-新北高中'!$B$2:$B$583=$F1177,'學員資料-新北高中'!$G$2:$G$583,""))</f>
        <v/>
      </c>
      <c r="S1177" t="str" cm="1">
        <f t="array" ref="S1177">_xlfn.TEXTJOIN("、",TRUE,IF('學員資料-三重商工'!$B$2:$B$472=$F1177,'學員資料-三重商工'!$G$2:$G$472,""))</f>
        <v>0986017777</v>
      </c>
      <c r="T1177">
        <f t="shared" si="18"/>
        <v>1</v>
      </c>
    </row>
    <row r="1178" spans="1:20" ht="14.25" hidden="1" customHeight="1">
      <c r="A1178" s="15">
        <v>1177</v>
      </c>
      <c r="B1178" s="16" t="s">
        <v>3760</v>
      </c>
      <c r="C1178" s="17">
        <v>45848</v>
      </c>
      <c r="D1178" s="15" t="s">
        <v>3761</v>
      </c>
      <c r="E1178" s="23"/>
      <c r="F1178" s="19" t="s">
        <v>2702</v>
      </c>
      <c r="G1178" s="18" t="s">
        <v>2703</v>
      </c>
      <c r="H1178" s="20" t="s">
        <v>66</v>
      </c>
      <c r="I1178" s="15">
        <v>1</v>
      </c>
      <c r="J1178" s="15" t="s">
        <v>23</v>
      </c>
      <c r="K1178" s="15"/>
      <c r="L1178" s="21" t="s">
        <v>16</v>
      </c>
      <c r="M1178" s="22">
        <v>0</v>
      </c>
      <c r="N1178" s="22">
        <v>0</v>
      </c>
      <c r="O1178" s="22">
        <v>6900</v>
      </c>
      <c r="P1178" s="22">
        <v>6900</v>
      </c>
      <c r="Q1178" t="str" cm="1">
        <f t="array" ref="Q1178">_xlfn.TEXTJOIN("、",TRUE,IF('學員資料-三民高中'!$B$2:$B$454=$F1178,'學員資料-三民高中'!$G$2:$G$454,""))</f>
        <v/>
      </c>
      <c r="R1178" t="str" cm="1">
        <f t="array" ref="R1178">_xlfn.TEXTJOIN("、",TRUE,IF('學員資料-新北高中'!$B$2:$B$583=$F1178,'學員資料-新北高中'!$G$2:$G$583,""))</f>
        <v/>
      </c>
      <c r="S1178" t="str" cm="1">
        <f t="array" ref="S1178">_xlfn.TEXTJOIN("、",TRUE,IF('學員資料-三重商工'!$B$2:$B$472=$F1178,'學員資料-三重商工'!$G$2:$G$472,""))</f>
        <v>0987331897</v>
      </c>
      <c r="T1178">
        <f t="shared" si="18"/>
        <v>1</v>
      </c>
    </row>
    <row r="1179" spans="1:20" ht="14.25" hidden="1" customHeight="1">
      <c r="A1179" s="15">
        <v>1178</v>
      </c>
      <c r="B1179" s="16" t="s">
        <v>3762</v>
      </c>
      <c r="C1179" s="17">
        <v>45848</v>
      </c>
      <c r="D1179" s="15" t="s">
        <v>3763</v>
      </c>
      <c r="E1179" s="18" t="s">
        <v>1324</v>
      </c>
      <c r="F1179" s="19" t="s">
        <v>3764</v>
      </c>
      <c r="G1179" s="23" t="s">
        <v>3765</v>
      </c>
      <c r="H1179" s="20" t="s">
        <v>3766</v>
      </c>
      <c r="I1179" s="15">
        <v>1</v>
      </c>
      <c r="J1179" s="15" t="s">
        <v>24</v>
      </c>
      <c r="K1179" s="21" t="s">
        <v>116</v>
      </c>
      <c r="L1179" s="21" t="s">
        <v>16</v>
      </c>
      <c r="M1179" s="22">
        <v>0</v>
      </c>
      <c r="N1179" s="22">
        <v>0</v>
      </c>
      <c r="O1179" s="22">
        <v>1300</v>
      </c>
      <c r="P1179" s="22">
        <v>1300</v>
      </c>
      <c r="Q1179" t="str" cm="1">
        <f t="array" ref="Q1179">_xlfn.TEXTJOIN("、",TRUE,IF('學員資料-三民高中'!$B$2:$B$454=$F1179,'學員資料-三民高中'!$G$2:$G$454,""))</f>
        <v/>
      </c>
      <c r="R1179" t="str" cm="1">
        <f t="array" ref="R1179">_xlfn.TEXTJOIN("、",TRUE,IF('學員資料-新北高中'!$B$2:$B$583=$F1179,'學員資料-新北高中'!$G$2:$G$583,""))</f>
        <v>0979125614</v>
      </c>
      <c r="S1179" t="str" cm="1">
        <f t="array" ref="S1179">_xlfn.TEXTJOIN("、",TRUE,IF('學員資料-三重商工'!$B$2:$B$472=$F1179,'學員資料-三重商工'!$G$2:$G$472,""))</f>
        <v/>
      </c>
      <c r="T1179">
        <f t="shared" si="18"/>
        <v>1</v>
      </c>
    </row>
    <row r="1180" spans="1:20" ht="28.5" customHeight="1">
      <c r="A1180" s="15">
        <v>1179</v>
      </c>
      <c r="B1180" s="16" t="s">
        <v>3767</v>
      </c>
      <c r="C1180" s="17">
        <v>45848</v>
      </c>
      <c r="D1180" s="15" t="s">
        <v>3768</v>
      </c>
      <c r="E1180" s="23"/>
      <c r="F1180" s="19" t="s">
        <v>3769</v>
      </c>
      <c r="G1180" s="18" t="s">
        <v>3770</v>
      </c>
      <c r="H1180" s="20" t="s">
        <v>75</v>
      </c>
      <c r="I1180" s="15">
        <v>2</v>
      </c>
      <c r="J1180" s="15" t="s">
        <v>23</v>
      </c>
      <c r="K1180" s="15"/>
      <c r="L1180" s="21" t="s">
        <v>16</v>
      </c>
      <c r="M1180" s="22">
        <v>0</v>
      </c>
      <c r="N1180" s="22">
        <v>0</v>
      </c>
      <c r="O1180" s="22">
        <v>13800</v>
      </c>
      <c r="P1180" s="22">
        <v>13800</v>
      </c>
      <c r="Q1180" t="str" cm="1">
        <f t="array" ref="Q1180">_xlfn.TEXTJOIN("、",TRUE,IF('學員資料-三民高中'!$B$2:$B$454=$F1180,'學員資料-三民高中'!$G$2:$G$454,""))</f>
        <v/>
      </c>
      <c r="R1180" t="str" cm="1">
        <f t="array" ref="R1180">_xlfn.TEXTJOIN("、",TRUE,IF('學員資料-新北高中'!$B$2:$B$583=$F1180,'學員資料-新北高中'!$G$2:$G$583,""))</f>
        <v/>
      </c>
      <c r="S1180" t="str" cm="1">
        <f t="array" ref="S1180">_xlfn.TEXTJOIN("、",TRUE,IF('學員資料-三重商工'!$B$2:$B$472=$F1180,'學員資料-三重商工'!$G$2:$G$472,""))</f>
        <v/>
      </c>
      <c r="T1180">
        <f t="shared" si="18"/>
        <v>0</v>
      </c>
    </row>
    <row r="1181" spans="1:20" ht="14.25" hidden="1" customHeight="1">
      <c r="A1181" s="15">
        <v>1180</v>
      </c>
      <c r="B1181" s="16" t="s">
        <v>3771</v>
      </c>
      <c r="C1181" s="17">
        <v>45847</v>
      </c>
      <c r="D1181" s="15" t="s">
        <v>3772</v>
      </c>
      <c r="E1181" s="18" t="s">
        <v>763</v>
      </c>
      <c r="F1181" s="19" t="s">
        <v>3773</v>
      </c>
      <c r="G1181" s="18" t="s">
        <v>3774</v>
      </c>
      <c r="H1181" s="20" t="s">
        <v>210</v>
      </c>
      <c r="I1181" s="15">
        <v>1</v>
      </c>
      <c r="J1181" s="15" t="s">
        <v>26</v>
      </c>
      <c r="K1181" s="15"/>
      <c r="L1181" s="21" t="s">
        <v>16</v>
      </c>
      <c r="M1181" s="22">
        <v>0</v>
      </c>
      <c r="N1181" s="22">
        <v>0</v>
      </c>
      <c r="O1181" s="22">
        <v>12000</v>
      </c>
      <c r="P1181" s="22">
        <v>12000</v>
      </c>
      <c r="Q1181" t="str" cm="1">
        <f t="array" ref="Q1181">_xlfn.TEXTJOIN("、",TRUE,IF('學員資料-三民高中'!$B$2:$B$454=$F1181,'學員資料-三民高中'!$G$2:$G$454,""))</f>
        <v>0933523617</v>
      </c>
      <c r="R1181" t="str" cm="1">
        <f t="array" ref="R1181">_xlfn.TEXTJOIN("、",TRUE,IF('學員資料-新北高中'!$B$2:$B$583=$F1181,'學員資料-新北高中'!$G$2:$G$583,""))</f>
        <v/>
      </c>
      <c r="S1181" t="str" cm="1">
        <f t="array" ref="S1181">_xlfn.TEXTJOIN("、",TRUE,IF('學員資料-三重商工'!$B$2:$B$472=$F1181,'學員資料-三重商工'!$G$2:$G$472,""))</f>
        <v/>
      </c>
      <c r="T1181">
        <f t="shared" si="18"/>
        <v>1</v>
      </c>
    </row>
    <row r="1182" spans="1:20" ht="14.25" hidden="1" customHeight="1">
      <c r="A1182" s="15">
        <v>1181</v>
      </c>
      <c r="B1182" s="16" t="s">
        <v>3775</v>
      </c>
      <c r="C1182" s="17">
        <v>45847</v>
      </c>
      <c r="D1182" s="15" t="s">
        <v>3776</v>
      </c>
      <c r="E1182" s="18" t="s">
        <v>763</v>
      </c>
      <c r="F1182" s="19" t="s">
        <v>3777</v>
      </c>
      <c r="G1182" s="18" t="s">
        <v>3778</v>
      </c>
      <c r="H1182" s="20" t="s">
        <v>210</v>
      </c>
      <c r="I1182" s="15">
        <v>1</v>
      </c>
      <c r="J1182" s="15" t="s">
        <v>26</v>
      </c>
      <c r="K1182" s="15"/>
      <c r="L1182" s="21" t="s">
        <v>16</v>
      </c>
      <c r="M1182" s="22">
        <v>0</v>
      </c>
      <c r="N1182" s="22">
        <v>0</v>
      </c>
      <c r="O1182" s="22">
        <v>12000</v>
      </c>
      <c r="P1182" s="22">
        <v>12000</v>
      </c>
      <c r="Q1182" t="str" cm="1">
        <f t="array" ref="Q1182">_xlfn.TEXTJOIN("、",TRUE,IF('學員資料-三民高中'!$B$2:$B$454=$F1182,'學員資料-三民高中'!$G$2:$G$454,""))</f>
        <v>0939818944</v>
      </c>
      <c r="R1182" t="str" cm="1">
        <f t="array" ref="R1182">_xlfn.TEXTJOIN("、",TRUE,IF('學員資料-新北高中'!$B$2:$B$583=$F1182,'學員資料-新北高中'!$G$2:$G$583,""))</f>
        <v/>
      </c>
      <c r="S1182" t="str" cm="1">
        <f t="array" ref="S1182">_xlfn.TEXTJOIN("、",TRUE,IF('學員資料-三重商工'!$B$2:$B$472=$F1182,'學員資料-三重商工'!$G$2:$G$472,""))</f>
        <v/>
      </c>
      <c r="T1182">
        <f t="shared" si="18"/>
        <v>1</v>
      </c>
    </row>
    <row r="1183" spans="1:20" ht="14.25" hidden="1" customHeight="1">
      <c r="A1183" s="15">
        <v>1182</v>
      </c>
      <c r="B1183" s="16" t="s">
        <v>3779</v>
      </c>
      <c r="C1183" s="17">
        <v>45847</v>
      </c>
      <c r="D1183" s="15" t="s">
        <v>3780</v>
      </c>
      <c r="E1183" s="23"/>
      <c r="F1183" s="19" t="s">
        <v>3781</v>
      </c>
      <c r="G1183" s="18" t="s">
        <v>3782</v>
      </c>
      <c r="H1183" s="20" t="s">
        <v>52</v>
      </c>
      <c r="I1183" s="15">
        <v>1</v>
      </c>
      <c r="J1183" s="15" t="s">
        <v>24</v>
      </c>
      <c r="K1183" s="15"/>
      <c r="L1183" s="21" t="s">
        <v>16</v>
      </c>
      <c r="M1183" s="22">
        <v>0</v>
      </c>
      <c r="N1183" s="22">
        <v>-3000</v>
      </c>
      <c r="O1183" s="22">
        <v>4500</v>
      </c>
      <c r="P1183" s="22">
        <v>4500</v>
      </c>
      <c r="Q1183" t="str" cm="1">
        <f t="array" ref="Q1183">_xlfn.TEXTJOIN("、",TRUE,IF('學員資料-三民高中'!$B$2:$B$454=$F1183,'學員資料-三民高中'!$G$2:$G$454,""))</f>
        <v>0919683333</v>
      </c>
      <c r="R1183" t="str" cm="1">
        <f t="array" ref="R1183">_xlfn.TEXTJOIN("、",TRUE,IF('學員資料-新北高中'!$B$2:$B$583=$F1183,'學員資料-新北高中'!$G$2:$G$583,""))</f>
        <v/>
      </c>
      <c r="S1183" t="str" cm="1">
        <f t="array" ref="S1183">_xlfn.TEXTJOIN("、",TRUE,IF('學員資料-三重商工'!$B$2:$B$472=$F1183,'學員資料-三重商工'!$G$2:$G$472,""))</f>
        <v/>
      </c>
      <c r="T1183">
        <f t="shared" si="18"/>
        <v>1</v>
      </c>
    </row>
    <row r="1184" spans="1:20" ht="14.25" hidden="1" customHeight="1">
      <c r="A1184" s="15">
        <v>1183</v>
      </c>
      <c r="B1184" s="16" t="s">
        <v>3783</v>
      </c>
      <c r="C1184" s="17">
        <v>45847</v>
      </c>
      <c r="D1184" s="15" t="s">
        <v>3784</v>
      </c>
      <c r="E1184" s="23"/>
      <c r="F1184" s="19" t="s">
        <v>3424</v>
      </c>
      <c r="G1184" s="18" t="s">
        <v>3425</v>
      </c>
      <c r="H1184" s="20" t="s">
        <v>66</v>
      </c>
      <c r="I1184" s="15">
        <v>1</v>
      </c>
      <c r="J1184" s="15" t="s">
        <v>23</v>
      </c>
      <c r="K1184" s="15"/>
      <c r="L1184" s="21" t="s">
        <v>16</v>
      </c>
      <c r="M1184" s="22">
        <v>0</v>
      </c>
      <c r="N1184" s="22">
        <v>-2760</v>
      </c>
      <c r="O1184" s="22">
        <v>4140</v>
      </c>
      <c r="P1184" s="22">
        <v>4140</v>
      </c>
      <c r="Q1184" t="str" cm="1">
        <f t="array" ref="Q1184">_xlfn.TEXTJOIN("、",TRUE,IF('學員資料-三民高中'!$B$2:$B$454=$F1184,'學員資料-三民高中'!$G$2:$G$454,""))</f>
        <v/>
      </c>
      <c r="R1184" t="str" cm="1">
        <f t="array" ref="R1184">_xlfn.TEXTJOIN("、",TRUE,IF('學員資料-新北高中'!$B$2:$B$583=$F1184,'學員資料-新北高中'!$G$2:$G$583,""))</f>
        <v/>
      </c>
      <c r="S1184" t="str" cm="1">
        <f t="array" ref="S1184">_xlfn.TEXTJOIN("、",TRUE,IF('學員資料-三重商工'!$B$2:$B$472=$F1184,'學員資料-三重商工'!$G$2:$G$472,""))</f>
        <v>0926238656-1</v>
      </c>
      <c r="T1184">
        <f t="shared" si="18"/>
        <v>1</v>
      </c>
    </row>
    <row r="1185" spans="1:20" ht="14.25" hidden="1" customHeight="1">
      <c r="A1185" s="15">
        <v>1184</v>
      </c>
      <c r="B1185" s="16" t="s">
        <v>3785</v>
      </c>
      <c r="C1185" s="17">
        <v>45846</v>
      </c>
      <c r="D1185" s="15" t="s">
        <v>3786</v>
      </c>
      <c r="E1185" s="23"/>
      <c r="F1185" s="19" t="s">
        <v>3787</v>
      </c>
      <c r="G1185" s="18" t="s">
        <v>3788</v>
      </c>
      <c r="H1185" s="20" t="s">
        <v>52</v>
      </c>
      <c r="I1185" s="15">
        <v>1</v>
      </c>
      <c r="J1185" s="15" t="s">
        <v>24</v>
      </c>
      <c r="K1185" s="15"/>
      <c r="L1185" s="21" t="s">
        <v>16</v>
      </c>
      <c r="M1185" s="22">
        <v>0</v>
      </c>
      <c r="N1185" s="22">
        <v>0</v>
      </c>
      <c r="O1185" s="22">
        <v>7500</v>
      </c>
      <c r="P1185" s="22">
        <v>7500</v>
      </c>
      <c r="Q1185" t="str" cm="1">
        <f t="array" ref="Q1185">_xlfn.TEXTJOIN("、",TRUE,IF('學員資料-三民高中'!$B$2:$B$454=$F1185,'學員資料-三民高中'!$G$2:$G$454,""))</f>
        <v/>
      </c>
      <c r="R1185" t="str" cm="1">
        <f t="array" ref="R1185">_xlfn.TEXTJOIN("、",TRUE,IF('學員資料-新北高中'!$B$2:$B$583=$F1185,'學員資料-新北高中'!$G$2:$G$583,""))</f>
        <v/>
      </c>
      <c r="S1185" t="str" cm="1">
        <f t="array" ref="S1185">_xlfn.TEXTJOIN("、",TRUE,IF('學員資料-三重商工'!$B$2:$B$472=$F1185,'學員資料-三重商工'!$G$2:$G$472,""))</f>
        <v>0970658238</v>
      </c>
      <c r="T1185">
        <f t="shared" si="18"/>
        <v>1</v>
      </c>
    </row>
    <row r="1186" spans="1:20" ht="14.25" hidden="1" customHeight="1">
      <c r="A1186" s="15">
        <v>1185</v>
      </c>
      <c r="B1186" s="16" t="s">
        <v>3789</v>
      </c>
      <c r="C1186" s="17">
        <v>45846</v>
      </c>
      <c r="D1186" s="15" t="s">
        <v>3790</v>
      </c>
      <c r="E1186" s="23"/>
      <c r="F1186" s="19" t="s">
        <v>3791</v>
      </c>
      <c r="G1186" s="18" t="s">
        <v>3792</v>
      </c>
      <c r="H1186" s="20" t="s">
        <v>66</v>
      </c>
      <c r="I1186" s="15">
        <v>1</v>
      </c>
      <c r="J1186" s="15" t="s">
        <v>23</v>
      </c>
      <c r="K1186" s="15"/>
      <c r="L1186" s="21" t="s">
        <v>16</v>
      </c>
      <c r="M1186" s="22">
        <v>0</v>
      </c>
      <c r="N1186" s="22">
        <v>0</v>
      </c>
      <c r="O1186" s="22">
        <v>6900</v>
      </c>
      <c r="P1186" s="22">
        <v>6900</v>
      </c>
      <c r="Q1186" t="str" cm="1">
        <f t="array" ref="Q1186">_xlfn.TEXTJOIN("、",TRUE,IF('學員資料-三民高中'!$B$2:$B$454=$F1186,'學員資料-三民高中'!$G$2:$G$454,""))</f>
        <v/>
      </c>
      <c r="R1186" t="str" cm="1">
        <f t="array" ref="R1186">_xlfn.TEXTJOIN("、",TRUE,IF('學員資料-新北高中'!$B$2:$B$583=$F1186,'學員資料-新北高中'!$G$2:$G$583,""))</f>
        <v/>
      </c>
      <c r="S1186" t="str" cm="1">
        <f t="array" ref="S1186">_xlfn.TEXTJOIN("、",TRUE,IF('學員資料-三重商工'!$B$2:$B$472=$F1186,'學員資料-三重商工'!$G$2:$G$472,""))</f>
        <v>0905767332</v>
      </c>
      <c r="T1186">
        <f t="shared" si="18"/>
        <v>1</v>
      </c>
    </row>
    <row r="1187" spans="1:20" ht="14.25" hidden="1" customHeight="1">
      <c r="A1187" s="15">
        <v>1186</v>
      </c>
      <c r="B1187" s="16" t="s">
        <v>3793</v>
      </c>
      <c r="C1187" s="17">
        <v>45846</v>
      </c>
      <c r="D1187" s="15" t="s">
        <v>3794</v>
      </c>
      <c r="E1187" s="23"/>
      <c r="F1187" s="19" t="s">
        <v>3795</v>
      </c>
      <c r="G1187" s="18" t="s">
        <v>3796</v>
      </c>
      <c r="H1187" s="20" t="s">
        <v>130</v>
      </c>
      <c r="I1187" s="15">
        <v>1</v>
      </c>
      <c r="J1187" s="15" t="s">
        <v>25</v>
      </c>
      <c r="K1187" s="15"/>
      <c r="L1187" s="21" t="s">
        <v>16</v>
      </c>
      <c r="M1187" s="22">
        <v>0</v>
      </c>
      <c r="N1187" s="22">
        <v>0</v>
      </c>
      <c r="O1187" s="22">
        <v>9900</v>
      </c>
      <c r="P1187" s="22">
        <v>9900</v>
      </c>
      <c r="Q1187" t="str" cm="1">
        <f t="array" ref="Q1187">_xlfn.TEXTJOIN("、",TRUE,IF('學員資料-三民高中'!$B$2:$B$454=$F1187,'學員資料-三民高中'!$G$2:$G$454,""))</f>
        <v>0933133769</v>
      </c>
      <c r="R1187" t="str" cm="1">
        <f t="array" ref="R1187">_xlfn.TEXTJOIN("、",TRUE,IF('學員資料-新北高中'!$B$2:$B$583=$F1187,'學員資料-新北高中'!$G$2:$G$583,""))</f>
        <v/>
      </c>
      <c r="S1187" t="str" cm="1">
        <f t="array" ref="S1187">_xlfn.TEXTJOIN("、",TRUE,IF('學員資料-三重商工'!$B$2:$B$472=$F1187,'學員資料-三重商工'!$G$2:$G$472,""))</f>
        <v/>
      </c>
      <c r="T1187">
        <f t="shared" si="18"/>
        <v>1</v>
      </c>
    </row>
    <row r="1188" spans="1:20" ht="14.25" hidden="1" customHeight="1">
      <c r="A1188" s="15">
        <v>1187</v>
      </c>
      <c r="B1188" s="16" t="s">
        <v>3797</v>
      </c>
      <c r="C1188" s="17">
        <v>45846</v>
      </c>
      <c r="D1188" s="15" t="s">
        <v>3798</v>
      </c>
      <c r="E1188" s="23"/>
      <c r="F1188" s="19" t="s">
        <v>3799</v>
      </c>
      <c r="G1188" s="18" t="s">
        <v>3800</v>
      </c>
      <c r="H1188" s="20" t="s">
        <v>130</v>
      </c>
      <c r="I1188" s="15">
        <v>1</v>
      </c>
      <c r="J1188" s="15" t="s">
        <v>25</v>
      </c>
      <c r="K1188" s="15"/>
      <c r="L1188" s="21" t="s">
        <v>16</v>
      </c>
      <c r="M1188" s="22">
        <v>0</v>
      </c>
      <c r="N1188" s="22">
        <v>-3960</v>
      </c>
      <c r="O1188" s="22">
        <v>5940</v>
      </c>
      <c r="P1188" s="22">
        <v>5940</v>
      </c>
      <c r="Q1188" t="str" cm="1">
        <f t="array" ref="Q1188">_xlfn.TEXTJOIN("、",TRUE,IF('學員資料-三民高中'!$B$2:$B$454=$F1188,'學員資料-三民高中'!$G$2:$G$454,""))</f>
        <v/>
      </c>
      <c r="R1188" t="str" cm="1">
        <f t="array" ref="R1188">_xlfn.TEXTJOIN("、",TRUE,IF('學員資料-新北高中'!$B$2:$B$583=$F1188,'學員資料-新北高中'!$G$2:$G$583,""))</f>
        <v/>
      </c>
      <c r="S1188" t="str" cm="1">
        <f t="array" ref="S1188">_xlfn.TEXTJOIN("、",TRUE,IF('學員資料-三重商工'!$B$2:$B$472=$F1188,'學員資料-三重商工'!$G$2:$G$472,""))</f>
        <v>0955198981</v>
      </c>
      <c r="T1188">
        <f t="shared" si="18"/>
        <v>1</v>
      </c>
    </row>
    <row r="1189" spans="1:20" ht="14.25" hidden="1" customHeight="1">
      <c r="A1189" s="15">
        <v>1188</v>
      </c>
      <c r="B1189" s="16" t="s">
        <v>3801</v>
      </c>
      <c r="C1189" s="17">
        <v>45846</v>
      </c>
      <c r="D1189" s="15" t="s">
        <v>3802</v>
      </c>
      <c r="E1189" s="23"/>
      <c r="F1189" s="19" t="s">
        <v>882</v>
      </c>
      <c r="G1189" s="18" t="s">
        <v>883</v>
      </c>
      <c r="H1189" s="20" t="s">
        <v>52</v>
      </c>
      <c r="I1189" s="15">
        <v>1</v>
      </c>
      <c r="J1189" s="15" t="s">
        <v>24</v>
      </c>
      <c r="K1189" s="15"/>
      <c r="L1189" s="21" t="s">
        <v>16</v>
      </c>
      <c r="M1189" s="22">
        <v>0</v>
      </c>
      <c r="N1189" s="22">
        <v>0</v>
      </c>
      <c r="O1189" s="22">
        <v>7500</v>
      </c>
      <c r="P1189" s="22">
        <v>7500</v>
      </c>
      <c r="Q1189" t="str" cm="1">
        <f t="array" ref="Q1189">_xlfn.TEXTJOIN("、",TRUE,IF('學員資料-三民高中'!$B$2:$B$454=$F1189,'學員資料-三民高中'!$G$2:$G$454,""))</f>
        <v>0972380184</v>
      </c>
      <c r="R1189" t="str" cm="1">
        <f t="array" ref="R1189">_xlfn.TEXTJOIN("、",TRUE,IF('學員資料-新北高中'!$B$2:$B$583=$F1189,'學員資料-新北高中'!$G$2:$G$583,""))</f>
        <v/>
      </c>
      <c r="S1189" t="str" cm="1">
        <f t="array" ref="S1189">_xlfn.TEXTJOIN("、",TRUE,IF('學員資料-三重商工'!$B$2:$B$472=$F1189,'學員資料-三重商工'!$G$2:$G$472,""))</f>
        <v/>
      </c>
      <c r="T1189">
        <f t="shared" si="18"/>
        <v>1</v>
      </c>
    </row>
    <row r="1190" spans="1:20" ht="14.25" hidden="1" customHeight="1">
      <c r="A1190" s="15">
        <v>1189</v>
      </c>
      <c r="B1190" s="16" t="s">
        <v>3803</v>
      </c>
      <c r="C1190" s="17">
        <v>45845</v>
      </c>
      <c r="D1190" s="15" t="s">
        <v>3804</v>
      </c>
      <c r="E1190" s="18" t="s">
        <v>1324</v>
      </c>
      <c r="F1190" s="19" t="s">
        <v>2780</v>
      </c>
      <c r="G1190" s="18" t="s">
        <v>2781</v>
      </c>
      <c r="H1190" s="20" t="s">
        <v>3766</v>
      </c>
      <c r="I1190" s="15">
        <v>1</v>
      </c>
      <c r="J1190" s="15" t="s">
        <v>24</v>
      </c>
      <c r="K1190" s="21" t="s">
        <v>116</v>
      </c>
      <c r="L1190" s="21" t="s">
        <v>16</v>
      </c>
      <c r="M1190" s="22">
        <v>0</v>
      </c>
      <c r="N1190" s="22">
        <v>0</v>
      </c>
      <c r="O1190" s="22">
        <v>1300</v>
      </c>
      <c r="P1190" s="22">
        <v>1300</v>
      </c>
      <c r="Q1190" t="str" cm="1">
        <f t="array" ref="Q1190">_xlfn.TEXTJOIN("、",TRUE,IF('學員資料-三民高中'!$B$2:$B$454=$F1190,'學員資料-三民高中'!$G$2:$G$454,""))</f>
        <v>0921864934</v>
      </c>
      <c r="R1190" t="str" cm="1">
        <f t="array" ref="R1190">_xlfn.TEXTJOIN("、",TRUE,IF('學員資料-新北高中'!$B$2:$B$583=$F1190,'學員資料-新北高中'!$G$2:$G$583,""))</f>
        <v/>
      </c>
      <c r="S1190" t="str" cm="1">
        <f t="array" ref="S1190">_xlfn.TEXTJOIN("、",TRUE,IF('學員資料-三重商工'!$B$2:$B$472=$F1190,'學員資料-三重商工'!$G$2:$G$472,""))</f>
        <v/>
      </c>
      <c r="T1190">
        <f t="shared" si="18"/>
        <v>1</v>
      </c>
    </row>
    <row r="1191" spans="1:20" ht="14.25" hidden="1" customHeight="1">
      <c r="A1191" s="15">
        <v>1190</v>
      </c>
      <c r="B1191" s="16" t="s">
        <v>3805</v>
      </c>
      <c r="C1191" s="17">
        <v>45845</v>
      </c>
      <c r="D1191" s="15" t="s">
        <v>3806</v>
      </c>
      <c r="E1191" s="18" t="s">
        <v>763</v>
      </c>
      <c r="F1191" s="19" t="s">
        <v>1426</v>
      </c>
      <c r="G1191" s="18" t="s">
        <v>1427</v>
      </c>
      <c r="H1191" s="20" t="s">
        <v>52</v>
      </c>
      <c r="I1191" s="15">
        <v>1</v>
      </c>
      <c r="J1191" s="15" t="s">
        <v>24</v>
      </c>
      <c r="K1191" s="15"/>
      <c r="L1191" s="21" t="s">
        <v>16</v>
      </c>
      <c r="M1191" s="22">
        <v>0</v>
      </c>
      <c r="N1191" s="22">
        <v>0</v>
      </c>
      <c r="O1191" s="22">
        <v>7500</v>
      </c>
      <c r="P1191" s="22">
        <v>7500</v>
      </c>
      <c r="Q1191" t="str" cm="1">
        <f t="array" ref="Q1191">_xlfn.TEXTJOIN("、",TRUE,IF('學員資料-三民高中'!$B$2:$B$454=$F1191,'學員資料-三民高中'!$G$2:$G$454,""))</f>
        <v/>
      </c>
      <c r="R1191" t="str" cm="1">
        <f t="array" ref="R1191">_xlfn.TEXTJOIN("、",TRUE,IF('學員資料-新北高中'!$B$2:$B$583=$F1191,'學員資料-新北高中'!$G$2:$G$583,""))</f>
        <v>0961212771</v>
      </c>
      <c r="S1191" t="str" cm="1">
        <f t="array" ref="S1191">_xlfn.TEXTJOIN("、",TRUE,IF('學員資料-三重商工'!$B$2:$B$472=$F1191,'學員資料-三重商工'!$G$2:$G$472,""))</f>
        <v/>
      </c>
      <c r="T1191">
        <f t="shared" si="18"/>
        <v>1</v>
      </c>
    </row>
    <row r="1192" spans="1:20" ht="28.5" hidden="1" customHeight="1">
      <c r="A1192" s="15">
        <v>1191</v>
      </c>
      <c r="B1192" s="16" t="s">
        <v>3807</v>
      </c>
      <c r="C1192" s="17">
        <v>45845</v>
      </c>
      <c r="D1192" s="15" t="s">
        <v>3808</v>
      </c>
      <c r="E1192" s="23"/>
      <c r="F1192" s="19" t="s">
        <v>2529</v>
      </c>
      <c r="G1192" s="18" t="s">
        <v>2530</v>
      </c>
      <c r="H1192" s="20" t="s">
        <v>99</v>
      </c>
      <c r="I1192" s="15">
        <v>2</v>
      </c>
      <c r="J1192" s="15" t="s">
        <v>24</v>
      </c>
      <c r="K1192" s="15"/>
      <c r="L1192" s="21" t="s">
        <v>16</v>
      </c>
      <c r="M1192" s="22">
        <v>0</v>
      </c>
      <c r="N1192" s="22">
        <v>0</v>
      </c>
      <c r="O1192" s="22">
        <v>15000</v>
      </c>
      <c r="P1192" s="22">
        <v>15000</v>
      </c>
      <c r="Q1192" t="str" cm="1">
        <f t="array" ref="Q1192">_xlfn.TEXTJOIN("、",TRUE,IF('學員資料-三民高中'!$B$2:$B$454=$F1192,'學員資料-三民高中'!$G$2:$G$454,""))</f>
        <v>0975928981-1</v>
      </c>
      <c r="R1192" t="str" cm="1">
        <f t="array" ref="R1192">_xlfn.TEXTJOIN("、",TRUE,IF('學員資料-新北高中'!$B$2:$B$583=$F1192,'學員資料-新北高中'!$G$2:$G$583,""))</f>
        <v/>
      </c>
      <c r="S1192" t="str" cm="1">
        <f t="array" ref="S1192">_xlfn.TEXTJOIN("、",TRUE,IF('學員資料-三重商工'!$B$2:$B$472=$F1192,'學員資料-三重商工'!$G$2:$G$472,""))</f>
        <v/>
      </c>
      <c r="T1192">
        <f t="shared" si="18"/>
        <v>1</v>
      </c>
    </row>
    <row r="1193" spans="1:20" ht="14.25" hidden="1" customHeight="1">
      <c r="A1193" s="15">
        <v>1192</v>
      </c>
      <c r="B1193" s="16" t="s">
        <v>3809</v>
      </c>
      <c r="C1193" s="17">
        <v>45845</v>
      </c>
      <c r="D1193" s="15" t="s">
        <v>3810</v>
      </c>
      <c r="E1193" s="23"/>
      <c r="F1193" s="19" t="s">
        <v>882</v>
      </c>
      <c r="G1193" s="18" t="s">
        <v>883</v>
      </c>
      <c r="H1193" s="20" t="s">
        <v>3811</v>
      </c>
      <c r="I1193" s="15">
        <v>1</v>
      </c>
      <c r="J1193" s="15" t="s">
        <v>24</v>
      </c>
      <c r="K1193" s="21" t="s">
        <v>116</v>
      </c>
      <c r="L1193" s="21" t="s">
        <v>16</v>
      </c>
      <c r="M1193" s="22">
        <v>0</v>
      </c>
      <c r="N1193" s="22">
        <v>0</v>
      </c>
      <c r="O1193" s="22">
        <v>1200</v>
      </c>
      <c r="P1193" s="22">
        <v>1200</v>
      </c>
      <c r="Q1193" t="str" cm="1">
        <f t="array" ref="Q1193">_xlfn.TEXTJOIN("、",TRUE,IF('學員資料-三民高中'!$B$2:$B$454=$F1193,'學員資料-三民高中'!$G$2:$G$454,""))</f>
        <v>0972380184</v>
      </c>
      <c r="R1193" t="str" cm="1">
        <f t="array" ref="R1193">_xlfn.TEXTJOIN("、",TRUE,IF('學員資料-新北高中'!$B$2:$B$583=$F1193,'學員資料-新北高中'!$G$2:$G$583,""))</f>
        <v/>
      </c>
      <c r="S1193" t="str" cm="1">
        <f t="array" ref="S1193">_xlfn.TEXTJOIN("、",TRUE,IF('學員資料-三重商工'!$B$2:$B$472=$F1193,'學員資料-三重商工'!$G$2:$G$472,""))</f>
        <v/>
      </c>
      <c r="T1193">
        <f t="shared" si="18"/>
        <v>1</v>
      </c>
    </row>
    <row r="1194" spans="1:20" ht="14.25" hidden="1" customHeight="1">
      <c r="A1194" s="15">
        <v>1193</v>
      </c>
      <c r="B1194" s="16" t="s">
        <v>3812</v>
      </c>
      <c r="C1194" s="17">
        <v>45845</v>
      </c>
      <c r="D1194" s="15" t="s">
        <v>3813</v>
      </c>
      <c r="E1194" s="18" t="s">
        <v>537</v>
      </c>
      <c r="F1194" s="19" t="s">
        <v>2764</v>
      </c>
      <c r="G1194" s="18" t="s">
        <v>2765</v>
      </c>
      <c r="H1194" s="20" t="s">
        <v>66</v>
      </c>
      <c r="I1194" s="15">
        <v>1</v>
      </c>
      <c r="J1194" s="15" t="s">
        <v>23</v>
      </c>
      <c r="K1194" s="15"/>
      <c r="L1194" s="21" t="s">
        <v>16</v>
      </c>
      <c r="M1194" s="22">
        <v>0</v>
      </c>
      <c r="N1194" s="22">
        <v>0</v>
      </c>
      <c r="O1194" s="22">
        <v>6900</v>
      </c>
      <c r="P1194" s="22">
        <v>6900</v>
      </c>
      <c r="Q1194" t="str" cm="1">
        <f t="array" ref="Q1194">_xlfn.TEXTJOIN("、",TRUE,IF('學員資料-三民高中'!$B$2:$B$454=$F1194,'學員資料-三民高中'!$G$2:$G$454,""))</f>
        <v/>
      </c>
      <c r="R1194" t="str" cm="1">
        <f t="array" ref="R1194">_xlfn.TEXTJOIN("、",TRUE,IF('學員資料-新北高中'!$B$2:$B$583=$F1194,'學員資料-新北高中'!$G$2:$G$583,""))</f>
        <v>0933055618</v>
      </c>
      <c r="S1194" t="str" cm="1">
        <f t="array" ref="S1194">_xlfn.TEXTJOIN("、",TRUE,IF('學員資料-三重商工'!$B$2:$B$472=$F1194,'學員資料-三重商工'!$G$2:$G$472,""))</f>
        <v/>
      </c>
      <c r="T1194">
        <f t="shared" si="18"/>
        <v>1</v>
      </c>
    </row>
    <row r="1195" spans="1:20" ht="14.25" hidden="1" customHeight="1">
      <c r="A1195" s="15">
        <v>1194</v>
      </c>
      <c r="B1195" s="16" t="s">
        <v>3814</v>
      </c>
      <c r="C1195" s="17">
        <v>45845</v>
      </c>
      <c r="D1195" s="15" t="s">
        <v>3815</v>
      </c>
      <c r="E1195" s="18" t="s">
        <v>44</v>
      </c>
      <c r="F1195" s="19" t="s">
        <v>3816</v>
      </c>
      <c r="G1195" s="18" t="s">
        <v>3817</v>
      </c>
      <c r="H1195" s="20" t="s">
        <v>66</v>
      </c>
      <c r="I1195" s="15">
        <v>1</v>
      </c>
      <c r="J1195" s="15" t="s">
        <v>23</v>
      </c>
      <c r="K1195" s="15"/>
      <c r="L1195" s="21" t="s">
        <v>16</v>
      </c>
      <c r="M1195" s="22">
        <v>0</v>
      </c>
      <c r="N1195" s="22">
        <v>0</v>
      </c>
      <c r="O1195" s="22">
        <v>6900</v>
      </c>
      <c r="P1195" s="22">
        <v>6900</v>
      </c>
      <c r="Q1195" t="str" cm="1">
        <f t="array" ref="Q1195">_xlfn.TEXTJOIN("、",TRUE,IF('學員資料-三民高中'!$B$2:$B$454=$F1195,'學員資料-三民高中'!$G$2:$G$454,""))</f>
        <v/>
      </c>
      <c r="R1195" t="str" cm="1">
        <f t="array" ref="R1195">_xlfn.TEXTJOIN("、",TRUE,IF('學員資料-新北高中'!$B$2:$B$583=$F1195,'學員資料-新北高中'!$G$2:$G$583,""))</f>
        <v/>
      </c>
      <c r="S1195" t="str" cm="1">
        <f t="array" ref="S1195">_xlfn.TEXTJOIN("、",TRUE,IF('學員資料-三重商工'!$B$2:$B$472=$F1195,'學員資料-三重商工'!$G$2:$G$472,""))</f>
        <v>0909621689</v>
      </c>
      <c r="T1195">
        <f t="shared" si="18"/>
        <v>1</v>
      </c>
    </row>
    <row r="1196" spans="1:20" ht="14.25" hidden="1" customHeight="1">
      <c r="A1196" s="15">
        <v>1195</v>
      </c>
      <c r="B1196" s="16" t="s">
        <v>3818</v>
      </c>
      <c r="C1196" s="17">
        <v>45845</v>
      </c>
      <c r="D1196" s="15" t="s">
        <v>3819</v>
      </c>
      <c r="E1196" s="23"/>
      <c r="F1196" s="19" t="s">
        <v>3820</v>
      </c>
      <c r="G1196" s="18" t="s">
        <v>3821</v>
      </c>
      <c r="H1196" s="20" t="s">
        <v>52</v>
      </c>
      <c r="I1196" s="15">
        <v>1</v>
      </c>
      <c r="J1196" s="15" t="s">
        <v>24</v>
      </c>
      <c r="K1196" s="15"/>
      <c r="L1196" s="21" t="s">
        <v>16</v>
      </c>
      <c r="M1196" s="22">
        <v>0</v>
      </c>
      <c r="N1196" s="22">
        <v>0</v>
      </c>
      <c r="O1196" s="22">
        <v>7500</v>
      </c>
      <c r="P1196" s="22">
        <v>7500</v>
      </c>
      <c r="Q1196" t="str" cm="1">
        <f t="array" ref="Q1196">_xlfn.TEXTJOIN("、",TRUE,IF('學員資料-三民高中'!$B$2:$B$454=$F1196,'學員資料-三民高中'!$G$2:$G$454,""))</f>
        <v>0975202780-3</v>
      </c>
      <c r="R1196" t="str" cm="1">
        <f t="array" ref="R1196">_xlfn.TEXTJOIN("、",TRUE,IF('學員資料-新北高中'!$B$2:$B$583=$F1196,'學員資料-新北高中'!$G$2:$G$583,""))</f>
        <v/>
      </c>
      <c r="S1196" t="str" cm="1">
        <f t="array" ref="S1196">_xlfn.TEXTJOIN("、",TRUE,IF('學員資料-三重商工'!$B$2:$B$472=$F1196,'學員資料-三重商工'!$G$2:$G$472,""))</f>
        <v/>
      </c>
      <c r="T1196">
        <f t="shared" si="18"/>
        <v>1</v>
      </c>
    </row>
    <row r="1197" spans="1:20" ht="14.25" hidden="1" customHeight="1">
      <c r="A1197" s="15">
        <v>1196</v>
      </c>
      <c r="B1197" s="16" t="s">
        <v>3822</v>
      </c>
      <c r="C1197" s="17">
        <v>45845</v>
      </c>
      <c r="D1197" s="15" t="s">
        <v>3823</v>
      </c>
      <c r="E1197" s="18" t="s">
        <v>3477</v>
      </c>
      <c r="F1197" s="19" t="s">
        <v>2780</v>
      </c>
      <c r="G1197" s="18" t="s">
        <v>2781</v>
      </c>
      <c r="H1197" s="20" t="s">
        <v>52</v>
      </c>
      <c r="I1197" s="15">
        <v>1</v>
      </c>
      <c r="J1197" s="15" t="s">
        <v>24</v>
      </c>
      <c r="K1197" s="15"/>
      <c r="L1197" s="21" t="s">
        <v>16</v>
      </c>
      <c r="M1197" s="22">
        <v>0</v>
      </c>
      <c r="N1197" s="22">
        <v>0</v>
      </c>
      <c r="O1197" s="22">
        <v>7500</v>
      </c>
      <c r="P1197" s="22">
        <v>7500</v>
      </c>
      <c r="Q1197" t="str" cm="1">
        <f t="array" ref="Q1197">_xlfn.TEXTJOIN("、",TRUE,IF('學員資料-三民高中'!$B$2:$B$454=$F1197,'學員資料-三民高中'!$G$2:$G$454,""))</f>
        <v>0921864934</v>
      </c>
      <c r="R1197" t="str" cm="1">
        <f t="array" ref="R1197">_xlfn.TEXTJOIN("、",TRUE,IF('學員資料-新北高中'!$B$2:$B$583=$F1197,'學員資料-新北高中'!$G$2:$G$583,""))</f>
        <v/>
      </c>
      <c r="S1197" t="str" cm="1">
        <f t="array" ref="S1197">_xlfn.TEXTJOIN("、",TRUE,IF('學員資料-三重商工'!$B$2:$B$472=$F1197,'學員資料-三重商工'!$G$2:$G$472,""))</f>
        <v/>
      </c>
      <c r="T1197">
        <f t="shared" si="18"/>
        <v>1</v>
      </c>
    </row>
    <row r="1198" spans="1:20" ht="14.25" hidden="1" customHeight="1">
      <c r="A1198" s="15">
        <v>1197</v>
      </c>
      <c r="B1198" s="16" t="s">
        <v>3824</v>
      </c>
      <c r="C1198" s="17">
        <v>45845</v>
      </c>
      <c r="D1198" s="15" t="s">
        <v>3825</v>
      </c>
      <c r="E1198" s="18" t="s">
        <v>44</v>
      </c>
      <c r="F1198" s="19" t="s">
        <v>3826</v>
      </c>
      <c r="G1198" s="18" t="s">
        <v>3827</v>
      </c>
      <c r="H1198" s="20" t="s">
        <v>52</v>
      </c>
      <c r="I1198" s="15">
        <v>1</v>
      </c>
      <c r="J1198" s="15" t="s">
        <v>24</v>
      </c>
      <c r="K1198" s="15"/>
      <c r="L1198" s="21" t="s">
        <v>16</v>
      </c>
      <c r="M1198" s="22">
        <v>0</v>
      </c>
      <c r="N1198" s="22">
        <v>-375</v>
      </c>
      <c r="O1198" s="22">
        <v>7125</v>
      </c>
      <c r="P1198" s="22">
        <v>7125</v>
      </c>
      <c r="Q1198" t="str" cm="1">
        <f t="array" ref="Q1198">_xlfn.TEXTJOIN("、",TRUE,IF('學員資料-三民高中'!$B$2:$B$454=$F1198,'學員資料-三民高中'!$G$2:$G$454,""))</f>
        <v/>
      </c>
      <c r="R1198" t="str" cm="1">
        <f t="array" ref="R1198">_xlfn.TEXTJOIN("、",TRUE,IF('學員資料-新北高中'!$B$2:$B$583=$F1198,'學員資料-新北高中'!$G$2:$G$583,""))</f>
        <v/>
      </c>
      <c r="S1198" t="str" cm="1">
        <f t="array" ref="S1198">_xlfn.TEXTJOIN("、",TRUE,IF('學員資料-三重商工'!$B$2:$B$472=$F1198,'學員資料-三重商工'!$G$2:$G$472,""))</f>
        <v>0982661494</v>
      </c>
      <c r="T1198">
        <f t="shared" si="18"/>
        <v>1</v>
      </c>
    </row>
    <row r="1199" spans="1:20" ht="14.25" hidden="1" customHeight="1">
      <c r="A1199" s="15">
        <v>1198</v>
      </c>
      <c r="B1199" s="16" t="s">
        <v>3828</v>
      </c>
      <c r="C1199" s="17">
        <v>45844</v>
      </c>
      <c r="D1199" s="15" t="s">
        <v>3829</v>
      </c>
      <c r="E1199" s="23"/>
      <c r="F1199" s="19" t="s">
        <v>2592</v>
      </c>
      <c r="G1199" s="18" t="s">
        <v>2593</v>
      </c>
      <c r="H1199" s="20" t="s">
        <v>52</v>
      </c>
      <c r="I1199" s="15">
        <v>1</v>
      </c>
      <c r="J1199" s="15" t="s">
        <v>24</v>
      </c>
      <c r="K1199" s="15"/>
      <c r="L1199" s="21" t="s">
        <v>16</v>
      </c>
      <c r="M1199" s="22">
        <v>0</v>
      </c>
      <c r="N1199" s="22">
        <v>0</v>
      </c>
      <c r="O1199" s="22">
        <v>7500</v>
      </c>
      <c r="P1199" s="22">
        <v>7500</v>
      </c>
      <c r="Q1199" t="str" cm="1">
        <f t="array" ref="Q1199">_xlfn.TEXTJOIN("、",TRUE,IF('學員資料-三民高中'!$B$2:$B$454=$F1199,'學員資料-三民高中'!$G$2:$G$454,""))</f>
        <v/>
      </c>
      <c r="R1199" t="str" cm="1">
        <f t="array" ref="R1199">_xlfn.TEXTJOIN("、",TRUE,IF('學員資料-新北高中'!$B$2:$B$583=$F1199,'學員資料-新北高中'!$G$2:$G$583,""))</f>
        <v/>
      </c>
      <c r="S1199" t="str" cm="1">
        <f t="array" ref="S1199">_xlfn.TEXTJOIN("、",TRUE,IF('學員資料-三重商工'!$B$2:$B$472=$F1199,'學員資料-三重商工'!$G$2:$G$472,""))</f>
        <v>0968760865</v>
      </c>
      <c r="T1199">
        <f t="shared" si="18"/>
        <v>1</v>
      </c>
    </row>
    <row r="1200" spans="1:20" ht="14.25" hidden="1" customHeight="1">
      <c r="A1200" s="15">
        <v>1199</v>
      </c>
      <c r="B1200" s="16" t="s">
        <v>3830</v>
      </c>
      <c r="C1200" s="17">
        <v>45844</v>
      </c>
      <c r="D1200" s="15" t="s">
        <v>3831</v>
      </c>
      <c r="E1200" s="23"/>
      <c r="F1200" s="19" t="s">
        <v>2281</v>
      </c>
      <c r="G1200" s="18" t="s">
        <v>2282</v>
      </c>
      <c r="H1200" s="20" t="s">
        <v>52</v>
      </c>
      <c r="I1200" s="15">
        <v>1</v>
      </c>
      <c r="J1200" s="15" t="s">
        <v>24</v>
      </c>
      <c r="K1200" s="15"/>
      <c r="L1200" s="21" t="s">
        <v>16</v>
      </c>
      <c r="M1200" s="22">
        <v>0</v>
      </c>
      <c r="N1200" s="22">
        <v>0</v>
      </c>
      <c r="O1200" s="22">
        <v>7500</v>
      </c>
      <c r="P1200" s="22">
        <v>7500</v>
      </c>
      <c r="Q1200" t="str" cm="1">
        <f t="array" ref="Q1200">_xlfn.TEXTJOIN("、",TRUE,IF('學員資料-三民高中'!$B$2:$B$454=$F1200,'學員資料-三民高中'!$G$2:$G$454,""))</f>
        <v>0988835148</v>
      </c>
      <c r="R1200" t="str" cm="1">
        <f t="array" ref="R1200">_xlfn.TEXTJOIN("、",TRUE,IF('學員資料-新北高中'!$B$2:$B$583=$F1200,'學員資料-新北高中'!$G$2:$G$583,""))</f>
        <v/>
      </c>
      <c r="S1200" t="str" cm="1">
        <f t="array" ref="S1200">_xlfn.TEXTJOIN("、",TRUE,IF('學員資料-三重商工'!$B$2:$B$472=$F1200,'學員資料-三重商工'!$G$2:$G$472,""))</f>
        <v/>
      </c>
      <c r="T1200">
        <f t="shared" si="18"/>
        <v>1</v>
      </c>
    </row>
    <row r="1201" spans="1:20" ht="14.25" hidden="1" customHeight="1">
      <c r="A1201" s="15">
        <v>1200</v>
      </c>
      <c r="B1201" s="16" t="s">
        <v>3832</v>
      </c>
      <c r="C1201" s="17">
        <v>45844</v>
      </c>
      <c r="D1201" s="15" t="s">
        <v>3833</v>
      </c>
      <c r="E1201" s="23"/>
      <c r="F1201" s="19" t="s">
        <v>3834</v>
      </c>
      <c r="G1201" s="18" t="s">
        <v>3835</v>
      </c>
      <c r="H1201" s="20" t="s">
        <v>66</v>
      </c>
      <c r="I1201" s="15">
        <v>1</v>
      </c>
      <c r="J1201" s="15" t="s">
        <v>23</v>
      </c>
      <c r="K1201" s="15"/>
      <c r="L1201" s="21" t="s">
        <v>16</v>
      </c>
      <c r="M1201" s="22">
        <v>0</v>
      </c>
      <c r="N1201" s="22">
        <v>-6555</v>
      </c>
      <c r="O1201" s="22">
        <v>345</v>
      </c>
      <c r="P1201" s="22">
        <v>345</v>
      </c>
      <c r="Q1201" t="str" cm="1">
        <f t="array" ref="Q1201">_xlfn.TEXTJOIN("、",TRUE,IF('學員資料-三民高中'!$B$2:$B$454=$F1201,'學員資料-三民高中'!$G$2:$G$454,""))</f>
        <v/>
      </c>
      <c r="R1201" t="str" cm="1">
        <f t="array" ref="R1201">_xlfn.TEXTJOIN("、",TRUE,IF('學員資料-新北高中'!$B$2:$B$583=$F1201,'學員資料-新北高中'!$G$2:$G$583,""))</f>
        <v/>
      </c>
      <c r="S1201" t="str" cm="1">
        <f t="array" ref="S1201">_xlfn.TEXTJOIN("、",TRUE,IF('學員資料-三重商工'!$B$2:$B$472=$F1201,'學員資料-三重商工'!$G$2:$G$472,""))</f>
        <v>0963988357</v>
      </c>
      <c r="T1201">
        <f t="shared" si="18"/>
        <v>1</v>
      </c>
    </row>
    <row r="1202" spans="1:20" ht="14.25" hidden="1" customHeight="1">
      <c r="A1202" s="15">
        <v>1201</v>
      </c>
      <c r="B1202" s="16" t="s">
        <v>3836</v>
      </c>
      <c r="C1202" s="17">
        <v>45844</v>
      </c>
      <c r="D1202" s="15" t="s">
        <v>3837</v>
      </c>
      <c r="E1202" s="23"/>
      <c r="F1202" s="19" t="s">
        <v>3377</v>
      </c>
      <c r="G1202" s="18" t="s">
        <v>3378</v>
      </c>
      <c r="H1202" s="20" t="s">
        <v>52</v>
      </c>
      <c r="I1202" s="15">
        <v>1</v>
      </c>
      <c r="J1202" s="15" t="s">
        <v>24</v>
      </c>
      <c r="K1202" s="15"/>
      <c r="L1202" s="21" t="s">
        <v>16</v>
      </c>
      <c r="M1202" s="22">
        <v>0</v>
      </c>
      <c r="N1202" s="22">
        <v>0</v>
      </c>
      <c r="O1202" s="22">
        <v>7500</v>
      </c>
      <c r="P1202" s="22">
        <v>7500</v>
      </c>
      <c r="Q1202" t="str" cm="1">
        <f t="array" ref="Q1202">_xlfn.TEXTJOIN("、",TRUE,IF('學員資料-三民高中'!$B$2:$B$454=$F1202,'學員資料-三民高中'!$G$2:$G$454,""))</f>
        <v/>
      </c>
      <c r="R1202" t="str" cm="1">
        <f t="array" ref="R1202">_xlfn.TEXTJOIN("、",TRUE,IF('學員資料-新北高中'!$B$2:$B$583=$F1202,'學員資料-新北高中'!$G$2:$G$583,""))</f>
        <v>0920753702</v>
      </c>
      <c r="S1202" t="str" cm="1">
        <f t="array" ref="S1202">_xlfn.TEXTJOIN("、",TRUE,IF('學員資料-三重商工'!$B$2:$B$472=$F1202,'學員資料-三重商工'!$G$2:$G$472,""))</f>
        <v/>
      </c>
      <c r="T1202">
        <f t="shared" si="18"/>
        <v>1</v>
      </c>
    </row>
    <row r="1203" spans="1:20" ht="14.25" hidden="1" customHeight="1">
      <c r="A1203" s="15">
        <v>1202</v>
      </c>
      <c r="B1203" s="16" t="s">
        <v>3838</v>
      </c>
      <c r="C1203" s="17">
        <v>45844</v>
      </c>
      <c r="D1203" s="15" t="s">
        <v>3839</v>
      </c>
      <c r="E1203" s="18" t="s">
        <v>3477</v>
      </c>
      <c r="F1203" s="19" t="s">
        <v>3840</v>
      </c>
      <c r="G1203" s="18" t="s">
        <v>3841</v>
      </c>
      <c r="H1203" s="20" t="s">
        <v>210</v>
      </c>
      <c r="I1203" s="15">
        <v>1</v>
      </c>
      <c r="J1203" s="15" t="s">
        <v>26</v>
      </c>
      <c r="K1203" s="15"/>
      <c r="L1203" s="21" t="s">
        <v>16</v>
      </c>
      <c r="M1203" s="22">
        <v>0</v>
      </c>
      <c r="N1203" s="22">
        <v>-600</v>
      </c>
      <c r="O1203" s="22">
        <v>11400</v>
      </c>
      <c r="P1203" s="22">
        <v>11400</v>
      </c>
      <c r="Q1203" t="str" cm="1">
        <f t="array" ref="Q1203">_xlfn.TEXTJOIN("、",TRUE,IF('學員資料-三民高中'!$B$2:$B$454=$F1203,'學員資料-三民高中'!$G$2:$G$454,""))</f>
        <v/>
      </c>
      <c r="R1203" t="str" cm="1">
        <f t="array" ref="R1203">_xlfn.TEXTJOIN("、",TRUE,IF('學員資料-新北高中'!$B$2:$B$583=$F1203,'學員資料-新北高中'!$G$2:$G$583,""))</f>
        <v>0927088317</v>
      </c>
      <c r="S1203" t="str" cm="1">
        <f t="array" ref="S1203">_xlfn.TEXTJOIN("、",TRUE,IF('學員資料-三重商工'!$B$2:$B$472=$F1203,'學員資料-三重商工'!$G$2:$G$472,""))</f>
        <v/>
      </c>
      <c r="T1203">
        <f t="shared" si="18"/>
        <v>1</v>
      </c>
    </row>
    <row r="1204" spans="1:20" ht="14.25" hidden="1" customHeight="1">
      <c r="A1204" s="15">
        <v>1203</v>
      </c>
      <c r="B1204" s="16" t="s">
        <v>3842</v>
      </c>
      <c r="C1204" s="17">
        <v>45844</v>
      </c>
      <c r="D1204" s="15" t="s">
        <v>3843</v>
      </c>
      <c r="E1204" s="23"/>
      <c r="F1204" s="19" t="s">
        <v>3844</v>
      </c>
      <c r="G1204" s="18" t="s">
        <v>3845</v>
      </c>
      <c r="H1204" s="20" t="s">
        <v>52</v>
      </c>
      <c r="I1204" s="15">
        <v>1</v>
      </c>
      <c r="J1204" s="15" t="s">
        <v>24</v>
      </c>
      <c r="K1204" s="15"/>
      <c r="L1204" s="21" t="s">
        <v>16</v>
      </c>
      <c r="M1204" s="22">
        <v>0</v>
      </c>
      <c r="N1204" s="22">
        <v>0</v>
      </c>
      <c r="O1204" s="22">
        <v>7500</v>
      </c>
      <c r="P1204" s="22">
        <v>7500</v>
      </c>
      <c r="Q1204" t="str" cm="1">
        <f t="array" ref="Q1204">_xlfn.TEXTJOIN("、",TRUE,IF('學員資料-三民高中'!$B$2:$B$454=$F1204,'學員資料-三民高中'!$G$2:$G$454,""))</f>
        <v/>
      </c>
      <c r="R1204" t="str" cm="1">
        <f t="array" ref="R1204">_xlfn.TEXTJOIN("、",TRUE,IF('學員資料-新北高中'!$B$2:$B$583=$F1204,'學員資料-新北高中'!$G$2:$G$583,""))</f>
        <v/>
      </c>
      <c r="S1204" t="str" cm="1">
        <f t="array" ref="S1204">_xlfn.TEXTJOIN("、",TRUE,IF('學員資料-三重商工'!$B$2:$B$472=$F1204,'學員資料-三重商工'!$G$2:$G$472,""))</f>
        <v>0920967008</v>
      </c>
      <c r="T1204">
        <f t="shared" si="18"/>
        <v>1</v>
      </c>
    </row>
    <row r="1205" spans="1:20" ht="14.25" hidden="1" customHeight="1">
      <c r="A1205" s="15">
        <v>1204</v>
      </c>
      <c r="B1205" s="16" t="s">
        <v>3846</v>
      </c>
      <c r="C1205" s="17">
        <v>45844</v>
      </c>
      <c r="D1205" s="15" t="s">
        <v>3847</v>
      </c>
      <c r="E1205" s="23"/>
      <c r="F1205" s="19" t="s">
        <v>3844</v>
      </c>
      <c r="G1205" s="18" t="s">
        <v>3845</v>
      </c>
      <c r="H1205" s="20" t="s">
        <v>52</v>
      </c>
      <c r="I1205" s="15">
        <v>1</v>
      </c>
      <c r="J1205" s="15" t="s">
        <v>24</v>
      </c>
      <c r="K1205" s="15"/>
      <c r="L1205" s="21" t="s">
        <v>16</v>
      </c>
      <c r="M1205" s="22">
        <v>0</v>
      </c>
      <c r="N1205" s="22">
        <v>0</v>
      </c>
      <c r="O1205" s="22">
        <v>7500</v>
      </c>
      <c r="P1205" s="22">
        <v>7500</v>
      </c>
      <c r="Q1205" t="str" cm="1">
        <f t="array" ref="Q1205">_xlfn.TEXTJOIN("、",TRUE,IF('學員資料-三民高中'!$B$2:$B$454=$F1205,'學員資料-三民高中'!$G$2:$G$454,""))</f>
        <v/>
      </c>
      <c r="R1205" t="str" cm="1">
        <f t="array" ref="R1205">_xlfn.TEXTJOIN("、",TRUE,IF('學員資料-新北高中'!$B$2:$B$583=$F1205,'學員資料-新北高中'!$G$2:$G$583,""))</f>
        <v/>
      </c>
      <c r="S1205" t="str" cm="1">
        <f t="array" ref="S1205">_xlfn.TEXTJOIN("、",TRUE,IF('學員資料-三重商工'!$B$2:$B$472=$F1205,'學員資料-三重商工'!$G$2:$G$472,""))</f>
        <v>0920967008</v>
      </c>
      <c r="T1205">
        <f t="shared" si="18"/>
        <v>1</v>
      </c>
    </row>
    <row r="1206" spans="1:20" ht="14.25" hidden="1" customHeight="1">
      <c r="A1206" s="15">
        <v>1205</v>
      </c>
      <c r="B1206" s="16" t="s">
        <v>3848</v>
      </c>
      <c r="C1206" s="17">
        <v>45844</v>
      </c>
      <c r="D1206" s="15" t="s">
        <v>3849</v>
      </c>
      <c r="E1206" s="23"/>
      <c r="F1206" s="19" t="s">
        <v>3850</v>
      </c>
      <c r="G1206" s="18" t="s">
        <v>3851</v>
      </c>
      <c r="H1206" s="20" t="s">
        <v>52</v>
      </c>
      <c r="I1206" s="15">
        <v>1</v>
      </c>
      <c r="J1206" s="15" t="s">
        <v>24</v>
      </c>
      <c r="K1206" s="15"/>
      <c r="L1206" s="21" t="s">
        <v>16</v>
      </c>
      <c r="M1206" s="22">
        <v>0</v>
      </c>
      <c r="N1206" s="22">
        <v>0</v>
      </c>
      <c r="O1206" s="22">
        <v>7500</v>
      </c>
      <c r="P1206" s="22">
        <v>7500</v>
      </c>
      <c r="Q1206" t="str" cm="1">
        <f t="array" ref="Q1206">_xlfn.TEXTJOIN("、",TRUE,IF('學員資料-三民高中'!$B$2:$B$454=$F1206,'學員資料-三民高中'!$G$2:$G$454,""))</f>
        <v>0955123331</v>
      </c>
      <c r="R1206" t="str" cm="1">
        <f t="array" ref="R1206">_xlfn.TEXTJOIN("、",TRUE,IF('學員資料-新北高中'!$B$2:$B$583=$F1206,'學員資料-新北高中'!$G$2:$G$583,""))</f>
        <v/>
      </c>
      <c r="S1206" t="str" cm="1">
        <f t="array" ref="S1206">_xlfn.TEXTJOIN("、",TRUE,IF('學員資料-三重商工'!$B$2:$B$472=$F1206,'學員資料-三重商工'!$G$2:$G$472,""))</f>
        <v/>
      </c>
      <c r="T1206">
        <f t="shared" si="18"/>
        <v>1</v>
      </c>
    </row>
    <row r="1207" spans="1:20" ht="14.25" hidden="1" customHeight="1">
      <c r="A1207" s="15">
        <v>1206</v>
      </c>
      <c r="B1207" s="16" t="s">
        <v>3852</v>
      </c>
      <c r="C1207" s="17">
        <v>45844</v>
      </c>
      <c r="D1207" s="15" t="s">
        <v>3853</v>
      </c>
      <c r="E1207" s="23"/>
      <c r="F1207" s="19" t="s">
        <v>408</v>
      </c>
      <c r="G1207" s="18" t="s">
        <v>409</v>
      </c>
      <c r="H1207" s="20" t="s">
        <v>52</v>
      </c>
      <c r="I1207" s="15">
        <v>1</v>
      </c>
      <c r="J1207" s="15" t="s">
        <v>24</v>
      </c>
      <c r="K1207" s="15"/>
      <c r="L1207" s="21" t="s">
        <v>16</v>
      </c>
      <c r="M1207" s="22">
        <v>0</v>
      </c>
      <c r="N1207" s="22">
        <v>0</v>
      </c>
      <c r="O1207" s="22">
        <v>7500</v>
      </c>
      <c r="P1207" s="22">
        <v>7500</v>
      </c>
      <c r="Q1207" t="str" cm="1">
        <f t="array" ref="Q1207">_xlfn.TEXTJOIN("、",TRUE,IF('學員資料-三民高中'!$B$2:$B$454=$F1207,'學員資料-三民高中'!$G$2:$G$454,""))</f>
        <v>0952262710</v>
      </c>
      <c r="R1207" t="str" cm="1">
        <f t="array" ref="R1207">_xlfn.TEXTJOIN("、",TRUE,IF('學員資料-新北高中'!$B$2:$B$583=$F1207,'學員資料-新北高中'!$G$2:$G$583,""))</f>
        <v/>
      </c>
      <c r="S1207" t="str" cm="1">
        <f t="array" ref="S1207">_xlfn.TEXTJOIN("、",TRUE,IF('學員資料-三重商工'!$B$2:$B$472=$F1207,'學員資料-三重商工'!$G$2:$G$472,""))</f>
        <v/>
      </c>
      <c r="T1207">
        <f t="shared" si="18"/>
        <v>1</v>
      </c>
    </row>
    <row r="1208" spans="1:20" ht="14.25" hidden="1" customHeight="1">
      <c r="A1208" s="15">
        <v>1207</v>
      </c>
      <c r="B1208" s="16" t="s">
        <v>3854</v>
      </c>
      <c r="C1208" s="17">
        <v>45844</v>
      </c>
      <c r="D1208" s="15" t="s">
        <v>3855</v>
      </c>
      <c r="E1208" s="23"/>
      <c r="F1208" s="19" t="s">
        <v>3856</v>
      </c>
      <c r="G1208" s="18" t="s">
        <v>3857</v>
      </c>
      <c r="H1208" s="20" t="s">
        <v>210</v>
      </c>
      <c r="I1208" s="15">
        <v>1</v>
      </c>
      <c r="J1208" s="15" t="s">
        <v>26</v>
      </c>
      <c r="K1208" s="15"/>
      <c r="L1208" s="21" t="s">
        <v>16</v>
      </c>
      <c r="M1208" s="22">
        <v>0</v>
      </c>
      <c r="N1208" s="22">
        <v>0</v>
      </c>
      <c r="O1208" s="22">
        <v>12000</v>
      </c>
      <c r="P1208" s="22">
        <v>12000</v>
      </c>
      <c r="Q1208" t="str" cm="1">
        <f t="array" ref="Q1208">_xlfn.TEXTJOIN("、",TRUE,IF('學員資料-三民高中'!$B$2:$B$454=$F1208,'學員資料-三民高中'!$G$2:$G$454,""))</f>
        <v/>
      </c>
      <c r="R1208" t="str" cm="1">
        <f t="array" ref="R1208">_xlfn.TEXTJOIN("、",TRUE,IF('學員資料-新北高中'!$B$2:$B$583=$F1208,'學員資料-新北高中'!$G$2:$G$583,""))</f>
        <v>0927673831</v>
      </c>
      <c r="S1208" t="str" cm="1">
        <f t="array" ref="S1208">_xlfn.TEXTJOIN("、",TRUE,IF('學員資料-三重商工'!$B$2:$B$472=$F1208,'學員資料-三重商工'!$G$2:$G$472,""))</f>
        <v/>
      </c>
      <c r="T1208">
        <f t="shared" si="18"/>
        <v>1</v>
      </c>
    </row>
    <row r="1209" spans="1:20" ht="14.25" hidden="1" customHeight="1">
      <c r="A1209" s="15">
        <v>1208</v>
      </c>
      <c r="B1209" s="16" t="s">
        <v>3858</v>
      </c>
      <c r="C1209" s="17">
        <v>45844</v>
      </c>
      <c r="D1209" s="15" t="s">
        <v>3859</v>
      </c>
      <c r="E1209" s="23"/>
      <c r="F1209" s="19" t="s">
        <v>3249</v>
      </c>
      <c r="G1209" s="18" t="s">
        <v>3250</v>
      </c>
      <c r="H1209" s="20" t="s">
        <v>52</v>
      </c>
      <c r="I1209" s="15">
        <v>1</v>
      </c>
      <c r="J1209" s="15" t="s">
        <v>24</v>
      </c>
      <c r="K1209" s="15"/>
      <c r="L1209" s="21" t="s">
        <v>16</v>
      </c>
      <c r="M1209" s="22">
        <v>0</v>
      </c>
      <c r="N1209" s="22">
        <v>0</v>
      </c>
      <c r="O1209" s="22">
        <v>7500</v>
      </c>
      <c r="P1209" s="22">
        <v>7500</v>
      </c>
      <c r="Q1209" t="str" cm="1">
        <f t="array" ref="Q1209">_xlfn.TEXTJOIN("、",TRUE,IF('學員資料-三民高中'!$B$2:$B$454=$F1209,'學員資料-三民高中'!$G$2:$G$454,""))</f>
        <v>0972878118</v>
      </c>
      <c r="R1209" t="str" cm="1">
        <f t="array" ref="R1209">_xlfn.TEXTJOIN("、",TRUE,IF('學員資料-新北高中'!$B$2:$B$583=$F1209,'學員資料-新北高中'!$G$2:$G$583,""))</f>
        <v/>
      </c>
      <c r="S1209" t="str" cm="1">
        <f t="array" ref="S1209">_xlfn.TEXTJOIN("、",TRUE,IF('學員資料-三重商工'!$B$2:$B$472=$F1209,'學員資料-三重商工'!$G$2:$G$472,""))</f>
        <v/>
      </c>
      <c r="T1209">
        <f t="shared" si="18"/>
        <v>1</v>
      </c>
    </row>
    <row r="1210" spans="1:20" ht="14.25" customHeight="1">
      <c r="A1210" s="15">
        <v>1209</v>
      </c>
      <c r="B1210" s="16" t="s">
        <v>3860</v>
      </c>
      <c r="C1210" s="17">
        <v>45844</v>
      </c>
      <c r="D1210" s="15" t="s">
        <v>3861</v>
      </c>
      <c r="E1210" s="18" t="s">
        <v>3862</v>
      </c>
      <c r="F1210" s="19" t="s">
        <v>3863</v>
      </c>
      <c r="G1210" s="18" t="s">
        <v>3864</v>
      </c>
      <c r="H1210" s="20" t="s">
        <v>2989</v>
      </c>
      <c r="I1210" s="15">
        <v>1</v>
      </c>
      <c r="J1210" s="15" t="s">
        <v>23</v>
      </c>
      <c r="K1210" s="21" t="s">
        <v>116</v>
      </c>
      <c r="L1210" s="21" t="s">
        <v>16</v>
      </c>
      <c r="M1210" s="22">
        <v>0</v>
      </c>
      <c r="N1210" s="22">
        <v>0</v>
      </c>
      <c r="O1210" s="22">
        <v>1200</v>
      </c>
      <c r="P1210" s="22">
        <v>1200</v>
      </c>
      <c r="Q1210" t="str" cm="1">
        <f t="array" ref="Q1210">_xlfn.TEXTJOIN("、",TRUE,IF('學員資料-三民高中'!$B$2:$B$454=$F1210,'學員資料-三民高中'!$G$2:$G$454,""))</f>
        <v/>
      </c>
      <c r="R1210" t="str" cm="1">
        <f t="array" ref="R1210">_xlfn.TEXTJOIN("、",TRUE,IF('學員資料-新北高中'!$B$2:$B$583=$F1210,'學員資料-新北高中'!$G$2:$G$583,""))</f>
        <v/>
      </c>
      <c r="S1210" t="str" cm="1">
        <f t="array" ref="S1210">_xlfn.TEXTJOIN("、",TRUE,IF('學員資料-三重商工'!$B$2:$B$472=$F1210,'學員資料-三重商工'!$G$2:$G$472,""))</f>
        <v/>
      </c>
      <c r="T1210">
        <f t="shared" si="18"/>
        <v>0</v>
      </c>
    </row>
    <row r="1211" spans="1:20" ht="14.25" hidden="1" customHeight="1">
      <c r="A1211" s="15">
        <v>1210</v>
      </c>
      <c r="B1211" s="16" t="s">
        <v>3865</v>
      </c>
      <c r="C1211" s="17">
        <v>45844</v>
      </c>
      <c r="D1211" s="15" t="s">
        <v>3866</v>
      </c>
      <c r="E1211" s="23"/>
      <c r="F1211" s="19" t="s">
        <v>2402</v>
      </c>
      <c r="G1211" s="18" t="s">
        <v>2403</v>
      </c>
      <c r="H1211" s="20" t="s">
        <v>52</v>
      </c>
      <c r="I1211" s="15">
        <v>1</v>
      </c>
      <c r="J1211" s="15" t="s">
        <v>24</v>
      </c>
      <c r="K1211" s="15"/>
      <c r="L1211" s="21" t="s">
        <v>16</v>
      </c>
      <c r="M1211" s="22">
        <v>0</v>
      </c>
      <c r="N1211" s="22">
        <v>0</v>
      </c>
      <c r="O1211" s="22">
        <v>7500</v>
      </c>
      <c r="P1211" s="22">
        <v>7500</v>
      </c>
      <c r="Q1211" t="str" cm="1">
        <f t="array" ref="Q1211">_xlfn.TEXTJOIN("、",TRUE,IF('學員資料-三民高中'!$B$2:$B$454=$F1211,'學員資料-三民高中'!$G$2:$G$454,""))</f>
        <v/>
      </c>
      <c r="R1211" t="str" cm="1">
        <f t="array" ref="R1211">_xlfn.TEXTJOIN("、",TRUE,IF('學員資料-新北高中'!$B$2:$B$583=$F1211,'學員資料-新北高中'!$G$2:$G$583,""))</f>
        <v>0922639775</v>
      </c>
      <c r="S1211" t="str" cm="1">
        <f t="array" ref="S1211">_xlfn.TEXTJOIN("、",TRUE,IF('學員資料-三重商工'!$B$2:$B$472=$F1211,'學員資料-三重商工'!$G$2:$G$472,""))</f>
        <v/>
      </c>
      <c r="T1211">
        <f t="shared" si="18"/>
        <v>1</v>
      </c>
    </row>
    <row r="1212" spans="1:20" ht="14.25" hidden="1" customHeight="1">
      <c r="A1212" s="15">
        <v>1211</v>
      </c>
      <c r="B1212" s="16" t="s">
        <v>3867</v>
      </c>
      <c r="C1212" s="17">
        <v>45843</v>
      </c>
      <c r="D1212" s="15" t="s">
        <v>3868</v>
      </c>
      <c r="E1212" s="23"/>
      <c r="F1212" s="19" t="s">
        <v>531</v>
      </c>
      <c r="G1212" s="18" t="s">
        <v>532</v>
      </c>
      <c r="H1212" s="20" t="s">
        <v>66</v>
      </c>
      <c r="I1212" s="15">
        <v>1</v>
      </c>
      <c r="J1212" s="15" t="s">
        <v>23</v>
      </c>
      <c r="K1212" s="15"/>
      <c r="L1212" s="21" t="s">
        <v>16</v>
      </c>
      <c r="M1212" s="22">
        <v>0</v>
      </c>
      <c r="N1212" s="22">
        <v>0</v>
      </c>
      <c r="O1212" s="22">
        <v>6900</v>
      </c>
      <c r="P1212" s="22">
        <v>6900</v>
      </c>
      <c r="Q1212" t="str" cm="1">
        <f t="array" ref="Q1212">_xlfn.TEXTJOIN("、",TRUE,IF('學員資料-三民高中'!$B$2:$B$454=$F1212,'學員資料-三民高中'!$G$2:$G$454,""))</f>
        <v/>
      </c>
      <c r="R1212" t="str" cm="1">
        <f t="array" ref="R1212">_xlfn.TEXTJOIN("、",TRUE,IF('學員資料-新北高中'!$B$2:$B$583=$F1212,'學員資料-新北高中'!$G$2:$G$583,""))</f>
        <v/>
      </c>
      <c r="S1212" t="str" cm="1">
        <f t="array" ref="S1212">_xlfn.TEXTJOIN("、",TRUE,IF('學員資料-三重商工'!$B$2:$B$472=$F1212,'學員資料-三重商工'!$G$2:$G$472,""))</f>
        <v>0983916765-1</v>
      </c>
      <c r="T1212">
        <f t="shared" si="18"/>
        <v>1</v>
      </c>
    </row>
    <row r="1213" spans="1:20" ht="14.25" hidden="1" customHeight="1">
      <c r="A1213" s="15">
        <v>1212</v>
      </c>
      <c r="B1213" s="16" t="s">
        <v>3869</v>
      </c>
      <c r="C1213" s="17">
        <v>45843</v>
      </c>
      <c r="D1213" s="15" t="s">
        <v>3870</v>
      </c>
      <c r="E1213" s="23"/>
      <c r="F1213" s="19" t="s">
        <v>2467</v>
      </c>
      <c r="G1213" s="18" t="s">
        <v>2468</v>
      </c>
      <c r="H1213" s="20" t="s">
        <v>52</v>
      </c>
      <c r="I1213" s="15">
        <v>1</v>
      </c>
      <c r="J1213" s="15" t="s">
        <v>24</v>
      </c>
      <c r="K1213" s="15"/>
      <c r="L1213" s="21" t="s">
        <v>16</v>
      </c>
      <c r="M1213" s="22">
        <v>0</v>
      </c>
      <c r="N1213" s="22">
        <v>0</v>
      </c>
      <c r="O1213" s="22">
        <v>7500</v>
      </c>
      <c r="P1213" s="22">
        <v>7500</v>
      </c>
      <c r="Q1213" t="str" cm="1">
        <f t="array" ref="Q1213">_xlfn.TEXTJOIN("、",TRUE,IF('學員資料-三民高中'!$B$2:$B$454=$F1213,'學員資料-三民高中'!$G$2:$G$454,""))</f>
        <v/>
      </c>
      <c r="R1213" t="str" cm="1">
        <f t="array" ref="R1213">_xlfn.TEXTJOIN("、",TRUE,IF('學員資料-新北高中'!$B$2:$B$583=$F1213,'學員資料-新北高中'!$G$2:$G$583,""))</f>
        <v/>
      </c>
      <c r="S1213" t="str" cm="1">
        <f t="array" ref="S1213">_xlfn.TEXTJOIN("、",TRUE,IF('學員資料-三重商工'!$B$2:$B$472=$F1213,'學員資料-三重商工'!$G$2:$G$472,""))</f>
        <v>0953212011</v>
      </c>
      <c r="T1213">
        <f t="shared" si="18"/>
        <v>1</v>
      </c>
    </row>
    <row r="1214" spans="1:20" ht="14.25" hidden="1" customHeight="1">
      <c r="A1214" s="15">
        <v>1213</v>
      </c>
      <c r="B1214" s="16" t="s">
        <v>3871</v>
      </c>
      <c r="C1214" s="17">
        <v>45843</v>
      </c>
      <c r="D1214" s="15" t="s">
        <v>3872</v>
      </c>
      <c r="E1214" s="23"/>
      <c r="F1214" s="19" t="s">
        <v>3873</v>
      </c>
      <c r="G1214" s="18" t="s">
        <v>3874</v>
      </c>
      <c r="H1214" s="20" t="s">
        <v>52</v>
      </c>
      <c r="I1214" s="15">
        <v>1</v>
      </c>
      <c r="J1214" s="15" t="s">
        <v>24</v>
      </c>
      <c r="K1214" s="15"/>
      <c r="L1214" s="21" t="s">
        <v>16</v>
      </c>
      <c r="M1214" s="22">
        <v>0</v>
      </c>
      <c r="N1214" s="22">
        <v>0</v>
      </c>
      <c r="O1214" s="22">
        <v>7500</v>
      </c>
      <c r="P1214" s="22">
        <v>7500</v>
      </c>
      <c r="Q1214" t="str" cm="1">
        <f t="array" ref="Q1214">_xlfn.TEXTJOIN("、",TRUE,IF('學員資料-三民高中'!$B$2:$B$454=$F1214,'學員資料-三民高中'!$G$2:$G$454,""))</f>
        <v>0987607201</v>
      </c>
      <c r="R1214" t="str" cm="1">
        <f t="array" ref="R1214">_xlfn.TEXTJOIN("、",TRUE,IF('學員資料-新北高中'!$B$2:$B$583=$F1214,'學員資料-新北高中'!$G$2:$G$583,""))</f>
        <v/>
      </c>
      <c r="S1214" t="str" cm="1">
        <f t="array" ref="S1214">_xlfn.TEXTJOIN("、",TRUE,IF('學員資料-三重商工'!$B$2:$B$472=$F1214,'學員資料-三重商工'!$G$2:$G$472,""))</f>
        <v/>
      </c>
      <c r="T1214">
        <f t="shared" si="18"/>
        <v>1</v>
      </c>
    </row>
    <row r="1215" spans="1:20" ht="14.25" hidden="1" customHeight="1">
      <c r="A1215" s="15">
        <v>1214</v>
      </c>
      <c r="B1215" s="16" t="s">
        <v>3875</v>
      </c>
      <c r="C1215" s="17">
        <v>45843</v>
      </c>
      <c r="D1215" s="15" t="s">
        <v>3876</v>
      </c>
      <c r="E1215" s="18" t="s">
        <v>44</v>
      </c>
      <c r="F1215" s="19" t="s">
        <v>3088</v>
      </c>
      <c r="G1215" s="18" t="s">
        <v>3089</v>
      </c>
      <c r="H1215" s="20" t="s">
        <v>52</v>
      </c>
      <c r="I1215" s="15">
        <v>1</v>
      </c>
      <c r="J1215" s="15" t="s">
        <v>24</v>
      </c>
      <c r="K1215" s="15"/>
      <c r="L1215" s="21" t="s">
        <v>16</v>
      </c>
      <c r="M1215" s="22">
        <v>0</v>
      </c>
      <c r="N1215" s="22">
        <v>0</v>
      </c>
      <c r="O1215" s="22">
        <v>7500</v>
      </c>
      <c r="P1215" s="22">
        <v>7500</v>
      </c>
      <c r="Q1215" t="str" cm="1">
        <f t="array" ref="Q1215">_xlfn.TEXTJOIN("、",TRUE,IF('學員資料-三民高中'!$B$2:$B$454=$F1215,'學員資料-三民高中'!$G$2:$G$454,""))</f>
        <v/>
      </c>
      <c r="R1215" t="str" cm="1">
        <f t="array" ref="R1215">_xlfn.TEXTJOIN("、",TRUE,IF('學員資料-新北高中'!$B$2:$B$583=$F1215,'學員資料-新北高中'!$G$2:$G$583,""))</f>
        <v/>
      </c>
      <c r="S1215" t="str" cm="1">
        <f t="array" ref="S1215">_xlfn.TEXTJOIN("、",TRUE,IF('學員資料-三重商工'!$B$2:$B$472=$F1215,'學員資料-三重商工'!$G$2:$G$472,""))</f>
        <v>0921579699</v>
      </c>
      <c r="T1215">
        <f t="shared" si="18"/>
        <v>1</v>
      </c>
    </row>
    <row r="1216" spans="1:20" ht="14.25" hidden="1" customHeight="1">
      <c r="A1216" s="15">
        <v>1215</v>
      </c>
      <c r="B1216" s="16" t="s">
        <v>3877</v>
      </c>
      <c r="C1216" s="17">
        <v>45843</v>
      </c>
      <c r="D1216" s="15" t="s">
        <v>3878</v>
      </c>
      <c r="E1216" s="23"/>
      <c r="F1216" s="19" t="s">
        <v>3879</v>
      </c>
      <c r="G1216" s="18" t="s">
        <v>3880</v>
      </c>
      <c r="H1216" s="20" t="s">
        <v>66</v>
      </c>
      <c r="I1216" s="15">
        <v>1</v>
      </c>
      <c r="J1216" s="15" t="s">
        <v>23</v>
      </c>
      <c r="K1216" s="15"/>
      <c r="L1216" s="21" t="s">
        <v>16</v>
      </c>
      <c r="M1216" s="22">
        <v>0</v>
      </c>
      <c r="N1216" s="22">
        <v>0</v>
      </c>
      <c r="O1216" s="22">
        <v>6900</v>
      </c>
      <c r="P1216" s="22">
        <v>6900</v>
      </c>
      <c r="Q1216" t="str" cm="1">
        <f t="array" ref="Q1216">_xlfn.TEXTJOIN("、",TRUE,IF('學員資料-三民高中'!$B$2:$B$454=$F1216,'學員資料-三民高中'!$G$2:$G$454,""))</f>
        <v>0918081773</v>
      </c>
      <c r="R1216" t="str" cm="1">
        <f t="array" ref="R1216">_xlfn.TEXTJOIN("、",TRUE,IF('學員資料-新北高中'!$B$2:$B$583=$F1216,'學員資料-新北高中'!$G$2:$G$583,""))</f>
        <v/>
      </c>
      <c r="S1216" t="str" cm="1">
        <f t="array" ref="S1216">_xlfn.TEXTJOIN("、",TRUE,IF('學員資料-三重商工'!$B$2:$B$472=$F1216,'學員資料-三重商工'!$G$2:$G$472,""))</f>
        <v/>
      </c>
      <c r="T1216">
        <f t="shared" si="18"/>
        <v>1</v>
      </c>
    </row>
    <row r="1217" spans="1:20" ht="14.25" hidden="1" customHeight="1">
      <c r="A1217" s="15">
        <v>1216</v>
      </c>
      <c r="B1217" s="16" t="s">
        <v>3881</v>
      </c>
      <c r="C1217" s="17">
        <v>45843</v>
      </c>
      <c r="D1217" s="15" t="s">
        <v>3882</v>
      </c>
      <c r="E1217" s="23"/>
      <c r="F1217" s="19" t="s">
        <v>3883</v>
      </c>
      <c r="G1217" s="18" t="s">
        <v>3884</v>
      </c>
      <c r="H1217" s="20" t="s">
        <v>52</v>
      </c>
      <c r="I1217" s="15">
        <v>1</v>
      </c>
      <c r="J1217" s="15" t="s">
        <v>24</v>
      </c>
      <c r="K1217" s="15"/>
      <c r="L1217" s="21" t="s">
        <v>16</v>
      </c>
      <c r="M1217" s="22">
        <v>0</v>
      </c>
      <c r="N1217" s="22">
        <v>-700</v>
      </c>
      <c r="O1217" s="22">
        <v>6800</v>
      </c>
      <c r="P1217" s="22">
        <v>6800</v>
      </c>
      <c r="Q1217" t="str" cm="1">
        <f t="array" ref="Q1217">_xlfn.TEXTJOIN("、",TRUE,IF('學員資料-三民高中'!$B$2:$B$454=$F1217,'學員資料-三民高中'!$G$2:$G$454,""))</f>
        <v>0930750699</v>
      </c>
      <c r="R1217" t="str" cm="1">
        <f t="array" ref="R1217">_xlfn.TEXTJOIN("、",TRUE,IF('學員資料-新北高中'!$B$2:$B$583=$F1217,'學員資料-新北高中'!$G$2:$G$583,""))</f>
        <v/>
      </c>
      <c r="S1217" t="str" cm="1">
        <f t="array" ref="S1217">_xlfn.TEXTJOIN("、",TRUE,IF('學員資料-三重商工'!$B$2:$B$472=$F1217,'學員資料-三重商工'!$G$2:$G$472,""))</f>
        <v/>
      </c>
      <c r="T1217">
        <f t="shared" si="18"/>
        <v>1</v>
      </c>
    </row>
    <row r="1218" spans="1:20" ht="14.25" hidden="1" customHeight="1">
      <c r="A1218" s="15">
        <v>1217</v>
      </c>
      <c r="B1218" s="16" t="s">
        <v>3885</v>
      </c>
      <c r="C1218" s="17">
        <v>45843</v>
      </c>
      <c r="D1218" s="15" t="s">
        <v>3886</v>
      </c>
      <c r="E1218" s="18" t="s">
        <v>954</v>
      </c>
      <c r="F1218" s="19" t="s">
        <v>179</v>
      </c>
      <c r="G1218" s="18" t="s">
        <v>180</v>
      </c>
      <c r="H1218" s="20" t="s">
        <v>52</v>
      </c>
      <c r="I1218" s="15">
        <v>1</v>
      </c>
      <c r="J1218" s="15" t="s">
        <v>24</v>
      </c>
      <c r="K1218" s="15"/>
      <c r="L1218" s="21" t="s">
        <v>16</v>
      </c>
      <c r="M1218" s="22">
        <v>0</v>
      </c>
      <c r="N1218" s="22">
        <v>0</v>
      </c>
      <c r="O1218" s="22">
        <v>7500</v>
      </c>
      <c r="P1218" s="22">
        <v>7500</v>
      </c>
      <c r="Q1218" t="str" cm="1">
        <f t="array" ref="Q1218">_xlfn.TEXTJOIN("、",TRUE,IF('學員資料-三民高中'!$B$2:$B$454=$F1218,'學員資料-三民高中'!$G$2:$G$454,""))</f>
        <v/>
      </c>
      <c r="R1218" t="str" cm="1">
        <f t="array" ref="R1218">_xlfn.TEXTJOIN("、",TRUE,IF('學員資料-新北高中'!$B$2:$B$583=$F1218,'學員資料-新北高中'!$G$2:$G$583,""))</f>
        <v>0989026921</v>
      </c>
      <c r="S1218" t="str" cm="1">
        <f t="array" ref="S1218">_xlfn.TEXTJOIN("、",TRUE,IF('學員資料-三重商工'!$B$2:$B$472=$F1218,'學員資料-三重商工'!$G$2:$G$472,""))</f>
        <v/>
      </c>
      <c r="T1218">
        <f t="shared" si="18"/>
        <v>1</v>
      </c>
    </row>
    <row r="1219" spans="1:20" ht="14.25" customHeight="1">
      <c r="A1219" s="15">
        <v>1218</v>
      </c>
      <c r="B1219" s="16" t="s">
        <v>3887</v>
      </c>
      <c r="C1219" s="17">
        <v>45843</v>
      </c>
      <c r="D1219" s="15" t="s">
        <v>3888</v>
      </c>
      <c r="E1219" s="18" t="s">
        <v>954</v>
      </c>
      <c r="F1219" s="19" t="s">
        <v>3889</v>
      </c>
      <c r="G1219" s="18" t="s">
        <v>3890</v>
      </c>
      <c r="H1219" s="20" t="s">
        <v>66</v>
      </c>
      <c r="I1219" s="15">
        <v>1</v>
      </c>
      <c r="J1219" s="15" t="s">
        <v>23</v>
      </c>
      <c r="K1219" s="15"/>
      <c r="L1219" s="21" t="s">
        <v>16</v>
      </c>
      <c r="M1219" s="22">
        <v>0</v>
      </c>
      <c r="N1219" s="22">
        <v>0</v>
      </c>
      <c r="O1219" s="22">
        <v>6900</v>
      </c>
      <c r="P1219" s="22">
        <v>6900</v>
      </c>
      <c r="Q1219" t="str" cm="1">
        <f t="array" ref="Q1219">_xlfn.TEXTJOIN("、",TRUE,IF('學員資料-三民高中'!$B$2:$B$454=$F1219,'學員資料-三民高中'!$G$2:$G$454,""))</f>
        <v/>
      </c>
      <c r="R1219" t="str" cm="1">
        <f t="array" ref="R1219">_xlfn.TEXTJOIN("、",TRUE,IF('學員資料-新北高中'!$B$2:$B$583=$F1219,'學員資料-新北高中'!$G$2:$G$583,""))</f>
        <v/>
      </c>
      <c r="S1219" t="str" cm="1">
        <f t="array" ref="S1219">_xlfn.TEXTJOIN("、",TRUE,IF('學員資料-三重商工'!$B$2:$B$472=$F1219,'學員資料-三重商工'!$G$2:$G$472,""))</f>
        <v/>
      </c>
      <c r="T1219">
        <f t="shared" ref="T1219:T1282" si="19">3-COUNTBLANK(Q1219:S1219)</f>
        <v>0</v>
      </c>
    </row>
    <row r="1220" spans="1:20" ht="14.25" hidden="1" customHeight="1">
      <c r="A1220" s="15">
        <v>1219</v>
      </c>
      <c r="B1220" s="16" t="s">
        <v>3891</v>
      </c>
      <c r="C1220" s="17">
        <v>45843</v>
      </c>
      <c r="D1220" s="15" t="s">
        <v>3892</v>
      </c>
      <c r="E1220" s="18" t="s">
        <v>44</v>
      </c>
      <c r="F1220" s="19" t="s">
        <v>3893</v>
      </c>
      <c r="G1220" s="18" t="s">
        <v>3894</v>
      </c>
      <c r="H1220" s="20" t="s">
        <v>52</v>
      </c>
      <c r="I1220" s="15">
        <v>1</v>
      </c>
      <c r="J1220" s="15" t="s">
        <v>24</v>
      </c>
      <c r="K1220" s="15"/>
      <c r="L1220" s="21" t="s">
        <v>16</v>
      </c>
      <c r="M1220" s="22">
        <v>0</v>
      </c>
      <c r="N1220" s="22">
        <v>0</v>
      </c>
      <c r="O1220" s="22">
        <v>7500</v>
      </c>
      <c r="P1220" s="22">
        <v>7500</v>
      </c>
      <c r="Q1220" t="str" cm="1">
        <f t="array" ref="Q1220">_xlfn.TEXTJOIN("、",TRUE,IF('學員資料-三民高中'!$B$2:$B$454=$F1220,'學員資料-三民高中'!$G$2:$G$454,""))</f>
        <v/>
      </c>
      <c r="R1220" t="str" cm="1">
        <f t="array" ref="R1220">_xlfn.TEXTJOIN("、",TRUE,IF('學員資料-新北高中'!$B$2:$B$583=$F1220,'學員資料-新北高中'!$G$2:$G$583,""))</f>
        <v/>
      </c>
      <c r="S1220" t="str" cm="1">
        <f t="array" ref="S1220">_xlfn.TEXTJOIN("、",TRUE,IF('學員資料-三重商工'!$B$2:$B$472=$F1220,'學員資料-三重商工'!$G$2:$G$472,""))</f>
        <v>0939113514</v>
      </c>
      <c r="T1220">
        <f t="shared" si="19"/>
        <v>1</v>
      </c>
    </row>
    <row r="1221" spans="1:20" ht="14.25" hidden="1" customHeight="1">
      <c r="A1221" s="15">
        <v>1220</v>
      </c>
      <c r="B1221" s="16" t="s">
        <v>3895</v>
      </c>
      <c r="C1221" s="17">
        <v>45843</v>
      </c>
      <c r="D1221" s="15" t="s">
        <v>3896</v>
      </c>
      <c r="E1221" s="18" t="s">
        <v>44</v>
      </c>
      <c r="F1221" s="19" t="s">
        <v>1869</v>
      </c>
      <c r="G1221" s="18" t="s">
        <v>1870</v>
      </c>
      <c r="H1221" s="20" t="s">
        <v>52</v>
      </c>
      <c r="I1221" s="15">
        <v>1</v>
      </c>
      <c r="J1221" s="15" t="s">
        <v>24</v>
      </c>
      <c r="K1221" s="15"/>
      <c r="L1221" s="21" t="s">
        <v>16</v>
      </c>
      <c r="M1221" s="22">
        <v>0</v>
      </c>
      <c r="N1221" s="22">
        <v>0</v>
      </c>
      <c r="O1221" s="22">
        <v>7500</v>
      </c>
      <c r="P1221" s="22">
        <v>7500</v>
      </c>
      <c r="Q1221" t="str" cm="1">
        <f t="array" ref="Q1221">_xlfn.TEXTJOIN("、",TRUE,IF('學員資料-三民高中'!$B$2:$B$454=$F1221,'學員資料-三民高中'!$G$2:$G$454,""))</f>
        <v/>
      </c>
      <c r="R1221" t="str" cm="1">
        <f t="array" ref="R1221">_xlfn.TEXTJOIN("、",TRUE,IF('學員資料-新北高中'!$B$2:$B$583=$F1221,'學員資料-新北高中'!$G$2:$G$583,""))</f>
        <v/>
      </c>
      <c r="S1221" t="str" cm="1">
        <f t="array" ref="S1221">_xlfn.TEXTJOIN("、",TRUE,IF('學員資料-三重商工'!$B$2:$B$472=$F1221,'學員資料-三重商工'!$G$2:$G$472,""))</f>
        <v>0912566557</v>
      </c>
      <c r="T1221">
        <f t="shared" si="19"/>
        <v>1</v>
      </c>
    </row>
    <row r="1222" spans="1:20" ht="14.25" hidden="1" customHeight="1">
      <c r="A1222" s="15">
        <v>1221</v>
      </c>
      <c r="B1222" s="16" t="s">
        <v>3897</v>
      </c>
      <c r="C1222" s="17">
        <v>45842</v>
      </c>
      <c r="D1222" s="15" t="s">
        <v>3898</v>
      </c>
      <c r="E1222" s="18" t="s">
        <v>78</v>
      </c>
      <c r="F1222" s="19" t="s">
        <v>3636</v>
      </c>
      <c r="G1222" s="18" t="s">
        <v>3637</v>
      </c>
      <c r="H1222" s="20" t="s">
        <v>130</v>
      </c>
      <c r="I1222" s="15">
        <v>1</v>
      </c>
      <c r="J1222" s="15" t="s">
        <v>25</v>
      </c>
      <c r="K1222" s="15"/>
      <c r="L1222" s="21" t="s">
        <v>16</v>
      </c>
      <c r="M1222" s="22">
        <v>0</v>
      </c>
      <c r="N1222" s="22">
        <v>0</v>
      </c>
      <c r="O1222" s="22">
        <v>9900</v>
      </c>
      <c r="P1222" s="22">
        <v>9900</v>
      </c>
      <c r="Q1222" t="str" cm="1">
        <f t="array" ref="Q1222">_xlfn.TEXTJOIN("、",TRUE,IF('學員資料-三民高中'!$B$2:$B$454=$F1222,'學員資料-三民高中'!$G$2:$G$454,""))</f>
        <v/>
      </c>
      <c r="R1222" t="str" cm="1">
        <f t="array" ref="R1222">_xlfn.TEXTJOIN("、",TRUE,IF('學員資料-新北高中'!$B$2:$B$583=$F1222,'學員資料-新北高中'!$G$2:$G$583,""))</f>
        <v>0908072998</v>
      </c>
      <c r="S1222" t="str" cm="1">
        <f t="array" ref="S1222">_xlfn.TEXTJOIN("、",TRUE,IF('學員資料-三重商工'!$B$2:$B$472=$F1222,'學員資料-三重商工'!$G$2:$G$472,""))</f>
        <v/>
      </c>
      <c r="T1222">
        <f t="shared" si="19"/>
        <v>1</v>
      </c>
    </row>
    <row r="1223" spans="1:20" ht="14.25" hidden="1" customHeight="1">
      <c r="A1223" s="15">
        <v>1222</v>
      </c>
      <c r="B1223" s="16" t="s">
        <v>3899</v>
      </c>
      <c r="C1223" s="17">
        <v>45842</v>
      </c>
      <c r="D1223" s="15" t="s">
        <v>3900</v>
      </c>
      <c r="E1223" s="23"/>
      <c r="F1223" s="19" t="s">
        <v>3901</v>
      </c>
      <c r="G1223" s="18" t="s">
        <v>3902</v>
      </c>
      <c r="H1223" s="20" t="s">
        <v>66</v>
      </c>
      <c r="I1223" s="15">
        <v>1</v>
      </c>
      <c r="J1223" s="15" t="s">
        <v>23</v>
      </c>
      <c r="K1223" s="15"/>
      <c r="L1223" s="21" t="s">
        <v>16</v>
      </c>
      <c r="M1223" s="22">
        <v>0</v>
      </c>
      <c r="N1223" s="22">
        <v>0</v>
      </c>
      <c r="O1223" s="22">
        <v>6900</v>
      </c>
      <c r="P1223" s="22">
        <v>6900</v>
      </c>
      <c r="Q1223" t="str" cm="1">
        <f t="array" ref="Q1223">_xlfn.TEXTJOIN("、",TRUE,IF('學員資料-三民高中'!$B$2:$B$454=$F1223,'學員資料-三民高中'!$G$2:$G$454,""))</f>
        <v/>
      </c>
      <c r="R1223" t="str" cm="1">
        <f t="array" ref="R1223">_xlfn.TEXTJOIN("、",TRUE,IF('學員資料-新北高中'!$B$2:$B$583=$F1223,'學員資料-新北高中'!$G$2:$G$583,""))</f>
        <v/>
      </c>
      <c r="S1223" t="str" cm="1">
        <f t="array" ref="S1223">_xlfn.TEXTJOIN("、",TRUE,IF('學員資料-三重商工'!$B$2:$B$472=$F1223,'學員資料-三重商工'!$G$2:$G$472,""))</f>
        <v>0937986664</v>
      </c>
      <c r="T1223">
        <f t="shared" si="19"/>
        <v>1</v>
      </c>
    </row>
    <row r="1224" spans="1:20" ht="14.25" hidden="1" customHeight="1">
      <c r="A1224" s="15">
        <v>1223</v>
      </c>
      <c r="B1224" s="16" t="s">
        <v>3903</v>
      </c>
      <c r="C1224" s="17">
        <v>45842</v>
      </c>
      <c r="D1224" s="15" t="s">
        <v>3904</v>
      </c>
      <c r="E1224" s="18" t="s">
        <v>78</v>
      </c>
      <c r="F1224" s="19" t="s">
        <v>3905</v>
      </c>
      <c r="G1224" s="18" t="s">
        <v>3906</v>
      </c>
      <c r="H1224" s="20" t="s">
        <v>210</v>
      </c>
      <c r="I1224" s="15">
        <v>1</v>
      </c>
      <c r="J1224" s="15" t="s">
        <v>26</v>
      </c>
      <c r="K1224" s="15"/>
      <c r="L1224" s="21" t="s">
        <v>16</v>
      </c>
      <c r="M1224" s="22">
        <v>0</v>
      </c>
      <c r="N1224" s="22">
        <v>0</v>
      </c>
      <c r="O1224" s="22">
        <v>12000</v>
      </c>
      <c r="P1224" s="22">
        <v>12000</v>
      </c>
      <c r="Q1224" t="str" cm="1">
        <f t="array" ref="Q1224">_xlfn.TEXTJOIN("、",TRUE,IF('學員資料-三民高中'!$B$2:$B$454=$F1224,'學員資料-三民高中'!$G$2:$G$454,""))</f>
        <v/>
      </c>
      <c r="R1224" t="str" cm="1">
        <f t="array" ref="R1224">_xlfn.TEXTJOIN("、",TRUE,IF('學員資料-新北高中'!$B$2:$B$583=$F1224,'學員資料-新北高中'!$G$2:$G$583,""))</f>
        <v>0988853130</v>
      </c>
      <c r="S1224" t="str" cm="1">
        <f t="array" ref="S1224">_xlfn.TEXTJOIN("、",TRUE,IF('學員資料-三重商工'!$B$2:$B$472=$F1224,'學員資料-三重商工'!$G$2:$G$472,""))</f>
        <v/>
      </c>
      <c r="T1224">
        <f t="shared" si="19"/>
        <v>1</v>
      </c>
    </row>
    <row r="1225" spans="1:20" ht="14.25" hidden="1" customHeight="1">
      <c r="A1225" s="15">
        <v>1224</v>
      </c>
      <c r="B1225" s="16" t="s">
        <v>3907</v>
      </c>
      <c r="C1225" s="17">
        <v>45841</v>
      </c>
      <c r="D1225" s="15" t="s">
        <v>3908</v>
      </c>
      <c r="E1225" s="23"/>
      <c r="F1225" s="19" t="s">
        <v>3909</v>
      </c>
      <c r="G1225" s="18" t="s">
        <v>3910</v>
      </c>
      <c r="H1225" s="20" t="s">
        <v>66</v>
      </c>
      <c r="I1225" s="15">
        <v>1</v>
      </c>
      <c r="J1225" s="15" t="s">
        <v>23</v>
      </c>
      <c r="K1225" s="15"/>
      <c r="L1225" s="21" t="s">
        <v>16</v>
      </c>
      <c r="M1225" s="22">
        <v>0</v>
      </c>
      <c r="N1225" s="22">
        <v>0</v>
      </c>
      <c r="O1225" s="22">
        <v>6900</v>
      </c>
      <c r="P1225" s="22">
        <v>6900</v>
      </c>
      <c r="Q1225" t="str" cm="1">
        <f t="array" ref="Q1225">_xlfn.TEXTJOIN("、",TRUE,IF('學員資料-三民高中'!$B$2:$B$454=$F1225,'學員資料-三民高中'!$G$2:$G$454,""))</f>
        <v/>
      </c>
      <c r="R1225" t="str" cm="1">
        <f t="array" ref="R1225">_xlfn.TEXTJOIN("、",TRUE,IF('學員資料-新北高中'!$B$2:$B$583=$F1225,'學員資料-新北高中'!$G$2:$G$583,""))</f>
        <v/>
      </c>
      <c r="S1225" t="str" cm="1">
        <f t="array" ref="S1225">_xlfn.TEXTJOIN("、",TRUE,IF('學員資料-三重商工'!$B$2:$B$472=$F1225,'學員資料-三重商工'!$G$2:$G$472,""))</f>
        <v>0927061808</v>
      </c>
      <c r="T1225">
        <f t="shared" si="19"/>
        <v>1</v>
      </c>
    </row>
    <row r="1226" spans="1:20" ht="14.25" hidden="1" customHeight="1">
      <c r="A1226" s="15">
        <v>1225</v>
      </c>
      <c r="B1226" s="16" t="s">
        <v>3911</v>
      </c>
      <c r="C1226" s="17">
        <v>45841</v>
      </c>
      <c r="D1226" s="15" t="s">
        <v>3912</v>
      </c>
      <c r="E1226" s="23"/>
      <c r="F1226" s="19" t="s">
        <v>1925</v>
      </c>
      <c r="G1226" s="18" t="s">
        <v>1926</v>
      </c>
      <c r="H1226" s="20" t="s">
        <v>66</v>
      </c>
      <c r="I1226" s="15">
        <v>1</v>
      </c>
      <c r="J1226" s="15" t="s">
        <v>23</v>
      </c>
      <c r="K1226" s="15"/>
      <c r="L1226" s="21" t="s">
        <v>16</v>
      </c>
      <c r="M1226" s="22">
        <v>0</v>
      </c>
      <c r="N1226" s="22">
        <v>0</v>
      </c>
      <c r="O1226" s="22">
        <v>6900</v>
      </c>
      <c r="P1226" s="22">
        <v>6900</v>
      </c>
      <c r="Q1226" t="str" cm="1">
        <f t="array" ref="Q1226">_xlfn.TEXTJOIN("、",TRUE,IF('學員資料-三民高中'!$B$2:$B$454=$F1226,'學員資料-三民高中'!$G$2:$G$454,""))</f>
        <v/>
      </c>
      <c r="R1226" t="str" cm="1">
        <f t="array" ref="R1226">_xlfn.TEXTJOIN("、",TRUE,IF('學員資料-新北高中'!$B$2:$B$583=$F1226,'學員資料-新北高中'!$G$2:$G$583,""))</f>
        <v>0902228252</v>
      </c>
      <c r="S1226" t="str" cm="1">
        <f t="array" ref="S1226">_xlfn.TEXTJOIN("、",TRUE,IF('學員資料-三重商工'!$B$2:$B$472=$F1226,'學員資料-三重商工'!$G$2:$G$472,""))</f>
        <v/>
      </c>
      <c r="T1226">
        <f t="shared" si="19"/>
        <v>1</v>
      </c>
    </row>
    <row r="1227" spans="1:20" ht="14.25" hidden="1" customHeight="1">
      <c r="A1227" s="15">
        <v>1226</v>
      </c>
      <c r="B1227" s="16" t="s">
        <v>3913</v>
      </c>
      <c r="C1227" s="17">
        <v>45841</v>
      </c>
      <c r="D1227" s="15" t="s">
        <v>3914</v>
      </c>
      <c r="E1227" s="23"/>
      <c r="F1227" s="19" t="s">
        <v>2898</v>
      </c>
      <c r="G1227" s="18" t="s">
        <v>2899</v>
      </c>
      <c r="H1227" s="20" t="s">
        <v>66</v>
      </c>
      <c r="I1227" s="15">
        <v>1</v>
      </c>
      <c r="J1227" s="15" t="s">
        <v>23</v>
      </c>
      <c r="K1227" s="15"/>
      <c r="L1227" s="21" t="s">
        <v>16</v>
      </c>
      <c r="M1227" s="22">
        <v>0</v>
      </c>
      <c r="N1227" s="22">
        <v>-2760</v>
      </c>
      <c r="O1227" s="22">
        <v>4140</v>
      </c>
      <c r="P1227" s="22">
        <v>4140</v>
      </c>
      <c r="Q1227" t="str" cm="1">
        <f t="array" ref="Q1227">_xlfn.TEXTJOIN("、",TRUE,IF('學員資料-三民高中'!$B$2:$B$454=$F1227,'學員資料-三民高中'!$G$2:$G$454,""))</f>
        <v/>
      </c>
      <c r="R1227" t="str" cm="1">
        <f t="array" ref="R1227">_xlfn.TEXTJOIN("、",TRUE,IF('學員資料-新北高中'!$B$2:$B$583=$F1227,'學員資料-新北高中'!$G$2:$G$583,""))</f>
        <v/>
      </c>
      <c r="S1227" t="str" cm="1">
        <f t="array" ref="S1227">_xlfn.TEXTJOIN("、",TRUE,IF('學員資料-三重商工'!$B$2:$B$472=$F1227,'學員資料-三重商工'!$G$2:$G$472,""))</f>
        <v>0911182938</v>
      </c>
      <c r="T1227">
        <f t="shared" si="19"/>
        <v>1</v>
      </c>
    </row>
    <row r="1228" spans="1:20" ht="14.25" customHeight="1">
      <c r="A1228" s="15">
        <v>1227</v>
      </c>
      <c r="B1228" s="16" t="s">
        <v>3915</v>
      </c>
      <c r="C1228" s="17">
        <v>45840</v>
      </c>
      <c r="D1228" s="15" t="s">
        <v>3916</v>
      </c>
      <c r="E1228" s="18" t="s">
        <v>3477</v>
      </c>
      <c r="F1228" s="19" t="s">
        <v>3917</v>
      </c>
      <c r="G1228" s="18" t="s">
        <v>3918</v>
      </c>
      <c r="H1228" s="20" t="s">
        <v>683</v>
      </c>
      <c r="I1228" s="15">
        <v>1</v>
      </c>
      <c r="J1228" s="15" t="s">
        <v>23</v>
      </c>
      <c r="K1228" s="15"/>
      <c r="L1228" s="21" t="s">
        <v>16</v>
      </c>
      <c r="M1228" s="22">
        <v>0</v>
      </c>
      <c r="N1228" s="22">
        <v>0</v>
      </c>
      <c r="O1228" s="22">
        <v>9000</v>
      </c>
      <c r="P1228" s="22">
        <v>9000</v>
      </c>
      <c r="Q1228" t="str" cm="1">
        <f t="array" ref="Q1228">_xlfn.TEXTJOIN("、",TRUE,IF('學員資料-三民高中'!$B$2:$B$454=$F1228,'學員資料-三民高中'!$G$2:$G$454,""))</f>
        <v/>
      </c>
      <c r="R1228" t="str" cm="1">
        <f t="array" ref="R1228">_xlfn.TEXTJOIN("、",TRUE,IF('學員資料-新北高中'!$B$2:$B$583=$F1228,'學員資料-新北高中'!$G$2:$G$583,""))</f>
        <v/>
      </c>
      <c r="S1228" t="str" cm="1">
        <f t="array" ref="S1228">_xlfn.TEXTJOIN("、",TRUE,IF('學員資料-三重商工'!$B$2:$B$472=$F1228,'學員資料-三重商工'!$G$2:$G$472,""))</f>
        <v/>
      </c>
      <c r="T1228">
        <f t="shared" si="19"/>
        <v>0</v>
      </c>
    </row>
    <row r="1229" spans="1:20" ht="14.25" hidden="1" customHeight="1">
      <c r="A1229" s="15">
        <v>1228</v>
      </c>
      <c r="B1229" s="16" t="s">
        <v>3919</v>
      </c>
      <c r="C1229" s="17">
        <v>45840</v>
      </c>
      <c r="D1229" s="15" t="s">
        <v>3920</v>
      </c>
      <c r="E1229" s="18" t="s">
        <v>763</v>
      </c>
      <c r="F1229" s="19" t="s">
        <v>242</v>
      </c>
      <c r="G1229" s="18" t="s">
        <v>243</v>
      </c>
      <c r="H1229" s="20" t="s">
        <v>66</v>
      </c>
      <c r="I1229" s="15">
        <v>1</v>
      </c>
      <c r="J1229" s="15" t="s">
        <v>23</v>
      </c>
      <c r="K1229" s="15"/>
      <c r="L1229" s="21" t="s">
        <v>16</v>
      </c>
      <c r="M1229" s="22">
        <v>0</v>
      </c>
      <c r="N1229" s="22">
        <v>0</v>
      </c>
      <c r="O1229" s="22">
        <v>6900</v>
      </c>
      <c r="P1229" s="22">
        <v>6900</v>
      </c>
      <c r="Q1229" t="str" cm="1">
        <f t="array" ref="Q1229">_xlfn.TEXTJOIN("、",TRUE,IF('學員資料-三民高中'!$B$2:$B$454=$F1229,'學員資料-三民高中'!$G$2:$G$454,""))</f>
        <v>0989899080</v>
      </c>
      <c r="R1229" t="str" cm="1">
        <f t="array" ref="R1229">_xlfn.TEXTJOIN("、",TRUE,IF('學員資料-新北高中'!$B$2:$B$583=$F1229,'學員資料-新北高中'!$G$2:$G$583,""))</f>
        <v/>
      </c>
      <c r="S1229" t="str" cm="1">
        <f t="array" ref="S1229">_xlfn.TEXTJOIN("、",TRUE,IF('學員資料-三重商工'!$B$2:$B$472=$F1229,'學員資料-三重商工'!$G$2:$G$472,""))</f>
        <v/>
      </c>
      <c r="T1229">
        <f t="shared" si="19"/>
        <v>1</v>
      </c>
    </row>
    <row r="1230" spans="1:20" ht="14.25" hidden="1" customHeight="1">
      <c r="A1230" s="15">
        <v>1229</v>
      </c>
      <c r="B1230" s="16" t="s">
        <v>3921</v>
      </c>
      <c r="C1230" s="17">
        <v>45840</v>
      </c>
      <c r="D1230" s="15" t="s">
        <v>3922</v>
      </c>
      <c r="E1230" s="18" t="s">
        <v>83</v>
      </c>
      <c r="F1230" s="19" t="s">
        <v>3923</v>
      </c>
      <c r="G1230" s="18" t="s">
        <v>3924</v>
      </c>
      <c r="H1230" s="20" t="s">
        <v>66</v>
      </c>
      <c r="I1230" s="15">
        <v>1</v>
      </c>
      <c r="J1230" s="15" t="s">
        <v>23</v>
      </c>
      <c r="K1230" s="15"/>
      <c r="L1230" s="21" t="s">
        <v>16</v>
      </c>
      <c r="M1230" s="22">
        <v>0</v>
      </c>
      <c r="N1230" s="22">
        <v>0</v>
      </c>
      <c r="O1230" s="22">
        <v>6900</v>
      </c>
      <c r="P1230" s="22">
        <v>6900</v>
      </c>
      <c r="Q1230" t="str" cm="1">
        <f t="array" ref="Q1230">_xlfn.TEXTJOIN("、",TRUE,IF('學員資料-三民高中'!$B$2:$B$454=$F1230,'學員資料-三民高中'!$G$2:$G$454,""))</f>
        <v/>
      </c>
      <c r="R1230" t="str" cm="1">
        <f t="array" ref="R1230">_xlfn.TEXTJOIN("、",TRUE,IF('學員資料-新北高中'!$B$2:$B$583=$F1230,'學員資料-新北高中'!$G$2:$G$583,""))</f>
        <v/>
      </c>
      <c r="S1230" t="str" cm="1">
        <f t="array" ref="S1230">_xlfn.TEXTJOIN("、",TRUE,IF('學員資料-三重商工'!$B$2:$B$472=$F1230,'學員資料-三重商工'!$G$2:$G$472,""))</f>
        <v>0927336957</v>
      </c>
      <c r="T1230">
        <f t="shared" si="19"/>
        <v>1</v>
      </c>
    </row>
    <row r="1231" spans="1:20" ht="28.5" hidden="1" customHeight="1">
      <c r="A1231" s="15">
        <v>1230</v>
      </c>
      <c r="B1231" s="16" t="s">
        <v>3925</v>
      </c>
      <c r="C1231" s="17">
        <v>45840</v>
      </c>
      <c r="D1231" s="15" t="s">
        <v>3926</v>
      </c>
      <c r="E1231" s="18" t="s">
        <v>3477</v>
      </c>
      <c r="F1231" s="19" t="s">
        <v>149</v>
      </c>
      <c r="G1231" s="18" t="s">
        <v>150</v>
      </c>
      <c r="H1231" s="20" t="s">
        <v>75</v>
      </c>
      <c r="I1231" s="15">
        <v>2</v>
      </c>
      <c r="J1231" s="15" t="s">
        <v>23</v>
      </c>
      <c r="K1231" s="15"/>
      <c r="L1231" s="21" t="s">
        <v>16</v>
      </c>
      <c r="M1231" s="22">
        <v>0</v>
      </c>
      <c r="N1231" s="22">
        <v>-5520</v>
      </c>
      <c r="O1231" s="22">
        <v>8280</v>
      </c>
      <c r="P1231" s="22">
        <v>8280</v>
      </c>
      <c r="Q1231" t="str" cm="1">
        <f t="array" ref="Q1231">_xlfn.TEXTJOIN("、",TRUE,IF('學員資料-三民高中'!$B$2:$B$454=$F1231,'學員資料-三民高中'!$G$2:$G$454,""))</f>
        <v/>
      </c>
      <c r="R1231" t="str" cm="1">
        <f t="array" ref="R1231">_xlfn.TEXTJOIN("、",TRUE,IF('學員資料-新北高中'!$B$2:$B$583=$F1231,'學員資料-新北高中'!$G$2:$G$583,""))</f>
        <v>0955977624</v>
      </c>
      <c r="S1231" t="str" cm="1">
        <f t="array" ref="S1231">_xlfn.TEXTJOIN("、",TRUE,IF('學員資料-三重商工'!$B$2:$B$472=$F1231,'學員資料-三重商工'!$G$2:$G$472,""))</f>
        <v/>
      </c>
      <c r="T1231">
        <f t="shared" si="19"/>
        <v>1</v>
      </c>
    </row>
    <row r="1232" spans="1:20" ht="14.25" hidden="1" customHeight="1">
      <c r="A1232" s="15">
        <v>1231</v>
      </c>
      <c r="B1232" s="16" t="s">
        <v>3927</v>
      </c>
      <c r="C1232" s="17">
        <v>45840</v>
      </c>
      <c r="D1232" s="15" t="s">
        <v>3928</v>
      </c>
      <c r="E1232" s="18" t="s">
        <v>3477</v>
      </c>
      <c r="F1232" s="19" t="s">
        <v>3673</v>
      </c>
      <c r="G1232" s="18" t="s">
        <v>3674</v>
      </c>
      <c r="H1232" s="20" t="s">
        <v>52</v>
      </c>
      <c r="I1232" s="15">
        <v>1</v>
      </c>
      <c r="J1232" s="15" t="s">
        <v>24</v>
      </c>
      <c r="K1232" s="15"/>
      <c r="L1232" s="21" t="s">
        <v>16</v>
      </c>
      <c r="M1232" s="22">
        <v>0</v>
      </c>
      <c r="N1232" s="22">
        <v>0</v>
      </c>
      <c r="O1232" s="22">
        <v>7500</v>
      </c>
      <c r="P1232" s="22">
        <v>7500</v>
      </c>
      <c r="Q1232" t="str" cm="1">
        <f t="array" ref="Q1232">_xlfn.TEXTJOIN("、",TRUE,IF('學員資料-三民高中'!$B$2:$B$454=$F1232,'學員資料-三民高中'!$G$2:$G$454,""))</f>
        <v/>
      </c>
      <c r="R1232" t="str" cm="1">
        <f t="array" ref="R1232">_xlfn.TEXTJOIN("、",TRUE,IF('學員資料-新北高中'!$B$2:$B$583=$F1232,'學員資料-新北高中'!$G$2:$G$583,""))</f>
        <v>0926264668</v>
      </c>
      <c r="S1232" t="str" cm="1">
        <f t="array" ref="S1232">_xlfn.TEXTJOIN("、",TRUE,IF('學員資料-三重商工'!$B$2:$B$472=$F1232,'學員資料-三重商工'!$G$2:$G$472,""))</f>
        <v/>
      </c>
      <c r="T1232">
        <f t="shared" si="19"/>
        <v>1</v>
      </c>
    </row>
    <row r="1233" spans="1:20" ht="14.25" hidden="1" customHeight="1">
      <c r="A1233" s="15">
        <v>1232</v>
      </c>
      <c r="B1233" s="16" t="s">
        <v>3929</v>
      </c>
      <c r="C1233" s="17">
        <v>45840</v>
      </c>
      <c r="D1233" s="15" t="s">
        <v>3930</v>
      </c>
      <c r="E1233" s="18" t="s">
        <v>537</v>
      </c>
      <c r="F1233" s="19" t="s">
        <v>3931</v>
      </c>
      <c r="G1233" s="18" t="s">
        <v>3932</v>
      </c>
      <c r="H1233" s="20" t="s">
        <v>66</v>
      </c>
      <c r="I1233" s="15">
        <v>1</v>
      </c>
      <c r="J1233" s="15" t="s">
        <v>23</v>
      </c>
      <c r="K1233" s="15"/>
      <c r="L1233" s="21" t="s">
        <v>16</v>
      </c>
      <c r="M1233" s="22">
        <v>0</v>
      </c>
      <c r="N1233" s="22">
        <v>-2760</v>
      </c>
      <c r="O1233" s="22">
        <v>4140</v>
      </c>
      <c r="P1233" s="22">
        <v>4140</v>
      </c>
      <c r="Q1233" t="str" cm="1">
        <f t="array" ref="Q1233">_xlfn.TEXTJOIN("、",TRUE,IF('學員資料-三民高中'!$B$2:$B$454=$F1233,'學員資料-三民高中'!$G$2:$G$454,""))</f>
        <v/>
      </c>
      <c r="R1233" t="str" cm="1">
        <f t="array" ref="R1233">_xlfn.TEXTJOIN("、",TRUE,IF('學員資料-新北高中'!$B$2:$B$583=$F1233,'學員資料-新北高中'!$G$2:$G$583,""))</f>
        <v>0930712206</v>
      </c>
      <c r="S1233" t="str" cm="1">
        <f t="array" ref="S1233">_xlfn.TEXTJOIN("、",TRUE,IF('學員資料-三重商工'!$B$2:$B$472=$F1233,'學員資料-三重商工'!$G$2:$G$472,""))</f>
        <v/>
      </c>
      <c r="T1233">
        <f t="shared" si="19"/>
        <v>1</v>
      </c>
    </row>
    <row r="1234" spans="1:20" ht="14.25" hidden="1" customHeight="1">
      <c r="A1234" s="15">
        <v>1233</v>
      </c>
      <c r="B1234" s="16" t="s">
        <v>3933</v>
      </c>
      <c r="C1234" s="17">
        <v>45839</v>
      </c>
      <c r="D1234" s="15" t="s">
        <v>3934</v>
      </c>
      <c r="E1234" s="18" t="s">
        <v>763</v>
      </c>
      <c r="F1234" s="19" t="s">
        <v>3525</v>
      </c>
      <c r="G1234" s="18" t="s">
        <v>3526</v>
      </c>
      <c r="H1234" s="20" t="s">
        <v>130</v>
      </c>
      <c r="I1234" s="15">
        <v>1</v>
      </c>
      <c r="J1234" s="15" t="s">
        <v>25</v>
      </c>
      <c r="K1234" s="15"/>
      <c r="L1234" s="21" t="s">
        <v>16</v>
      </c>
      <c r="M1234" s="22">
        <v>0</v>
      </c>
      <c r="N1234" s="22">
        <v>0</v>
      </c>
      <c r="O1234" s="22">
        <v>9900</v>
      </c>
      <c r="P1234" s="22">
        <v>9900</v>
      </c>
      <c r="Q1234" t="str" cm="1">
        <f t="array" ref="Q1234">_xlfn.TEXTJOIN("、",TRUE,IF('學員資料-三民高中'!$B$2:$B$454=$F1234,'學員資料-三民高中'!$G$2:$G$454,""))</f>
        <v>0971169988</v>
      </c>
      <c r="R1234" t="str" cm="1">
        <f t="array" ref="R1234">_xlfn.TEXTJOIN("、",TRUE,IF('學員資料-新北高中'!$B$2:$B$583=$F1234,'學員資料-新北高中'!$G$2:$G$583,""))</f>
        <v/>
      </c>
      <c r="S1234" t="str" cm="1">
        <f t="array" ref="S1234">_xlfn.TEXTJOIN("、",TRUE,IF('學員資料-三重商工'!$B$2:$B$472=$F1234,'學員資料-三重商工'!$G$2:$G$472,""))</f>
        <v/>
      </c>
      <c r="T1234">
        <f t="shared" si="19"/>
        <v>1</v>
      </c>
    </row>
    <row r="1235" spans="1:20" ht="14.25" hidden="1" customHeight="1">
      <c r="A1235" s="15">
        <v>1234</v>
      </c>
      <c r="B1235" s="16" t="s">
        <v>3935</v>
      </c>
      <c r="C1235" s="17">
        <v>45839</v>
      </c>
      <c r="D1235" s="15" t="s">
        <v>3936</v>
      </c>
      <c r="E1235" s="23"/>
      <c r="F1235" s="19" t="s">
        <v>3659</v>
      </c>
      <c r="G1235" s="18" t="s">
        <v>3660</v>
      </c>
      <c r="H1235" s="20" t="s">
        <v>66</v>
      </c>
      <c r="I1235" s="15">
        <v>1</v>
      </c>
      <c r="J1235" s="15" t="s">
        <v>23</v>
      </c>
      <c r="K1235" s="15"/>
      <c r="L1235" s="21" t="s">
        <v>16</v>
      </c>
      <c r="M1235" s="22">
        <v>0</v>
      </c>
      <c r="N1235" s="22">
        <v>-2897</v>
      </c>
      <c r="O1235" s="22">
        <v>4003</v>
      </c>
      <c r="P1235" s="22">
        <v>4003</v>
      </c>
      <c r="Q1235" t="str" cm="1">
        <f t="array" ref="Q1235">_xlfn.TEXTJOIN("、",TRUE,IF('學員資料-三民高中'!$B$2:$B$454=$F1235,'學員資料-三民高中'!$G$2:$G$454,""))</f>
        <v/>
      </c>
      <c r="R1235" t="str" cm="1">
        <f t="array" ref="R1235">_xlfn.TEXTJOIN("、",TRUE,IF('學員資料-新北高中'!$B$2:$B$583=$F1235,'學員資料-新北高中'!$G$2:$G$583,""))</f>
        <v>0983724286</v>
      </c>
      <c r="S1235" t="str" cm="1">
        <f t="array" ref="S1235">_xlfn.TEXTJOIN("、",TRUE,IF('學員資料-三重商工'!$B$2:$B$472=$F1235,'學員資料-三重商工'!$G$2:$G$472,""))</f>
        <v/>
      </c>
      <c r="T1235">
        <f t="shared" si="19"/>
        <v>1</v>
      </c>
    </row>
    <row r="1236" spans="1:20" ht="14.25" hidden="1" customHeight="1">
      <c r="A1236" s="15">
        <v>1235</v>
      </c>
      <c r="B1236" s="16" t="s">
        <v>3937</v>
      </c>
      <c r="C1236" s="17">
        <v>45839</v>
      </c>
      <c r="D1236" s="15" t="s">
        <v>3938</v>
      </c>
      <c r="E1236" s="18" t="s">
        <v>763</v>
      </c>
      <c r="F1236" s="19" t="s">
        <v>3329</v>
      </c>
      <c r="G1236" s="18" t="s">
        <v>3330</v>
      </c>
      <c r="H1236" s="20" t="s">
        <v>52</v>
      </c>
      <c r="I1236" s="15">
        <v>1</v>
      </c>
      <c r="J1236" s="15" t="s">
        <v>24</v>
      </c>
      <c r="K1236" s="15"/>
      <c r="L1236" s="21" t="s">
        <v>16</v>
      </c>
      <c r="M1236" s="22">
        <v>0</v>
      </c>
      <c r="N1236" s="22">
        <v>0</v>
      </c>
      <c r="O1236" s="22">
        <v>7500</v>
      </c>
      <c r="P1236" s="22">
        <v>7500</v>
      </c>
      <c r="Q1236" t="str" cm="1">
        <f t="array" ref="Q1236">_xlfn.TEXTJOIN("、",TRUE,IF('學員資料-三民高中'!$B$2:$B$454=$F1236,'學員資料-三民高中'!$G$2:$G$454,""))</f>
        <v>0903915039</v>
      </c>
      <c r="R1236" t="str" cm="1">
        <f t="array" ref="R1236">_xlfn.TEXTJOIN("、",TRUE,IF('學員資料-新北高中'!$B$2:$B$583=$F1236,'學員資料-新北高中'!$G$2:$G$583,""))</f>
        <v/>
      </c>
      <c r="S1236" t="str" cm="1">
        <f t="array" ref="S1236">_xlfn.TEXTJOIN("、",TRUE,IF('學員資料-三重商工'!$B$2:$B$472=$F1236,'學員資料-三重商工'!$G$2:$G$472,""))</f>
        <v/>
      </c>
      <c r="T1236">
        <f t="shared" si="19"/>
        <v>1</v>
      </c>
    </row>
    <row r="1237" spans="1:20" ht="14.25" hidden="1" customHeight="1">
      <c r="A1237" s="15">
        <v>1236</v>
      </c>
      <c r="B1237" s="16" t="s">
        <v>3939</v>
      </c>
      <c r="C1237" s="17">
        <v>45839</v>
      </c>
      <c r="D1237" s="15" t="s">
        <v>3940</v>
      </c>
      <c r="E1237" s="18" t="s">
        <v>83</v>
      </c>
      <c r="F1237" s="19" t="s">
        <v>3941</v>
      </c>
      <c r="G1237" s="18" t="s">
        <v>3942</v>
      </c>
      <c r="H1237" s="20" t="s">
        <v>47</v>
      </c>
      <c r="I1237" s="15">
        <v>1</v>
      </c>
      <c r="J1237" s="15" t="s">
        <v>24</v>
      </c>
      <c r="K1237" s="15"/>
      <c r="L1237" s="21" t="s">
        <v>16</v>
      </c>
      <c r="M1237" s="22">
        <v>0</v>
      </c>
      <c r="N1237" s="22">
        <v>0</v>
      </c>
      <c r="O1237" s="22">
        <v>9000</v>
      </c>
      <c r="P1237" s="22">
        <v>9000</v>
      </c>
      <c r="Q1237" t="str" cm="1">
        <f t="array" ref="Q1237">_xlfn.TEXTJOIN("、",TRUE,IF('學員資料-三民高中'!$B$2:$B$454=$F1237,'學員資料-三民高中'!$G$2:$G$454,""))</f>
        <v/>
      </c>
      <c r="R1237" t="str" cm="1">
        <f t="array" ref="R1237">_xlfn.TEXTJOIN("、",TRUE,IF('學員資料-新北高中'!$B$2:$B$583=$F1237,'學員資料-新北高中'!$G$2:$G$583,""))</f>
        <v/>
      </c>
      <c r="S1237" t="str" cm="1">
        <f t="array" ref="S1237">_xlfn.TEXTJOIN("、",TRUE,IF('學員資料-三重商工'!$B$2:$B$472=$F1237,'學員資料-三重商工'!$G$2:$G$472,""))</f>
        <v>0903803239</v>
      </c>
      <c r="T1237">
        <f t="shared" si="19"/>
        <v>1</v>
      </c>
    </row>
    <row r="1238" spans="1:20" ht="14.25" hidden="1" customHeight="1">
      <c r="A1238" s="15">
        <v>1237</v>
      </c>
      <c r="B1238" s="16" t="s">
        <v>3943</v>
      </c>
      <c r="C1238" s="17">
        <v>45839</v>
      </c>
      <c r="D1238" s="15" t="s">
        <v>3944</v>
      </c>
      <c r="E1238" s="18" t="s">
        <v>83</v>
      </c>
      <c r="F1238" s="19" t="s">
        <v>3945</v>
      </c>
      <c r="G1238" s="18" t="s">
        <v>3946</v>
      </c>
      <c r="H1238" s="20" t="s">
        <v>52</v>
      </c>
      <c r="I1238" s="15">
        <v>1</v>
      </c>
      <c r="J1238" s="15" t="s">
        <v>24</v>
      </c>
      <c r="K1238" s="15"/>
      <c r="L1238" s="21" t="s">
        <v>16</v>
      </c>
      <c r="M1238" s="22">
        <v>0</v>
      </c>
      <c r="N1238" s="22">
        <v>0</v>
      </c>
      <c r="O1238" s="22">
        <v>7500</v>
      </c>
      <c r="P1238" s="22">
        <v>7500</v>
      </c>
      <c r="Q1238" t="str" cm="1">
        <f t="array" ref="Q1238">_xlfn.TEXTJOIN("、",TRUE,IF('學員資料-三民高中'!$B$2:$B$454=$F1238,'學員資料-三民高中'!$G$2:$G$454,""))</f>
        <v/>
      </c>
      <c r="R1238" t="str" cm="1">
        <f t="array" ref="R1238">_xlfn.TEXTJOIN("、",TRUE,IF('學員資料-新北高中'!$B$2:$B$583=$F1238,'學員資料-新北高中'!$G$2:$G$583,""))</f>
        <v/>
      </c>
      <c r="S1238" t="str" cm="1">
        <f t="array" ref="S1238">_xlfn.TEXTJOIN("、",TRUE,IF('學員資料-三重商工'!$B$2:$B$472=$F1238,'學員資料-三重商工'!$G$2:$G$472,""))</f>
        <v>0915490757</v>
      </c>
      <c r="T1238">
        <f t="shared" si="19"/>
        <v>1</v>
      </c>
    </row>
    <row r="1239" spans="1:20" ht="14.25" hidden="1" customHeight="1">
      <c r="A1239" s="15">
        <v>1238</v>
      </c>
      <c r="B1239" s="16" t="s">
        <v>3947</v>
      </c>
      <c r="C1239" s="17">
        <v>45839</v>
      </c>
      <c r="D1239" s="15" t="s">
        <v>3948</v>
      </c>
      <c r="E1239" s="18" t="s">
        <v>537</v>
      </c>
      <c r="F1239" s="19" t="s">
        <v>3949</v>
      </c>
      <c r="G1239" s="18" t="s">
        <v>3950</v>
      </c>
      <c r="H1239" s="20" t="s">
        <v>266</v>
      </c>
      <c r="I1239" s="15">
        <v>1</v>
      </c>
      <c r="J1239" s="15" t="s">
        <v>24</v>
      </c>
      <c r="K1239" s="15"/>
      <c r="L1239" s="21" t="s">
        <v>16</v>
      </c>
      <c r="M1239" s="22">
        <v>0</v>
      </c>
      <c r="N1239" s="22">
        <v>0</v>
      </c>
      <c r="O1239" s="22">
        <v>10800</v>
      </c>
      <c r="P1239" s="22">
        <v>10800</v>
      </c>
      <c r="Q1239" t="str" cm="1">
        <f t="array" ref="Q1239">_xlfn.TEXTJOIN("、",TRUE,IF('學員資料-三民高中'!$B$2:$B$454=$F1239,'學員資料-三民高中'!$G$2:$G$454,""))</f>
        <v/>
      </c>
      <c r="R1239" t="str" cm="1">
        <f t="array" ref="R1239">_xlfn.TEXTJOIN("、",TRUE,IF('學員資料-新北高中'!$B$2:$B$583=$F1239,'學員資料-新北高中'!$G$2:$G$583,""))</f>
        <v>0917979298</v>
      </c>
      <c r="S1239" t="str" cm="1">
        <f t="array" ref="S1239">_xlfn.TEXTJOIN("、",TRUE,IF('學員資料-三重商工'!$B$2:$B$472=$F1239,'學員資料-三重商工'!$G$2:$G$472,""))</f>
        <v/>
      </c>
      <c r="T1239">
        <f t="shared" si="19"/>
        <v>1</v>
      </c>
    </row>
    <row r="1240" spans="1:20" ht="14.25" hidden="1" customHeight="1">
      <c r="A1240" s="15">
        <v>1239</v>
      </c>
      <c r="B1240" s="16" t="s">
        <v>3951</v>
      </c>
      <c r="C1240" s="17">
        <v>45838</v>
      </c>
      <c r="D1240" s="15" t="s">
        <v>3952</v>
      </c>
      <c r="E1240" s="18" t="s">
        <v>763</v>
      </c>
      <c r="F1240" s="19" t="s">
        <v>3795</v>
      </c>
      <c r="G1240" s="18" t="s">
        <v>3796</v>
      </c>
      <c r="H1240" s="20" t="s">
        <v>130</v>
      </c>
      <c r="I1240" s="15">
        <v>1</v>
      </c>
      <c r="J1240" s="15" t="s">
        <v>25</v>
      </c>
      <c r="K1240" s="15"/>
      <c r="L1240" s="21" t="s">
        <v>16</v>
      </c>
      <c r="M1240" s="22">
        <v>0</v>
      </c>
      <c r="N1240" s="22">
        <v>0</v>
      </c>
      <c r="O1240" s="22">
        <v>9900</v>
      </c>
      <c r="P1240" s="22">
        <v>9900</v>
      </c>
      <c r="Q1240" t="str" cm="1">
        <f t="array" ref="Q1240">_xlfn.TEXTJOIN("、",TRUE,IF('學員資料-三民高中'!$B$2:$B$454=$F1240,'學員資料-三民高中'!$G$2:$G$454,""))</f>
        <v>0933133769</v>
      </c>
      <c r="R1240" t="str" cm="1">
        <f t="array" ref="R1240">_xlfn.TEXTJOIN("、",TRUE,IF('學員資料-新北高中'!$B$2:$B$583=$F1240,'學員資料-新北高中'!$G$2:$G$583,""))</f>
        <v/>
      </c>
      <c r="S1240" t="str" cm="1">
        <f t="array" ref="S1240">_xlfn.TEXTJOIN("、",TRUE,IF('學員資料-三重商工'!$B$2:$B$472=$F1240,'學員資料-三重商工'!$G$2:$G$472,""))</f>
        <v/>
      </c>
      <c r="T1240">
        <f t="shared" si="19"/>
        <v>1</v>
      </c>
    </row>
    <row r="1241" spans="1:20" ht="14.25" hidden="1" customHeight="1">
      <c r="A1241" s="15">
        <v>1240</v>
      </c>
      <c r="B1241" s="16" t="s">
        <v>3953</v>
      </c>
      <c r="C1241" s="17">
        <v>45838</v>
      </c>
      <c r="D1241" s="15" t="s">
        <v>2129</v>
      </c>
      <c r="E1241" s="18" t="s">
        <v>763</v>
      </c>
      <c r="F1241" s="19" t="s">
        <v>3329</v>
      </c>
      <c r="G1241" s="18" t="s">
        <v>3330</v>
      </c>
      <c r="H1241" s="20" t="s">
        <v>52</v>
      </c>
      <c r="I1241" s="15">
        <v>1</v>
      </c>
      <c r="J1241" s="15" t="s">
        <v>24</v>
      </c>
      <c r="K1241" s="15"/>
      <c r="L1241" s="21" t="s">
        <v>16</v>
      </c>
      <c r="M1241" s="22">
        <v>0</v>
      </c>
      <c r="N1241" s="22">
        <v>0</v>
      </c>
      <c r="O1241" s="22">
        <v>7500</v>
      </c>
      <c r="P1241" s="22">
        <v>7500</v>
      </c>
      <c r="Q1241" t="str" cm="1">
        <f t="array" ref="Q1241">_xlfn.TEXTJOIN("、",TRUE,IF('學員資料-三民高中'!$B$2:$B$454=$F1241,'學員資料-三民高中'!$G$2:$G$454,""))</f>
        <v>0903915039</v>
      </c>
      <c r="R1241" t="str" cm="1">
        <f t="array" ref="R1241">_xlfn.TEXTJOIN("、",TRUE,IF('學員資料-新北高中'!$B$2:$B$583=$F1241,'學員資料-新北高中'!$G$2:$G$583,""))</f>
        <v/>
      </c>
      <c r="S1241" t="str" cm="1">
        <f t="array" ref="S1241">_xlfn.TEXTJOIN("、",TRUE,IF('學員資料-三重商工'!$B$2:$B$472=$F1241,'學員資料-三重商工'!$G$2:$G$472,""))</f>
        <v/>
      </c>
      <c r="T1241">
        <f t="shared" si="19"/>
        <v>1</v>
      </c>
    </row>
    <row r="1242" spans="1:20" ht="14.25" hidden="1" customHeight="1">
      <c r="A1242" s="15">
        <v>1241</v>
      </c>
      <c r="B1242" s="16" t="s">
        <v>3954</v>
      </c>
      <c r="C1242" s="17">
        <v>45837</v>
      </c>
      <c r="D1242" s="15" t="s">
        <v>3955</v>
      </c>
      <c r="E1242" s="18" t="s">
        <v>3477</v>
      </c>
      <c r="F1242" s="19" t="s">
        <v>1832</v>
      </c>
      <c r="G1242" s="18" t="s">
        <v>1833</v>
      </c>
      <c r="H1242" s="20" t="s">
        <v>52</v>
      </c>
      <c r="I1242" s="15">
        <v>1</v>
      </c>
      <c r="J1242" s="15" t="s">
        <v>24</v>
      </c>
      <c r="K1242" s="15"/>
      <c r="L1242" s="21" t="s">
        <v>16</v>
      </c>
      <c r="M1242" s="22">
        <v>0</v>
      </c>
      <c r="N1242" s="22">
        <v>0</v>
      </c>
      <c r="O1242" s="22">
        <v>7500</v>
      </c>
      <c r="P1242" s="22">
        <v>7500</v>
      </c>
      <c r="Q1242" t="str" cm="1">
        <f t="array" ref="Q1242">_xlfn.TEXTJOIN("、",TRUE,IF('學員資料-三民高中'!$B$2:$B$454=$F1242,'學員資料-三民高中'!$G$2:$G$454,""))</f>
        <v/>
      </c>
      <c r="R1242" t="str" cm="1">
        <f t="array" ref="R1242">_xlfn.TEXTJOIN("、",TRUE,IF('學員資料-新北高中'!$B$2:$B$583=$F1242,'學員資料-新北高中'!$G$2:$G$583,""))</f>
        <v/>
      </c>
      <c r="S1242" t="str" cm="1">
        <f t="array" ref="S1242">_xlfn.TEXTJOIN("、",TRUE,IF('學員資料-三重商工'!$B$2:$B$472=$F1242,'學員資料-三重商工'!$G$2:$G$472,""))</f>
        <v>0930980802</v>
      </c>
      <c r="T1242">
        <f t="shared" si="19"/>
        <v>1</v>
      </c>
    </row>
    <row r="1243" spans="1:20" ht="14.25" hidden="1" customHeight="1">
      <c r="A1243" s="15">
        <v>1242</v>
      </c>
      <c r="B1243" s="16" t="s">
        <v>3956</v>
      </c>
      <c r="C1243" s="17">
        <v>45837</v>
      </c>
      <c r="D1243" s="15" t="s">
        <v>3957</v>
      </c>
      <c r="E1243" s="18" t="s">
        <v>954</v>
      </c>
      <c r="F1243" s="19" t="s">
        <v>3958</v>
      </c>
      <c r="G1243" s="18" t="s">
        <v>3959</v>
      </c>
      <c r="H1243" s="20" t="s">
        <v>66</v>
      </c>
      <c r="I1243" s="15">
        <v>1</v>
      </c>
      <c r="J1243" s="15" t="s">
        <v>23</v>
      </c>
      <c r="K1243" s="15"/>
      <c r="L1243" s="21" t="s">
        <v>16</v>
      </c>
      <c r="M1243" s="22">
        <v>0</v>
      </c>
      <c r="N1243" s="22">
        <v>0</v>
      </c>
      <c r="O1243" s="22">
        <v>6900</v>
      </c>
      <c r="P1243" s="22">
        <v>6900</v>
      </c>
      <c r="Q1243" t="str" cm="1">
        <f t="array" ref="Q1243">_xlfn.TEXTJOIN("、",TRUE,IF('學員資料-三民高中'!$B$2:$B$454=$F1243,'學員資料-三民高中'!$G$2:$G$454,""))</f>
        <v/>
      </c>
      <c r="R1243" t="str" cm="1">
        <f t="array" ref="R1243">_xlfn.TEXTJOIN("、",TRUE,IF('學員資料-新北高中'!$B$2:$B$583=$F1243,'學員資料-新北高中'!$G$2:$G$583,""))</f>
        <v>0920030498</v>
      </c>
      <c r="S1243" t="str" cm="1">
        <f t="array" ref="S1243">_xlfn.TEXTJOIN("、",TRUE,IF('學員資料-三重商工'!$B$2:$B$472=$F1243,'學員資料-三重商工'!$G$2:$G$472,""))</f>
        <v/>
      </c>
      <c r="T1243">
        <f t="shared" si="19"/>
        <v>1</v>
      </c>
    </row>
    <row r="1244" spans="1:20" ht="14.25" hidden="1" customHeight="1">
      <c r="A1244" s="15">
        <v>1243</v>
      </c>
      <c r="B1244" s="16" t="s">
        <v>3960</v>
      </c>
      <c r="C1244" s="17">
        <v>45837</v>
      </c>
      <c r="D1244" s="15" t="s">
        <v>3961</v>
      </c>
      <c r="E1244" s="18" t="s">
        <v>83</v>
      </c>
      <c r="F1244" s="19" t="s">
        <v>304</v>
      </c>
      <c r="G1244" s="18" t="s">
        <v>305</v>
      </c>
      <c r="H1244" s="20" t="s">
        <v>52</v>
      </c>
      <c r="I1244" s="15">
        <v>1</v>
      </c>
      <c r="J1244" s="15" t="s">
        <v>24</v>
      </c>
      <c r="K1244" s="15"/>
      <c r="L1244" s="21" t="s">
        <v>16</v>
      </c>
      <c r="M1244" s="22">
        <v>0</v>
      </c>
      <c r="N1244" s="22">
        <v>0</v>
      </c>
      <c r="O1244" s="22">
        <v>7500</v>
      </c>
      <c r="P1244" s="22">
        <v>7500</v>
      </c>
      <c r="Q1244" t="str" cm="1">
        <f t="array" ref="Q1244">_xlfn.TEXTJOIN("、",TRUE,IF('學員資料-三民高中'!$B$2:$B$454=$F1244,'學員資料-三民高中'!$G$2:$G$454,""))</f>
        <v>0956558987</v>
      </c>
      <c r="R1244" t="str" cm="1">
        <f t="array" ref="R1244">_xlfn.TEXTJOIN("、",TRUE,IF('學員資料-新北高中'!$B$2:$B$583=$F1244,'學員資料-新北高中'!$G$2:$G$583,""))</f>
        <v/>
      </c>
      <c r="S1244" t="str" cm="1">
        <f t="array" ref="S1244">_xlfn.TEXTJOIN("、",TRUE,IF('學員資料-三重商工'!$B$2:$B$472=$F1244,'學員資料-三重商工'!$G$2:$G$472,""))</f>
        <v/>
      </c>
      <c r="T1244">
        <f t="shared" si="19"/>
        <v>1</v>
      </c>
    </row>
    <row r="1245" spans="1:20" ht="14.25" hidden="1" customHeight="1">
      <c r="A1245" s="15">
        <v>1244</v>
      </c>
      <c r="B1245" s="16" t="s">
        <v>3962</v>
      </c>
      <c r="C1245" s="17">
        <v>45837</v>
      </c>
      <c r="D1245" s="15" t="s">
        <v>3001</v>
      </c>
      <c r="E1245" s="18" t="s">
        <v>161</v>
      </c>
      <c r="F1245" s="19" t="s">
        <v>3963</v>
      </c>
      <c r="G1245" s="18" t="s">
        <v>3964</v>
      </c>
      <c r="H1245" s="20" t="s">
        <v>52</v>
      </c>
      <c r="I1245" s="15">
        <v>1</v>
      </c>
      <c r="J1245" s="15" t="s">
        <v>24</v>
      </c>
      <c r="K1245" s="15"/>
      <c r="L1245" s="21" t="s">
        <v>16</v>
      </c>
      <c r="M1245" s="22">
        <v>0</v>
      </c>
      <c r="N1245" s="22">
        <v>0</v>
      </c>
      <c r="O1245" s="22">
        <v>7500</v>
      </c>
      <c r="P1245" s="22">
        <v>7500</v>
      </c>
      <c r="Q1245" t="str" cm="1">
        <f t="array" ref="Q1245">_xlfn.TEXTJOIN("、",TRUE,IF('學員資料-三民高中'!$B$2:$B$454=$F1245,'學員資料-三民高中'!$G$2:$G$454,""))</f>
        <v/>
      </c>
      <c r="R1245" t="str" cm="1">
        <f t="array" ref="R1245">_xlfn.TEXTJOIN("、",TRUE,IF('學員資料-新北高中'!$B$2:$B$583=$F1245,'學員資料-新北高中'!$G$2:$G$583,""))</f>
        <v>0981398589</v>
      </c>
      <c r="S1245" t="str" cm="1">
        <f t="array" ref="S1245">_xlfn.TEXTJOIN("、",TRUE,IF('學員資料-三重商工'!$B$2:$B$472=$F1245,'學員資料-三重商工'!$G$2:$G$472,""))</f>
        <v/>
      </c>
      <c r="T1245">
        <f t="shared" si="19"/>
        <v>1</v>
      </c>
    </row>
    <row r="1246" spans="1:20" ht="14.25" hidden="1" customHeight="1">
      <c r="A1246" s="15">
        <v>1245</v>
      </c>
      <c r="B1246" s="16" t="s">
        <v>3965</v>
      </c>
      <c r="C1246" s="17">
        <v>45837</v>
      </c>
      <c r="D1246" s="15" t="s">
        <v>3966</v>
      </c>
      <c r="E1246" s="18" t="s">
        <v>83</v>
      </c>
      <c r="F1246" s="19" t="s">
        <v>3967</v>
      </c>
      <c r="G1246" s="18" t="s">
        <v>3968</v>
      </c>
      <c r="H1246" s="20" t="s">
        <v>66</v>
      </c>
      <c r="I1246" s="15">
        <v>1</v>
      </c>
      <c r="J1246" s="15" t="s">
        <v>23</v>
      </c>
      <c r="K1246" s="15"/>
      <c r="L1246" s="21" t="s">
        <v>16</v>
      </c>
      <c r="M1246" s="22">
        <v>0</v>
      </c>
      <c r="N1246" s="22">
        <v>0</v>
      </c>
      <c r="O1246" s="22">
        <v>6900</v>
      </c>
      <c r="P1246" s="22">
        <v>6900</v>
      </c>
      <c r="Q1246" t="str" cm="1">
        <f t="array" ref="Q1246">_xlfn.TEXTJOIN("、",TRUE,IF('學員資料-三民高中'!$B$2:$B$454=$F1246,'學員資料-三民高中'!$G$2:$G$454,""))</f>
        <v>0932139885</v>
      </c>
      <c r="R1246" t="str" cm="1">
        <f t="array" ref="R1246">_xlfn.TEXTJOIN("、",TRUE,IF('學員資料-新北高中'!$B$2:$B$583=$F1246,'學員資料-新北高中'!$G$2:$G$583,""))</f>
        <v/>
      </c>
      <c r="S1246" t="str" cm="1">
        <f t="array" ref="S1246">_xlfn.TEXTJOIN("、",TRUE,IF('學員資料-三重商工'!$B$2:$B$472=$F1246,'學員資料-三重商工'!$G$2:$G$472,""))</f>
        <v/>
      </c>
      <c r="T1246">
        <f t="shared" si="19"/>
        <v>1</v>
      </c>
    </row>
    <row r="1247" spans="1:20" ht="14.25" hidden="1" customHeight="1">
      <c r="A1247" s="15">
        <v>1246</v>
      </c>
      <c r="B1247" s="16" t="s">
        <v>3969</v>
      </c>
      <c r="C1247" s="17">
        <v>45836</v>
      </c>
      <c r="D1247" s="15" t="s">
        <v>3970</v>
      </c>
      <c r="E1247" s="18" t="s">
        <v>161</v>
      </c>
      <c r="F1247" s="19" t="s">
        <v>1716</v>
      </c>
      <c r="G1247" s="18" t="s">
        <v>1717</v>
      </c>
      <c r="H1247" s="20" t="s">
        <v>130</v>
      </c>
      <c r="I1247" s="15">
        <v>1</v>
      </c>
      <c r="J1247" s="15" t="s">
        <v>25</v>
      </c>
      <c r="K1247" s="15"/>
      <c r="L1247" s="21" t="s">
        <v>16</v>
      </c>
      <c r="M1247" s="22">
        <v>0</v>
      </c>
      <c r="N1247" s="22">
        <v>0</v>
      </c>
      <c r="O1247" s="22">
        <v>9900</v>
      </c>
      <c r="P1247" s="22">
        <v>9900</v>
      </c>
      <c r="Q1247" t="str" cm="1">
        <f t="array" ref="Q1247">_xlfn.TEXTJOIN("、",TRUE,IF('學員資料-三民高中'!$B$2:$B$454=$F1247,'學員資料-三民高中'!$G$2:$G$454,""))</f>
        <v/>
      </c>
      <c r="R1247" t="str" cm="1">
        <f t="array" ref="R1247">_xlfn.TEXTJOIN("、",TRUE,IF('學員資料-新北高中'!$B$2:$B$583=$F1247,'學員資料-新北高中'!$G$2:$G$583,""))</f>
        <v/>
      </c>
      <c r="S1247" t="str" cm="1">
        <f t="array" ref="S1247">_xlfn.TEXTJOIN("、",TRUE,IF('學員資料-三重商工'!$B$2:$B$472=$F1247,'學員資料-三重商工'!$G$2:$G$472,""))</f>
        <v>0922801088</v>
      </c>
      <c r="T1247">
        <f t="shared" si="19"/>
        <v>1</v>
      </c>
    </row>
    <row r="1248" spans="1:20" ht="14.25" hidden="1" customHeight="1">
      <c r="A1248" s="15">
        <v>1247</v>
      </c>
      <c r="B1248" s="16" t="s">
        <v>3971</v>
      </c>
      <c r="C1248" s="17">
        <v>45836</v>
      </c>
      <c r="D1248" s="15" t="s">
        <v>3972</v>
      </c>
      <c r="E1248" s="18" t="s">
        <v>161</v>
      </c>
      <c r="F1248" s="19" t="s">
        <v>3973</v>
      </c>
      <c r="G1248" s="18" t="s">
        <v>3974</v>
      </c>
      <c r="H1248" s="20" t="s">
        <v>130</v>
      </c>
      <c r="I1248" s="15">
        <v>1</v>
      </c>
      <c r="J1248" s="15" t="s">
        <v>25</v>
      </c>
      <c r="K1248" s="15"/>
      <c r="L1248" s="21" t="s">
        <v>16</v>
      </c>
      <c r="M1248" s="22">
        <v>0</v>
      </c>
      <c r="N1248" s="22">
        <v>0</v>
      </c>
      <c r="O1248" s="22">
        <v>9900</v>
      </c>
      <c r="P1248" s="22">
        <v>9900</v>
      </c>
      <c r="Q1248" t="str" cm="1">
        <f t="array" ref="Q1248">_xlfn.TEXTJOIN("、",TRUE,IF('學員資料-三民高中'!$B$2:$B$454=$F1248,'學員資料-三民高中'!$G$2:$G$454,""))</f>
        <v/>
      </c>
      <c r="R1248" t="str" cm="1">
        <f t="array" ref="R1248">_xlfn.TEXTJOIN("、",TRUE,IF('學員資料-新北高中'!$B$2:$B$583=$F1248,'學員資料-新北高中'!$G$2:$G$583,""))</f>
        <v/>
      </c>
      <c r="S1248" t="str" cm="1">
        <f t="array" ref="S1248">_xlfn.TEXTJOIN("、",TRUE,IF('學員資料-三重商工'!$B$2:$B$472=$F1248,'學員資料-三重商工'!$G$2:$G$472,""))</f>
        <v>0952663043</v>
      </c>
      <c r="T1248">
        <f t="shared" si="19"/>
        <v>1</v>
      </c>
    </row>
    <row r="1249" spans="1:20" ht="14.25" hidden="1" customHeight="1">
      <c r="A1249" s="15">
        <v>1248</v>
      </c>
      <c r="B1249" s="16" t="s">
        <v>3975</v>
      </c>
      <c r="C1249" s="17">
        <v>45836</v>
      </c>
      <c r="D1249" s="15" t="s">
        <v>3976</v>
      </c>
      <c r="E1249" s="18" t="s">
        <v>161</v>
      </c>
      <c r="F1249" s="19" t="s">
        <v>2847</v>
      </c>
      <c r="G1249" s="18" t="s">
        <v>2848</v>
      </c>
      <c r="H1249" s="20" t="s">
        <v>3148</v>
      </c>
      <c r="I1249" s="15">
        <v>1</v>
      </c>
      <c r="J1249" s="15" t="s">
        <v>25</v>
      </c>
      <c r="K1249" s="21" t="s">
        <v>116</v>
      </c>
      <c r="L1249" s="21" t="s">
        <v>16</v>
      </c>
      <c r="M1249" s="22">
        <v>0</v>
      </c>
      <c r="N1249" s="22">
        <v>0</v>
      </c>
      <c r="O1249" s="22">
        <v>2100</v>
      </c>
      <c r="P1249" s="22">
        <v>2100</v>
      </c>
      <c r="Q1249" t="str" cm="1">
        <f t="array" ref="Q1249">_xlfn.TEXTJOIN("、",TRUE,IF('學員資料-三民高中'!$B$2:$B$454=$F1249,'學員資料-三民高中'!$G$2:$G$454,""))</f>
        <v>0975561272</v>
      </c>
      <c r="R1249" t="str" cm="1">
        <f t="array" ref="R1249">_xlfn.TEXTJOIN("、",TRUE,IF('學員資料-新北高中'!$B$2:$B$583=$F1249,'學員資料-新北高中'!$G$2:$G$583,""))</f>
        <v/>
      </c>
      <c r="S1249" t="str" cm="1">
        <f t="array" ref="S1249">_xlfn.TEXTJOIN("、",TRUE,IF('學員資料-三重商工'!$B$2:$B$472=$F1249,'學員資料-三重商工'!$G$2:$G$472,""))</f>
        <v/>
      </c>
      <c r="T1249">
        <f t="shared" si="19"/>
        <v>1</v>
      </c>
    </row>
    <row r="1250" spans="1:20" ht="14.25" hidden="1" customHeight="1">
      <c r="A1250" s="15">
        <v>1249</v>
      </c>
      <c r="B1250" s="16" t="s">
        <v>3977</v>
      </c>
      <c r="C1250" s="17">
        <v>45836</v>
      </c>
      <c r="D1250" s="15" t="s">
        <v>3978</v>
      </c>
      <c r="E1250" s="23"/>
      <c r="F1250" s="19" t="s">
        <v>3979</v>
      </c>
      <c r="G1250" s="18" t="s">
        <v>3980</v>
      </c>
      <c r="H1250" s="20" t="s">
        <v>52</v>
      </c>
      <c r="I1250" s="15">
        <v>1</v>
      </c>
      <c r="J1250" s="15" t="s">
        <v>24</v>
      </c>
      <c r="K1250" s="15"/>
      <c r="L1250" s="21" t="s">
        <v>16</v>
      </c>
      <c r="M1250" s="22">
        <v>0</v>
      </c>
      <c r="N1250" s="22">
        <v>0</v>
      </c>
      <c r="O1250" s="22">
        <v>7500</v>
      </c>
      <c r="P1250" s="22">
        <v>7500</v>
      </c>
      <c r="Q1250" t="str" cm="1">
        <f t="array" ref="Q1250">_xlfn.TEXTJOIN("、",TRUE,IF('學員資料-三民高中'!$B$2:$B$454=$F1250,'學員資料-三民高中'!$G$2:$G$454,""))</f>
        <v/>
      </c>
      <c r="R1250" t="str" cm="1">
        <f t="array" ref="R1250">_xlfn.TEXTJOIN("、",TRUE,IF('學員資料-新北高中'!$B$2:$B$583=$F1250,'學員資料-新北高中'!$G$2:$G$583,""))</f>
        <v>0910737371</v>
      </c>
      <c r="S1250" t="str" cm="1">
        <f t="array" ref="S1250">_xlfn.TEXTJOIN("、",TRUE,IF('學員資料-三重商工'!$B$2:$B$472=$F1250,'學員資料-三重商工'!$G$2:$G$472,""))</f>
        <v/>
      </c>
      <c r="T1250">
        <f t="shared" si="19"/>
        <v>1</v>
      </c>
    </row>
    <row r="1251" spans="1:20" ht="14.25" hidden="1" customHeight="1">
      <c r="A1251" s="15">
        <v>1250</v>
      </c>
      <c r="B1251" s="16" t="s">
        <v>3981</v>
      </c>
      <c r="C1251" s="17">
        <v>45836</v>
      </c>
      <c r="D1251" s="15" t="s">
        <v>3982</v>
      </c>
      <c r="E1251" s="18" t="s">
        <v>161</v>
      </c>
      <c r="F1251" s="19" t="s">
        <v>3983</v>
      </c>
      <c r="G1251" s="18" t="s">
        <v>3984</v>
      </c>
      <c r="H1251" s="20" t="s">
        <v>130</v>
      </c>
      <c r="I1251" s="15">
        <v>1</v>
      </c>
      <c r="J1251" s="15" t="s">
        <v>25</v>
      </c>
      <c r="K1251" s="15"/>
      <c r="L1251" s="21" t="s">
        <v>16</v>
      </c>
      <c r="M1251" s="22">
        <v>0</v>
      </c>
      <c r="N1251" s="22">
        <v>0</v>
      </c>
      <c r="O1251" s="22">
        <v>9900</v>
      </c>
      <c r="P1251" s="22">
        <v>9900</v>
      </c>
      <c r="Q1251" t="str" cm="1">
        <f t="array" ref="Q1251">_xlfn.TEXTJOIN("、",TRUE,IF('學員資料-三民高中'!$B$2:$B$454=$F1251,'學員資料-三民高中'!$G$2:$G$454,""))</f>
        <v/>
      </c>
      <c r="R1251" t="str" cm="1">
        <f t="array" ref="R1251">_xlfn.TEXTJOIN("、",TRUE,IF('學員資料-新北高中'!$B$2:$B$583=$F1251,'學員資料-新北高中'!$G$2:$G$583,""))</f>
        <v/>
      </c>
      <c r="S1251" t="str" cm="1">
        <f t="array" ref="S1251">_xlfn.TEXTJOIN("、",TRUE,IF('學員資料-三重商工'!$B$2:$B$472=$F1251,'學員資料-三重商工'!$G$2:$G$472,""))</f>
        <v>0919173769</v>
      </c>
      <c r="T1251">
        <f t="shared" si="19"/>
        <v>1</v>
      </c>
    </row>
    <row r="1252" spans="1:20" ht="14.25" hidden="1" customHeight="1">
      <c r="A1252" s="15">
        <v>1251</v>
      </c>
      <c r="B1252" s="16" t="s">
        <v>3985</v>
      </c>
      <c r="C1252" s="17">
        <v>45836</v>
      </c>
      <c r="D1252" s="15" t="s">
        <v>3986</v>
      </c>
      <c r="E1252" s="18" t="s">
        <v>161</v>
      </c>
      <c r="F1252" s="19" t="s">
        <v>3165</v>
      </c>
      <c r="G1252" s="18" t="s">
        <v>3166</v>
      </c>
      <c r="H1252" s="20" t="s">
        <v>52</v>
      </c>
      <c r="I1252" s="15">
        <v>1</v>
      </c>
      <c r="J1252" s="15" t="s">
        <v>24</v>
      </c>
      <c r="K1252" s="15"/>
      <c r="L1252" s="21" t="s">
        <v>16</v>
      </c>
      <c r="M1252" s="22">
        <v>0</v>
      </c>
      <c r="N1252" s="22">
        <v>0</v>
      </c>
      <c r="O1252" s="22">
        <v>7500</v>
      </c>
      <c r="P1252" s="22">
        <v>7500</v>
      </c>
      <c r="Q1252" t="str" cm="1">
        <f t="array" ref="Q1252">_xlfn.TEXTJOIN("、",TRUE,IF('學員資料-三民高中'!$B$2:$B$454=$F1252,'學員資料-三民高中'!$G$2:$G$454,""))</f>
        <v>0933298190</v>
      </c>
      <c r="R1252" t="str" cm="1">
        <f t="array" ref="R1252">_xlfn.TEXTJOIN("、",TRUE,IF('學員資料-新北高中'!$B$2:$B$583=$F1252,'學員資料-新北高中'!$G$2:$G$583,""))</f>
        <v/>
      </c>
      <c r="S1252" t="str" cm="1">
        <f t="array" ref="S1252">_xlfn.TEXTJOIN("、",TRUE,IF('學員資料-三重商工'!$B$2:$B$472=$F1252,'學員資料-三重商工'!$G$2:$G$472,""))</f>
        <v/>
      </c>
      <c r="T1252">
        <f t="shared" si="19"/>
        <v>1</v>
      </c>
    </row>
    <row r="1253" spans="1:20" ht="14.25" hidden="1" customHeight="1">
      <c r="A1253" s="15">
        <v>1252</v>
      </c>
      <c r="B1253" s="16" t="s">
        <v>3987</v>
      </c>
      <c r="C1253" s="17">
        <v>45836</v>
      </c>
      <c r="D1253" s="15" t="s">
        <v>3988</v>
      </c>
      <c r="E1253" s="18" t="s">
        <v>161</v>
      </c>
      <c r="F1253" s="19" t="s">
        <v>3989</v>
      </c>
      <c r="G1253" s="18" t="s">
        <v>3990</v>
      </c>
      <c r="H1253" s="20" t="s">
        <v>130</v>
      </c>
      <c r="I1253" s="15">
        <v>1</v>
      </c>
      <c r="J1253" s="15" t="s">
        <v>25</v>
      </c>
      <c r="K1253" s="15"/>
      <c r="L1253" s="21" t="s">
        <v>16</v>
      </c>
      <c r="M1253" s="22">
        <v>0</v>
      </c>
      <c r="N1253" s="22">
        <v>0</v>
      </c>
      <c r="O1253" s="22">
        <v>9900</v>
      </c>
      <c r="P1253" s="22">
        <v>9900</v>
      </c>
      <c r="Q1253" t="str" cm="1">
        <f t="array" ref="Q1253">_xlfn.TEXTJOIN("、",TRUE,IF('學員資料-三民高中'!$B$2:$B$454=$F1253,'學員資料-三民高中'!$G$2:$G$454,""))</f>
        <v/>
      </c>
      <c r="R1253" t="str" cm="1">
        <f t="array" ref="R1253">_xlfn.TEXTJOIN("、",TRUE,IF('學員資料-新北高中'!$B$2:$B$583=$F1253,'學員資料-新北高中'!$G$2:$G$583,""))</f>
        <v/>
      </c>
      <c r="S1253" t="str" cm="1">
        <f t="array" ref="S1253">_xlfn.TEXTJOIN("、",TRUE,IF('學員資料-三重商工'!$B$2:$B$472=$F1253,'學員資料-三重商工'!$G$2:$G$472,""))</f>
        <v>0913009897</v>
      </c>
      <c r="T1253">
        <f t="shared" si="19"/>
        <v>1</v>
      </c>
    </row>
    <row r="1254" spans="1:20" ht="14.25" hidden="1" customHeight="1">
      <c r="A1254" s="15">
        <v>1253</v>
      </c>
      <c r="B1254" s="16" t="s">
        <v>3991</v>
      </c>
      <c r="C1254" s="17">
        <v>45836</v>
      </c>
      <c r="D1254" s="15" t="s">
        <v>3992</v>
      </c>
      <c r="E1254" s="18" t="s">
        <v>161</v>
      </c>
      <c r="F1254" s="19" t="s">
        <v>2600</v>
      </c>
      <c r="G1254" s="18" t="s">
        <v>2601</v>
      </c>
      <c r="H1254" s="20" t="s">
        <v>130</v>
      </c>
      <c r="I1254" s="15">
        <v>1</v>
      </c>
      <c r="J1254" s="15" t="s">
        <v>25</v>
      </c>
      <c r="K1254" s="15"/>
      <c r="L1254" s="21" t="s">
        <v>16</v>
      </c>
      <c r="M1254" s="22">
        <v>0</v>
      </c>
      <c r="N1254" s="22">
        <v>0</v>
      </c>
      <c r="O1254" s="22">
        <v>9900</v>
      </c>
      <c r="P1254" s="22">
        <v>9900</v>
      </c>
      <c r="Q1254" t="str" cm="1">
        <f t="array" ref="Q1254">_xlfn.TEXTJOIN("、",TRUE,IF('學員資料-三民高中'!$B$2:$B$454=$F1254,'學員資料-三民高中'!$G$2:$G$454,""))</f>
        <v/>
      </c>
      <c r="R1254" t="str" cm="1">
        <f t="array" ref="R1254">_xlfn.TEXTJOIN("、",TRUE,IF('學員資料-新北高中'!$B$2:$B$583=$F1254,'學員資料-新北高中'!$G$2:$G$583,""))</f>
        <v/>
      </c>
      <c r="S1254" t="str" cm="1">
        <f t="array" ref="S1254">_xlfn.TEXTJOIN("、",TRUE,IF('學員資料-三重商工'!$B$2:$B$472=$F1254,'學員資料-三重商工'!$G$2:$G$472,""))</f>
        <v>09109510055</v>
      </c>
      <c r="T1254">
        <f t="shared" si="19"/>
        <v>1</v>
      </c>
    </row>
    <row r="1255" spans="1:20" ht="14.25" hidden="1" customHeight="1">
      <c r="A1255" s="15">
        <v>1254</v>
      </c>
      <c r="B1255" s="16" t="s">
        <v>3993</v>
      </c>
      <c r="C1255" s="17">
        <v>45836</v>
      </c>
      <c r="D1255" s="15" t="s">
        <v>3994</v>
      </c>
      <c r="E1255" s="18" t="s">
        <v>763</v>
      </c>
      <c r="F1255" s="19" t="s">
        <v>3850</v>
      </c>
      <c r="G1255" s="18" t="s">
        <v>3851</v>
      </c>
      <c r="H1255" s="20" t="s">
        <v>3811</v>
      </c>
      <c r="I1255" s="15">
        <v>1</v>
      </c>
      <c r="J1255" s="15" t="s">
        <v>24</v>
      </c>
      <c r="K1255" s="21" t="s">
        <v>116</v>
      </c>
      <c r="L1255" s="21" t="s">
        <v>16</v>
      </c>
      <c r="M1255" s="22">
        <v>0</v>
      </c>
      <c r="N1255" s="22">
        <v>0</v>
      </c>
      <c r="O1255" s="22">
        <v>1200</v>
      </c>
      <c r="P1255" s="22">
        <v>1200</v>
      </c>
      <c r="Q1255" t="str" cm="1">
        <f t="array" ref="Q1255">_xlfn.TEXTJOIN("、",TRUE,IF('學員資料-三民高中'!$B$2:$B$454=$F1255,'學員資料-三民高中'!$G$2:$G$454,""))</f>
        <v>0955123331</v>
      </c>
      <c r="R1255" t="str" cm="1">
        <f t="array" ref="R1255">_xlfn.TEXTJOIN("、",TRUE,IF('學員資料-新北高中'!$B$2:$B$583=$F1255,'學員資料-新北高中'!$G$2:$G$583,""))</f>
        <v/>
      </c>
      <c r="S1255" t="str" cm="1">
        <f t="array" ref="S1255">_xlfn.TEXTJOIN("、",TRUE,IF('學員資料-三重商工'!$B$2:$B$472=$F1255,'學員資料-三重商工'!$G$2:$G$472,""))</f>
        <v/>
      </c>
      <c r="T1255">
        <f t="shared" si="19"/>
        <v>1</v>
      </c>
    </row>
    <row r="1256" spans="1:20" ht="14.25" hidden="1" customHeight="1">
      <c r="A1256" s="15">
        <v>1255</v>
      </c>
      <c r="B1256" s="16" t="s">
        <v>3995</v>
      </c>
      <c r="C1256" s="17">
        <v>45836</v>
      </c>
      <c r="D1256" s="15" t="s">
        <v>3996</v>
      </c>
      <c r="E1256" s="18" t="s">
        <v>161</v>
      </c>
      <c r="F1256" s="19" t="s">
        <v>759</v>
      </c>
      <c r="G1256" s="18" t="s">
        <v>760</v>
      </c>
      <c r="H1256" s="20" t="s">
        <v>52</v>
      </c>
      <c r="I1256" s="15">
        <v>1</v>
      </c>
      <c r="J1256" s="15" t="s">
        <v>24</v>
      </c>
      <c r="K1256" s="15"/>
      <c r="L1256" s="21" t="s">
        <v>16</v>
      </c>
      <c r="M1256" s="22">
        <v>0</v>
      </c>
      <c r="N1256" s="22">
        <v>0</v>
      </c>
      <c r="O1256" s="22">
        <v>7500</v>
      </c>
      <c r="P1256" s="22">
        <v>7500</v>
      </c>
      <c r="Q1256" t="str" cm="1">
        <f t="array" ref="Q1256">_xlfn.TEXTJOIN("、",TRUE,IF('學員資料-三民高中'!$B$2:$B$454=$F1256,'學員資料-三民高中'!$G$2:$G$454,""))</f>
        <v/>
      </c>
      <c r="R1256" t="str" cm="1">
        <f t="array" ref="R1256">_xlfn.TEXTJOIN("、",TRUE,IF('學員資料-新北高中'!$B$2:$B$583=$F1256,'學員資料-新北高中'!$G$2:$G$583,""))</f>
        <v/>
      </c>
      <c r="S1256" t="str" cm="1">
        <f t="array" ref="S1256">_xlfn.TEXTJOIN("、",TRUE,IF('學員資料-三重商工'!$B$2:$B$472=$F1256,'學員資料-三重商工'!$G$2:$G$472,""))</f>
        <v>0913561677</v>
      </c>
      <c r="T1256">
        <f t="shared" si="19"/>
        <v>1</v>
      </c>
    </row>
    <row r="1257" spans="1:20" ht="14.25" hidden="1" customHeight="1">
      <c r="A1257" s="15">
        <v>1256</v>
      </c>
      <c r="B1257" s="16" t="s">
        <v>3997</v>
      </c>
      <c r="C1257" s="17">
        <v>45836</v>
      </c>
      <c r="D1257" s="15" t="s">
        <v>3998</v>
      </c>
      <c r="E1257" s="18" t="s">
        <v>78</v>
      </c>
      <c r="F1257" s="19" t="s">
        <v>3488</v>
      </c>
      <c r="G1257" s="18" t="s">
        <v>3489</v>
      </c>
      <c r="H1257" s="20" t="s">
        <v>130</v>
      </c>
      <c r="I1257" s="15">
        <v>1</v>
      </c>
      <c r="J1257" s="15" t="s">
        <v>25</v>
      </c>
      <c r="K1257" s="15"/>
      <c r="L1257" s="21" t="s">
        <v>16</v>
      </c>
      <c r="M1257" s="22">
        <v>0</v>
      </c>
      <c r="N1257" s="22">
        <v>0</v>
      </c>
      <c r="O1257" s="22">
        <v>9900</v>
      </c>
      <c r="P1257" s="22">
        <v>9900</v>
      </c>
      <c r="Q1257" t="str" cm="1">
        <f t="array" ref="Q1257">_xlfn.TEXTJOIN("、",TRUE,IF('學員資料-三民高中'!$B$2:$B$454=$F1257,'學員資料-三民高中'!$G$2:$G$454,""))</f>
        <v/>
      </c>
      <c r="R1257" t="str" cm="1">
        <f t="array" ref="R1257">_xlfn.TEXTJOIN("、",TRUE,IF('學員資料-新北高中'!$B$2:$B$583=$F1257,'學員資料-新北高中'!$G$2:$G$583,""))</f>
        <v>0908553878</v>
      </c>
      <c r="S1257" t="str" cm="1">
        <f t="array" ref="S1257">_xlfn.TEXTJOIN("、",TRUE,IF('學員資料-三重商工'!$B$2:$B$472=$F1257,'學員資料-三重商工'!$G$2:$G$472,""))</f>
        <v/>
      </c>
      <c r="T1257">
        <f t="shared" si="19"/>
        <v>1</v>
      </c>
    </row>
    <row r="1258" spans="1:20" ht="14.25" hidden="1" customHeight="1">
      <c r="A1258" s="15">
        <v>1257</v>
      </c>
      <c r="B1258" s="16" t="s">
        <v>3999</v>
      </c>
      <c r="C1258" s="17">
        <v>45836</v>
      </c>
      <c r="D1258" s="15" t="s">
        <v>4000</v>
      </c>
      <c r="E1258" s="18" t="s">
        <v>763</v>
      </c>
      <c r="F1258" s="19" t="s">
        <v>4001</v>
      </c>
      <c r="G1258" s="18" t="s">
        <v>4002</v>
      </c>
      <c r="H1258" s="20" t="s">
        <v>210</v>
      </c>
      <c r="I1258" s="15">
        <v>1</v>
      </c>
      <c r="J1258" s="15" t="s">
        <v>26</v>
      </c>
      <c r="K1258" s="15"/>
      <c r="L1258" s="21" t="s">
        <v>16</v>
      </c>
      <c r="M1258" s="22">
        <v>0</v>
      </c>
      <c r="N1258" s="22">
        <v>0</v>
      </c>
      <c r="O1258" s="22">
        <v>12000</v>
      </c>
      <c r="P1258" s="22">
        <v>12000</v>
      </c>
      <c r="Q1258" t="str" cm="1">
        <f t="array" ref="Q1258">_xlfn.TEXTJOIN("、",TRUE,IF('學員資料-三民高中'!$B$2:$B$454=$F1258,'學員資料-三民高中'!$G$2:$G$454,""))</f>
        <v>0926088169</v>
      </c>
      <c r="R1258" t="str" cm="1">
        <f t="array" ref="R1258">_xlfn.TEXTJOIN("、",TRUE,IF('學員資料-新北高中'!$B$2:$B$583=$F1258,'學員資料-新北高中'!$G$2:$G$583,""))</f>
        <v/>
      </c>
      <c r="S1258" t="str" cm="1">
        <f t="array" ref="S1258">_xlfn.TEXTJOIN("、",TRUE,IF('學員資料-三重商工'!$B$2:$B$472=$F1258,'學員資料-三重商工'!$G$2:$G$472,""))</f>
        <v/>
      </c>
      <c r="T1258">
        <f t="shared" si="19"/>
        <v>1</v>
      </c>
    </row>
    <row r="1259" spans="1:20" ht="14.25" hidden="1" customHeight="1">
      <c r="A1259" s="15">
        <v>1258</v>
      </c>
      <c r="B1259" s="16" t="s">
        <v>4003</v>
      </c>
      <c r="C1259" s="17">
        <v>45834</v>
      </c>
      <c r="D1259" s="15" t="s">
        <v>4004</v>
      </c>
      <c r="E1259" s="18" t="s">
        <v>763</v>
      </c>
      <c r="F1259" s="19" t="s">
        <v>4005</v>
      </c>
      <c r="G1259" s="18" t="s">
        <v>4006</v>
      </c>
      <c r="H1259" s="20" t="s">
        <v>66</v>
      </c>
      <c r="I1259" s="15">
        <v>1</v>
      </c>
      <c r="J1259" s="15" t="s">
        <v>23</v>
      </c>
      <c r="K1259" s="15"/>
      <c r="L1259" s="21" t="s">
        <v>16</v>
      </c>
      <c r="M1259" s="22">
        <v>0</v>
      </c>
      <c r="N1259" s="22">
        <v>0</v>
      </c>
      <c r="O1259" s="22">
        <v>6900</v>
      </c>
      <c r="P1259" s="22">
        <v>6900</v>
      </c>
      <c r="Q1259" t="str" cm="1">
        <f t="array" ref="Q1259">_xlfn.TEXTJOIN("、",TRUE,IF('學員資料-三民高中'!$B$2:$B$454=$F1259,'學員資料-三民高中'!$G$2:$G$454,""))</f>
        <v/>
      </c>
      <c r="R1259" t="str" cm="1">
        <f t="array" ref="R1259">_xlfn.TEXTJOIN("、",TRUE,IF('學員資料-新北高中'!$B$2:$B$583=$F1259,'學員資料-新北高中'!$G$2:$G$583,""))</f>
        <v>0933377810</v>
      </c>
      <c r="S1259" t="str" cm="1">
        <f t="array" ref="S1259">_xlfn.TEXTJOIN("、",TRUE,IF('學員資料-三重商工'!$B$2:$B$472=$F1259,'學員資料-三重商工'!$G$2:$G$472,""))</f>
        <v/>
      </c>
      <c r="T1259">
        <f t="shared" si="19"/>
        <v>1</v>
      </c>
    </row>
    <row r="1260" spans="1:20" ht="14.25" hidden="1" customHeight="1">
      <c r="A1260" s="15">
        <v>1259</v>
      </c>
      <c r="B1260" s="16" t="s">
        <v>4007</v>
      </c>
      <c r="C1260" s="17">
        <v>45834</v>
      </c>
      <c r="D1260" s="15" t="s">
        <v>4008</v>
      </c>
      <c r="E1260" s="18" t="s">
        <v>3477</v>
      </c>
      <c r="F1260" s="19" t="s">
        <v>4009</v>
      </c>
      <c r="G1260" s="18" t="s">
        <v>4010</v>
      </c>
      <c r="H1260" s="20" t="s">
        <v>130</v>
      </c>
      <c r="I1260" s="15">
        <v>1</v>
      </c>
      <c r="J1260" s="15" t="s">
        <v>25</v>
      </c>
      <c r="K1260" s="15"/>
      <c r="L1260" s="21" t="s">
        <v>16</v>
      </c>
      <c r="M1260" s="22">
        <v>0</v>
      </c>
      <c r="N1260" s="22">
        <v>0</v>
      </c>
      <c r="O1260" s="22">
        <v>9900</v>
      </c>
      <c r="P1260" s="22">
        <v>9900</v>
      </c>
      <c r="Q1260" t="str" cm="1">
        <f t="array" ref="Q1260">_xlfn.TEXTJOIN("、",TRUE,IF('學員資料-三民高中'!$B$2:$B$454=$F1260,'學員資料-三民高中'!$G$2:$G$454,""))</f>
        <v/>
      </c>
      <c r="R1260" t="str" cm="1">
        <f t="array" ref="R1260">_xlfn.TEXTJOIN("、",TRUE,IF('學員資料-新北高中'!$B$2:$B$583=$F1260,'學員資料-新北高中'!$G$2:$G$583,""))</f>
        <v>0932347971</v>
      </c>
      <c r="S1260" t="str" cm="1">
        <f t="array" ref="S1260">_xlfn.TEXTJOIN("、",TRUE,IF('學員資料-三重商工'!$B$2:$B$472=$F1260,'學員資料-三重商工'!$G$2:$G$472,""))</f>
        <v/>
      </c>
      <c r="T1260">
        <f t="shared" si="19"/>
        <v>1</v>
      </c>
    </row>
    <row r="1261" spans="1:20" ht="14.25" hidden="1" customHeight="1">
      <c r="A1261" s="15">
        <v>1260</v>
      </c>
      <c r="B1261" s="16" t="s">
        <v>4011</v>
      </c>
      <c r="C1261" s="17">
        <v>45832</v>
      </c>
      <c r="D1261" s="15" t="s">
        <v>4012</v>
      </c>
      <c r="E1261" s="18" t="s">
        <v>83</v>
      </c>
      <c r="F1261" s="19" t="s">
        <v>4013</v>
      </c>
      <c r="G1261" s="18" t="s">
        <v>4014</v>
      </c>
      <c r="H1261" s="20" t="s">
        <v>52</v>
      </c>
      <c r="I1261" s="15">
        <v>1</v>
      </c>
      <c r="J1261" s="15" t="s">
        <v>24</v>
      </c>
      <c r="K1261" s="15"/>
      <c r="L1261" s="21" t="s">
        <v>16</v>
      </c>
      <c r="M1261" s="22">
        <v>0</v>
      </c>
      <c r="N1261" s="22">
        <v>0</v>
      </c>
      <c r="O1261" s="22">
        <v>7500</v>
      </c>
      <c r="P1261" s="22">
        <v>7500</v>
      </c>
      <c r="Q1261" t="str" cm="1">
        <f t="array" ref="Q1261">_xlfn.TEXTJOIN("、",TRUE,IF('學員資料-三民高中'!$B$2:$B$454=$F1261,'學員資料-三民高中'!$G$2:$G$454,""))</f>
        <v/>
      </c>
      <c r="R1261" t="str" cm="1">
        <f t="array" ref="R1261">_xlfn.TEXTJOIN("、",TRUE,IF('學員資料-新北高中'!$B$2:$B$583=$F1261,'學員資料-新北高中'!$G$2:$G$583,""))</f>
        <v/>
      </c>
      <c r="S1261" t="str" cm="1">
        <f t="array" ref="S1261">_xlfn.TEXTJOIN("、",TRUE,IF('學員資料-三重商工'!$B$2:$B$472=$F1261,'學員資料-三重商工'!$G$2:$G$472,""))</f>
        <v>0928527015</v>
      </c>
      <c r="T1261">
        <f t="shared" si="19"/>
        <v>1</v>
      </c>
    </row>
    <row r="1262" spans="1:20" ht="14.25" hidden="1" customHeight="1">
      <c r="A1262" s="15">
        <v>1261</v>
      </c>
      <c r="B1262" s="16" t="s">
        <v>4015</v>
      </c>
      <c r="C1262" s="17">
        <v>45831</v>
      </c>
      <c r="D1262" s="15" t="s">
        <v>4016</v>
      </c>
      <c r="E1262" s="18" t="s">
        <v>763</v>
      </c>
      <c r="F1262" s="19" t="s">
        <v>4017</v>
      </c>
      <c r="G1262" s="18" t="s">
        <v>4018</v>
      </c>
      <c r="H1262" s="20" t="s">
        <v>52</v>
      </c>
      <c r="I1262" s="15">
        <v>1</v>
      </c>
      <c r="J1262" s="15" t="s">
        <v>24</v>
      </c>
      <c r="K1262" s="15"/>
      <c r="L1262" s="21" t="s">
        <v>16</v>
      </c>
      <c r="M1262" s="22">
        <v>0</v>
      </c>
      <c r="N1262" s="22">
        <v>0</v>
      </c>
      <c r="O1262" s="22">
        <v>7500</v>
      </c>
      <c r="P1262" s="22">
        <v>7500</v>
      </c>
      <c r="Q1262" t="str" cm="1">
        <f t="array" ref="Q1262">_xlfn.TEXTJOIN("、",TRUE,IF('學員資料-三民高中'!$B$2:$B$454=$F1262,'學員資料-三民高中'!$G$2:$G$454,""))</f>
        <v>0975075722</v>
      </c>
      <c r="R1262" t="str" cm="1">
        <f t="array" ref="R1262">_xlfn.TEXTJOIN("、",TRUE,IF('學員資料-新北高中'!$B$2:$B$583=$F1262,'學員資料-新北高中'!$G$2:$G$583,""))</f>
        <v/>
      </c>
      <c r="S1262" t="str" cm="1">
        <f t="array" ref="S1262">_xlfn.TEXTJOIN("、",TRUE,IF('學員資料-三重商工'!$B$2:$B$472=$F1262,'學員資料-三重商工'!$G$2:$G$472,""))</f>
        <v/>
      </c>
      <c r="T1262">
        <f t="shared" si="19"/>
        <v>1</v>
      </c>
    </row>
    <row r="1263" spans="1:20" ht="14.25" hidden="1" customHeight="1">
      <c r="A1263" s="15">
        <v>1262</v>
      </c>
      <c r="B1263" s="16" t="s">
        <v>4019</v>
      </c>
      <c r="C1263" s="17">
        <v>45831</v>
      </c>
      <c r="D1263" s="15" t="s">
        <v>4020</v>
      </c>
      <c r="E1263" s="18" t="s">
        <v>3477</v>
      </c>
      <c r="F1263" s="19" t="s">
        <v>3963</v>
      </c>
      <c r="G1263" s="18" t="s">
        <v>3964</v>
      </c>
      <c r="H1263" s="20" t="s">
        <v>3766</v>
      </c>
      <c r="I1263" s="15">
        <v>1</v>
      </c>
      <c r="J1263" s="15" t="s">
        <v>24</v>
      </c>
      <c r="K1263" s="21" t="s">
        <v>116</v>
      </c>
      <c r="L1263" s="21" t="s">
        <v>16</v>
      </c>
      <c r="M1263" s="22">
        <v>0</v>
      </c>
      <c r="N1263" s="22">
        <v>0</v>
      </c>
      <c r="O1263" s="22">
        <v>1300</v>
      </c>
      <c r="P1263" s="22">
        <v>1300</v>
      </c>
      <c r="Q1263" t="str" cm="1">
        <f t="array" ref="Q1263">_xlfn.TEXTJOIN("、",TRUE,IF('學員資料-三民高中'!$B$2:$B$454=$F1263,'學員資料-三民高中'!$G$2:$G$454,""))</f>
        <v/>
      </c>
      <c r="R1263" t="str" cm="1">
        <f t="array" ref="R1263">_xlfn.TEXTJOIN("、",TRUE,IF('學員資料-新北高中'!$B$2:$B$583=$F1263,'學員資料-新北高中'!$G$2:$G$583,""))</f>
        <v>0981398589</v>
      </c>
      <c r="S1263" t="str" cm="1">
        <f t="array" ref="S1263">_xlfn.TEXTJOIN("、",TRUE,IF('學員資料-三重商工'!$B$2:$B$472=$F1263,'學員資料-三重商工'!$G$2:$G$472,""))</f>
        <v/>
      </c>
      <c r="T1263">
        <f t="shared" si="19"/>
        <v>1</v>
      </c>
    </row>
    <row r="1264" spans="1:20" ht="14.25" hidden="1" customHeight="1">
      <c r="A1264" s="15">
        <v>1263</v>
      </c>
      <c r="B1264" s="16" t="s">
        <v>4021</v>
      </c>
      <c r="C1264" s="17">
        <v>45830</v>
      </c>
      <c r="D1264" s="15" t="s">
        <v>4022</v>
      </c>
      <c r="E1264" s="18" t="s">
        <v>763</v>
      </c>
      <c r="F1264" s="19" t="s">
        <v>1596</v>
      </c>
      <c r="G1264" s="18" t="s">
        <v>1597</v>
      </c>
      <c r="H1264" s="20" t="s">
        <v>210</v>
      </c>
      <c r="I1264" s="15">
        <v>1</v>
      </c>
      <c r="J1264" s="15" t="s">
        <v>26</v>
      </c>
      <c r="K1264" s="15"/>
      <c r="L1264" s="21" t="s">
        <v>16</v>
      </c>
      <c r="M1264" s="22">
        <v>0</v>
      </c>
      <c r="N1264" s="22">
        <v>0</v>
      </c>
      <c r="O1264" s="22">
        <v>12000</v>
      </c>
      <c r="P1264" s="22">
        <v>12000</v>
      </c>
      <c r="Q1264" t="str" cm="1">
        <f t="array" ref="Q1264">_xlfn.TEXTJOIN("、",TRUE,IF('學員資料-三民高中'!$B$2:$B$454=$F1264,'學員資料-三民高中'!$G$2:$G$454,""))</f>
        <v>0927959290</v>
      </c>
      <c r="R1264" t="str" cm="1">
        <f t="array" ref="R1264">_xlfn.TEXTJOIN("、",TRUE,IF('學員資料-新北高中'!$B$2:$B$583=$F1264,'學員資料-新北高中'!$G$2:$G$583,""))</f>
        <v/>
      </c>
      <c r="S1264" t="str" cm="1">
        <f t="array" ref="S1264">_xlfn.TEXTJOIN("、",TRUE,IF('學員資料-三重商工'!$B$2:$B$472=$F1264,'學員資料-三重商工'!$G$2:$G$472,""))</f>
        <v/>
      </c>
      <c r="T1264">
        <f t="shared" si="19"/>
        <v>1</v>
      </c>
    </row>
    <row r="1265" spans="1:20" ht="14.25" hidden="1" customHeight="1">
      <c r="A1265" s="15">
        <v>1264</v>
      </c>
      <c r="B1265" s="16" t="s">
        <v>4023</v>
      </c>
      <c r="C1265" s="17">
        <v>45830</v>
      </c>
      <c r="D1265" s="15" t="s">
        <v>4024</v>
      </c>
      <c r="E1265" s="18" t="s">
        <v>763</v>
      </c>
      <c r="F1265" s="19" t="s">
        <v>408</v>
      </c>
      <c r="G1265" s="18" t="s">
        <v>409</v>
      </c>
      <c r="H1265" s="20" t="s">
        <v>52</v>
      </c>
      <c r="I1265" s="15">
        <v>1</v>
      </c>
      <c r="J1265" s="15" t="s">
        <v>24</v>
      </c>
      <c r="K1265" s="15"/>
      <c r="L1265" s="21" t="s">
        <v>16</v>
      </c>
      <c r="M1265" s="22">
        <v>0</v>
      </c>
      <c r="N1265" s="22">
        <v>0</v>
      </c>
      <c r="O1265" s="22">
        <v>7500</v>
      </c>
      <c r="P1265" s="22">
        <v>7500</v>
      </c>
      <c r="Q1265" t="str" cm="1">
        <f t="array" ref="Q1265">_xlfn.TEXTJOIN("、",TRUE,IF('學員資料-三民高中'!$B$2:$B$454=$F1265,'學員資料-三民高中'!$G$2:$G$454,""))</f>
        <v>0952262710</v>
      </c>
      <c r="R1265" t="str" cm="1">
        <f t="array" ref="R1265">_xlfn.TEXTJOIN("、",TRUE,IF('學員資料-新北高中'!$B$2:$B$583=$F1265,'學員資料-新北高中'!$G$2:$G$583,""))</f>
        <v/>
      </c>
      <c r="S1265" t="str" cm="1">
        <f t="array" ref="S1265">_xlfn.TEXTJOIN("、",TRUE,IF('學員資料-三重商工'!$B$2:$B$472=$F1265,'學員資料-三重商工'!$G$2:$G$472,""))</f>
        <v/>
      </c>
      <c r="T1265">
        <f t="shared" si="19"/>
        <v>1</v>
      </c>
    </row>
    <row r="1266" spans="1:20" ht="14.25" hidden="1" customHeight="1">
      <c r="A1266" s="15">
        <v>1265</v>
      </c>
      <c r="B1266" s="16" t="s">
        <v>4025</v>
      </c>
      <c r="C1266" s="17">
        <v>45830</v>
      </c>
      <c r="D1266" s="15" t="s">
        <v>4026</v>
      </c>
      <c r="E1266" s="23"/>
      <c r="F1266" s="19" t="s">
        <v>196</v>
      </c>
      <c r="G1266" s="18" t="s">
        <v>197</v>
      </c>
      <c r="H1266" s="20" t="s">
        <v>52</v>
      </c>
      <c r="I1266" s="15">
        <v>1</v>
      </c>
      <c r="J1266" s="15" t="s">
        <v>24</v>
      </c>
      <c r="K1266" s="15"/>
      <c r="L1266" s="21" t="s">
        <v>16</v>
      </c>
      <c r="M1266" s="22">
        <v>0</v>
      </c>
      <c r="N1266" s="22">
        <v>0</v>
      </c>
      <c r="O1266" s="22">
        <v>7500</v>
      </c>
      <c r="P1266" s="22">
        <v>7500</v>
      </c>
      <c r="Q1266" t="str" cm="1">
        <f t="array" ref="Q1266">_xlfn.TEXTJOIN("、",TRUE,IF('學員資料-三民高中'!$B$2:$B$454=$F1266,'學員資料-三民高中'!$G$2:$G$454,""))</f>
        <v/>
      </c>
      <c r="R1266" t="str" cm="1">
        <f t="array" ref="R1266">_xlfn.TEXTJOIN("、",TRUE,IF('學員資料-新北高中'!$B$2:$B$583=$F1266,'學員資料-新北高中'!$G$2:$G$583,""))</f>
        <v>0932386894</v>
      </c>
      <c r="S1266" t="str" cm="1">
        <f t="array" ref="S1266">_xlfn.TEXTJOIN("、",TRUE,IF('學員資料-三重商工'!$B$2:$B$472=$F1266,'學員資料-三重商工'!$G$2:$G$472,""))</f>
        <v/>
      </c>
      <c r="T1266">
        <f t="shared" si="19"/>
        <v>1</v>
      </c>
    </row>
    <row r="1267" spans="1:20" ht="14.25" hidden="1" customHeight="1">
      <c r="A1267" s="15">
        <v>1266</v>
      </c>
      <c r="B1267" s="16" t="s">
        <v>4027</v>
      </c>
      <c r="C1267" s="17">
        <v>45830</v>
      </c>
      <c r="D1267" s="15" t="s">
        <v>4028</v>
      </c>
      <c r="E1267" s="18" t="s">
        <v>763</v>
      </c>
      <c r="F1267" s="19" t="s">
        <v>3967</v>
      </c>
      <c r="G1267" s="18" t="s">
        <v>3968</v>
      </c>
      <c r="H1267" s="20" t="s">
        <v>2989</v>
      </c>
      <c r="I1267" s="15">
        <v>1</v>
      </c>
      <c r="J1267" s="15" t="s">
        <v>23</v>
      </c>
      <c r="K1267" s="21" t="s">
        <v>116</v>
      </c>
      <c r="L1267" s="21" t="s">
        <v>16</v>
      </c>
      <c r="M1267" s="22">
        <v>0</v>
      </c>
      <c r="N1267" s="22">
        <v>0</v>
      </c>
      <c r="O1267" s="22">
        <v>1200</v>
      </c>
      <c r="P1267" s="22">
        <v>1200</v>
      </c>
      <c r="Q1267" t="str" cm="1">
        <f t="array" ref="Q1267">_xlfn.TEXTJOIN("、",TRUE,IF('學員資料-三民高中'!$B$2:$B$454=$F1267,'學員資料-三民高中'!$G$2:$G$454,""))</f>
        <v>0932139885</v>
      </c>
      <c r="R1267" t="str" cm="1">
        <f t="array" ref="R1267">_xlfn.TEXTJOIN("、",TRUE,IF('學員資料-新北高中'!$B$2:$B$583=$F1267,'學員資料-新北高中'!$G$2:$G$583,""))</f>
        <v/>
      </c>
      <c r="S1267" t="str" cm="1">
        <f t="array" ref="S1267">_xlfn.TEXTJOIN("、",TRUE,IF('學員資料-三重商工'!$B$2:$B$472=$F1267,'學員資料-三重商工'!$G$2:$G$472,""))</f>
        <v/>
      </c>
      <c r="T1267">
        <f t="shared" si="19"/>
        <v>1</v>
      </c>
    </row>
    <row r="1268" spans="1:20" ht="14.25" hidden="1" customHeight="1">
      <c r="A1268" s="15">
        <v>1267</v>
      </c>
      <c r="B1268" s="16" t="s">
        <v>4029</v>
      </c>
      <c r="C1268" s="17">
        <v>45829</v>
      </c>
      <c r="D1268" s="15" t="s">
        <v>4030</v>
      </c>
      <c r="E1268" s="18" t="s">
        <v>44</v>
      </c>
      <c r="F1268" s="19" t="s">
        <v>4031</v>
      </c>
      <c r="G1268" s="18" t="s">
        <v>4032</v>
      </c>
      <c r="H1268" s="20" t="s">
        <v>52</v>
      </c>
      <c r="I1268" s="15">
        <v>1</v>
      </c>
      <c r="J1268" s="15" t="s">
        <v>24</v>
      </c>
      <c r="K1268" s="15"/>
      <c r="L1268" s="21" t="s">
        <v>16</v>
      </c>
      <c r="M1268" s="22">
        <v>0</v>
      </c>
      <c r="N1268" s="22">
        <v>0</v>
      </c>
      <c r="O1268" s="22">
        <v>7500</v>
      </c>
      <c r="P1268" s="22">
        <v>7500</v>
      </c>
      <c r="Q1268" t="str" cm="1">
        <f t="array" ref="Q1268">_xlfn.TEXTJOIN("、",TRUE,IF('學員資料-三民高中'!$B$2:$B$454=$F1268,'學員資料-三民高中'!$G$2:$G$454,""))</f>
        <v/>
      </c>
      <c r="R1268" t="str" cm="1">
        <f t="array" ref="R1268">_xlfn.TEXTJOIN("、",TRUE,IF('學員資料-新北高中'!$B$2:$B$583=$F1268,'學員資料-新北高中'!$G$2:$G$583,""))</f>
        <v/>
      </c>
      <c r="S1268" t="str" cm="1">
        <f t="array" ref="S1268">_xlfn.TEXTJOIN("、",TRUE,IF('學員資料-三重商工'!$B$2:$B$472=$F1268,'學員資料-三重商工'!$G$2:$G$472,""))</f>
        <v>0981151111</v>
      </c>
      <c r="T1268">
        <f t="shared" si="19"/>
        <v>1</v>
      </c>
    </row>
    <row r="1269" spans="1:20" ht="14.25" hidden="1" customHeight="1">
      <c r="A1269" s="15">
        <v>1268</v>
      </c>
      <c r="B1269" s="16" t="s">
        <v>4033</v>
      </c>
      <c r="C1269" s="17">
        <v>45829</v>
      </c>
      <c r="D1269" s="15" t="s">
        <v>4034</v>
      </c>
      <c r="E1269" s="18" t="s">
        <v>763</v>
      </c>
      <c r="F1269" s="19" t="s">
        <v>2509</v>
      </c>
      <c r="G1269" s="18" t="s">
        <v>2510</v>
      </c>
      <c r="H1269" s="20" t="s">
        <v>130</v>
      </c>
      <c r="I1269" s="15">
        <v>1</v>
      </c>
      <c r="J1269" s="15" t="s">
        <v>25</v>
      </c>
      <c r="K1269" s="15"/>
      <c r="L1269" s="21" t="s">
        <v>16</v>
      </c>
      <c r="M1269" s="22">
        <v>0</v>
      </c>
      <c r="N1269" s="22">
        <v>0</v>
      </c>
      <c r="O1269" s="22">
        <v>9900</v>
      </c>
      <c r="P1269" s="22">
        <v>9900</v>
      </c>
      <c r="Q1269" t="str" cm="1">
        <f t="array" ref="Q1269">_xlfn.TEXTJOIN("、",TRUE,IF('學員資料-三民高中'!$B$2:$B$454=$F1269,'學員資料-三民高中'!$G$2:$G$454,""))</f>
        <v>0978773970</v>
      </c>
      <c r="R1269" t="str" cm="1">
        <f t="array" ref="R1269">_xlfn.TEXTJOIN("、",TRUE,IF('學員資料-新北高中'!$B$2:$B$583=$F1269,'學員資料-新北高中'!$G$2:$G$583,""))</f>
        <v/>
      </c>
      <c r="S1269" t="str" cm="1">
        <f t="array" ref="S1269">_xlfn.TEXTJOIN("、",TRUE,IF('學員資料-三重商工'!$B$2:$B$472=$F1269,'學員資料-三重商工'!$G$2:$G$472,""))</f>
        <v/>
      </c>
      <c r="T1269">
        <f t="shared" si="19"/>
        <v>1</v>
      </c>
    </row>
    <row r="1270" spans="1:20" ht="14.25" hidden="1" customHeight="1">
      <c r="A1270" s="15">
        <v>1269</v>
      </c>
      <c r="B1270" s="16" t="s">
        <v>4035</v>
      </c>
      <c r="C1270" s="17">
        <v>45829</v>
      </c>
      <c r="D1270" s="15" t="s">
        <v>4036</v>
      </c>
      <c r="E1270" s="18" t="s">
        <v>763</v>
      </c>
      <c r="F1270" s="19" t="s">
        <v>4037</v>
      </c>
      <c r="G1270" s="18" t="s">
        <v>4038</v>
      </c>
      <c r="H1270" s="20" t="s">
        <v>52</v>
      </c>
      <c r="I1270" s="15">
        <v>1</v>
      </c>
      <c r="J1270" s="15" t="s">
        <v>24</v>
      </c>
      <c r="K1270" s="15"/>
      <c r="L1270" s="21" t="s">
        <v>16</v>
      </c>
      <c r="M1270" s="22">
        <v>0</v>
      </c>
      <c r="N1270" s="22">
        <v>0</v>
      </c>
      <c r="O1270" s="22">
        <v>7500</v>
      </c>
      <c r="P1270" s="22">
        <v>7500</v>
      </c>
      <c r="Q1270" t="str" cm="1">
        <f t="array" ref="Q1270">_xlfn.TEXTJOIN("、",TRUE,IF('學員資料-三民高中'!$B$2:$B$454=$F1270,'學員資料-三民高中'!$G$2:$G$454,""))</f>
        <v>0952317917</v>
      </c>
      <c r="R1270" t="str" cm="1">
        <f t="array" ref="R1270">_xlfn.TEXTJOIN("、",TRUE,IF('學員資料-新北高中'!$B$2:$B$583=$F1270,'學員資料-新北高中'!$G$2:$G$583,""))</f>
        <v/>
      </c>
      <c r="S1270" t="str" cm="1">
        <f t="array" ref="S1270">_xlfn.TEXTJOIN("、",TRUE,IF('學員資料-三重商工'!$B$2:$B$472=$F1270,'學員資料-三重商工'!$G$2:$G$472,""))</f>
        <v/>
      </c>
      <c r="T1270">
        <f t="shared" si="19"/>
        <v>1</v>
      </c>
    </row>
    <row r="1271" spans="1:20" ht="14.25" hidden="1" customHeight="1">
      <c r="A1271" s="15">
        <v>1270</v>
      </c>
      <c r="B1271" s="16" t="s">
        <v>4039</v>
      </c>
      <c r="C1271" s="17">
        <v>45829</v>
      </c>
      <c r="D1271" s="15" t="s">
        <v>4040</v>
      </c>
      <c r="E1271" s="18" t="s">
        <v>763</v>
      </c>
      <c r="F1271" s="19" t="s">
        <v>2158</v>
      </c>
      <c r="G1271" s="18" t="s">
        <v>2159</v>
      </c>
      <c r="H1271" s="20" t="s">
        <v>130</v>
      </c>
      <c r="I1271" s="15">
        <v>1</v>
      </c>
      <c r="J1271" s="15" t="s">
        <v>25</v>
      </c>
      <c r="K1271" s="15"/>
      <c r="L1271" s="21" t="s">
        <v>16</v>
      </c>
      <c r="M1271" s="22">
        <v>0</v>
      </c>
      <c r="N1271" s="22">
        <v>0</v>
      </c>
      <c r="O1271" s="22">
        <v>9900</v>
      </c>
      <c r="P1271" s="22">
        <v>9900</v>
      </c>
      <c r="Q1271" t="str" cm="1">
        <f t="array" ref="Q1271">_xlfn.TEXTJOIN("、",TRUE,IF('學員資料-三民高中'!$B$2:$B$454=$F1271,'學員資料-三民高中'!$G$2:$G$454,""))</f>
        <v>0922600356</v>
      </c>
      <c r="R1271" t="str" cm="1">
        <f t="array" ref="R1271">_xlfn.TEXTJOIN("、",TRUE,IF('學員資料-新北高中'!$B$2:$B$583=$F1271,'學員資料-新北高中'!$G$2:$G$583,""))</f>
        <v/>
      </c>
      <c r="S1271" t="str" cm="1">
        <f t="array" ref="S1271">_xlfn.TEXTJOIN("、",TRUE,IF('學員資料-三重商工'!$B$2:$B$472=$F1271,'學員資料-三重商工'!$G$2:$G$472,""))</f>
        <v/>
      </c>
      <c r="T1271">
        <f t="shared" si="19"/>
        <v>1</v>
      </c>
    </row>
    <row r="1272" spans="1:20" ht="14.25" customHeight="1">
      <c r="A1272" s="15">
        <v>1271</v>
      </c>
      <c r="B1272" s="16" t="s">
        <v>4041</v>
      </c>
      <c r="C1272" s="17">
        <v>45829</v>
      </c>
      <c r="D1272" s="15" t="s">
        <v>4042</v>
      </c>
      <c r="E1272" s="18" t="s">
        <v>78</v>
      </c>
      <c r="F1272" s="19" t="s">
        <v>698</v>
      </c>
      <c r="G1272" s="18" t="s">
        <v>699</v>
      </c>
      <c r="H1272" s="20" t="s">
        <v>66</v>
      </c>
      <c r="I1272" s="15">
        <v>1</v>
      </c>
      <c r="J1272" s="15" t="s">
        <v>23</v>
      </c>
      <c r="K1272" s="15"/>
      <c r="L1272" s="21" t="s">
        <v>16</v>
      </c>
      <c r="M1272" s="22">
        <v>0</v>
      </c>
      <c r="N1272" s="22">
        <v>0</v>
      </c>
      <c r="O1272" s="22">
        <v>6900</v>
      </c>
      <c r="P1272" s="22">
        <v>6900</v>
      </c>
      <c r="Q1272" t="str" cm="1">
        <f t="array" ref="Q1272">_xlfn.TEXTJOIN("、",TRUE,IF('學員資料-三民高中'!$B$2:$B$454=$F1272,'學員資料-三民高中'!$G$2:$G$454,""))</f>
        <v/>
      </c>
      <c r="R1272" t="str" cm="1">
        <f t="array" ref="R1272">_xlfn.TEXTJOIN("、",TRUE,IF('學員資料-新北高中'!$B$2:$B$583=$F1272,'學員資料-新北高中'!$G$2:$G$583,""))</f>
        <v/>
      </c>
      <c r="S1272" t="str" cm="1">
        <f t="array" ref="S1272">_xlfn.TEXTJOIN("、",TRUE,IF('學員資料-三重商工'!$B$2:$B$472=$F1272,'學員資料-三重商工'!$G$2:$G$472,""))</f>
        <v/>
      </c>
      <c r="T1272">
        <f t="shared" si="19"/>
        <v>0</v>
      </c>
    </row>
    <row r="1273" spans="1:20" ht="14.25" hidden="1" customHeight="1">
      <c r="A1273" s="15">
        <v>1272</v>
      </c>
      <c r="B1273" s="16" t="s">
        <v>4043</v>
      </c>
      <c r="C1273" s="17">
        <v>45828</v>
      </c>
      <c r="D1273" s="15" t="s">
        <v>4044</v>
      </c>
      <c r="E1273" s="18" t="s">
        <v>83</v>
      </c>
      <c r="F1273" s="19" t="s">
        <v>4045</v>
      </c>
      <c r="G1273" s="18" t="s">
        <v>4046</v>
      </c>
      <c r="H1273" s="20" t="s">
        <v>52</v>
      </c>
      <c r="I1273" s="15">
        <v>1</v>
      </c>
      <c r="J1273" s="15" t="s">
        <v>24</v>
      </c>
      <c r="K1273" s="15"/>
      <c r="L1273" s="21" t="s">
        <v>16</v>
      </c>
      <c r="M1273" s="22">
        <v>0</v>
      </c>
      <c r="N1273" s="22">
        <v>0</v>
      </c>
      <c r="O1273" s="22">
        <v>7500</v>
      </c>
      <c r="P1273" s="22">
        <v>7500</v>
      </c>
      <c r="Q1273" t="str" cm="1">
        <f t="array" ref="Q1273">_xlfn.TEXTJOIN("、",TRUE,IF('學員資料-三民高中'!$B$2:$B$454=$F1273,'學員資料-三民高中'!$G$2:$G$454,""))</f>
        <v/>
      </c>
      <c r="R1273" t="str" cm="1">
        <f t="array" ref="R1273">_xlfn.TEXTJOIN("、",TRUE,IF('學員資料-新北高中'!$B$2:$B$583=$F1273,'學員資料-新北高中'!$G$2:$G$583,""))</f>
        <v/>
      </c>
      <c r="S1273" t="str" cm="1">
        <f t="array" ref="S1273">_xlfn.TEXTJOIN("、",TRUE,IF('學員資料-三重商工'!$B$2:$B$472=$F1273,'學員資料-三重商工'!$G$2:$G$472,""))</f>
        <v>0926825939</v>
      </c>
      <c r="T1273">
        <f t="shared" si="19"/>
        <v>1</v>
      </c>
    </row>
    <row r="1274" spans="1:20" ht="14.25" hidden="1" customHeight="1">
      <c r="A1274" s="15">
        <v>1273</v>
      </c>
      <c r="B1274" s="16" t="s">
        <v>4047</v>
      </c>
      <c r="C1274" s="17">
        <v>45827</v>
      </c>
      <c r="D1274" s="15" t="s">
        <v>4048</v>
      </c>
      <c r="E1274" s="18" t="s">
        <v>83</v>
      </c>
      <c r="F1274" s="19" t="s">
        <v>1787</v>
      </c>
      <c r="G1274" s="18" t="s">
        <v>1788</v>
      </c>
      <c r="H1274" s="20" t="s">
        <v>52</v>
      </c>
      <c r="I1274" s="15">
        <v>1</v>
      </c>
      <c r="J1274" s="15" t="s">
        <v>24</v>
      </c>
      <c r="K1274" s="15"/>
      <c r="L1274" s="21" t="s">
        <v>16</v>
      </c>
      <c r="M1274" s="22">
        <v>0</v>
      </c>
      <c r="N1274" s="22">
        <v>0</v>
      </c>
      <c r="O1274" s="22">
        <v>7500</v>
      </c>
      <c r="P1274" s="22">
        <v>7500</v>
      </c>
      <c r="Q1274" t="str" cm="1">
        <f t="array" ref="Q1274">_xlfn.TEXTJOIN("、",TRUE,IF('學員資料-三民高中'!$B$2:$B$454=$F1274,'學員資料-三民高中'!$G$2:$G$454,""))</f>
        <v/>
      </c>
      <c r="R1274" t="str" cm="1">
        <f t="array" ref="R1274">_xlfn.TEXTJOIN("、",TRUE,IF('學員資料-新北高中'!$B$2:$B$583=$F1274,'學員資料-新北高中'!$G$2:$G$583,""))</f>
        <v/>
      </c>
      <c r="S1274" t="str" cm="1">
        <f t="array" ref="S1274">_xlfn.TEXTJOIN("、",TRUE,IF('學員資料-三重商工'!$B$2:$B$472=$F1274,'學員資料-三重商工'!$G$2:$G$472,""))</f>
        <v>0988797796</v>
      </c>
      <c r="T1274">
        <f t="shared" si="19"/>
        <v>1</v>
      </c>
    </row>
    <row r="1275" spans="1:20" ht="28.5" hidden="1" customHeight="1">
      <c r="A1275" s="15">
        <v>1274</v>
      </c>
      <c r="B1275" s="16" t="s">
        <v>4049</v>
      </c>
      <c r="C1275" s="17">
        <v>45827</v>
      </c>
      <c r="D1275" s="15" t="s">
        <v>4050</v>
      </c>
      <c r="E1275" s="18" t="s">
        <v>402</v>
      </c>
      <c r="F1275" s="19" t="s">
        <v>770</v>
      </c>
      <c r="G1275" s="18" t="s">
        <v>771</v>
      </c>
      <c r="H1275" s="20" t="s">
        <v>219</v>
      </c>
      <c r="I1275" s="15">
        <v>2</v>
      </c>
      <c r="J1275" s="15" t="s">
        <v>25</v>
      </c>
      <c r="K1275" s="15"/>
      <c r="L1275" s="21" t="s">
        <v>16</v>
      </c>
      <c r="M1275" s="22">
        <v>0</v>
      </c>
      <c r="N1275" s="22">
        <v>-990</v>
      </c>
      <c r="O1275" s="22">
        <v>18810</v>
      </c>
      <c r="P1275" s="22">
        <v>18810</v>
      </c>
      <c r="Q1275" t="str" cm="1">
        <f t="array" ref="Q1275">_xlfn.TEXTJOIN("、",TRUE,IF('學員資料-三民高中'!$B$2:$B$454=$F1275,'學員資料-三民高中'!$G$2:$G$454,""))</f>
        <v/>
      </c>
      <c r="R1275" t="str" cm="1">
        <f t="array" ref="R1275">_xlfn.TEXTJOIN("、",TRUE,IF('學員資料-新北高中'!$B$2:$B$583=$F1275,'學員資料-新北高中'!$G$2:$G$583,""))</f>
        <v>0918884177</v>
      </c>
      <c r="S1275" t="str" cm="1">
        <f t="array" ref="S1275">_xlfn.TEXTJOIN("、",TRUE,IF('學員資料-三重商工'!$B$2:$B$472=$F1275,'學員資料-三重商工'!$G$2:$G$472,""))</f>
        <v/>
      </c>
      <c r="T1275">
        <f t="shared" si="19"/>
        <v>1</v>
      </c>
    </row>
    <row r="1276" spans="1:20" ht="14.25" hidden="1" customHeight="1">
      <c r="A1276" s="15">
        <v>1275</v>
      </c>
      <c r="B1276" s="16" t="s">
        <v>4051</v>
      </c>
      <c r="C1276" s="17">
        <v>45826</v>
      </c>
      <c r="D1276" s="15" t="s">
        <v>4052</v>
      </c>
      <c r="E1276" s="18" t="s">
        <v>763</v>
      </c>
      <c r="F1276" s="19" t="s">
        <v>1680</v>
      </c>
      <c r="G1276" s="18" t="s">
        <v>1681</v>
      </c>
      <c r="H1276" s="20" t="s">
        <v>52</v>
      </c>
      <c r="I1276" s="15">
        <v>1</v>
      </c>
      <c r="J1276" s="15" t="s">
        <v>24</v>
      </c>
      <c r="K1276" s="15"/>
      <c r="L1276" s="21" t="s">
        <v>16</v>
      </c>
      <c r="M1276" s="22">
        <v>0</v>
      </c>
      <c r="N1276" s="22">
        <v>0</v>
      </c>
      <c r="O1276" s="22">
        <v>7500</v>
      </c>
      <c r="P1276" s="22">
        <v>7500</v>
      </c>
      <c r="Q1276" t="str" cm="1">
        <f t="array" ref="Q1276">_xlfn.TEXTJOIN("、",TRUE,IF('學員資料-三民高中'!$B$2:$B$454=$F1276,'學員資料-三民高中'!$G$2:$G$454,""))</f>
        <v>0926750010</v>
      </c>
      <c r="R1276" t="str" cm="1">
        <f t="array" ref="R1276">_xlfn.TEXTJOIN("、",TRUE,IF('學員資料-新北高中'!$B$2:$B$583=$F1276,'學員資料-新北高中'!$G$2:$G$583,""))</f>
        <v/>
      </c>
      <c r="S1276" t="str" cm="1">
        <f t="array" ref="S1276">_xlfn.TEXTJOIN("、",TRUE,IF('學員資料-三重商工'!$B$2:$B$472=$F1276,'學員資料-三重商工'!$G$2:$G$472,""))</f>
        <v/>
      </c>
      <c r="T1276">
        <f t="shared" si="19"/>
        <v>1</v>
      </c>
    </row>
    <row r="1277" spans="1:20" ht="14.25" hidden="1" customHeight="1">
      <c r="A1277" s="15">
        <v>1276</v>
      </c>
      <c r="B1277" s="16" t="s">
        <v>4053</v>
      </c>
      <c r="C1277" s="17">
        <v>45825</v>
      </c>
      <c r="D1277" s="15" t="s">
        <v>4054</v>
      </c>
      <c r="E1277" s="18" t="s">
        <v>3477</v>
      </c>
      <c r="F1277" s="19" t="s">
        <v>2734</v>
      </c>
      <c r="G1277" s="18" t="s">
        <v>2735</v>
      </c>
      <c r="H1277" s="20" t="s">
        <v>52</v>
      </c>
      <c r="I1277" s="15">
        <v>1</v>
      </c>
      <c r="J1277" s="15" t="s">
        <v>24</v>
      </c>
      <c r="K1277" s="15"/>
      <c r="L1277" s="21" t="s">
        <v>16</v>
      </c>
      <c r="M1277" s="22">
        <v>0</v>
      </c>
      <c r="N1277" s="22">
        <v>0</v>
      </c>
      <c r="O1277" s="22">
        <v>7500</v>
      </c>
      <c r="P1277" s="22">
        <v>7500</v>
      </c>
      <c r="Q1277" t="str" cm="1">
        <f t="array" ref="Q1277">_xlfn.TEXTJOIN("、",TRUE,IF('學員資料-三民高中'!$B$2:$B$454=$F1277,'學員資料-三民高中'!$G$2:$G$454,""))</f>
        <v>0935096728</v>
      </c>
      <c r="R1277" t="str" cm="1">
        <f t="array" ref="R1277">_xlfn.TEXTJOIN("、",TRUE,IF('學員資料-新北高中'!$B$2:$B$583=$F1277,'學員資料-新北高中'!$G$2:$G$583,""))</f>
        <v/>
      </c>
      <c r="S1277" t="str" cm="1">
        <f t="array" ref="S1277">_xlfn.TEXTJOIN("、",TRUE,IF('學員資料-三重商工'!$B$2:$B$472=$F1277,'學員資料-三重商工'!$G$2:$G$472,""))</f>
        <v/>
      </c>
      <c r="T1277">
        <f t="shared" si="19"/>
        <v>1</v>
      </c>
    </row>
    <row r="1278" spans="1:20" ht="14.25" hidden="1" customHeight="1">
      <c r="A1278" s="15">
        <v>1277</v>
      </c>
      <c r="B1278" s="16" t="s">
        <v>4055</v>
      </c>
      <c r="C1278" s="17">
        <v>45825</v>
      </c>
      <c r="D1278" s="15" t="s">
        <v>4056</v>
      </c>
      <c r="E1278" s="18" t="s">
        <v>3477</v>
      </c>
      <c r="F1278" s="19" t="s">
        <v>4057</v>
      </c>
      <c r="G1278" s="18" t="s">
        <v>4058</v>
      </c>
      <c r="H1278" s="20" t="s">
        <v>66</v>
      </c>
      <c r="I1278" s="15">
        <v>1</v>
      </c>
      <c r="J1278" s="15" t="s">
        <v>23</v>
      </c>
      <c r="K1278" s="15"/>
      <c r="L1278" s="21" t="s">
        <v>16</v>
      </c>
      <c r="M1278" s="22">
        <v>0</v>
      </c>
      <c r="N1278" s="22">
        <v>-345</v>
      </c>
      <c r="O1278" s="22">
        <v>6555</v>
      </c>
      <c r="P1278" s="22">
        <v>6555</v>
      </c>
      <c r="Q1278" t="str" cm="1">
        <f t="array" ref="Q1278">_xlfn.TEXTJOIN("、",TRUE,IF('學員資料-三民高中'!$B$2:$B$454=$F1278,'學員資料-三民高中'!$G$2:$G$454,""))</f>
        <v>0955948981-1</v>
      </c>
      <c r="R1278" t="str" cm="1">
        <f t="array" ref="R1278">_xlfn.TEXTJOIN("、",TRUE,IF('學員資料-新北高中'!$B$2:$B$583=$F1278,'學員資料-新北高中'!$G$2:$G$583,""))</f>
        <v/>
      </c>
      <c r="S1278" t="str" cm="1">
        <f t="array" ref="S1278">_xlfn.TEXTJOIN("、",TRUE,IF('學員資料-三重商工'!$B$2:$B$472=$F1278,'學員資料-三重商工'!$G$2:$G$472,""))</f>
        <v/>
      </c>
      <c r="T1278">
        <f t="shared" si="19"/>
        <v>1</v>
      </c>
    </row>
    <row r="1279" spans="1:20" ht="14.25" hidden="1" customHeight="1">
      <c r="A1279" s="15">
        <v>1278</v>
      </c>
      <c r="B1279" s="16" t="s">
        <v>4059</v>
      </c>
      <c r="C1279" s="17">
        <v>45824</v>
      </c>
      <c r="D1279" s="15" t="s">
        <v>4060</v>
      </c>
      <c r="E1279" s="18" t="s">
        <v>763</v>
      </c>
      <c r="F1279" s="19" t="s">
        <v>4061</v>
      </c>
      <c r="G1279" s="18" t="s">
        <v>4062</v>
      </c>
      <c r="H1279" s="20" t="s">
        <v>66</v>
      </c>
      <c r="I1279" s="15">
        <v>1</v>
      </c>
      <c r="J1279" s="15" t="s">
        <v>23</v>
      </c>
      <c r="K1279" s="15"/>
      <c r="L1279" s="21" t="s">
        <v>16</v>
      </c>
      <c r="M1279" s="22">
        <v>0</v>
      </c>
      <c r="N1279" s="22">
        <v>0</v>
      </c>
      <c r="O1279" s="22">
        <v>6900</v>
      </c>
      <c r="P1279" s="22">
        <v>6900</v>
      </c>
      <c r="Q1279" t="str" cm="1">
        <f t="array" ref="Q1279">_xlfn.TEXTJOIN("、",TRUE,IF('學員資料-三民高中'!$B$2:$B$454=$F1279,'學員資料-三民高中'!$G$2:$G$454,""))</f>
        <v>0939645655</v>
      </c>
      <c r="R1279" t="str" cm="1">
        <f t="array" ref="R1279">_xlfn.TEXTJOIN("、",TRUE,IF('學員資料-新北高中'!$B$2:$B$583=$F1279,'學員資料-新北高中'!$G$2:$G$583,""))</f>
        <v/>
      </c>
      <c r="S1279" t="str" cm="1">
        <f t="array" ref="S1279">_xlfn.TEXTJOIN("、",TRUE,IF('學員資料-三重商工'!$B$2:$B$472=$F1279,'學員資料-三重商工'!$G$2:$G$472,""))</f>
        <v/>
      </c>
      <c r="T1279">
        <f t="shared" si="19"/>
        <v>1</v>
      </c>
    </row>
    <row r="1280" spans="1:20" ht="14.25" hidden="1" customHeight="1">
      <c r="A1280" s="15">
        <v>1279</v>
      </c>
      <c r="B1280" s="16" t="s">
        <v>4063</v>
      </c>
      <c r="C1280" s="17">
        <v>45824</v>
      </c>
      <c r="D1280" s="15" t="s">
        <v>4064</v>
      </c>
      <c r="E1280" s="18" t="s">
        <v>763</v>
      </c>
      <c r="F1280" s="19" t="s">
        <v>4061</v>
      </c>
      <c r="G1280" s="18" t="s">
        <v>4062</v>
      </c>
      <c r="H1280" s="20" t="s">
        <v>2989</v>
      </c>
      <c r="I1280" s="15">
        <v>1</v>
      </c>
      <c r="J1280" s="15" t="s">
        <v>23</v>
      </c>
      <c r="K1280" s="21" t="s">
        <v>116</v>
      </c>
      <c r="L1280" s="21" t="s">
        <v>16</v>
      </c>
      <c r="M1280" s="22">
        <v>0</v>
      </c>
      <c r="N1280" s="22">
        <v>0</v>
      </c>
      <c r="O1280" s="22">
        <v>1200</v>
      </c>
      <c r="P1280" s="22">
        <v>1200</v>
      </c>
      <c r="Q1280" t="str" cm="1">
        <f t="array" ref="Q1280">_xlfn.TEXTJOIN("、",TRUE,IF('學員資料-三民高中'!$B$2:$B$454=$F1280,'學員資料-三民高中'!$G$2:$G$454,""))</f>
        <v>0939645655</v>
      </c>
      <c r="R1280" t="str" cm="1">
        <f t="array" ref="R1280">_xlfn.TEXTJOIN("、",TRUE,IF('學員資料-新北高中'!$B$2:$B$583=$F1280,'學員資料-新北高中'!$G$2:$G$583,""))</f>
        <v/>
      </c>
      <c r="S1280" t="str" cm="1">
        <f t="array" ref="S1280">_xlfn.TEXTJOIN("、",TRUE,IF('學員資料-三重商工'!$B$2:$B$472=$F1280,'學員資料-三重商工'!$G$2:$G$472,""))</f>
        <v/>
      </c>
      <c r="T1280">
        <f t="shared" si="19"/>
        <v>1</v>
      </c>
    </row>
    <row r="1281" spans="1:20" ht="14.25" hidden="1" customHeight="1">
      <c r="A1281" s="15">
        <v>1280</v>
      </c>
      <c r="B1281" s="16" t="s">
        <v>4065</v>
      </c>
      <c r="C1281" s="17">
        <v>45823</v>
      </c>
      <c r="D1281" s="15" t="s">
        <v>4066</v>
      </c>
      <c r="E1281" s="23"/>
      <c r="F1281" s="19" t="s">
        <v>4067</v>
      </c>
      <c r="G1281" s="18" t="s">
        <v>3240</v>
      </c>
      <c r="H1281" s="20" t="s">
        <v>130</v>
      </c>
      <c r="I1281" s="15">
        <v>1</v>
      </c>
      <c r="J1281" s="15" t="s">
        <v>25</v>
      </c>
      <c r="K1281" s="15"/>
      <c r="L1281" s="21" t="s">
        <v>16</v>
      </c>
      <c r="M1281" s="22">
        <v>0</v>
      </c>
      <c r="N1281" s="22">
        <v>0</v>
      </c>
      <c r="O1281" s="22">
        <v>9900</v>
      </c>
      <c r="P1281" s="22">
        <v>9900</v>
      </c>
      <c r="Q1281" t="str" cm="1">
        <f t="array" ref="Q1281">_xlfn.TEXTJOIN("、",TRUE,IF('學員資料-三民高中'!$B$2:$B$454=$F1281,'學員資料-三民高中'!$G$2:$G$454,""))</f>
        <v/>
      </c>
      <c r="R1281" t="str" cm="1">
        <f t="array" ref="R1281">_xlfn.TEXTJOIN("、",TRUE,IF('學員資料-新北高中'!$B$2:$B$583=$F1281,'學員資料-新北高中'!$G$2:$G$583,""))</f>
        <v/>
      </c>
      <c r="S1281" t="str" cm="1">
        <f t="array" ref="S1281">_xlfn.TEXTJOIN("、",TRUE,IF('學員資料-三重商工'!$B$2:$B$472=$F1281,'學員資料-三重商工'!$G$2:$G$472,""))</f>
        <v>0989988426</v>
      </c>
      <c r="T1281">
        <f t="shared" si="19"/>
        <v>1</v>
      </c>
    </row>
    <row r="1282" spans="1:20" ht="14.25" hidden="1" customHeight="1">
      <c r="A1282" s="15">
        <v>1281</v>
      </c>
      <c r="B1282" s="16" t="s">
        <v>4068</v>
      </c>
      <c r="C1282" s="17">
        <v>45823</v>
      </c>
      <c r="D1282" s="15" t="s">
        <v>4069</v>
      </c>
      <c r="E1282" s="18" t="s">
        <v>44</v>
      </c>
      <c r="F1282" s="19" t="s">
        <v>550</v>
      </c>
      <c r="G1282" s="18" t="s">
        <v>551</v>
      </c>
      <c r="H1282" s="20" t="s">
        <v>66</v>
      </c>
      <c r="I1282" s="15">
        <v>1</v>
      </c>
      <c r="J1282" s="15" t="s">
        <v>23</v>
      </c>
      <c r="K1282" s="15"/>
      <c r="L1282" s="21" t="s">
        <v>16</v>
      </c>
      <c r="M1282" s="22">
        <v>0</v>
      </c>
      <c r="N1282" s="22">
        <v>0</v>
      </c>
      <c r="O1282" s="22">
        <v>6900</v>
      </c>
      <c r="P1282" s="22">
        <v>6900</v>
      </c>
      <c r="Q1282" t="str" cm="1">
        <f t="array" ref="Q1282">_xlfn.TEXTJOIN("、",TRUE,IF('學員資料-三民高中'!$B$2:$B$454=$F1282,'學員資料-三民高中'!$G$2:$G$454,""))</f>
        <v/>
      </c>
      <c r="R1282" t="str" cm="1">
        <f t="array" ref="R1282">_xlfn.TEXTJOIN("、",TRUE,IF('學員資料-新北高中'!$B$2:$B$583=$F1282,'學員資料-新北高中'!$G$2:$G$583,""))</f>
        <v/>
      </c>
      <c r="S1282" t="str" cm="1">
        <f t="array" ref="S1282">_xlfn.TEXTJOIN("、",TRUE,IF('學員資料-三重商工'!$B$2:$B$472=$F1282,'學員資料-三重商工'!$G$2:$G$472,""))</f>
        <v>0933037462</v>
      </c>
      <c r="T1282">
        <f t="shared" si="19"/>
        <v>1</v>
      </c>
    </row>
    <row r="1283" spans="1:20" ht="14.25" hidden="1" customHeight="1">
      <c r="A1283" s="15">
        <v>1282</v>
      </c>
      <c r="B1283" s="16" t="s">
        <v>4070</v>
      </c>
      <c r="C1283" s="17">
        <v>45823</v>
      </c>
      <c r="D1283" s="15" t="s">
        <v>4071</v>
      </c>
      <c r="E1283" s="18" t="s">
        <v>763</v>
      </c>
      <c r="F1283" s="19" t="s">
        <v>904</v>
      </c>
      <c r="G1283" s="18" t="s">
        <v>905</v>
      </c>
      <c r="H1283" s="20" t="s">
        <v>210</v>
      </c>
      <c r="I1283" s="15">
        <v>1</v>
      </c>
      <c r="J1283" s="15" t="s">
        <v>26</v>
      </c>
      <c r="K1283" s="15"/>
      <c r="L1283" s="21" t="s">
        <v>16</v>
      </c>
      <c r="M1283" s="22">
        <v>0</v>
      </c>
      <c r="N1283" s="22">
        <v>0</v>
      </c>
      <c r="O1283" s="22">
        <v>12000</v>
      </c>
      <c r="P1283" s="22">
        <v>12000</v>
      </c>
      <c r="Q1283" t="str" cm="1">
        <f t="array" ref="Q1283">_xlfn.TEXTJOIN("、",TRUE,IF('學員資料-三民高中'!$B$2:$B$454=$F1283,'學員資料-三民高中'!$G$2:$G$454,""))</f>
        <v/>
      </c>
      <c r="R1283" t="str" cm="1">
        <f t="array" ref="R1283">_xlfn.TEXTJOIN("、",TRUE,IF('學員資料-新北高中'!$B$2:$B$583=$F1283,'學員資料-新北高中'!$G$2:$G$583,""))</f>
        <v>0952709408</v>
      </c>
      <c r="S1283" t="str" cm="1">
        <f t="array" ref="S1283">_xlfn.TEXTJOIN("、",TRUE,IF('學員資料-三重商工'!$B$2:$B$472=$F1283,'學員資料-三重商工'!$G$2:$G$472,""))</f>
        <v/>
      </c>
      <c r="T1283">
        <f t="shared" ref="T1283:T1346" si="20">3-COUNTBLANK(Q1283:S1283)</f>
        <v>1</v>
      </c>
    </row>
    <row r="1284" spans="1:20" ht="14.25" hidden="1" customHeight="1">
      <c r="A1284" s="15">
        <v>1283</v>
      </c>
      <c r="B1284" s="16" t="s">
        <v>4072</v>
      </c>
      <c r="C1284" s="17">
        <v>45823</v>
      </c>
      <c r="D1284" s="15" t="s">
        <v>4073</v>
      </c>
      <c r="E1284" s="18" t="s">
        <v>763</v>
      </c>
      <c r="F1284" s="19" t="s">
        <v>4074</v>
      </c>
      <c r="G1284" s="18" t="s">
        <v>4075</v>
      </c>
      <c r="H1284" s="20" t="s">
        <v>52</v>
      </c>
      <c r="I1284" s="15">
        <v>1</v>
      </c>
      <c r="J1284" s="15" t="s">
        <v>24</v>
      </c>
      <c r="K1284" s="15"/>
      <c r="L1284" s="21" t="s">
        <v>16</v>
      </c>
      <c r="M1284" s="22">
        <v>0</v>
      </c>
      <c r="N1284" s="22">
        <v>0</v>
      </c>
      <c r="O1284" s="22">
        <v>7500</v>
      </c>
      <c r="P1284" s="22">
        <v>7500</v>
      </c>
      <c r="Q1284" t="str" cm="1">
        <f t="array" ref="Q1284">_xlfn.TEXTJOIN("、",TRUE,IF('學員資料-三民高中'!$B$2:$B$454=$F1284,'學員資料-三民高中'!$G$2:$G$454,""))</f>
        <v>0989593828</v>
      </c>
      <c r="R1284" t="str" cm="1">
        <f t="array" ref="R1284">_xlfn.TEXTJOIN("、",TRUE,IF('學員資料-新北高中'!$B$2:$B$583=$F1284,'學員資料-新北高中'!$G$2:$G$583,""))</f>
        <v/>
      </c>
      <c r="S1284" t="str" cm="1">
        <f t="array" ref="S1284">_xlfn.TEXTJOIN("、",TRUE,IF('學員資料-三重商工'!$B$2:$B$472=$F1284,'學員資料-三重商工'!$G$2:$G$472,""))</f>
        <v/>
      </c>
      <c r="T1284">
        <f t="shared" si="20"/>
        <v>1</v>
      </c>
    </row>
    <row r="1285" spans="1:20" ht="14.25" hidden="1" customHeight="1">
      <c r="A1285" s="15">
        <v>1284</v>
      </c>
      <c r="B1285" s="16" t="s">
        <v>4076</v>
      </c>
      <c r="C1285" s="17">
        <v>45822</v>
      </c>
      <c r="D1285" s="15" t="s">
        <v>4077</v>
      </c>
      <c r="E1285" s="18" t="s">
        <v>44</v>
      </c>
      <c r="F1285" s="19" t="s">
        <v>4031</v>
      </c>
      <c r="G1285" s="18" t="s">
        <v>4032</v>
      </c>
      <c r="H1285" s="20" t="s">
        <v>3766</v>
      </c>
      <c r="I1285" s="15">
        <v>1</v>
      </c>
      <c r="J1285" s="15" t="s">
        <v>24</v>
      </c>
      <c r="K1285" s="21" t="s">
        <v>116</v>
      </c>
      <c r="L1285" s="21" t="s">
        <v>16</v>
      </c>
      <c r="M1285" s="22">
        <v>0</v>
      </c>
      <c r="N1285" s="22">
        <v>0</v>
      </c>
      <c r="O1285" s="22">
        <v>1300</v>
      </c>
      <c r="P1285" s="22">
        <v>1300</v>
      </c>
      <c r="Q1285" t="str" cm="1">
        <f t="array" ref="Q1285">_xlfn.TEXTJOIN("、",TRUE,IF('學員資料-三民高中'!$B$2:$B$454=$F1285,'學員資料-三民高中'!$G$2:$G$454,""))</f>
        <v/>
      </c>
      <c r="R1285" t="str" cm="1">
        <f t="array" ref="R1285">_xlfn.TEXTJOIN("、",TRUE,IF('學員資料-新北高中'!$B$2:$B$583=$F1285,'學員資料-新北高中'!$G$2:$G$583,""))</f>
        <v/>
      </c>
      <c r="S1285" t="str" cm="1">
        <f t="array" ref="S1285">_xlfn.TEXTJOIN("、",TRUE,IF('學員資料-三重商工'!$B$2:$B$472=$F1285,'學員資料-三重商工'!$G$2:$G$472,""))</f>
        <v>0981151111</v>
      </c>
      <c r="T1285">
        <f t="shared" si="20"/>
        <v>1</v>
      </c>
    </row>
    <row r="1286" spans="1:20" ht="14.25" hidden="1" customHeight="1">
      <c r="A1286" s="15">
        <v>1285</v>
      </c>
      <c r="B1286" s="16" t="s">
        <v>4078</v>
      </c>
      <c r="C1286" s="17">
        <v>45822</v>
      </c>
      <c r="D1286" s="15" t="s">
        <v>4079</v>
      </c>
      <c r="E1286" s="23"/>
      <c r="F1286" s="19" t="s">
        <v>4080</v>
      </c>
      <c r="G1286" s="18" t="s">
        <v>4081</v>
      </c>
      <c r="H1286" s="20" t="s">
        <v>683</v>
      </c>
      <c r="I1286" s="15">
        <v>1</v>
      </c>
      <c r="J1286" s="15" t="s">
        <v>23</v>
      </c>
      <c r="K1286" s="15"/>
      <c r="L1286" s="21" t="s">
        <v>16</v>
      </c>
      <c r="M1286" s="22">
        <v>0</v>
      </c>
      <c r="N1286" s="22">
        <v>0</v>
      </c>
      <c r="O1286" s="22">
        <v>9000</v>
      </c>
      <c r="P1286" s="22">
        <v>9000</v>
      </c>
      <c r="Q1286" t="str" cm="1">
        <f t="array" ref="Q1286">_xlfn.TEXTJOIN("、",TRUE,IF('學員資料-三民高中'!$B$2:$B$454=$F1286,'學員資料-三民高中'!$G$2:$G$454,""))</f>
        <v/>
      </c>
      <c r="R1286" t="str" cm="1">
        <f t="array" ref="R1286">_xlfn.TEXTJOIN("、",TRUE,IF('學員資料-新北高中'!$B$2:$B$583=$F1286,'學員資料-新北高中'!$G$2:$G$583,""))</f>
        <v>0933054112</v>
      </c>
      <c r="S1286" t="str" cm="1">
        <f t="array" ref="S1286">_xlfn.TEXTJOIN("、",TRUE,IF('學員資料-三重商工'!$B$2:$B$472=$F1286,'學員資料-三重商工'!$G$2:$G$472,""))</f>
        <v/>
      </c>
      <c r="T1286">
        <f t="shared" si="20"/>
        <v>1</v>
      </c>
    </row>
    <row r="1287" spans="1:20" ht="14.25" hidden="1" customHeight="1">
      <c r="A1287" s="15">
        <v>1286</v>
      </c>
      <c r="B1287" s="16" t="s">
        <v>4082</v>
      </c>
      <c r="C1287" s="17">
        <v>45822</v>
      </c>
      <c r="D1287" s="15" t="s">
        <v>4083</v>
      </c>
      <c r="E1287" s="23"/>
      <c r="F1287" s="19" t="s">
        <v>3410</v>
      </c>
      <c r="G1287" s="18" t="s">
        <v>3411</v>
      </c>
      <c r="H1287" s="20" t="s">
        <v>52</v>
      </c>
      <c r="I1287" s="15">
        <v>1</v>
      </c>
      <c r="J1287" s="15" t="s">
        <v>24</v>
      </c>
      <c r="K1287" s="15"/>
      <c r="L1287" s="21" t="s">
        <v>16</v>
      </c>
      <c r="M1287" s="22">
        <v>0</v>
      </c>
      <c r="N1287" s="22">
        <v>0</v>
      </c>
      <c r="O1287" s="22">
        <v>7500</v>
      </c>
      <c r="P1287" s="22">
        <v>7500</v>
      </c>
      <c r="Q1287" t="str" cm="1">
        <f t="array" ref="Q1287">_xlfn.TEXTJOIN("、",TRUE,IF('學員資料-三民高中'!$B$2:$B$454=$F1287,'學員資料-三民高中'!$G$2:$G$454,""))</f>
        <v/>
      </c>
      <c r="R1287" t="str" cm="1">
        <f t="array" ref="R1287">_xlfn.TEXTJOIN("、",TRUE,IF('學員資料-新北高中'!$B$2:$B$583=$F1287,'學員資料-新北高中'!$G$2:$G$583,""))</f>
        <v>0937215418</v>
      </c>
      <c r="S1287" t="str" cm="1">
        <f t="array" ref="S1287">_xlfn.TEXTJOIN("、",TRUE,IF('學員資料-三重商工'!$B$2:$B$472=$F1287,'學員資料-三重商工'!$G$2:$G$472,""))</f>
        <v/>
      </c>
      <c r="T1287">
        <f t="shared" si="20"/>
        <v>1</v>
      </c>
    </row>
    <row r="1288" spans="1:20" ht="14.25" hidden="1" customHeight="1">
      <c r="A1288" s="15">
        <v>1287</v>
      </c>
      <c r="B1288" s="16" t="s">
        <v>4084</v>
      </c>
      <c r="C1288" s="17">
        <v>45822</v>
      </c>
      <c r="D1288" s="15" t="s">
        <v>4085</v>
      </c>
      <c r="E1288" s="18" t="s">
        <v>44</v>
      </c>
      <c r="F1288" s="19" t="s">
        <v>1085</v>
      </c>
      <c r="G1288" s="18" t="s">
        <v>1086</v>
      </c>
      <c r="H1288" s="20" t="s">
        <v>1087</v>
      </c>
      <c r="I1288" s="15">
        <v>1</v>
      </c>
      <c r="J1288" s="15" t="s">
        <v>27</v>
      </c>
      <c r="K1288" s="15"/>
      <c r="L1288" s="21" t="s">
        <v>16</v>
      </c>
      <c r="M1288" s="22">
        <v>0</v>
      </c>
      <c r="N1288" s="22">
        <v>0</v>
      </c>
      <c r="O1288" s="22">
        <v>15000</v>
      </c>
      <c r="P1288" s="22">
        <v>15000</v>
      </c>
      <c r="Q1288" t="str" cm="1">
        <f t="array" ref="Q1288">_xlfn.TEXTJOIN("、",TRUE,IF('學員資料-三民高中'!$B$2:$B$454=$F1288,'學員資料-三民高中'!$G$2:$G$454,""))</f>
        <v/>
      </c>
      <c r="R1288" t="str" cm="1">
        <f t="array" ref="R1288">_xlfn.TEXTJOIN("、",TRUE,IF('學員資料-新北高中'!$B$2:$B$583=$F1288,'學員資料-新北高中'!$G$2:$G$583,""))</f>
        <v/>
      </c>
      <c r="S1288" t="str" cm="1">
        <f t="array" ref="S1288">_xlfn.TEXTJOIN("、",TRUE,IF('學員資料-三重商工'!$B$2:$B$472=$F1288,'學員資料-三重商工'!$G$2:$G$472,""))</f>
        <v>0933818815</v>
      </c>
      <c r="T1288">
        <f t="shared" si="20"/>
        <v>1</v>
      </c>
    </row>
    <row r="1289" spans="1:20" ht="14.25" hidden="1" customHeight="1">
      <c r="A1289" s="15">
        <v>1288</v>
      </c>
      <c r="B1289" s="16" t="s">
        <v>4086</v>
      </c>
      <c r="C1289" s="17">
        <v>45821</v>
      </c>
      <c r="D1289" s="15" t="s">
        <v>4087</v>
      </c>
      <c r="E1289" s="18" t="s">
        <v>83</v>
      </c>
      <c r="F1289" s="19" t="s">
        <v>4088</v>
      </c>
      <c r="G1289" s="18" t="s">
        <v>4089</v>
      </c>
      <c r="H1289" s="20" t="s">
        <v>66</v>
      </c>
      <c r="I1289" s="15">
        <v>1</v>
      </c>
      <c r="J1289" s="15" t="s">
        <v>23</v>
      </c>
      <c r="K1289" s="15"/>
      <c r="L1289" s="21" t="s">
        <v>16</v>
      </c>
      <c r="M1289" s="22">
        <v>0</v>
      </c>
      <c r="N1289" s="22">
        <v>-345</v>
      </c>
      <c r="O1289" s="22">
        <v>6555</v>
      </c>
      <c r="P1289" s="22">
        <v>6555</v>
      </c>
      <c r="Q1289" t="str" cm="1">
        <f t="array" ref="Q1289">_xlfn.TEXTJOIN("、",TRUE,IF('學員資料-三民高中'!$B$2:$B$454=$F1289,'學員資料-三民高中'!$G$2:$G$454,""))</f>
        <v/>
      </c>
      <c r="R1289" t="str" cm="1">
        <f t="array" ref="R1289">_xlfn.TEXTJOIN("、",TRUE,IF('學員資料-新北高中'!$B$2:$B$583=$F1289,'學員資料-新北高中'!$G$2:$G$583,""))</f>
        <v/>
      </c>
      <c r="S1289" t="str" cm="1">
        <f t="array" ref="S1289">_xlfn.TEXTJOIN("、",TRUE,IF('學員資料-三重商工'!$B$2:$B$472=$F1289,'學員資料-三重商工'!$G$2:$G$472,""))</f>
        <v>0928195060</v>
      </c>
      <c r="T1289">
        <f t="shared" si="20"/>
        <v>1</v>
      </c>
    </row>
    <row r="1290" spans="1:20" ht="14.25" customHeight="1">
      <c r="A1290" s="15">
        <v>1289</v>
      </c>
      <c r="B1290" s="16" t="s">
        <v>4090</v>
      </c>
      <c r="C1290" s="17">
        <v>45821</v>
      </c>
      <c r="D1290" s="15" t="s">
        <v>4091</v>
      </c>
      <c r="E1290" s="18" t="s">
        <v>78</v>
      </c>
      <c r="F1290" s="19" t="s">
        <v>4092</v>
      </c>
      <c r="G1290" s="18" t="s">
        <v>4093</v>
      </c>
      <c r="H1290" s="20" t="s">
        <v>66</v>
      </c>
      <c r="I1290" s="15">
        <v>1</v>
      </c>
      <c r="J1290" s="15" t="s">
        <v>23</v>
      </c>
      <c r="K1290" s="15"/>
      <c r="L1290" s="21" t="s">
        <v>16</v>
      </c>
      <c r="M1290" s="22">
        <v>0</v>
      </c>
      <c r="N1290" s="22">
        <v>-2760</v>
      </c>
      <c r="O1290" s="22">
        <v>4140</v>
      </c>
      <c r="P1290" s="22">
        <v>4140</v>
      </c>
      <c r="Q1290" t="str" cm="1">
        <f t="array" ref="Q1290">_xlfn.TEXTJOIN("、",TRUE,IF('學員資料-三民高中'!$B$2:$B$454=$F1290,'學員資料-三民高中'!$G$2:$G$454,""))</f>
        <v/>
      </c>
      <c r="R1290" t="str" cm="1">
        <f t="array" ref="R1290">_xlfn.TEXTJOIN("、",TRUE,IF('學員資料-新北高中'!$B$2:$B$583=$F1290,'學員資料-新北高中'!$G$2:$G$583,""))</f>
        <v/>
      </c>
      <c r="S1290" t="str" cm="1">
        <f t="array" ref="S1290">_xlfn.TEXTJOIN("、",TRUE,IF('學員資料-三重商工'!$B$2:$B$472=$F1290,'學員資料-三重商工'!$G$2:$G$472,""))</f>
        <v/>
      </c>
      <c r="T1290">
        <f t="shared" si="20"/>
        <v>0</v>
      </c>
    </row>
    <row r="1291" spans="1:20" ht="14.25" hidden="1" customHeight="1">
      <c r="A1291" s="15">
        <v>1290</v>
      </c>
      <c r="B1291" s="16" t="s">
        <v>4094</v>
      </c>
      <c r="C1291" s="17">
        <v>45820</v>
      </c>
      <c r="D1291" s="15" t="s">
        <v>4095</v>
      </c>
      <c r="E1291" s="18" t="s">
        <v>83</v>
      </c>
      <c r="F1291" s="19" t="s">
        <v>4096</v>
      </c>
      <c r="G1291" s="18" t="s">
        <v>4097</v>
      </c>
      <c r="H1291" s="20" t="s">
        <v>130</v>
      </c>
      <c r="I1291" s="15">
        <v>1</v>
      </c>
      <c r="J1291" s="15" t="s">
        <v>25</v>
      </c>
      <c r="K1291" s="15"/>
      <c r="L1291" s="21" t="s">
        <v>16</v>
      </c>
      <c r="M1291" s="22">
        <v>0</v>
      </c>
      <c r="N1291" s="22">
        <v>0</v>
      </c>
      <c r="O1291" s="22">
        <v>9900</v>
      </c>
      <c r="P1291" s="22">
        <v>9900</v>
      </c>
      <c r="Q1291" t="str" cm="1">
        <f t="array" ref="Q1291">_xlfn.TEXTJOIN("、",TRUE,IF('學員資料-三民高中'!$B$2:$B$454=$F1291,'學員資料-三民高中'!$G$2:$G$454,""))</f>
        <v/>
      </c>
      <c r="R1291" t="str" cm="1">
        <f t="array" ref="R1291">_xlfn.TEXTJOIN("、",TRUE,IF('學員資料-新北高中'!$B$2:$B$583=$F1291,'學員資料-新北高中'!$G$2:$G$583,""))</f>
        <v/>
      </c>
      <c r="S1291" t="str" cm="1">
        <f t="array" ref="S1291">_xlfn.TEXTJOIN("、",TRUE,IF('學員資料-三重商工'!$B$2:$B$472=$F1291,'學員資料-三重商工'!$G$2:$G$472,""))</f>
        <v>0937963436</v>
      </c>
      <c r="T1291">
        <f t="shared" si="20"/>
        <v>1</v>
      </c>
    </row>
    <row r="1292" spans="1:20" ht="14.25" hidden="1" customHeight="1">
      <c r="A1292" s="15">
        <v>1291</v>
      </c>
      <c r="B1292" s="16" t="s">
        <v>4098</v>
      </c>
      <c r="C1292" s="17">
        <v>45820</v>
      </c>
      <c r="D1292" s="15" t="s">
        <v>4099</v>
      </c>
      <c r="E1292" s="18" t="s">
        <v>83</v>
      </c>
      <c r="F1292" s="19" t="s">
        <v>1787</v>
      </c>
      <c r="G1292" s="18" t="s">
        <v>1788</v>
      </c>
      <c r="H1292" s="20" t="s">
        <v>3766</v>
      </c>
      <c r="I1292" s="15">
        <v>1</v>
      </c>
      <c r="J1292" s="15" t="s">
        <v>24</v>
      </c>
      <c r="K1292" s="21" t="s">
        <v>116</v>
      </c>
      <c r="L1292" s="21" t="s">
        <v>16</v>
      </c>
      <c r="M1292" s="22">
        <v>0</v>
      </c>
      <c r="N1292" s="22">
        <v>0</v>
      </c>
      <c r="O1292" s="22">
        <v>1300</v>
      </c>
      <c r="P1292" s="22">
        <v>1300</v>
      </c>
      <c r="Q1292" t="str" cm="1">
        <f t="array" ref="Q1292">_xlfn.TEXTJOIN("、",TRUE,IF('學員資料-三民高中'!$B$2:$B$454=$F1292,'學員資料-三民高中'!$G$2:$G$454,""))</f>
        <v/>
      </c>
      <c r="R1292" t="str" cm="1">
        <f t="array" ref="R1292">_xlfn.TEXTJOIN("、",TRUE,IF('學員資料-新北高中'!$B$2:$B$583=$F1292,'學員資料-新北高中'!$G$2:$G$583,""))</f>
        <v/>
      </c>
      <c r="S1292" t="str" cm="1">
        <f t="array" ref="S1292">_xlfn.TEXTJOIN("、",TRUE,IF('學員資料-三重商工'!$B$2:$B$472=$F1292,'學員資料-三重商工'!$G$2:$G$472,""))</f>
        <v>0988797796</v>
      </c>
      <c r="T1292">
        <f t="shared" si="20"/>
        <v>1</v>
      </c>
    </row>
    <row r="1293" spans="1:20" ht="14.25" hidden="1" customHeight="1">
      <c r="A1293" s="15">
        <v>1292</v>
      </c>
      <c r="B1293" s="16" t="s">
        <v>4100</v>
      </c>
      <c r="C1293" s="17">
        <v>45820</v>
      </c>
      <c r="D1293" s="15" t="s">
        <v>4101</v>
      </c>
      <c r="E1293" s="18" t="s">
        <v>83</v>
      </c>
      <c r="F1293" s="19" t="s">
        <v>4067</v>
      </c>
      <c r="G1293" s="18" t="s">
        <v>4102</v>
      </c>
      <c r="H1293" s="20" t="s">
        <v>66</v>
      </c>
      <c r="I1293" s="15">
        <v>1</v>
      </c>
      <c r="J1293" s="15" t="s">
        <v>23</v>
      </c>
      <c r="K1293" s="15"/>
      <c r="L1293" s="21" t="s">
        <v>16</v>
      </c>
      <c r="M1293" s="22">
        <v>0</v>
      </c>
      <c r="N1293" s="22">
        <v>0</v>
      </c>
      <c r="O1293" s="22">
        <v>6900</v>
      </c>
      <c r="P1293" s="22">
        <v>6900</v>
      </c>
      <c r="Q1293" t="str" cm="1">
        <f t="array" ref="Q1293">_xlfn.TEXTJOIN("、",TRUE,IF('學員資料-三民高中'!$B$2:$B$454=$F1293,'學員資料-三民高中'!$G$2:$G$454,""))</f>
        <v/>
      </c>
      <c r="R1293" t="str" cm="1">
        <f t="array" ref="R1293">_xlfn.TEXTJOIN("、",TRUE,IF('學員資料-新北高中'!$B$2:$B$583=$F1293,'學員資料-新北高中'!$G$2:$G$583,""))</f>
        <v/>
      </c>
      <c r="S1293" t="str" cm="1">
        <f t="array" ref="S1293">_xlfn.TEXTJOIN("、",TRUE,IF('學員資料-三重商工'!$B$2:$B$472=$F1293,'學員資料-三重商工'!$G$2:$G$472,""))</f>
        <v>0989988426</v>
      </c>
      <c r="T1293">
        <f t="shared" si="20"/>
        <v>1</v>
      </c>
    </row>
    <row r="1294" spans="1:20" ht="14.25" hidden="1" customHeight="1">
      <c r="A1294" s="15">
        <v>1293</v>
      </c>
      <c r="B1294" s="16" t="s">
        <v>4103</v>
      </c>
      <c r="C1294" s="17">
        <v>45820</v>
      </c>
      <c r="D1294" s="15" t="s">
        <v>4104</v>
      </c>
      <c r="E1294" s="18" t="s">
        <v>83</v>
      </c>
      <c r="F1294" s="19" t="s">
        <v>3321</v>
      </c>
      <c r="G1294" s="18" t="s">
        <v>3322</v>
      </c>
      <c r="H1294" s="20" t="s">
        <v>210</v>
      </c>
      <c r="I1294" s="15">
        <v>1</v>
      </c>
      <c r="J1294" s="15" t="s">
        <v>26</v>
      </c>
      <c r="K1294" s="15"/>
      <c r="L1294" s="21" t="s">
        <v>16</v>
      </c>
      <c r="M1294" s="22">
        <v>0</v>
      </c>
      <c r="N1294" s="22">
        <v>-600</v>
      </c>
      <c r="O1294" s="22">
        <v>11400</v>
      </c>
      <c r="P1294" s="22">
        <v>11400</v>
      </c>
      <c r="Q1294" t="str" cm="1">
        <f t="array" ref="Q1294">_xlfn.TEXTJOIN("、",TRUE,IF('學員資料-三民高中'!$B$2:$B$454=$F1294,'學員資料-三民高中'!$G$2:$G$454,""))</f>
        <v/>
      </c>
      <c r="R1294" t="str" cm="1">
        <f t="array" ref="R1294">_xlfn.TEXTJOIN("、",TRUE,IF('學員資料-新北高中'!$B$2:$B$583=$F1294,'學員資料-新北高中'!$G$2:$G$583,""))</f>
        <v/>
      </c>
      <c r="S1294" t="str" cm="1">
        <f t="array" ref="S1294">_xlfn.TEXTJOIN("、",TRUE,IF('學員資料-三重商工'!$B$2:$B$472=$F1294,'學員資料-三重商工'!$G$2:$G$472,""))</f>
        <v>0918810928</v>
      </c>
      <c r="T1294">
        <f t="shared" si="20"/>
        <v>1</v>
      </c>
    </row>
    <row r="1295" spans="1:20" ht="14.25" hidden="1" customHeight="1">
      <c r="A1295" s="15">
        <v>1294</v>
      </c>
      <c r="B1295" s="16" t="s">
        <v>4105</v>
      </c>
      <c r="C1295" s="17">
        <v>45820</v>
      </c>
      <c r="D1295" s="15" t="s">
        <v>4106</v>
      </c>
      <c r="E1295" s="18" t="s">
        <v>3477</v>
      </c>
      <c r="F1295" s="19" t="s">
        <v>3165</v>
      </c>
      <c r="G1295" s="18" t="s">
        <v>3166</v>
      </c>
      <c r="H1295" s="20" t="s">
        <v>3766</v>
      </c>
      <c r="I1295" s="15">
        <v>1</v>
      </c>
      <c r="J1295" s="15" t="s">
        <v>24</v>
      </c>
      <c r="K1295" s="21" t="s">
        <v>116</v>
      </c>
      <c r="L1295" s="21" t="s">
        <v>16</v>
      </c>
      <c r="M1295" s="22">
        <v>0</v>
      </c>
      <c r="N1295" s="22">
        <v>0</v>
      </c>
      <c r="O1295" s="22">
        <v>1300</v>
      </c>
      <c r="P1295" s="22">
        <v>1300</v>
      </c>
      <c r="Q1295" t="str" cm="1">
        <f t="array" ref="Q1295">_xlfn.TEXTJOIN("、",TRUE,IF('學員資料-三民高中'!$B$2:$B$454=$F1295,'學員資料-三民高中'!$G$2:$G$454,""))</f>
        <v>0933298190</v>
      </c>
      <c r="R1295" t="str" cm="1">
        <f t="array" ref="R1295">_xlfn.TEXTJOIN("、",TRUE,IF('學員資料-新北高中'!$B$2:$B$583=$F1295,'學員資料-新北高中'!$G$2:$G$583,""))</f>
        <v/>
      </c>
      <c r="S1295" t="str" cm="1">
        <f t="array" ref="S1295">_xlfn.TEXTJOIN("、",TRUE,IF('學員資料-三重商工'!$B$2:$B$472=$F1295,'學員資料-三重商工'!$G$2:$G$472,""))</f>
        <v/>
      </c>
      <c r="T1295">
        <f t="shared" si="20"/>
        <v>1</v>
      </c>
    </row>
    <row r="1296" spans="1:20" ht="57.75" hidden="1" customHeight="1">
      <c r="A1296" s="15">
        <v>1295</v>
      </c>
      <c r="B1296" s="16" t="s">
        <v>4107</v>
      </c>
      <c r="C1296" s="17">
        <v>45820</v>
      </c>
      <c r="D1296" s="15" t="s">
        <v>4108</v>
      </c>
      <c r="E1296" s="18" t="s">
        <v>3477</v>
      </c>
      <c r="F1296" s="19" t="s">
        <v>4109</v>
      </c>
      <c r="G1296" s="18" t="s">
        <v>4110</v>
      </c>
      <c r="H1296" s="20" t="s">
        <v>989</v>
      </c>
      <c r="I1296" s="15">
        <v>4</v>
      </c>
      <c r="J1296" s="15" t="s">
        <v>24</v>
      </c>
      <c r="K1296" s="15"/>
      <c r="L1296" s="21" t="s">
        <v>16</v>
      </c>
      <c r="M1296" s="22">
        <v>0</v>
      </c>
      <c r="N1296" s="22">
        <v>-1500</v>
      </c>
      <c r="O1296" s="22">
        <v>28500</v>
      </c>
      <c r="P1296" s="22">
        <v>28500</v>
      </c>
      <c r="Q1296" t="str" cm="1">
        <f t="array" ref="Q1296">_xlfn.TEXTJOIN("、",TRUE,IF('學員資料-三民高中'!$B$2:$B$454=$F1296,'學員資料-三民高中'!$G$2:$G$454,""))</f>
        <v/>
      </c>
      <c r="R1296" t="str" cm="1">
        <f t="array" ref="R1296">_xlfn.TEXTJOIN("、",TRUE,IF('學員資料-新北高中'!$B$2:$B$583=$F1296,'學員資料-新北高中'!$G$2:$G$583,""))</f>
        <v>0958326055</v>
      </c>
      <c r="S1296" t="str" cm="1">
        <f t="array" ref="S1296">_xlfn.TEXTJOIN("、",TRUE,IF('學員資料-三重商工'!$B$2:$B$472=$F1296,'學員資料-三重商工'!$G$2:$G$472,""))</f>
        <v/>
      </c>
      <c r="T1296">
        <f t="shared" si="20"/>
        <v>1</v>
      </c>
    </row>
    <row r="1297" spans="1:20" ht="28.5" hidden="1" customHeight="1">
      <c r="A1297" s="15">
        <v>1296</v>
      </c>
      <c r="B1297" s="16" t="s">
        <v>4111</v>
      </c>
      <c r="C1297" s="17">
        <v>45820</v>
      </c>
      <c r="D1297" s="15" t="s">
        <v>4112</v>
      </c>
      <c r="E1297" s="18" t="s">
        <v>3477</v>
      </c>
      <c r="F1297" s="19" t="s">
        <v>4113</v>
      </c>
      <c r="G1297" s="18" t="s">
        <v>4114</v>
      </c>
      <c r="H1297" s="20" t="s">
        <v>99</v>
      </c>
      <c r="I1297" s="15">
        <v>2</v>
      </c>
      <c r="J1297" s="15" t="s">
        <v>24</v>
      </c>
      <c r="K1297" s="15"/>
      <c r="L1297" s="21" t="s">
        <v>16</v>
      </c>
      <c r="M1297" s="22">
        <v>0</v>
      </c>
      <c r="N1297" s="22">
        <v>-750</v>
      </c>
      <c r="O1297" s="22">
        <v>14250</v>
      </c>
      <c r="P1297" s="22">
        <v>14250</v>
      </c>
      <c r="Q1297" t="str" cm="1">
        <f t="array" ref="Q1297">_xlfn.TEXTJOIN("、",TRUE,IF('學員資料-三民高中'!$B$2:$B$454=$F1297,'學員資料-三民高中'!$G$2:$G$454,""))</f>
        <v/>
      </c>
      <c r="R1297" t="str" cm="1">
        <f t="array" ref="R1297">_xlfn.TEXTJOIN("、",TRUE,IF('學員資料-新北高中'!$B$2:$B$583=$F1297,'學員資料-新北高中'!$G$2:$G$583,""))</f>
        <v>0952213533</v>
      </c>
      <c r="S1297" t="str" cm="1">
        <f t="array" ref="S1297">_xlfn.TEXTJOIN("、",TRUE,IF('學員資料-三重商工'!$B$2:$B$472=$F1297,'學員資料-三重商工'!$G$2:$G$472,""))</f>
        <v/>
      </c>
      <c r="T1297">
        <f t="shared" si="20"/>
        <v>1</v>
      </c>
    </row>
    <row r="1298" spans="1:20" ht="14.25" hidden="1" customHeight="1">
      <c r="A1298" s="15">
        <v>1297</v>
      </c>
      <c r="B1298" s="16" t="s">
        <v>4115</v>
      </c>
      <c r="C1298" s="17">
        <v>45820</v>
      </c>
      <c r="D1298" s="15" t="s">
        <v>4116</v>
      </c>
      <c r="E1298" s="18" t="s">
        <v>3477</v>
      </c>
      <c r="F1298" s="19" t="s">
        <v>4117</v>
      </c>
      <c r="G1298" s="18" t="s">
        <v>4118</v>
      </c>
      <c r="H1298" s="20" t="s">
        <v>52</v>
      </c>
      <c r="I1298" s="15">
        <v>1</v>
      </c>
      <c r="J1298" s="15" t="s">
        <v>24</v>
      </c>
      <c r="K1298" s="15"/>
      <c r="L1298" s="21" t="s">
        <v>16</v>
      </c>
      <c r="M1298" s="22">
        <v>0</v>
      </c>
      <c r="N1298" s="22">
        <v>-375</v>
      </c>
      <c r="O1298" s="22">
        <v>7125</v>
      </c>
      <c r="P1298" s="22">
        <v>7125</v>
      </c>
      <c r="Q1298" t="str" cm="1">
        <f t="array" ref="Q1298">_xlfn.TEXTJOIN("、",TRUE,IF('學員資料-三民高中'!$B$2:$B$454=$F1298,'學員資料-三民高中'!$G$2:$G$454,""))</f>
        <v/>
      </c>
      <c r="R1298" t="str" cm="1">
        <f t="array" ref="R1298">_xlfn.TEXTJOIN("、",TRUE,IF('學員資料-新北高中'!$B$2:$B$583=$F1298,'學員資料-新北高中'!$G$2:$G$583,""))</f>
        <v>0915588058</v>
      </c>
      <c r="S1298" t="str" cm="1">
        <f t="array" ref="S1298">_xlfn.TEXTJOIN("、",TRUE,IF('學員資料-三重商工'!$B$2:$B$472=$F1298,'學員資料-三重商工'!$G$2:$G$472,""))</f>
        <v/>
      </c>
      <c r="T1298">
        <f t="shared" si="20"/>
        <v>1</v>
      </c>
    </row>
    <row r="1299" spans="1:20" ht="14.25" hidden="1" customHeight="1">
      <c r="A1299" s="15">
        <v>1298</v>
      </c>
      <c r="B1299" s="16" t="s">
        <v>4119</v>
      </c>
      <c r="C1299" s="17">
        <v>45820</v>
      </c>
      <c r="D1299" s="15" t="s">
        <v>4120</v>
      </c>
      <c r="E1299" s="18" t="s">
        <v>3477</v>
      </c>
      <c r="F1299" s="19" t="s">
        <v>4121</v>
      </c>
      <c r="G1299" s="18" t="s">
        <v>4122</v>
      </c>
      <c r="H1299" s="20" t="s">
        <v>52</v>
      </c>
      <c r="I1299" s="15">
        <v>1</v>
      </c>
      <c r="J1299" s="15" t="s">
        <v>24</v>
      </c>
      <c r="K1299" s="15"/>
      <c r="L1299" s="21" t="s">
        <v>16</v>
      </c>
      <c r="M1299" s="22">
        <v>0</v>
      </c>
      <c r="N1299" s="22">
        <v>-375</v>
      </c>
      <c r="O1299" s="22">
        <v>7125</v>
      </c>
      <c r="P1299" s="22">
        <v>7125</v>
      </c>
      <c r="Q1299" t="str" cm="1">
        <f t="array" ref="Q1299">_xlfn.TEXTJOIN("、",TRUE,IF('學員資料-三民高中'!$B$2:$B$454=$F1299,'學員資料-三民高中'!$G$2:$G$454,""))</f>
        <v>0983964211</v>
      </c>
      <c r="R1299" t="str" cm="1">
        <f t="array" ref="R1299">_xlfn.TEXTJOIN("、",TRUE,IF('學員資料-新北高中'!$B$2:$B$583=$F1299,'學員資料-新北高中'!$G$2:$G$583,""))</f>
        <v/>
      </c>
      <c r="S1299" t="str" cm="1">
        <f t="array" ref="S1299">_xlfn.TEXTJOIN("、",TRUE,IF('學員資料-三重商工'!$B$2:$B$472=$F1299,'學員資料-三重商工'!$G$2:$G$472,""))</f>
        <v/>
      </c>
      <c r="T1299">
        <f t="shared" si="20"/>
        <v>1</v>
      </c>
    </row>
    <row r="1300" spans="1:20" ht="14.25" hidden="1" customHeight="1">
      <c r="A1300" s="15">
        <v>1299</v>
      </c>
      <c r="B1300" s="16" t="s">
        <v>4123</v>
      </c>
      <c r="C1300" s="17">
        <v>45820</v>
      </c>
      <c r="D1300" s="15" t="s">
        <v>4124</v>
      </c>
      <c r="E1300" s="18" t="s">
        <v>3477</v>
      </c>
      <c r="F1300" s="19" t="s">
        <v>4125</v>
      </c>
      <c r="G1300" s="18" t="s">
        <v>4126</v>
      </c>
      <c r="H1300" s="20" t="s">
        <v>52</v>
      </c>
      <c r="I1300" s="15">
        <v>1</v>
      </c>
      <c r="J1300" s="15" t="s">
        <v>24</v>
      </c>
      <c r="K1300" s="15"/>
      <c r="L1300" s="21" t="s">
        <v>16</v>
      </c>
      <c r="M1300" s="22">
        <v>0</v>
      </c>
      <c r="N1300" s="22">
        <v>-375</v>
      </c>
      <c r="O1300" s="22">
        <v>7125</v>
      </c>
      <c r="P1300" s="22">
        <v>7125</v>
      </c>
      <c r="Q1300" t="str" cm="1">
        <f t="array" ref="Q1300">_xlfn.TEXTJOIN("、",TRUE,IF('學員資料-三民高中'!$B$2:$B$454=$F1300,'學員資料-三民高中'!$G$2:$G$454,""))</f>
        <v>0910315336-1</v>
      </c>
      <c r="R1300" t="str" cm="1">
        <f t="array" ref="R1300">_xlfn.TEXTJOIN("、",TRUE,IF('學員資料-新北高中'!$B$2:$B$583=$F1300,'學員資料-新北高中'!$G$2:$G$583,""))</f>
        <v/>
      </c>
      <c r="S1300" t="str" cm="1">
        <f t="array" ref="S1300">_xlfn.TEXTJOIN("、",TRUE,IF('學員資料-三重商工'!$B$2:$B$472=$F1300,'學員資料-三重商工'!$G$2:$G$472,""))</f>
        <v/>
      </c>
      <c r="T1300">
        <f t="shared" si="20"/>
        <v>1</v>
      </c>
    </row>
    <row r="1301" spans="1:20" ht="14.25" hidden="1" customHeight="1">
      <c r="A1301" s="15">
        <v>1300</v>
      </c>
      <c r="B1301" s="16" t="s">
        <v>4127</v>
      </c>
      <c r="C1301" s="17">
        <v>45820</v>
      </c>
      <c r="D1301" s="15" t="s">
        <v>4128</v>
      </c>
      <c r="E1301" s="18" t="s">
        <v>3477</v>
      </c>
      <c r="F1301" s="19" t="s">
        <v>2910</v>
      </c>
      <c r="G1301" s="18" t="s">
        <v>2911</v>
      </c>
      <c r="H1301" s="20" t="s">
        <v>130</v>
      </c>
      <c r="I1301" s="15">
        <v>1</v>
      </c>
      <c r="J1301" s="15" t="s">
        <v>25</v>
      </c>
      <c r="K1301" s="15"/>
      <c r="L1301" s="21" t="s">
        <v>16</v>
      </c>
      <c r="M1301" s="22">
        <v>0</v>
      </c>
      <c r="N1301" s="22">
        <v>-495</v>
      </c>
      <c r="O1301" s="22">
        <v>9405</v>
      </c>
      <c r="P1301" s="22">
        <v>9405</v>
      </c>
      <c r="Q1301" t="str" cm="1">
        <f t="array" ref="Q1301">_xlfn.TEXTJOIN("、",TRUE,IF('學員資料-三民高中'!$B$2:$B$454=$F1301,'學員資料-三民高中'!$G$2:$G$454,""))</f>
        <v>0939918883</v>
      </c>
      <c r="R1301" t="str" cm="1">
        <f t="array" ref="R1301">_xlfn.TEXTJOIN("、",TRUE,IF('學員資料-新北高中'!$B$2:$B$583=$F1301,'學員資料-新北高中'!$G$2:$G$583,""))</f>
        <v/>
      </c>
      <c r="S1301" t="str" cm="1">
        <f t="array" ref="S1301">_xlfn.TEXTJOIN("、",TRUE,IF('學員資料-三重商工'!$B$2:$B$472=$F1301,'學員資料-三重商工'!$G$2:$G$472,""))</f>
        <v/>
      </c>
      <c r="T1301">
        <f t="shared" si="20"/>
        <v>1</v>
      </c>
    </row>
    <row r="1302" spans="1:20" ht="57.75" hidden="1" customHeight="1">
      <c r="A1302" s="15">
        <v>1301</v>
      </c>
      <c r="B1302" s="16" t="s">
        <v>4129</v>
      </c>
      <c r="C1302" s="17">
        <v>45820</v>
      </c>
      <c r="D1302" s="15" t="s">
        <v>4130</v>
      </c>
      <c r="E1302" s="18" t="s">
        <v>3477</v>
      </c>
      <c r="F1302" s="19" t="s">
        <v>4131</v>
      </c>
      <c r="G1302" s="18" t="s">
        <v>4132</v>
      </c>
      <c r="H1302" s="20" t="s">
        <v>4133</v>
      </c>
      <c r="I1302" s="15">
        <v>4</v>
      </c>
      <c r="J1302" s="15" t="s">
        <v>24</v>
      </c>
      <c r="K1302" s="21" t="s">
        <v>116</v>
      </c>
      <c r="L1302" s="21" t="s">
        <v>16</v>
      </c>
      <c r="M1302" s="22">
        <v>0</v>
      </c>
      <c r="N1302" s="22">
        <v>0</v>
      </c>
      <c r="O1302" s="22">
        <v>5200</v>
      </c>
      <c r="P1302" s="22">
        <v>5200</v>
      </c>
      <c r="Q1302" t="str" cm="1">
        <f t="array" ref="Q1302">_xlfn.TEXTJOIN("、",TRUE,IF('學員資料-三民高中'!$B$2:$B$454=$F1302,'學員資料-三民高中'!$G$2:$G$454,""))</f>
        <v>0965807900</v>
      </c>
      <c r="R1302" t="str" cm="1">
        <f t="array" ref="R1302">_xlfn.TEXTJOIN("、",TRUE,IF('學員資料-新北高中'!$B$2:$B$583=$F1302,'學員資料-新北高中'!$G$2:$G$583,""))</f>
        <v/>
      </c>
      <c r="S1302" t="str" cm="1">
        <f t="array" ref="S1302">_xlfn.TEXTJOIN("、",TRUE,IF('學員資料-三重商工'!$B$2:$B$472=$F1302,'學員資料-三重商工'!$G$2:$G$472,""))</f>
        <v/>
      </c>
      <c r="T1302">
        <f t="shared" si="20"/>
        <v>1</v>
      </c>
    </row>
    <row r="1303" spans="1:20" ht="14.25" hidden="1" customHeight="1">
      <c r="A1303" s="15">
        <v>1302</v>
      </c>
      <c r="B1303" s="16" t="s">
        <v>4134</v>
      </c>
      <c r="C1303" s="17">
        <v>45820</v>
      </c>
      <c r="D1303" s="15" t="s">
        <v>4135</v>
      </c>
      <c r="E1303" s="18" t="s">
        <v>3477</v>
      </c>
      <c r="F1303" s="19" t="s">
        <v>4136</v>
      </c>
      <c r="G1303" s="18" t="s">
        <v>4137</v>
      </c>
      <c r="H1303" s="20" t="s">
        <v>52</v>
      </c>
      <c r="I1303" s="15">
        <v>1</v>
      </c>
      <c r="J1303" s="15" t="s">
        <v>24</v>
      </c>
      <c r="K1303" s="15"/>
      <c r="L1303" s="21" t="s">
        <v>16</v>
      </c>
      <c r="M1303" s="22">
        <v>0</v>
      </c>
      <c r="N1303" s="22">
        <v>-375</v>
      </c>
      <c r="O1303" s="22">
        <v>7125</v>
      </c>
      <c r="P1303" s="22">
        <v>7125</v>
      </c>
      <c r="Q1303" t="str" cm="1">
        <f t="array" ref="Q1303">_xlfn.TEXTJOIN("、",TRUE,IF('學員資料-三民高中'!$B$2:$B$454=$F1303,'學員資料-三民高中'!$G$2:$G$454,""))</f>
        <v>0952002168</v>
      </c>
      <c r="R1303" t="str" cm="1">
        <f t="array" ref="R1303">_xlfn.TEXTJOIN("、",TRUE,IF('學員資料-新北高中'!$B$2:$B$583=$F1303,'學員資料-新北高中'!$G$2:$G$583,""))</f>
        <v/>
      </c>
      <c r="S1303" t="str" cm="1">
        <f t="array" ref="S1303">_xlfn.TEXTJOIN("、",TRUE,IF('學員資料-三重商工'!$B$2:$B$472=$F1303,'學員資料-三重商工'!$G$2:$G$472,""))</f>
        <v/>
      </c>
      <c r="T1303">
        <f t="shared" si="20"/>
        <v>1</v>
      </c>
    </row>
    <row r="1304" spans="1:20" ht="14.25" hidden="1" customHeight="1">
      <c r="A1304" s="15">
        <v>1303</v>
      </c>
      <c r="B1304" s="16" t="s">
        <v>4138</v>
      </c>
      <c r="C1304" s="17">
        <v>45820</v>
      </c>
      <c r="D1304" s="15" t="s">
        <v>4139</v>
      </c>
      <c r="E1304" s="18" t="s">
        <v>3477</v>
      </c>
      <c r="F1304" s="19" t="s">
        <v>908</v>
      </c>
      <c r="G1304" s="18" t="s">
        <v>909</v>
      </c>
      <c r="H1304" s="20" t="s">
        <v>130</v>
      </c>
      <c r="I1304" s="15">
        <v>1</v>
      </c>
      <c r="J1304" s="15" t="s">
        <v>25</v>
      </c>
      <c r="K1304" s="15"/>
      <c r="L1304" s="21" t="s">
        <v>16</v>
      </c>
      <c r="M1304" s="22">
        <v>0</v>
      </c>
      <c r="N1304" s="22">
        <v>-495</v>
      </c>
      <c r="O1304" s="22">
        <v>9405</v>
      </c>
      <c r="P1304" s="22">
        <v>9405</v>
      </c>
      <c r="Q1304" t="str" cm="1">
        <f t="array" ref="Q1304">_xlfn.TEXTJOIN("、",TRUE,IF('學員資料-三民高中'!$B$2:$B$454=$F1304,'學員資料-三民高中'!$G$2:$G$454,""))</f>
        <v>0952978038</v>
      </c>
      <c r="R1304" t="str" cm="1">
        <f t="array" ref="R1304">_xlfn.TEXTJOIN("、",TRUE,IF('學員資料-新北高中'!$B$2:$B$583=$F1304,'學員資料-新北高中'!$G$2:$G$583,""))</f>
        <v/>
      </c>
      <c r="S1304" t="str" cm="1">
        <f t="array" ref="S1304">_xlfn.TEXTJOIN("、",TRUE,IF('學員資料-三重商工'!$B$2:$B$472=$F1304,'學員資料-三重商工'!$G$2:$G$472,""))</f>
        <v/>
      </c>
      <c r="T1304">
        <f t="shared" si="20"/>
        <v>1</v>
      </c>
    </row>
    <row r="1305" spans="1:20" ht="28.5" hidden="1" customHeight="1">
      <c r="A1305" s="15">
        <v>1304</v>
      </c>
      <c r="B1305" s="16" t="s">
        <v>4140</v>
      </c>
      <c r="C1305" s="17">
        <v>45820</v>
      </c>
      <c r="D1305" s="15" t="s">
        <v>4141</v>
      </c>
      <c r="E1305" s="18" t="s">
        <v>3477</v>
      </c>
      <c r="F1305" s="19" t="s">
        <v>4142</v>
      </c>
      <c r="G1305" s="18" t="s">
        <v>4143</v>
      </c>
      <c r="H1305" s="20" t="s">
        <v>99</v>
      </c>
      <c r="I1305" s="15">
        <v>2</v>
      </c>
      <c r="J1305" s="15" t="s">
        <v>24</v>
      </c>
      <c r="K1305" s="15"/>
      <c r="L1305" s="21" t="s">
        <v>16</v>
      </c>
      <c r="M1305" s="22">
        <v>0</v>
      </c>
      <c r="N1305" s="22">
        <v>-750</v>
      </c>
      <c r="O1305" s="22">
        <v>14250</v>
      </c>
      <c r="P1305" s="22">
        <v>14250</v>
      </c>
      <c r="Q1305" t="str" cm="1">
        <f t="array" ref="Q1305">_xlfn.TEXTJOIN("、",TRUE,IF('學員資料-三民高中'!$B$2:$B$454=$F1305,'學員資料-三民高中'!$G$2:$G$454,""))</f>
        <v>0937745921</v>
      </c>
      <c r="R1305" t="str" cm="1">
        <f t="array" ref="R1305">_xlfn.TEXTJOIN("、",TRUE,IF('學員資料-新北高中'!$B$2:$B$583=$F1305,'學員資料-新北高中'!$G$2:$G$583,""))</f>
        <v/>
      </c>
      <c r="S1305" t="str" cm="1">
        <f t="array" ref="S1305">_xlfn.TEXTJOIN("、",TRUE,IF('學員資料-三重商工'!$B$2:$B$472=$F1305,'學員資料-三重商工'!$G$2:$G$472,""))</f>
        <v/>
      </c>
      <c r="T1305">
        <f t="shared" si="20"/>
        <v>1</v>
      </c>
    </row>
    <row r="1306" spans="1:20" ht="28.5" hidden="1" customHeight="1">
      <c r="A1306" s="15">
        <v>1305</v>
      </c>
      <c r="B1306" s="16" t="s">
        <v>4144</v>
      </c>
      <c r="C1306" s="17">
        <v>45820</v>
      </c>
      <c r="D1306" s="15" t="s">
        <v>4145</v>
      </c>
      <c r="E1306" s="18" t="s">
        <v>3477</v>
      </c>
      <c r="F1306" s="19" t="s">
        <v>1551</v>
      </c>
      <c r="G1306" s="18" t="s">
        <v>1552</v>
      </c>
      <c r="H1306" s="20" t="s">
        <v>99</v>
      </c>
      <c r="I1306" s="15">
        <v>2</v>
      </c>
      <c r="J1306" s="15" t="s">
        <v>24</v>
      </c>
      <c r="K1306" s="15"/>
      <c r="L1306" s="21" t="s">
        <v>16</v>
      </c>
      <c r="M1306" s="22">
        <v>0</v>
      </c>
      <c r="N1306" s="22">
        <v>-750</v>
      </c>
      <c r="O1306" s="22">
        <v>14250</v>
      </c>
      <c r="P1306" s="22">
        <v>14250</v>
      </c>
      <c r="Q1306" t="str" cm="1">
        <f t="array" ref="Q1306">_xlfn.TEXTJOIN("、",TRUE,IF('學員資料-三民高中'!$B$2:$B$454=$F1306,'學員資料-三民高中'!$G$2:$G$454,""))</f>
        <v>0926332775</v>
      </c>
      <c r="R1306" t="str" cm="1">
        <f t="array" ref="R1306">_xlfn.TEXTJOIN("、",TRUE,IF('學員資料-新北高中'!$B$2:$B$583=$F1306,'學員資料-新北高中'!$G$2:$G$583,""))</f>
        <v/>
      </c>
      <c r="S1306" t="str" cm="1">
        <f t="array" ref="S1306">_xlfn.TEXTJOIN("、",TRUE,IF('學員資料-三重商工'!$B$2:$B$472=$F1306,'學員資料-三重商工'!$G$2:$G$472,""))</f>
        <v/>
      </c>
      <c r="T1306">
        <f t="shared" si="20"/>
        <v>1</v>
      </c>
    </row>
    <row r="1307" spans="1:20" ht="14.25" hidden="1" customHeight="1">
      <c r="A1307" s="15">
        <v>1306</v>
      </c>
      <c r="B1307" s="16" t="s">
        <v>4146</v>
      </c>
      <c r="C1307" s="17">
        <v>45820</v>
      </c>
      <c r="D1307" s="15" t="s">
        <v>4147</v>
      </c>
      <c r="E1307" s="18" t="s">
        <v>3477</v>
      </c>
      <c r="F1307" s="19" t="s">
        <v>4148</v>
      </c>
      <c r="G1307" s="18" t="s">
        <v>4149</v>
      </c>
      <c r="H1307" s="20" t="s">
        <v>52</v>
      </c>
      <c r="I1307" s="15">
        <v>1</v>
      </c>
      <c r="J1307" s="15" t="s">
        <v>24</v>
      </c>
      <c r="K1307" s="15"/>
      <c r="L1307" s="21" t="s">
        <v>16</v>
      </c>
      <c r="M1307" s="22">
        <v>0</v>
      </c>
      <c r="N1307" s="22">
        <v>-375</v>
      </c>
      <c r="O1307" s="22">
        <v>7125</v>
      </c>
      <c r="P1307" s="22">
        <v>7125</v>
      </c>
      <c r="Q1307" t="str" cm="1">
        <f t="array" ref="Q1307">_xlfn.TEXTJOIN("、",TRUE,IF('學員資料-三民高中'!$B$2:$B$454=$F1307,'學員資料-三民高中'!$G$2:$G$454,""))</f>
        <v>0988507590</v>
      </c>
      <c r="R1307" t="str" cm="1">
        <f t="array" ref="R1307">_xlfn.TEXTJOIN("、",TRUE,IF('學員資料-新北高中'!$B$2:$B$583=$F1307,'學員資料-新北高中'!$G$2:$G$583,""))</f>
        <v/>
      </c>
      <c r="S1307" t="str" cm="1">
        <f t="array" ref="S1307">_xlfn.TEXTJOIN("、",TRUE,IF('學員資料-三重商工'!$B$2:$B$472=$F1307,'學員資料-三重商工'!$G$2:$G$472,""))</f>
        <v/>
      </c>
      <c r="T1307">
        <f t="shared" si="20"/>
        <v>1</v>
      </c>
    </row>
    <row r="1308" spans="1:20" ht="14.25" hidden="1" customHeight="1">
      <c r="A1308" s="15">
        <v>1307</v>
      </c>
      <c r="B1308" s="16" t="s">
        <v>4150</v>
      </c>
      <c r="C1308" s="17">
        <v>45820</v>
      </c>
      <c r="D1308" s="15" t="s">
        <v>4151</v>
      </c>
      <c r="E1308" s="18" t="s">
        <v>3477</v>
      </c>
      <c r="F1308" s="19" t="s">
        <v>4152</v>
      </c>
      <c r="G1308" s="18" t="s">
        <v>4153</v>
      </c>
      <c r="H1308" s="20" t="s">
        <v>52</v>
      </c>
      <c r="I1308" s="15">
        <v>1</v>
      </c>
      <c r="J1308" s="15" t="s">
        <v>24</v>
      </c>
      <c r="K1308" s="15"/>
      <c r="L1308" s="21" t="s">
        <v>16</v>
      </c>
      <c r="M1308" s="22">
        <v>0</v>
      </c>
      <c r="N1308" s="22">
        <v>-375</v>
      </c>
      <c r="O1308" s="22">
        <v>7125</v>
      </c>
      <c r="P1308" s="22">
        <v>7125</v>
      </c>
      <c r="Q1308" t="str" cm="1">
        <f t="array" ref="Q1308">_xlfn.TEXTJOIN("、",TRUE,IF('學員資料-三民高中'!$B$2:$B$454=$F1308,'學員資料-三民高中'!$G$2:$G$454,""))</f>
        <v>22814891</v>
      </c>
      <c r="R1308" t="str" cm="1">
        <f t="array" ref="R1308">_xlfn.TEXTJOIN("、",TRUE,IF('學員資料-新北高中'!$B$2:$B$583=$F1308,'學員資料-新北高中'!$G$2:$G$583,""))</f>
        <v/>
      </c>
      <c r="S1308" t="str" cm="1">
        <f t="array" ref="S1308">_xlfn.TEXTJOIN("、",TRUE,IF('學員資料-三重商工'!$B$2:$B$472=$F1308,'學員資料-三重商工'!$G$2:$G$472,""))</f>
        <v/>
      </c>
      <c r="T1308">
        <f t="shared" si="20"/>
        <v>1</v>
      </c>
    </row>
    <row r="1309" spans="1:20" ht="14.25" customHeight="1">
      <c r="A1309" s="15">
        <v>1308</v>
      </c>
      <c r="B1309" s="16" t="s">
        <v>4154</v>
      </c>
      <c r="C1309" s="17">
        <v>45820</v>
      </c>
      <c r="D1309" s="15" t="s">
        <v>4155</v>
      </c>
      <c r="E1309" s="18" t="s">
        <v>3477</v>
      </c>
      <c r="F1309" s="19"/>
      <c r="G1309" s="23" t="s">
        <v>439</v>
      </c>
      <c r="H1309" s="20" t="s">
        <v>66</v>
      </c>
      <c r="I1309" s="15">
        <v>1</v>
      </c>
      <c r="J1309" s="15" t="s">
        <v>23</v>
      </c>
      <c r="K1309" s="15"/>
      <c r="L1309" s="21" t="s">
        <v>16</v>
      </c>
      <c r="M1309" s="22">
        <v>0</v>
      </c>
      <c r="N1309" s="22">
        <v>-345</v>
      </c>
      <c r="O1309" s="22">
        <v>6555</v>
      </c>
      <c r="P1309" s="22">
        <v>6555</v>
      </c>
      <c r="Q1309" t="str" cm="1">
        <f t="array" ref="Q1309">_xlfn.TEXTJOIN("、",TRUE,IF('學員資料-三民高中'!$B$2:$B$454=$F1309,'學員資料-三民高中'!$G$2:$G$454,""))</f>
        <v/>
      </c>
      <c r="R1309" t="str" cm="1">
        <f t="array" ref="R1309">_xlfn.TEXTJOIN("、",TRUE,IF('學員資料-新北高中'!$B$2:$B$583=$F1309,'學員資料-新北高中'!$G$2:$G$583,""))</f>
        <v/>
      </c>
      <c r="S1309" t="str" cm="1">
        <f t="array" ref="S1309">_xlfn.TEXTJOIN("、",TRUE,IF('學員資料-三重商工'!$B$2:$B$472=$F1309,'學員資料-三重商工'!$G$2:$G$472,""))</f>
        <v/>
      </c>
      <c r="T1309">
        <f t="shared" si="20"/>
        <v>0</v>
      </c>
    </row>
    <row r="1310" spans="1:20" ht="28.5" hidden="1" customHeight="1">
      <c r="A1310" s="15">
        <v>1309</v>
      </c>
      <c r="B1310" s="16" t="s">
        <v>4156</v>
      </c>
      <c r="C1310" s="17">
        <v>45820</v>
      </c>
      <c r="D1310" s="15" t="s">
        <v>4157</v>
      </c>
      <c r="E1310" s="18" t="s">
        <v>3477</v>
      </c>
      <c r="F1310" s="19" t="s">
        <v>1756</v>
      </c>
      <c r="G1310" s="18" t="s">
        <v>1757</v>
      </c>
      <c r="H1310" s="20" t="s">
        <v>75</v>
      </c>
      <c r="I1310" s="15">
        <v>2</v>
      </c>
      <c r="J1310" s="15" t="s">
        <v>23</v>
      </c>
      <c r="K1310" s="15"/>
      <c r="L1310" s="21" t="s">
        <v>16</v>
      </c>
      <c r="M1310" s="22">
        <v>0</v>
      </c>
      <c r="N1310" s="22">
        <v>-690</v>
      </c>
      <c r="O1310" s="22">
        <v>13110</v>
      </c>
      <c r="P1310" s="22">
        <v>13110</v>
      </c>
      <c r="Q1310" t="str" cm="1">
        <f t="array" ref="Q1310">_xlfn.TEXTJOIN("、",TRUE,IF('學員資料-三民高中'!$B$2:$B$454=$F1310,'學員資料-三民高中'!$G$2:$G$454,""))</f>
        <v/>
      </c>
      <c r="R1310" t="str" cm="1">
        <f t="array" ref="R1310">_xlfn.TEXTJOIN("、",TRUE,IF('學員資料-新北高中'!$B$2:$B$583=$F1310,'學員資料-新北高中'!$G$2:$G$583,""))</f>
        <v/>
      </c>
      <c r="S1310" t="str" cm="1">
        <f t="array" ref="S1310">_xlfn.TEXTJOIN("、",TRUE,IF('學員資料-三重商工'!$B$2:$B$472=$F1310,'學員資料-三重商工'!$G$2:$G$472,""))</f>
        <v>0975650503</v>
      </c>
      <c r="T1310">
        <f t="shared" si="20"/>
        <v>1</v>
      </c>
    </row>
    <row r="1311" spans="1:20" ht="28.5" hidden="1" customHeight="1">
      <c r="A1311" s="15">
        <v>1310</v>
      </c>
      <c r="B1311" s="16" t="s">
        <v>4158</v>
      </c>
      <c r="C1311" s="17">
        <v>45820</v>
      </c>
      <c r="D1311" s="15" t="s">
        <v>4159</v>
      </c>
      <c r="E1311" s="18" t="s">
        <v>3477</v>
      </c>
      <c r="F1311" s="19" t="s">
        <v>1001</v>
      </c>
      <c r="G1311" s="18" t="s">
        <v>1002</v>
      </c>
      <c r="H1311" s="20" t="s">
        <v>99</v>
      </c>
      <c r="I1311" s="15">
        <v>2</v>
      </c>
      <c r="J1311" s="15" t="s">
        <v>24</v>
      </c>
      <c r="K1311" s="15"/>
      <c r="L1311" s="21" t="s">
        <v>16</v>
      </c>
      <c r="M1311" s="22">
        <v>0</v>
      </c>
      <c r="N1311" s="22">
        <v>-750</v>
      </c>
      <c r="O1311" s="22">
        <v>14250</v>
      </c>
      <c r="P1311" s="22">
        <v>14250</v>
      </c>
      <c r="Q1311" t="str" cm="1">
        <f t="array" ref="Q1311">_xlfn.TEXTJOIN("、",TRUE,IF('學員資料-三民高中'!$B$2:$B$454=$F1311,'學員資料-三民高中'!$G$2:$G$454,""))</f>
        <v>0955554989</v>
      </c>
      <c r="R1311" t="str" cm="1">
        <f t="array" ref="R1311">_xlfn.TEXTJOIN("、",TRUE,IF('學員資料-新北高中'!$B$2:$B$583=$F1311,'學員資料-新北高中'!$G$2:$G$583,""))</f>
        <v/>
      </c>
      <c r="S1311" t="str" cm="1">
        <f t="array" ref="S1311">_xlfn.TEXTJOIN("、",TRUE,IF('學員資料-三重商工'!$B$2:$B$472=$F1311,'學員資料-三重商工'!$G$2:$G$472,""))</f>
        <v/>
      </c>
      <c r="T1311">
        <f t="shared" si="20"/>
        <v>1</v>
      </c>
    </row>
    <row r="1312" spans="1:20" ht="28.5" hidden="1" customHeight="1">
      <c r="A1312" s="15">
        <v>1311</v>
      </c>
      <c r="B1312" s="16" t="s">
        <v>4160</v>
      </c>
      <c r="C1312" s="17">
        <v>45820</v>
      </c>
      <c r="D1312" s="15" t="s">
        <v>4161</v>
      </c>
      <c r="E1312" s="18" t="s">
        <v>3477</v>
      </c>
      <c r="F1312" s="19" t="s">
        <v>1442</v>
      </c>
      <c r="G1312" s="18" t="s">
        <v>1443</v>
      </c>
      <c r="H1312" s="20" t="s">
        <v>99</v>
      </c>
      <c r="I1312" s="15">
        <v>2</v>
      </c>
      <c r="J1312" s="15" t="s">
        <v>24</v>
      </c>
      <c r="K1312" s="15"/>
      <c r="L1312" s="21" t="s">
        <v>16</v>
      </c>
      <c r="M1312" s="22">
        <v>0</v>
      </c>
      <c r="N1312" s="22">
        <v>-750</v>
      </c>
      <c r="O1312" s="22">
        <v>14250</v>
      </c>
      <c r="P1312" s="22">
        <v>14250</v>
      </c>
      <c r="Q1312" t="str" cm="1">
        <f t="array" ref="Q1312">_xlfn.TEXTJOIN("、",TRUE,IF('學員資料-三民高中'!$B$2:$B$454=$F1312,'學員資料-三民高中'!$G$2:$G$454,""))</f>
        <v>0956454870-1</v>
      </c>
      <c r="R1312" t="str" cm="1">
        <f t="array" ref="R1312">_xlfn.TEXTJOIN("、",TRUE,IF('學員資料-新北高中'!$B$2:$B$583=$F1312,'學員資料-新北高中'!$G$2:$G$583,""))</f>
        <v/>
      </c>
      <c r="S1312" t="str" cm="1">
        <f t="array" ref="S1312">_xlfn.TEXTJOIN("、",TRUE,IF('學員資料-三重商工'!$B$2:$B$472=$F1312,'學員資料-三重商工'!$G$2:$G$472,""))</f>
        <v/>
      </c>
      <c r="T1312">
        <f t="shared" si="20"/>
        <v>1</v>
      </c>
    </row>
    <row r="1313" spans="1:20" ht="43.5" hidden="1" customHeight="1">
      <c r="A1313" s="15">
        <v>1312</v>
      </c>
      <c r="B1313" s="16" t="s">
        <v>4162</v>
      </c>
      <c r="C1313" s="17">
        <v>45820</v>
      </c>
      <c r="D1313" s="15" t="s">
        <v>4163</v>
      </c>
      <c r="E1313" s="18" t="s">
        <v>3477</v>
      </c>
      <c r="F1313" s="19" t="s">
        <v>4164</v>
      </c>
      <c r="G1313" s="18" t="s">
        <v>2615</v>
      </c>
      <c r="H1313" s="20" t="s">
        <v>405</v>
      </c>
      <c r="I1313" s="15">
        <v>3</v>
      </c>
      <c r="J1313" s="15" t="s">
        <v>25</v>
      </c>
      <c r="K1313" s="15"/>
      <c r="L1313" s="21" t="s">
        <v>16</v>
      </c>
      <c r="M1313" s="22">
        <v>0</v>
      </c>
      <c r="N1313" s="22">
        <v>-1485</v>
      </c>
      <c r="O1313" s="22">
        <v>28215</v>
      </c>
      <c r="P1313" s="22">
        <v>28215</v>
      </c>
      <c r="Q1313" t="str" cm="1">
        <f t="array" ref="Q1313">_xlfn.TEXTJOIN("、",TRUE,IF('學員資料-三民高中'!$B$2:$B$454=$F1313,'學員資料-三民高中'!$G$2:$G$454,""))</f>
        <v>0939355870</v>
      </c>
      <c r="R1313" t="str" cm="1">
        <f t="array" ref="R1313">_xlfn.TEXTJOIN("、",TRUE,IF('學員資料-新北高中'!$B$2:$B$583=$F1313,'學員資料-新北高中'!$G$2:$G$583,""))</f>
        <v/>
      </c>
      <c r="S1313" t="str" cm="1">
        <f t="array" ref="S1313">_xlfn.TEXTJOIN("、",TRUE,IF('學員資料-三重商工'!$B$2:$B$472=$F1313,'學員資料-三重商工'!$G$2:$G$472,""))</f>
        <v/>
      </c>
      <c r="T1313">
        <f t="shared" si="20"/>
        <v>1</v>
      </c>
    </row>
    <row r="1314" spans="1:20" ht="14.25" hidden="1" customHeight="1">
      <c r="A1314" s="15">
        <v>1313</v>
      </c>
      <c r="B1314" s="16" t="s">
        <v>4165</v>
      </c>
      <c r="C1314" s="17">
        <v>45820</v>
      </c>
      <c r="D1314" s="15" t="s">
        <v>4166</v>
      </c>
      <c r="E1314" s="18" t="s">
        <v>3477</v>
      </c>
      <c r="F1314" s="19" t="s">
        <v>4167</v>
      </c>
      <c r="G1314" s="18" t="s">
        <v>4168</v>
      </c>
      <c r="H1314" s="20" t="s">
        <v>66</v>
      </c>
      <c r="I1314" s="15">
        <v>1</v>
      </c>
      <c r="J1314" s="15" t="s">
        <v>23</v>
      </c>
      <c r="K1314" s="15"/>
      <c r="L1314" s="21" t="s">
        <v>16</v>
      </c>
      <c r="M1314" s="22">
        <v>0</v>
      </c>
      <c r="N1314" s="22">
        <v>-345</v>
      </c>
      <c r="O1314" s="22">
        <v>6555</v>
      </c>
      <c r="P1314" s="22">
        <v>6555</v>
      </c>
      <c r="Q1314" t="str" cm="1">
        <f t="array" ref="Q1314">_xlfn.TEXTJOIN("、",TRUE,IF('學員資料-三民高中'!$B$2:$B$454=$F1314,'學員資料-三民高中'!$G$2:$G$454,""))</f>
        <v>0922355333</v>
      </c>
      <c r="R1314" t="str" cm="1">
        <f t="array" ref="R1314">_xlfn.TEXTJOIN("、",TRUE,IF('學員資料-新北高中'!$B$2:$B$583=$F1314,'學員資料-新北高中'!$G$2:$G$583,""))</f>
        <v/>
      </c>
      <c r="S1314" t="str" cm="1">
        <f t="array" ref="S1314">_xlfn.TEXTJOIN("、",TRUE,IF('學員資料-三重商工'!$B$2:$B$472=$F1314,'學員資料-三重商工'!$G$2:$G$472,""))</f>
        <v/>
      </c>
      <c r="T1314">
        <f t="shared" si="20"/>
        <v>1</v>
      </c>
    </row>
    <row r="1315" spans="1:20" ht="14.25" hidden="1" customHeight="1">
      <c r="A1315" s="15">
        <v>1314</v>
      </c>
      <c r="B1315" s="16" t="s">
        <v>4169</v>
      </c>
      <c r="C1315" s="17">
        <v>45820</v>
      </c>
      <c r="D1315" s="15" t="s">
        <v>4170</v>
      </c>
      <c r="E1315" s="18" t="s">
        <v>3477</v>
      </c>
      <c r="F1315" s="19" t="s">
        <v>4171</v>
      </c>
      <c r="G1315" s="18" t="s">
        <v>4172</v>
      </c>
      <c r="H1315" s="20" t="s">
        <v>66</v>
      </c>
      <c r="I1315" s="15">
        <v>1</v>
      </c>
      <c r="J1315" s="15" t="s">
        <v>23</v>
      </c>
      <c r="K1315" s="15"/>
      <c r="L1315" s="21" t="s">
        <v>16</v>
      </c>
      <c r="M1315" s="22">
        <v>0</v>
      </c>
      <c r="N1315" s="22">
        <v>-345</v>
      </c>
      <c r="O1315" s="22">
        <v>6555</v>
      </c>
      <c r="P1315" s="22">
        <v>6555</v>
      </c>
      <c r="Q1315" t="str" cm="1">
        <f t="array" ref="Q1315">_xlfn.TEXTJOIN("、",TRUE,IF('學員資料-三民高中'!$B$2:$B$454=$F1315,'學員資料-三民高中'!$G$2:$G$454,""))</f>
        <v>0920828138</v>
      </c>
      <c r="R1315" t="str" cm="1">
        <f t="array" ref="R1315">_xlfn.TEXTJOIN("、",TRUE,IF('學員資料-新北高中'!$B$2:$B$583=$F1315,'學員資料-新北高中'!$G$2:$G$583,""))</f>
        <v/>
      </c>
      <c r="S1315" t="str" cm="1">
        <f t="array" ref="S1315">_xlfn.TEXTJOIN("、",TRUE,IF('學員資料-三重商工'!$B$2:$B$472=$F1315,'學員資料-三重商工'!$G$2:$G$472,""))</f>
        <v/>
      </c>
      <c r="T1315">
        <f t="shared" si="20"/>
        <v>1</v>
      </c>
    </row>
    <row r="1316" spans="1:20" ht="14.25" hidden="1" customHeight="1">
      <c r="A1316" s="15">
        <v>1315</v>
      </c>
      <c r="B1316" s="16" t="s">
        <v>4173</v>
      </c>
      <c r="C1316" s="17">
        <v>45820</v>
      </c>
      <c r="D1316" s="15" t="s">
        <v>4174</v>
      </c>
      <c r="E1316" s="18" t="s">
        <v>3477</v>
      </c>
      <c r="F1316" s="19" t="s">
        <v>1925</v>
      </c>
      <c r="G1316" s="18" t="s">
        <v>1926</v>
      </c>
      <c r="H1316" s="20" t="s">
        <v>66</v>
      </c>
      <c r="I1316" s="15">
        <v>1</v>
      </c>
      <c r="J1316" s="15" t="s">
        <v>23</v>
      </c>
      <c r="K1316" s="15"/>
      <c r="L1316" s="21" t="s">
        <v>16</v>
      </c>
      <c r="M1316" s="22">
        <v>0</v>
      </c>
      <c r="N1316" s="22">
        <v>-345</v>
      </c>
      <c r="O1316" s="22">
        <v>6555</v>
      </c>
      <c r="P1316" s="22">
        <v>6555</v>
      </c>
      <c r="Q1316" t="str" cm="1">
        <f t="array" ref="Q1316">_xlfn.TEXTJOIN("、",TRUE,IF('學員資料-三民高中'!$B$2:$B$454=$F1316,'學員資料-三民高中'!$G$2:$G$454,""))</f>
        <v/>
      </c>
      <c r="R1316" t="str" cm="1">
        <f t="array" ref="R1316">_xlfn.TEXTJOIN("、",TRUE,IF('學員資料-新北高中'!$B$2:$B$583=$F1316,'學員資料-新北高中'!$G$2:$G$583,""))</f>
        <v>0902228252</v>
      </c>
      <c r="S1316" t="str" cm="1">
        <f t="array" ref="S1316">_xlfn.TEXTJOIN("、",TRUE,IF('學員資料-三重商工'!$B$2:$B$472=$F1316,'學員資料-三重商工'!$G$2:$G$472,""))</f>
        <v/>
      </c>
      <c r="T1316">
        <f t="shared" si="20"/>
        <v>1</v>
      </c>
    </row>
    <row r="1317" spans="1:20" ht="14.25" hidden="1" customHeight="1">
      <c r="A1317" s="15">
        <v>1316</v>
      </c>
      <c r="B1317" s="16" t="s">
        <v>4175</v>
      </c>
      <c r="C1317" s="17">
        <v>45819</v>
      </c>
      <c r="D1317" s="15" t="s">
        <v>4176</v>
      </c>
      <c r="E1317" s="18" t="s">
        <v>3477</v>
      </c>
      <c r="F1317" s="19" t="s">
        <v>1175</v>
      </c>
      <c r="G1317" s="18" t="s">
        <v>1176</v>
      </c>
      <c r="H1317" s="20" t="s">
        <v>66</v>
      </c>
      <c r="I1317" s="15">
        <v>1</v>
      </c>
      <c r="J1317" s="15" t="s">
        <v>23</v>
      </c>
      <c r="K1317" s="15"/>
      <c r="L1317" s="21" t="s">
        <v>16</v>
      </c>
      <c r="M1317" s="22">
        <v>0</v>
      </c>
      <c r="N1317" s="22">
        <v>0</v>
      </c>
      <c r="O1317" s="22">
        <v>6900</v>
      </c>
      <c r="P1317" s="22">
        <v>6900</v>
      </c>
      <c r="Q1317" t="str" cm="1">
        <f t="array" ref="Q1317">_xlfn.TEXTJOIN("、",TRUE,IF('學員資料-三民高中'!$B$2:$B$454=$F1317,'學員資料-三民高中'!$G$2:$G$454,""))</f>
        <v>0963008351</v>
      </c>
      <c r="R1317" t="str" cm="1">
        <f t="array" ref="R1317">_xlfn.TEXTJOIN("、",TRUE,IF('學員資料-新北高中'!$B$2:$B$583=$F1317,'學員資料-新北高中'!$G$2:$G$583,""))</f>
        <v/>
      </c>
      <c r="S1317" t="str" cm="1">
        <f t="array" ref="S1317">_xlfn.TEXTJOIN("、",TRUE,IF('學員資料-三重商工'!$B$2:$B$472=$F1317,'學員資料-三重商工'!$G$2:$G$472,""))</f>
        <v/>
      </c>
      <c r="T1317">
        <f t="shared" si="20"/>
        <v>1</v>
      </c>
    </row>
    <row r="1318" spans="1:20" ht="14.25" hidden="1" customHeight="1">
      <c r="A1318" s="15">
        <v>1317</v>
      </c>
      <c r="B1318" s="16" t="s">
        <v>4177</v>
      </c>
      <c r="C1318" s="17">
        <v>45818</v>
      </c>
      <c r="D1318" s="15" t="s">
        <v>4178</v>
      </c>
      <c r="E1318" s="18" t="s">
        <v>83</v>
      </c>
      <c r="F1318" s="19" t="s">
        <v>2076</v>
      </c>
      <c r="G1318" s="18" t="s">
        <v>2077</v>
      </c>
      <c r="H1318" s="20" t="s">
        <v>52</v>
      </c>
      <c r="I1318" s="15">
        <v>1</v>
      </c>
      <c r="J1318" s="15" t="s">
        <v>24</v>
      </c>
      <c r="K1318" s="15"/>
      <c r="L1318" s="21" t="s">
        <v>16</v>
      </c>
      <c r="M1318" s="22">
        <v>0</v>
      </c>
      <c r="N1318" s="22">
        <v>0</v>
      </c>
      <c r="O1318" s="22">
        <v>7500</v>
      </c>
      <c r="P1318" s="22">
        <v>7500</v>
      </c>
      <c r="Q1318" t="str" cm="1">
        <f t="array" ref="Q1318">_xlfn.TEXTJOIN("、",TRUE,IF('學員資料-三民高中'!$B$2:$B$454=$F1318,'學員資料-三民高中'!$G$2:$G$454,""))</f>
        <v/>
      </c>
      <c r="R1318" t="str" cm="1">
        <f t="array" ref="R1318">_xlfn.TEXTJOIN("、",TRUE,IF('學員資料-新北高中'!$B$2:$B$583=$F1318,'學員資料-新北高中'!$G$2:$G$583,""))</f>
        <v/>
      </c>
      <c r="S1318" t="str" cm="1">
        <f t="array" ref="S1318">_xlfn.TEXTJOIN("、",TRUE,IF('學員資料-三重商工'!$B$2:$B$472=$F1318,'學員資料-三重商工'!$G$2:$G$472,""))</f>
        <v>0972935707</v>
      </c>
      <c r="T1318">
        <f t="shared" si="20"/>
        <v>1</v>
      </c>
    </row>
    <row r="1319" spans="1:20" ht="14.25" hidden="1" customHeight="1">
      <c r="A1319" s="15">
        <v>1318</v>
      </c>
      <c r="B1319" s="16" t="s">
        <v>4179</v>
      </c>
      <c r="C1319" s="17">
        <v>45818</v>
      </c>
      <c r="D1319" s="15" t="s">
        <v>4180</v>
      </c>
      <c r="E1319" s="18" t="s">
        <v>83</v>
      </c>
      <c r="F1319" s="19" t="s">
        <v>3901</v>
      </c>
      <c r="G1319" s="18" t="s">
        <v>3902</v>
      </c>
      <c r="H1319" s="20" t="s">
        <v>66</v>
      </c>
      <c r="I1319" s="15">
        <v>1</v>
      </c>
      <c r="J1319" s="15" t="s">
        <v>23</v>
      </c>
      <c r="K1319" s="15"/>
      <c r="L1319" s="21" t="s">
        <v>16</v>
      </c>
      <c r="M1319" s="22">
        <v>0</v>
      </c>
      <c r="N1319" s="22">
        <v>0</v>
      </c>
      <c r="O1319" s="22">
        <v>6900</v>
      </c>
      <c r="P1319" s="22">
        <v>6900</v>
      </c>
      <c r="Q1319" t="str" cm="1">
        <f t="array" ref="Q1319">_xlfn.TEXTJOIN("、",TRUE,IF('學員資料-三民高中'!$B$2:$B$454=$F1319,'學員資料-三民高中'!$G$2:$G$454,""))</f>
        <v/>
      </c>
      <c r="R1319" t="str" cm="1">
        <f t="array" ref="R1319">_xlfn.TEXTJOIN("、",TRUE,IF('學員資料-新北高中'!$B$2:$B$583=$F1319,'學員資料-新北高中'!$G$2:$G$583,""))</f>
        <v/>
      </c>
      <c r="S1319" t="str" cm="1">
        <f t="array" ref="S1319">_xlfn.TEXTJOIN("、",TRUE,IF('學員資料-三重商工'!$B$2:$B$472=$F1319,'學員資料-三重商工'!$G$2:$G$472,""))</f>
        <v>0937986664</v>
      </c>
      <c r="T1319">
        <f t="shared" si="20"/>
        <v>1</v>
      </c>
    </row>
    <row r="1320" spans="1:20" ht="14.25" hidden="1" customHeight="1">
      <c r="A1320" s="15">
        <v>1319</v>
      </c>
      <c r="B1320" s="16" t="s">
        <v>4181</v>
      </c>
      <c r="C1320" s="17">
        <v>45817</v>
      </c>
      <c r="D1320" s="15" t="s">
        <v>4182</v>
      </c>
      <c r="E1320" s="18" t="s">
        <v>83</v>
      </c>
      <c r="F1320" s="19" t="s">
        <v>4183</v>
      </c>
      <c r="G1320" s="18" t="s">
        <v>4184</v>
      </c>
      <c r="H1320" s="20" t="s">
        <v>52</v>
      </c>
      <c r="I1320" s="15">
        <v>1</v>
      </c>
      <c r="J1320" s="15" t="s">
        <v>24</v>
      </c>
      <c r="K1320" s="15"/>
      <c r="L1320" s="21" t="s">
        <v>16</v>
      </c>
      <c r="M1320" s="22">
        <v>0</v>
      </c>
      <c r="N1320" s="22">
        <v>-375</v>
      </c>
      <c r="O1320" s="22">
        <v>7125</v>
      </c>
      <c r="P1320" s="22">
        <v>7125</v>
      </c>
      <c r="Q1320" t="str" cm="1">
        <f t="array" ref="Q1320">_xlfn.TEXTJOIN("、",TRUE,IF('學員資料-三民高中'!$B$2:$B$454=$F1320,'學員資料-三民高中'!$G$2:$G$454,""))</f>
        <v/>
      </c>
      <c r="R1320" t="str" cm="1">
        <f t="array" ref="R1320">_xlfn.TEXTJOIN("、",TRUE,IF('學員資料-新北高中'!$B$2:$B$583=$F1320,'學員資料-新北高中'!$G$2:$G$583,""))</f>
        <v/>
      </c>
      <c r="S1320" t="str" cm="1">
        <f t="array" ref="S1320">_xlfn.TEXTJOIN("、",TRUE,IF('學員資料-三重商工'!$B$2:$B$472=$F1320,'學員資料-三重商工'!$G$2:$G$472,""))</f>
        <v>0918562803-1</v>
      </c>
      <c r="T1320">
        <f t="shared" si="20"/>
        <v>1</v>
      </c>
    </row>
    <row r="1321" spans="1:20" ht="28.5" hidden="1" customHeight="1">
      <c r="A1321" s="15">
        <v>1320</v>
      </c>
      <c r="B1321" s="16" t="s">
        <v>4185</v>
      </c>
      <c r="C1321" s="17">
        <v>45817</v>
      </c>
      <c r="D1321" s="15" t="s">
        <v>4186</v>
      </c>
      <c r="E1321" s="18" t="s">
        <v>83</v>
      </c>
      <c r="F1321" s="19" t="s">
        <v>4187</v>
      </c>
      <c r="G1321" s="18" t="s">
        <v>4188</v>
      </c>
      <c r="H1321" s="20" t="s">
        <v>244</v>
      </c>
      <c r="I1321" s="15">
        <v>2</v>
      </c>
      <c r="J1321" s="15" t="s">
        <v>23</v>
      </c>
      <c r="K1321" s="15"/>
      <c r="L1321" s="21" t="s">
        <v>16</v>
      </c>
      <c r="M1321" s="22">
        <v>0</v>
      </c>
      <c r="N1321" s="22">
        <v>-828</v>
      </c>
      <c r="O1321" s="22">
        <v>15732</v>
      </c>
      <c r="P1321" s="22">
        <v>15732</v>
      </c>
      <c r="Q1321" t="str" cm="1">
        <f t="array" ref="Q1321">_xlfn.TEXTJOIN("、",TRUE,IF('學員資料-三民高中'!$B$2:$B$454=$F1321,'學員資料-三民高中'!$G$2:$G$454,""))</f>
        <v/>
      </c>
      <c r="R1321" t="str" cm="1">
        <f t="array" ref="R1321">_xlfn.TEXTJOIN("、",TRUE,IF('學員資料-新北高中'!$B$2:$B$583=$F1321,'學員資料-新北高中'!$G$2:$G$583,""))</f>
        <v/>
      </c>
      <c r="S1321" t="str" cm="1">
        <f t="array" ref="S1321">_xlfn.TEXTJOIN("、",TRUE,IF('學員資料-三重商工'!$B$2:$B$472=$F1321,'學員資料-三重商工'!$G$2:$G$472,""))</f>
        <v>0978103307</v>
      </c>
      <c r="T1321">
        <f t="shared" si="20"/>
        <v>1</v>
      </c>
    </row>
    <row r="1322" spans="1:20" ht="14.25" hidden="1" customHeight="1">
      <c r="A1322" s="15">
        <v>1321</v>
      </c>
      <c r="B1322" s="16" t="s">
        <v>4189</v>
      </c>
      <c r="C1322" s="17">
        <v>45817</v>
      </c>
      <c r="D1322" s="15" t="s">
        <v>4190</v>
      </c>
      <c r="E1322" s="23"/>
      <c r="F1322" s="19" t="s">
        <v>4191</v>
      </c>
      <c r="G1322" s="18" t="s">
        <v>4192</v>
      </c>
      <c r="H1322" s="20" t="s">
        <v>52</v>
      </c>
      <c r="I1322" s="15">
        <v>1</v>
      </c>
      <c r="J1322" s="15" t="s">
        <v>24</v>
      </c>
      <c r="K1322" s="15"/>
      <c r="L1322" s="21" t="s">
        <v>16</v>
      </c>
      <c r="M1322" s="22">
        <v>0</v>
      </c>
      <c r="N1322" s="22">
        <v>0</v>
      </c>
      <c r="O1322" s="22">
        <v>7500</v>
      </c>
      <c r="P1322" s="22">
        <v>7500</v>
      </c>
      <c r="Q1322" t="str" cm="1">
        <f t="array" ref="Q1322">_xlfn.TEXTJOIN("、",TRUE,IF('學員資料-三民高中'!$B$2:$B$454=$F1322,'學員資料-三民高中'!$G$2:$G$454,""))</f>
        <v/>
      </c>
      <c r="R1322" t="str" cm="1">
        <f t="array" ref="R1322">_xlfn.TEXTJOIN("、",TRUE,IF('學員資料-新北高中'!$B$2:$B$583=$F1322,'學員資料-新北高中'!$G$2:$G$583,""))</f>
        <v>0937190623</v>
      </c>
      <c r="S1322" t="str" cm="1">
        <f t="array" ref="S1322">_xlfn.TEXTJOIN("、",TRUE,IF('學員資料-三重商工'!$B$2:$B$472=$F1322,'學員資料-三重商工'!$G$2:$G$472,""))</f>
        <v/>
      </c>
      <c r="T1322">
        <f t="shared" si="20"/>
        <v>1</v>
      </c>
    </row>
    <row r="1323" spans="1:20" ht="28.5" hidden="1" customHeight="1">
      <c r="A1323" s="15">
        <v>1322</v>
      </c>
      <c r="B1323" s="16" t="s">
        <v>4193</v>
      </c>
      <c r="C1323" s="17">
        <v>45817</v>
      </c>
      <c r="D1323" s="15" t="s">
        <v>4194</v>
      </c>
      <c r="E1323" s="18" t="s">
        <v>83</v>
      </c>
      <c r="F1323" s="19" t="s">
        <v>4195</v>
      </c>
      <c r="G1323" s="18" t="s">
        <v>2739</v>
      </c>
      <c r="H1323" s="20" t="s">
        <v>244</v>
      </c>
      <c r="I1323" s="15">
        <v>2</v>
      </c>
      <c r="J1323" s="15" t="s">
        <v>23</v>
      </c>
      <c r="K1323" s="15"/>
      <c r="L1323" s="21" t="s">
        <v>16</v>
      </c>
      <c r="M1323" s="22">
        <v>0</v>
      </c>
      <c r="N1323" s="22">
        <v>-828</v>
      </c>
      <c r="O1323" s="22">
        <v>15732</v>
      </c>
      <c r="P1323" s="22">
        <v>15732</v>
      </c>
      <c r="Q1323" t="str" cm="1">
        <f t="array" ref="Q1323">_xlfn.TEXTJOIN("、",TRUE,IF('學員資料-三民高中'!$B$2:$B$454=$F1323,'學員資料-三民高中'!$G$2:$G$454,""))</f>
        <v/>
      </c>
      <c r="R1323" t="str" cm="1">
        <f t="array" ref="R1323">_xlfn.TEXTJOIN("、",TRUE,IF('學員資料-新北高中'!$B$2:$B$583=$F1323,'學員資料-新北高中'!$G$2:$G$583,""))</f>
        <v/>
      </c>
      <c r="S1323" t="str" cm="1">
        <f t="array" ref="S1323">_xlfn.TEXTJOIN("、",TRUE,IF('學員資料-三重商工'!$B$2:$B$472=$F1323,'學員資料-三重商工'!$G$2:$G$472,""))</f>
        <v>0975538872</v>
      </c>
      <c r="T1323">
        <f t="shared" si="20"/>
        <v>1</v>
      </c>
    </row>
    <row r="1324" spans="1:20" ht="14.25" hidden="1" customHeight="1">
      <c r="A1324" s="15">
        <v>1323</v>
      </c>
      <c r="B1324" s="16" t="s">
        <v>4196</v>
      </c>
      <c r="C1324" s="17">
        <v>45817</v>
      </c>
      <c r="D1324" s="15" t="s">
        <v>4197</v>
      </c>
      <c r="E1324" s="18" t="s">
        <v>3477</v>
      </c>
      <c r="F1324" s="19" t="s">
        <v>4198</v>
      </c>
      <c r="G1324" s="18" t="s">
        <v>4199</v>
      </c>
      <c r="H1324" s="20" t="s">
        <v>52</v>
      </c>
      <c r="I1324" s="15">
        <v>1</v>
      </c>
      <c r="J1324" s="15" t="s">
        <v>24</v>
      </c>
      <c r="K1324" s="15"/>
      <c r="L1324" s="21" t="s">
        <v>16</v>
      </c>
      <c r="M1324" s="22">
        <v>0</v>
      </c>
      <c r="N1324" s="22">
        <v>0</v>
      </c>
      <c r="O1324" s="22">
        <v>7500</v>
      </c>
      <c r="P1324" s="22">
        <v>7500</v>
      </c>
      <c r="Q1324" t="str" cm="1">
        <f t="array" ref="Q1324">_xlfn.TEXTJOIN("、",TRUE,IF('學員資料-三民高中'!$B$2:$B$454=$F1324,'學員資料-三民高中'!$G$2:$G$454,""))</f>
        <v>0902112102</v>
      </c>
      <c r="R1324" t="str" cm="1">
        <f t="array" ref="R1324">_xlfn.TEXTJOIN("、",TRUE,IF('學員資料-新北高中'!$B$2:$B$583=$F1324,'學員資料-新北高中'!$G$2:$G$583,""))</f>
        <v/>
      </c>
      <c r="S1324" t="str" cm="1">
        <f t="array" ref="S1324">_xlfn.TEXTJOIN("、",TRUE,IF('學員資料-三重商工'!$B$2:$B$472=$F1324,'學員資料-三重商工'!$G$2:$G$472,""))</f>
        <v/>
      </c>
      <c r="T1324">
        <f t="shared" si="20"/>
        <v>1</v>
      </c>
    </row>
    <row r="1325" spans="1:20" ht="14.25" hidden="1" customHeight="1">
      <c r="A1325" s="15">
        <v>1324</v>
      </c>
      <c r="B1325" s="16" t="s">
        <v>4200</v>
      </c>
      <c r="C1325" s="17">
        <v>45816</v>
      </c>
      <c r="D1325" s="15" t="s">
        <v>4201</v>
      </c>
      <c r="E1325" s="23"/>
      <c r="F1325" s="19" t="s">
        <v>3165</v>
      </c>
      <c r="G1325" s="18" t="s">
        <v>3166</v>
      </c>
      <c r="H1325" s="20" t="s">
        <v>2989</v>
      </c>
      <c r="I1325" s="15">
        <v>1</v>
      </c>
      <c r="J1325" s="15" t="s">
        <v>23</v>
      </c>
      <c r="K1325" s="21" t="s">
        <v>116</v>
      </c>
      <c r="L1325" s="21" t="s">
        <v>16</v>
      </c>
      <c r="M1325" s="22">
        <v>0</v>
      </c>
      <c r="N1325" s="22">
        <v>0</v>
      </c>
      <c r="O1325" s="22">
        <v>1200</v>
      </c>
      <c r="P1325" s="22">
        <v>1200</v>
      </c>
      <c r="Q1325" t="str" cm="1">
        <f t="array" ref="Q1325">_xlfn.TEXTJOIN("、",TRUE,IF('學員資料-三民高中'!$B$2:$B$454=$F1325,'學員資料-三民高中'!$G$2:$G$454,""))</f>
        <v>0933298190</v>
      </c>
      <c r="R1325" t="str" cm="1">
        <f t="array" ref="R1325">_xlfn.TEXTJOIN("、",TRUE,IF('學員資料-新北高中'!$B$2:$B$583=$F1325,'學員資料-新北高中'!$G$2:$G$583,""))</f>
        <v/>
      </c>
      <c r="S1325" t="str" cm="1">
        <f t="array" ref="S1325">_xlfn.TEXTJOIN("、",TRUE,IF('學員資料-三重商工'!$B$2:$B$472=$F1325,'學員資料-三重商工'!$G$2:$G$472,""))</f>
        <v/>
      </c>
      <c r="T1325">
        <f t="shared" si="20"/>
        <v>1</v>
      </c>
    </row>
    <row r="1326" spans="1:20" ht="14.25" hidden="1" customHeight="1">
      <c r="A1326" s="15">
        <v>1325</v>
      </c>
      <c r="B1326" s="16" t="s">
        <v>4202</v>
      </c>
      <c r="C1326" s="17">
        <v>45816</v>
      </c>
      <c r="D1326" s="15" t="s">
        <v>156</v>
      </c>
      <c r="E1326" s="23"/>
      <c r="F1326" s="19" t="s">
        <v>4067</v>
      </c>
      <c r="G1326" s="18" t="s">
        <v>4102</v>
      </c>
      <c r="H1326" s="20" t="s">
        <v>2989</v>
      </c>
      <c r="I1326" s="15">
        <v>1</v>
      </c>
      <c r="J1326" s="15" t="s">
        <v>23</v>
      </c>
      <c r="K1326" s="21" t="s">
        <v>116</v>
      </c>
      <c r="L1326" s="21" t="s">
        <v>16</v>
      </c>
      <c r="M1326" s="22">
        <v>0</v>
      </c>
      <c r="N1326" s="22">
        <v>0</v>
      </c>
      <c r="O1326" s="22">
        <v>1200</v>
      </c>
      <c r="P1326" s="22">
        <v>1200</v>
      </c>
      <c r="Q1326" t="str" cm="1">
        <f t="array" ref="Q1326">_xlfn.TEXTJOIN("、",TRUE,IF('學員資料-三民高中'!$B$2:$B$454=$F1326,'學員資料-三民高中'!$G$2:$G$454,""))</f>
        <v/>
      </c>
      <c r="R1326" t="str" cm="1">
        <f t="array" ref="R1326">_xlfn.TEXTJOIN("、",TRUE,IF('學員資料-新北高中'!$B$2:$B$583=$F1326,'學員資料-新北高中'!$G$2:$G$583,""))</f>
        <v/>
      </c>
      <c r="S1326" t="str" cm="1">
        <f t="array" ref="S1326">_xlfn.TEXTJOIN("、",TRUE,IF('學員資料-三重商工'!$B$2:$B$472=$F1326,'學員資料-三重商工'!$G$2:$G$472,""))</f>
        <v>0989988426</v>
      </c>
      <c r="T1326">
        <f t="shared" si="20"/>
        <v>1</v>
      </c>
    </row>
    <row r="1327" spans="1:20" ht="14.25" hidden="1" customHeight="1">
      <c r="A1327" s="15">
        <v>1326</v>
      </c>
      <c r="B1327" s="16" t="s">
        <v>4203</v>
      </c>
      <c r="C1327" s="17">
        <v>45816</v>
      </c>
      <c r="D1327" s="15" t="s">
        <v>4204</v>
      </c>
      <c r="E1327" s="23"/>
      <c r="F1327" s="19" t="s">
        <v>1787</v>
      </c>
      <c r="G1327" s="18" t="s">
        <v>1788</v>
      </c>
      <c r="H1327" s="20" t="s">
        <v>3766</v>
      </c>
      <c r="I1327" s="15">
        <v>1</v>
      </c>
      <c r="J1327" s="15" t="s">
        <v>24</v>
      </c>
      <c r="K1327" s="21" t="s">
        <v>116</v>
      </c>
      <c r="L1327" s="21" t="s">
        <v>16</v>
      </c>
      <c r="M1327" s="22">
        <v>0</v>
      </c>
      <c r="N1327" s="22">
        <v>0</v>
      </c>
      <c r="O1327" s="22">
        <v>1300</v>
      </c>
      <c r="P1327" s="22">
        <v>1300</v>
      </c>
      <c r="Q1327" t="str" cm="1">
        <f t="array" ref="Q1327">_xlfn.TEXTJOIN("、",TRUE,IF('學員資料-三民高中'!$B$2:$B$454=$F1327,'學員資料-三民高中'!$G$2:$G$454,""))</f>
        <v/>
      </c>
      <c r="R1327" t="str" cm="1">
        <f t="array" ref="R1327">_xlfn.TEXTJOIN("、",TRUE,IF('學員資料-新北高中'!$B$2:$B$583=$F1327,'學員資料-新北高中'!$G$2:$G$583,""))</f>
        <v/>
      </c>
      <c r="S1327" t="str" cm="1">
        <f t="array" ref="S1327">_xlfn.TEXTJOIN("、",TRUE,IF('學員資料-三重商工'!$B$2:$B$472=$F1327,'學員資料-三重商工'!$G$2:$G$472,""))</f>
        <v>0988797796</v>
      </c>
      <c r="T1327">
        <f t="shared" si="20"/>
        <v>1</v>
      </c>
    </row>
    <row r="1328" spans="1:20" ht="28.5" hidden="1" customHeight="1">
      <c r="A1328" s="15">
        <v>1327</v>
      </c>
      <c r="B1328" s="16" t="s">
        <v>4205</v>
      </c>
      <c r="C1328" s="17">
        <v>45816</v>
      </c>
      <c r="D1328" s="15" t="s">
        <v>4206</v>
      </c>
      <c r="E1328" s="18" t="s">
        <v>78</v>
      </c>
      <c r="F1328" s="19" t="s">
        <v>4207</v>
      </c>
      <c r="G1328" s="18" t="s">
        <v>4208</v>
      </c>
      <c r="H1328" s="20" t="s">
        <v>99</v>
      </c>
      <c r="I1328" s="15">
        <v>2</v>
      </c>
      <c r="J1328" s="15" t="s">
        <v>24</v>
      </c>
      <c r="K1328" s="15"/>
      <c r="L1328" s="21" t="s">
        <v>16</v>
      </c>
      <c r="M1328" s="22">
        <v>0</v>
      </c>
      <c r="N1328" s="22">
        <v>0</v>
      </c>
      <c r="O1328" s="22">
        <v>15000</v>
      </c>
      <c r="P1328" s="22">
        <v>15000</v>
      </c>
      <c r="Q1328" t="str" cm="1">
        <f t="array" ref="Q1328">_xlfn.TEXTJOIN("、",TRUE,IF('學員資料-三民高中'!$B$2:$B$454=$F1328,'學員資料-三民高中'!$G$2:$G$454,""))</f>
        <v/>
      </c>
      <c r="R1328" t="str" cm="1">
        <f t="array" ref="R1328">_xlfn.TEXTJOIN("、",TRUE,IF('學員資料-新北高中'!$B$2:$B$583=$F1328,'學員資料-新北高中'!$G$2:$G$583,""))</f>
        <v>0988922836</v>
      </c>
      <c r="S1328" t="str" cm="1">
        <f t="array" ref="S1328">_xlfn.TEXTJOIN("、",TRUE,IF('學員資料-三重商工'!$B$2:$B$472=$F1328,'學員資料-三重商工'!$G$2:$G$472,""))</f>
        <v/>
      </c>
      <c r="T1328">
        <f t="shared" si="20"/>
        <v>1</v>
      </c>
    </row>
    <row r="1329" spans="1:20" ht="14.25" hidden="1" customHeight="1">
      <c r="A1329" s="15">
        <v>1328</v>
      </c>
      <c r="B1329" s="16" t="s">
        <v>4209</v>
      </c>
      <c r="C1329" s="17">
        <v>45816</v>
      </c>
      <c r="D1329" s="15" t="s">
        <v>4210</v>
      </c>
      <c r="E1329" s="18" t="s">
        <v>44</v>
      </c>
      <c r="F1329" s="19" t="s">
        <v>4211</v>
      </c>
      <c r="G1329" s="18" t="s">
        <v>4212</v>
      </c>
      <c r="H1329" s="20" t="s">
        <v>52</v>
      </c>
      <c r="I1329" s="15">
        <v>1</v>
      </c>
      <c r="J1329" s="15" t="s">
        <v>24</v>
      </c>
      <c r="K1329" s="15"/>
      <c r="L1329" s="21" t="s">
        <v>16</v>
      </c>
      <c r="M1329" s="22">
        <v>0</v>
      </c>
      <c r="N1329" s="22">
        <v>0</v>
      </c>
      <c r="O1329" s="22">
        <v>7500</v>
      </c>
      <c r="P1329" s="22">
        <v>7500</v>
      </c>
      <c r="Q1329" t="str" cm="1">
        <f t="array" ref="Q1329">_xlfn.TEXTJOIN("、",TRUE,IF('學員資料-三民高中'!$B$2:$B$454=$F1329,'學員資料-三民高中'!$G$2:$G$454,""))</f>
        <v/>
      </c>
      <c r="R1329" t="str" cm="1">
        <f t="array" ref="R1329">_xlfn.TEXTJOIN("、",TRUE,IF('學員資料-新北高中'!$B$2:$B$583=$F1329,'學員資料-新北高中'!$G$2:$G$583,""))</f>
        <v/>
      </c>
      <c r="S1329" t="str" cm="1">
        <f t="array" ref="S1329">_xlfn.TEXTJOIN("、",TRUE,IF('學員資料-三重商工'!$B$2:$B$472=$F1329,'學員資料-三重商工'!$G$2:$G$472,""))</f>
        <v>0986122202-1</v>
      </c>
      <c r="T1329">
        <f t="shared" si="20"/>
        <v>1</v>
      </c>
    </row>
    <row r="1330" spans="1:20" ht="14.25" hidden="1" customHeight="1">
      <c r="A1330" s="15">
        <v>1329</v>
      </c>
      <c r="B1330" s="16" t="s">
        <v>4213</v>
      </c>
      <c r="C1330" s="17">
        <v>45816</v>
      </c>
      <c r="D1330" s="15" t="s">
        <v>4214</v>
      </c>
      <c r="E1330" s="18" t="s">
        <v>44</v>
      </c>
      <c r="F1330" s="19" t="s">
        <v>4215</v>
      </c>
      <c r="G1330" s="18" t="s">
        <v>4216</v>
      </c>
      <c r="H1330" s="20" t="s">
        <v>52</v>
      </c>
      <c r="I1330" s="15">
        <v>1</v>
      </c>
      <c r="J1330" s="15" t="s">
        <v>24</v>
      </c>
      <c r="K1330" s="15"/>
      <c r="L1330" s="21" t="s">
        <v>16</v>
      </c>
      <c r="M1330" s="22">
        <v>0</v>
      </c>
      <c r="N1330" s="22">
        <v>0</v>
      </c>
      <c r="O1330" s="22">
        <v>7500</v>
      </c>
      <c r="P1330" s="22">
        <v>7500</v>
      </c>
      <c r="Q1330" t="str" cm="1">
        <f t="array" ref="Q1330">_xlfn.TEXTJOIN("、",TRUE,IF('學員資料-三民高中'!$B$2:$B$454=$F1330,'學員資料-三民高中'!$G$2:$G$454,""))</f>
        <v/>
      </c>
      <c r="R1330" t="str" cm="1">
        <f t="array" ref="R1330">_xlfn.TEXTJOIN("、",TRUE,IF('學員資料-新北高中'!$B$2:$B$583=$F1330,'學員資料-新北高中'!$G$2:$G$583,""))</f>
        <v/>
      </c>
      <c r="S1330" t="str" cm="1">
        <f t="array" ref="S1330">_xlfn.TEXTJOIN("、",TRUE,IF('學員資料-三重商工'!$B$2:$B$472=$F1330,'學員資料-三重商工'!$G$2:$G$472,""))</f>
        <v>0934074923</v>
      </c>
      <c r="T1330">
        <f t="shared" si="20"/>
        <v>1</v>
      </c>
    </row>
    <row r="1331" spans="1:20" ht="28.5" hidden="1" customHeight="1">
      <c r="A1331" s="15">
        <v>1330</v>
      </c>
      <c r="B1331" s="16" t="s">
        <v>4217</v>
      </c>
      <c r="C1331" s="17">
        <v>45815</v>
      </c>
      <c r="D1331" s="15" t="s">
        <v>4218</v>
      </c>
      <c r="E1331" s="18" t="s">
        <v>44</v>
      </c>
      <c r="F1331" s="19" t="s">
        <v>4219</v>
      </c>
      <c r="G1331" s="18" t="s">
        <v>4220</v>
      </c>
      <c r="H1331" s="20" t="s">
        <v>99</v>
      </c>
      <c r="I1331" s="15">
        <v>2</v>
      </c>
      <c r="J1331" s="15" t="s">
        <v>24</v>
      </c>
      <c r="K1331" s="15"/>
      <c r="L1331" s="21" t="s">
        <v>16</v>
      </c>
      <c r="M1331" s="22">
        <v>0</v>
      </c>
      <c r="N1331" s="22">
        <v>-750</v>
      </c>
      <c r="O1331" s="22">
        <v>14250</v>
      </c>
      <c r="P1331" s="22">
        <v>14250</v>
      </c>
      <c r="Q1331" t="str" cm="1">
        <f t="array" ref="Q1331">_xlfn.TEXTJOIN("、",TRUE,IF('學員資料-三民高中'!$B$2:$B$454=$F1331,'學員資料-三民高中'!$G$2:$G$454,""))</f>
        <v/>
      </c>
      <c r="R1331" t="str" cm="1">
        <f t="array" ref="R1331">_xlfn.TEXTJOIN("、",TRUE,IF('學員資料-新北高中'!$B$2:$B$583=$F1331,'學員資料-新北高中'!$G$2:$G$583,""))</f>
        <v/>
      </c>
      <c r="S1331" t="str" cm="1">
        <f t="array" ref="S1331">_xlfn.TEXTJOIN("、",TRUE,IF('學員資料-三重商工'!$B$2:$B$472=$F1331,'學員資料-三重商工'!$G$2:$G$472,""))</f>
        <v>0926251535</v>
      </c>
      <c r="T1331">
        <f t="shared" si="20"/>
        <v>1</v>
      </c>
    </row>
    <row r="1332" spans="1:20" ht="14.25" hidden="1" customHeight="1">
      <c r="A1332" s="15">
        <v>1331</v>
      </c>
      <c r="B1332" s="16" t="s">
        <v>4221</v>
      </c>
      <c r="C1332" s="17">
        <v>45815</v>
      </c>
      <c r="D1332" s="15" t="s">
        <v>4222</v>
      </c>
      <c r="E1332" s="18" t="s">
        <v>44</v>
      </c>
      <c r="F1332" s="19" t="s">
        <v>1791</v>
      </c>
      <c r="G1332" s="18" t="s">
        <v>1792</v>
      </c>
      <c r="H1332" s="20" t="s">
        <v>66</v>
      </c>
      <c r="I1332" s="15">
        <v>1</v>
      </c>
      <c r="J1332" s="15" t="s">
        <v>23</v>
      </c>
      <c r="K1332" s="15"/>
      <c r="L1332" s="21" t="s">
        <v>16</v>
      </c>
      <c r="M1332" s="22">
        <v>0</v>
      </c>
      <c r="N1332" s="22">
        <v>-345</v>
      </c>
      <c r="O1332" s="22">
        <v>6555</v>
      </c>
      <c r="P1332" s="22">
        <v>6555</v>
      </c>
      <c r="Q1332" t="str" cm="1">
        <f t="array" ref="Q1332">_xlfn.TEXTJOIN("、",TRUE,IF('學員資料-三民高中'!$B$2:$B$454=$F1332,'學員資料-三民高中'!$G$2:$G$454,""))</f>
        <v/>
      </c>
      <c r="R1332" t="str" cm="1">
        <f t="array" ref="R1332">_xlfn.TEXTJOIN("、",TRUE,IF('學員資料-新北高中'!$B$2:$B$583=$F1332,'學員資料-新北高中'!$G$2:$G$583,""))</f>
        <v/>
      </c>
      <c r="S1332" t="str" cm="1">
        <f t="array" ref="S1332">_xlfn.TEXTJOIN("、",TRUE,IF('學員資料-三重商工'!$B$2:$B$472=$F1332,'學員資料-三重商工'!$G$2:$G$472,""))</f>
        <v>0912188682</v>
      </c>
      <c r="T1332">
        <f t="shared" si="20"/>
        <v>1</v>
      </c>
    </row>
    <row r="1333" spans="1:20" ht="14.25" hidden="1" customHeight="1">
      <c r="A1333" s="15">
        <v>1332</v>
      </c>
      <c r="B1333" s="16" t="s">
        <v>4223</v>
      </c>
      <c r="C1333" s="17">
        <v>45815</v>
      </c>
      <c r="D1333" s="15" t="s">
        <v>4224</v>
      </c>
      <c r="E1333" s="18" t="s">
        <v>44</v>
      </c>
      <c r="F1333" s="19" t="s">
        <v>1799</v>
      </c>
      <c r="G1333" s="18" t="s">
        <v>1800</v>
      </c>
      <c r="H1333" s="20" t="s">
        <v>66</v>
      </c>
      <c r="I1333" s="15">
        <v>1</v>
      </c>
      <c r="J1333" s="15" t="s">
        <v>23</v>
      </c>
      <c r="K1333" s="15"/>
      <c r="L1333" s="21" t="s">
        <v>16</v>
      </c>
      <c r="M1333" s="22">
        <v>0</v>
      </c>
      <c r="N1333" s="22">
        <v>-345</v>
      </c>
      <c r="O1333" s="22">
        <v>6555</v>
      </c>
      <c r="P1333" s="22">
        <v>6555</v>
      </c>
      <c r="Q1333" t="str" cm="1">
        <f t="array" ref="Q1333">_xlfn.TEXTJOIN("、",TRUE,IF('學員資料-三民高中'!$B$2:$B$454=$F1333,'學員資料-三民高中'!$G$2:$G$454,""))</f>
        <v/>
      </c>
      <c r="R1333" t="str" cm="1">
        <f t="array" ref="R1333">_xlfn.TEXTJOIN("、",TRUE,IF('學員資料-新北高中'!$B$2:$B$583=$F1333,'學員資料-新北高中'!$G$2:$G$583,""))</f>
        <v/>
      </c>
      <c r="S1333" t="str" cm="1">
        <f t="array" ref="S1333">_xlfn.TEXTJOIN("、",TRUE,IF('學員資料-三重商工'!$B$2:$B$472=$F1333,'學員資料-三重商工'!$G$2:$G$472,""))</f>
        <v>0939676718</v>
      </c>
      <c r="T1333">
        <f t="shared" si="20"/>
        <v>1</v>
      </c>
    </row>
    <row r="1334" spans="1:20" ht="14.25" hidden="1" customHeight="1">
      <c r="A1334" s="15">
        <v>1333</v>
      </c>
      <c r="B1334" s="16" t="s">
        <v>4225</v>
      </c>
      <c r="C1334" s="17">
        <v>45815</v>
      </c>
      <c r="D1334" s="15" t="s">
        <v>4226</v>
      </c>
      <c r="E1334" s="18" t="s">
        <v>44</v>
      </c>
      <c r="F1334" s="19" t="s">
        <v>3744</v>
      </c>
      <c r="G1334" s="18" t="s">
        <v>3745</v>
      </c>
      <c r="H1334" s="20" t="s">
        <v>52</v>
      </c>
      <c r="I1334" s="15">
        <v>1</v>
      </c>
      <c r="J1334" s="15" t="s">
        <v>24</v>
      </c>
      <c r="K1334" s="15"/>
      <c r="L1334" s="21" t="s">
        <v>16</v>
      </c>
      <c r="M1334" s="22">
        <v>0</v>
      </c>
      <c r="N1334" s="22">
        <v>-375</v>
      </c>
      <c r="O1334" s="22">
        <v>7125</v>
      </c>
      <c r="P1334" s="22">
        <v>7125</v>
      </c>
      <c r="Q1334" t="str" cm="1">
        <f t="array" ref="Q1334">_xlfn.TEXTJOIN("、",TRUE,IF('學員資料-三民高中'!$B$2:$B$454=$F1334,'學員資料-三民高中'!$G$2:$G$454,""))</f>
        <v/>
      </c>
      <c r="R1334" t="str" cm="1">
        <f t="array" ref="R1334">_xlfn.TEXTJOIN("、",TRUE,IF('學員資料-新北高中'!$B$2:$B$583=$F1334,'學員資料-新北高中'!$G$2:$G$583,""))</f>
        <v/>
      </c>
      <c r="S1334" t="str" cm="1">
        <f t="array" ref="S1334">_xlfn.TEXTJOIN("、",TRUE,IF('學員資料-三重商工'!$B$2:$B$472=$F1334,'學員資料-三重商工'!$G$2:$G$472,""))</f>
        <v>0910356072</v>
      </c>
      <c r="T1334">
        <f t="shared" si="20"/>
        <v>1</v>
      </c>
    </row>
    <row r="1335" spans="1:20" ht="14.25" hidden="1" customHeight="1">
      <c r="A1335" s="15">
        <v>1334</v>
      </c>
      <c r="B1335" s="16" t="s">
        <v>4227</v>
      </c>
      <c r="C1335" s="17">
        <v>45815</v>
      </c>
      <c r="D1335" s="15" t="s">
        <v>4228</v>
      </c>
      <c r="E1335" s="18" t="s">
        <v>44</v>
      </c>
      <c r="F1335" s="19" t="s">
        <v>4229</v>
      </c>
      <c r="G1335" s="18" t="s">
        <v>4230</v>
      </c>
      <c r="H1335" s="20" t="s">
        <v>66</v>
      </c>
      <c r="I1335" s="15">
        <v>1</v>
      </c>
      <c r="J1335" s="15" t="s">
        <v>23</v>
      </c>
      <c r="K1335" s="15"/>
      <c r="L1335" s="21" t="s">
        <v>16</v>
      </c>
      <c r="M1335" s="22">
        <v>0</v>
      </c>
      <c r="N1335" s="22">
        <v>-345</v>
      </c>
      <c r="O1335" s="22">
        <v>6555</v>
      </c>
      <c r="P1335" s="22">
        <v>6555</v>
      </c>
      <c r="Q1335" t="str" cm="1">
        <f t="array" ref="Q1335">_xlfn.TEXTJOIN("、",TRUE,IF('學員資料-三民高中'!$B$2:$B$454=$F1335,'學員資料-三民高中'!$G$2:$G$454,""))</f>
        <v/>
      </c>
      <c r="R1335" t="str" cm="1">
        <f t="array" ref="R1335">_xlfn.TEXTJOIN("、",TRUE,IF('學員資料-新北高中'!$B$2:$B$583=$F1335,'學員資料-新北高中'!$G$2:$G$583,""))</f>
        <v/>
      </c>
      <c r="S1335" t="str" cm="1">
        <f t="array" ref="S1335">_xlfn.TEXTJOIN("、",TRUE,IF('學員資料-三重商工'!$B$2:$B$472=$F1335,'學員資料-三重商工'!$G$2:$G$472,""))</f>
        <v>0909667839</v>
      </c>
      <c r="T1335">
        <f t="shared" si="20"/>
        <v>1</v>
      </c>
    </row>
    <row r="1336" spans="1:20" ht="14.25" hidden="1" customHeight="1">
      <c r="A1336" s="15">
        <v>1335</v>
      </c>
      <c r="B1336" s="16" t="s">
        <v>4231</v>
      </c>
      <c r="C1336" s="17">
        <v>45815</v>
      </c>
      <c r="D1336" s="15" t="s">
        <v>4232</v>
      </c>
      <c r="E1336" s="18" t="s">
        <v>44</v>
      </c>
      <c r="F1336" s="19" t="s">
        <v>4233</v>
      </c>
      <c r="G1336" s="18" t="s">
        <v>4234</v>
      </c>
      <c r="H1336" s="20" t="s">
        <v>52</v>
      </c>
      <c r="I1336" s="15">
        <v>1</v>
      </c>
      <c r="J1336" s="15" t="s">
        <v>24</v>
      </c>
      <c r="K1336" s="15"/>
      <c r="L1336" s="21" t="s">
        <v>16</v>
      </c>
      <c r="M1336" s="22">
        <v>0</v>
      </c>
      <c r="N1336" s="22">
        <v>-375</v>
      </c>
      <c r="O1336" s="22">
        <v>7125</v>
      </c>
      <c r="P1336" s="22">
        <v>7125</v>
      </c>
      <c r="Q1336" t="str" cm="1">
        <f t="array" ref="Q1336">_xlfn.TEXTJOIN("、",TRUE,IF('學員資料-三民高中'!$B$2:$B$454=$F1336,'學員資料-三民高中'!$G$2:$G$454,""))</f>
        <v/>
      </c>
      <c r="R1336" t="str" cm="1">
        <f t="array" ref="R1336">_xlfn.TEXTJOIN("、",TRUE,IF('學員資料-新北高中'!$B$2:$B$583=$F1336,'學員資料-新北高中'!$G$2:$G$583,""))</f>
        <v/>
      </c>
      <c r="S1336" t="str" cm="1">
        <f t="array" ref="S1336">_xlfn.TEXTJOIN("、",TRUE,IF('學員資料-三重商工'!$B$2:$B$472=$F1336,'學員資料-三重商工'!$G$2:$G$472,""))</f>
        <v>0978137525</v>
      </c>
      <c r="T1336">
        <f t="shared" si="20"/>
        <v>1</v>
      </c>
    </row>
    <row r="1337" spans="1:20" ht="28.5" hidden="1" customHeight="1">
      <c r="A1337" s="15">
        <v>1336</v>
      </c>
      <c r="B1337" s="16" t="s">
        <v>4235</v>
      </c>
      <c r="C1337" s="17">
        <v>45815</v>
      </c>
      <c r="D1337" s="15" t="s">
        <v>4236</v>
      </c>
      <c r="E1337" s="18" t="s">
        <v>44</v>
      </c>
      <c r="F1337" s="19" t="s">
        <v>1588</v>
      </c>
      <c r="G1337" s="18" t="s">
        <v>1589</v>
      </c>
      <c r="H1337" s="20" t="s">
        <v>99</v>
      </c>
      <c r="I1337" s="15">
        <v>2</v>
      </c>
      <c r="J1337" s="15" t="s">
        <v>24</v>
      </c>
      <c r="K1337" s="15"/>
      <c r="L1337" s="21" t="s">
        <v>16</v>
      </c>
      <c r="M1337" s="22">
        <v>0</v>
      </c>
      <c r="N1337" s="22">
        <v>-750</v>
      </c>
      <c r="O1337" s="22">
        <v>14250</v>
      </c>
      <c r="P1337" s="22">
        <v>14250</v>
      </c>
      <c r="Q1337" t="str" cm="1">
        <f t="array" ref="Q1337">_xlfn.TEXTJOIN("、",TRUE,IF('學員資料-三民高中'!$B$2:$B$454=$F1337,'學員資料-三民高中'!$G$2:$G$454,""))</f>
        <v/>
      </c>
      <c r="R1337" t="str" cm="1">
        <f t="array" ref="R1337">_xlfn.TEXTJOIN("、",TRUE,IF('學員資料-新北高中'!$B$2:$B$583=$F1337,'學員資料-新北高中'!$G$2:$G$583,""))</f>
        <v/>
      </c>
      <c r="S1337" t="str" cm="1">
        <f t="array" ref="S1337">_xlfn.TEXTJOIN("、",TRUE,IF('學員資料-三重商工'!$B$2:$B$472=$F1337,'學員資料-三重商工'!$G$2:$G$472,""))</f>
        <v>0925328828</v>
      </c>
      <c r="T1337">
        <f t="shared" si="20"/>
        <v>1</v>
      </c>
    </row>
    <row r="1338" spans="1:20" ht="14.25" hidden="1" customHeight="1">
      <c r="A1338" s="15">
        <v>1337</v>
      </c>
      <c r="B1338" s="16" t="s">
        <v>4237</v>
      </c>
      <c r="C1338" s="17">
        <v>45815</v>
      </c>
      <c r="D1338" s="15" t="s">
        <v>4238</v>
      </c>
      <c r="E1338" s="18" t="s">
        <v>44</v>
      </c>
      <c r="F1338" s="19" t="s">
        <v>4233</v>
      </c>
      <c r="G1338" s="18" t="s">
        <v>4234</v>
      </c>
      <c r="H1338" s="20" t="s">
        <v>52</v>
      </c>
      <c r="I1338" s="15">
        <v>1</v>
      </c>
      <c r="J1338" s="15" t="s">
        <v>24</v>
      </c>
      <c r="K1338" s="15"/>
      <c r="L1338" s="21" t="s">
        <v>16</v>
      </c>
      <c r="M1338" s="22">
        <v>0</v>
      </c>
      <c r="N1338" s="22">
        <v>-375</v>
      </c>
      <c r="O1338" s="22">
        <v>7125</v>
      </c>
      <c r="P1338" s="22">
        <v>7125</v>
      </c>
      <c r="Q1338" t="str" cm="1">
        <f t="array" ref="Q1338">_xlfn.TEXTJOIN("、",TRUE,IF('學員資料-三民高中'!$B$2:$B$454=$F1338,'學員資料-三民高中'!$G$2:$G$454,""))</f>
        <v/>
      </c>
      <c r="R1338" t="str" cm="1">
        <f t="array" ref="R1338">_xlfn.TEXTJOIN("、",TRUE,IF('學員資料-新北高中'!$B$2:$B$583=$F1338,'學員資料-新北高中'!$G$2:$G$583,""))</f>
        <v/>
      </c>
      <c r="S1338" t="str" cm="1">
        <f t="array" ref="S1338">_xlfn.TEXTJOIN("、",TRUE,IF('學員資料-三重商工'!$B$2:$B$472=$F1338,'學員資料-三重商工'!$G$2:$G$472,""))</f>
        <v>0978137525</v>
      </c>
      <c r="T1338">
        <f t="shared" si="20"/>
        <v>1</v>
      </c>
    </row>
    <row r="1339" spans="1:20" ht="14.25" hidden="1" customHeight="1">
      <c r="A1339" s="15">
        <v>1338</v>
      </c>
      <c r="B1339" s="16" t="s">
        <v>4239</v>
      </c>
      <c r="C1339" s="17">
        <v>45815</v>
      </c>
      <c r="D1339" s="15" t="s">
        <v>4240</v>
      </c>
      <c r="E1339" s="18" t="s">
        <v>44</v>
      </c>
      <c r="F1339" s="19" t="s">
        <v>1081</v>
      </c>
      <c r="G1339" s="18" t="s">
        <v>1082</v>
      </c>
      <c r="H1339" s="20" t="s">
        <v>52</v>
      </c>
      <c r="I1339" s="15">
        <v>1</v>
      </c>
      <c r="J1339" s="15" t="s">
        <v>24</v>
      </c>
      <c r="K1339" s="15"/>
      <c r="L1339" s="21" t="s">
        <v>16</v>
      </c>
      <c r="M1339" s="22">
        <v>0</v>
      </c>
      <c r="N1339" s="22">
        <v>-375</v>
      </c>
      <c r="O1339" s="22">
        <v>7125</v>
      </c>
      <c r="P1339" s="22">
        <v>7125</v>
      </c>
      <c r="Q1339" t="str" cm="1">
        <f t="array" ref="Q1339">_xlfn.TEXTJOIN("、",TRUE,IF('學員資料-三民高中'!$B$2:$B$454=$F1339,'學員資料-三民高中'!$G$2:$G$454,""))</f>
        <v/>
      </c>
      <c r="R1339" t="str" cm="1">
        <f t="array" ref="R1339">_xlfn.TEXTJOIN("、",TRUE,IF('學員資料-新北高中'!$B$2:$B$583=$F1339,'學員資料-新北高中'!$G$2:$G$583,""))</f>
        <v/>
      </c>
      <c r="S1339" t="str" cm="1">
        <f t="array" ref="S1339">_xlfn.TEXTJOIN("、",TRUE,IF('學員資料-三重商工'!$B$2:$B$472=$F1339,'學員資料-三重商工'!$G$2:$G$472,""))</f>
        <v>0911260592</v>
      </c>
      <c r="T1339">
        <f t="shared" si="20"/>
        <v>1</v>
      </c>
    </row>
    <row r="1340" spans="1:20" ht="28.5" hidden="1" customHeight="1">
      <c r="A1340" s="15">
        <v>1339</v>
      </c>
      <c r="B1340" s="16" t="s">
        <v>4241</v>
      </c>
      <c r="C1340" s="17">
        <v>45815</v>
      </c>
      <c r="D1340" s="15" t="s">
        <v>4242</v>
      </c>
      <c r="E1340" s="18" t="s">
        <v>44</v>
      </c>
      <c r="F1340" s="19" t="s">
        <v>1391</v>
      </c>
      <c r="G1340" s="18" t="s">
        <v>1392</v>
      </c>
      <c r="H1340" s="20" t="s">
        <v>99</v>
      </c>
      <c r="I1340" s="15">
        <v>2</v>
      </c>
      <c r="J1340" s="15" t="s">
        <v>24</v>
      </c>
      <c r="K1340" s="15"/>
      <c r="L1340" s="21" t="s">
        <v>16</v>
      </c>
      <c r="M1340" s="22">
        <v>0</v>
      </c>
      <c r="N1340" s="22">
        <v>-750</v>
      </c>
      <c r="O1340" s="22">
        <v>14250</v>
      </c>
      <c r="P1340" s="22">
        <v>14250</v>
      </c>
      <c r="Q1340" t="str" cm="1">
        <f t="array" ref="Q1340">_xlfn.TEXTJOIN("、",TRUE,IF('學員資料-三民高中'!$B$2:$B$454=$F1340,'學員資料-三民高中'!$G$2:$G$454,""))</f>
        <v/>
      </c>
      <c r="R1340" t="str" cm="1">
        <f t="array" ref="R1340">_xlfn.TEXTJOIN("、",TRUE,IF('學員資料-新北高中'!$B$2:$B$583=$F1340,'學員資料-新北高中'!$G$2:$G$583,""))</f>
        <v/>
      </c>
      <c r="S1340" t="str" cm="1">
        <f t="array" ref="S1340">_xlfn.TEXTJOIN("、",TRUE,IF('學員資料-三重商工'!$B$2:$B$472=$F1340,'學員資料-三重商工'!$G$2:$G$472,""))</f>
        <v>0921116744</v>
      </c>
      <c r="T1340">
        <f t="shared" si="20"/>
        <v>1</v>
      </c>
    </row>
    <row r="1341" spans="1:20" ht="14.25" hidden="1" customHeight="1">
      <c r="A1341" s="15">
        <v>1340</v>
      </c>
      <c r="B1341" s="16" t="s">
        <v>4243</v>
      </c>
      <c r="C1341" s="17">
        <v>45815</v>
      </c>
      <c r="D1341" s="15" t="s">
        <v>4244</v>
      </c>
      <c r="E1341" s="18" t="s">
        <v>44</v>
      </c>
      <c r="F1341" s="19" t="s">
        <v>4245</v>
      </c>
      <c r="G1341" s="18" t="s">
        <v>4246</v>
      </c>
      <c r="H1341" s="20" t="s">
        <v>66</v>
      </c>
      <c r="I1341" s="15">
        <v>1</v>
      </c>
      <c r="J1341" s="15" t="s">
        <v>23</v>
      </c>
      <c r="K1341" s="15"/>
      <c r="L1341" s="21" t="s">
        <v>16</v>
      </c>
      <c r="M1341" s="22">
        <v>0</v>
      </c>
      <c r="N1341" s="22">
        <v>-345</v>
      </c>
      <c r="O1341" s="22">
        <v>6555</v>
      </c>
      <c r="P1341" s="22">
        <v>6555</v>
      </c>
      <c r="Q1341" t="str" cm="1">
        <f t="array" ref="Q1341">_xlfn.TEXTJOIN("、",TRUE,IF('學員資料-三民高中'!$B$2:$B$454=$F1341,'學員資料-三民高中'!$G$2:$G$454,""))</f>
        <v/>
      </c>
      <c r="R1341" t="str" cm="1">
        <f t="array" ref="R1341">_xlfn.TEXTJOIN("、",TRUE,IF('學員資料-新北高中'!$B$2:$B$583=$F1341,'學員資料-新北高中'!$G$2:$G$583,""))</f>
        <v/>
      </c>
      <c r="S1341" t="str" cm="1">
        <f t="array" ref="S1341">_xlfn.TEXTJOIN("、",TRUE,IF('學員資料-三重商工'!$B$2:$B$472=$F1341,'學員資料-三重商工'!$G$2:$G$472,""))</f>
        <v>0975277268</v>
      </c>
      <c r="T1341">
        <f t="shared" si="20"/>
        <v>1</v>
      </c>
    </row>
    <row r="1342" spans="1:20" ht="14.25" hidden="1" customHeight="1">
      <c r="A1342" s="15">
        <v>1341</v>
      </c>
      <c r="B1342" s="16" t="s">
        <v>4247</v>
      </c>
      <c r="C1342" s="17">
        <v>45815</v>
      </c>
      <c r="D1342" s="15" t="s">
        <v>4248</v>
      </c>
      <c r="E1342" s="18" t="s">
        <v>44</v>
      </c>
      <c r="F1342" s="19" t="s">
        <v>4249</v>
      </c>
      <c r="G1342" s="18" t="s">
        <v>4250</v>
      </c>
      <c r="H1342" s="20" t="s">
        <v>66</v>
      </c>
      <c r="I1342" s="15">
        <v>1</v>
      </c>
      <c r="J1342" s="15" t="s">
        <v>23</v>
      </c>
      <c r="K1342" s="15"/>
      <c r="L1342" s="21" t="s">
        <v>16</v>
      </c>
      <c r="M1342" s="22">
        <v>0</v>
      </c>
      <c r="N1342" s="22">
        <v>-345</v>
      </c>
      <c r="O1342" s="22">
        <v>6555</v>
      </c>
      <c r="P1342" s="22">
        <v>6555</v>
      </c>
      <c r="Q1342" t="str" cm="1">
        <f t="array" ref="Q1342">_xlfn.TEXTJOIN("、",TRUE,IF('學員資料-三民高中'!$B$2:$B$454=$F1342,'學員資料-三民高中'!$G$2:$G$454,""))</f>
        <v/>
      </c>
      <c r="R1342" t="str" cm="1">
        <f t="array" ref="R1342">_xlfn.TEXTJOIN("、",TRUE,IF('學員資料-新北高中'!$B$2:$B$583=$F1342,'學員資料-新北高中'!$G$2:$G$583,""))</f>
        <v/>
      </c>
      <c r="S1342" t="str" cm="1">
        <f t="array" ref="S1342">_xlfn.TEXTJOIN("、",TRUE,IF('學員資料-三重商工'!$B$2:$B$472=$F1342,'學員資料-三重商工'!$G$2:$G$472,""))</f>
        <v>0921241382.2</v>
      </c>
      <c r="T1342">
        <f t="shared" si="20"/>
        <v>1</v>
      </c>
    </row>
    <row r="1343" spans="1:20" ht="14.25" hidden="1" customHeight="1">
      <c r="A1343" s="15">
        <v>1342</v>
      </c>
      <c r="B1343" s="16" t="s">
        <v>4251</v>
      </c>
      <c r="C1343" s="17">
        <v>45815</v>
      </c>
      <c r="D1343" s="15" t="s">
        <v>4252</v>
      </c>
      <c r="E1343" s="18" t="s">
        <v>44</v>
      </c>
      <c r="F1343" s="19" t="s">
        <v>4253</v>
      </c>
      <c r="G1343" s="18" t="s">
        <v>4254</v>
      </c>
      <c r="H1343" s="20" t="s">
        <v>210</v>
      </c>
      <c r="I1343" s="15">
        <v>1</v>
      </c>
      <c r="J1343" s="15" t="s">
        <v>26</v>
      </c>
      <c r="K1343" s="15"/>
      <c r="L1343" s="21" t="s">
        <v>16</v>
      </c>
      <c r="M1343" s="22">
        <v>0</v>
      </c>
      <c r="N1343" s="22">
        <v>-600</v>
      </c>
      <c r="O1343" s="22">
        <v>11400</v>
      </c>
      <c r="P1343" s="22">
        <v>11400</v>
      </c>
      <c r="Q1343" t="str" cm="1">
        <f t="array" ref="Q1343">_xlfn.TEXTJOIN("、",TRUE,IF('學員資料-三民高中'!$B$2:$B$454=$F1343,'學員資料-三民高中'!$G$2:$G$454,""))</f>
        <v/>
      </c>
      <c r="R1343" t="str" cm="1">
        <f t="array" ref="R1343">_xlfn.TEXTJOIN("、",TRUE,IF('學員資料-新北高中'!$B$2:$B$583=$F1343,'學員資料-新北高中'!$G$2:$G$583,""))</f>
        <v/>
      </c>
      <c r="S1343" t="str" cm="1">
        <f t="array" ref="S1343">_xlfn.TEXTJOIN("、",TRUE,IF('學員資料-三重商工'!$B$2:$B$472=$F1343,'學員資料-三重商工'!$G$2:$G$472,""))</f>
        <v>0981643377</v>
      </c>
      <c r="T1343">
        <f t="shared" si="20"/>
        <v>1</v>
      </c>
    </row>
    <row r="1344" spans="1:20" ht="14.25" hidden="1" customHeight="1">
      <c r="A1344" s="15">
        <v>1343</v>
      </c>
      <c r="B1344" s="16" t="s">
        <v>4255</v>
      </c>
      <c r="C1344" s="17">
        <v>45815</v>
      </c>
      <c r="D1344" s="15" t="s">
        <v>4256</v>
      </c>
      <c r="E1344" s="18" t="s">
        <v>44</v>
      </c>
      <c r="F1344" s="19" t="s">
        <v>4257</v>
      </c>
      <c r="G1344" s="18" t="s">
        <v>4258</v>
      </c>
      <c r="H1344" s="20" t="s">
        <v>112</v>
      </c>
      <c r="I1344" s="15">
        <v>1</v>
      </c>
      <c r="J1344" s="15" t="s">
        <v>23</v>
      </c>
      <c r="K1344" s="15"/>
      <c r="L1344" s="21" t="s">
        <v>16</v>
      </c>
      <c r="M1344" s="22">
        <v>0</v>
      </c>
      <c r="N1344" s="22">
        <v>-414</v>
      </c>
      <c r="O1344" s="22">
        <v>7866</v>
      </c>
      <c r="P1344" s="22">
        <v>7866</v>
      </c>
      <c r="Q1344" t="str" cm="1">
        <f t="array" ref="Q1344">_xlfn.TEXTJOIN("、",TRUE,IF('學員資料-三民高中'!$B$2:$B$454=$F1344,'學員資料-三民高中'!$G$2:$G$454,""))</f>
        <v/>
      </c>
      <c r="R1344" t="str" cm="1">
        <f t="array" ref="R1344">_xlfn.TEXTJOIN("、",TRUE,IF('學員資料-新北高中'!$B$2:$B$583=$F1344,'學員資料-新北高中'!$G$2:$G$583,""))</f>
        <v/>
      </c>
      <c r="S1344" t="str" cm="1">
        <f t="array" ref="S1344">_xlfn.TEXTJOIN("、",TRUE,IF('學員資料-三重商工'!$B$2:$B$472=$F1344,'學員資料-三重商工'!$G$2:$G$472,""))</f>
        <v>0917151923</v>
      </c>
      <c r="T1344">
        <f t="shared" si="20"/>
        <v>1</v>
      </c>
    </row>
    <row r="1345" spans="1:20" ht="14.25" hidden="1" customHeight="1">
      <c r="A1345" s="15">
        <v>1344</v>
      </c>
      <c r="B1345" s="16" t="s">
        <v>4259</v>
      </c>
      <c r="C1345" s="17">
        <v>45815</v>
      </c>
      <c r="D1345" s="15" t="s">
        <v>4260</v>
      </c>
      <c r="E1345" s="18" t="s">
        <v>44</v>
      </c>
      <c r="F1345" s="19" t="s">
        <v>963</v>
      </c>
      <c r="G1345" s="18" t="s">
        <v>964</v>
      </c>
      <c r="H1345" s="20" t="s">
        <v>47</v>
      </c>
      <c r="I1345" s="15">
        <v>1</v>
      </c>
      <c r="J1345" s="15" t="s">
        <v>24</v>
      </c>
      <c r="K1345" s="15"/>
      <c r="L1345" s="21" t="s">
        <v>16</v>
      </c>
      <c r="M1345" s="22">
        <v>0</v>
      </c>
      <c r="N1345" s="22">
        <v>-450</v>
      </c>
      <c r="O1345" s="22">
        <v>8550</v>
      </c>
      <c r="P1345" s="22">
        <v>8550</v>
      </c>
      <c r="Q1345" t="str" cm="1">
        <f t="array" ref="Q1345">_xlfn.TEXTJOIN("、",TRUE,IF('學員資料-三民高中'!$B$2:$B$454=$F1345,'學員資料-三民高中'!$G$2:$G$454,""))</f>
        <v/>
      </c>
      <c r="R1345" t="str" cm="1">
        <f t="array" ref="R1345">_xlfn.TEXTJOIN("、",TRUE,IF('學員資料-新北高中'!$B$2:$B$583=$F1345,'學員資料-新北高中'!$G$2:$G$583,""))</f>
        <v/>
      </c>
      <c r="S1345" t="str" cm="1">
        <f t="array" ref="S1345">_xlfn.TEXTJOIN("、",TRUE,IF('學員資料-三重商工'!$B$2:$B$472=$F1345,'學員資料-三重商工'!$G$2:$G$472,""))</f>
        <v>0961222201</v>
      </c>
      <c r="T1345">
        <f t="shared" si="20"/>
        <v>1</v>
      </c>
    </row>
    <row r="1346" spans="1:20" ht="14.25" hidden="1" customHeight="1">
      <c r="A1346" s="15">
        <v>1345</v>
      </c>
      <c r="B1346" s="16" t="s">
        <v>4261</v>
      </c>
      <c r="C1346" s="17">
        <v>45815</v>
      </c>
      <c r="D1346" s="15" t="s">
        <v>4262</v>
      </c>
      <c r="E1346" s="18" t="s">
        <v>44</v>
      </c>
      <c r="F1346" s="19" t="s">
        <v>3909</v>
      </c>
      <c r="G1346" s="18" t="s">
        <v>3910</v>
      </c>
      <c r="H1346" s="20" t="s">
        <v>66</v>
      </c>
      <c r="I1346" s="15">
        <v>1</v>
      </c>
      <c r="J1346" s="15" t="s">
        <v>23</v>
      </c>
      <c r="K1346" s="15"/>
      <c r="L1346" s="21" t="s">
        <v>16</v>
      </c>
      <c r="M1346" s="22">
        <v>0</v>
      </c>
      <c r="N1346" s="22">
        <v>-345</v>
      </c>
      <c r="O1346" s="22">
        <v>6555</v>
      </c>
      <c r="P1346" s="22">
        <v>6555</v>
      </c>
      <c r="Q1346" t="str" cm="1">
        <f t="array" ref="Q1346">_xlfn.TEXTJOIN("、",TRUE,IF('學員資料-三民高中'!$B$2:$B$454=$F1346,'學員資料-三民高中'!$G$2:$G$454,""))</f>
        <v/>
      </c>
      <c r="R1346" t="str" cm="1">
        <f t="array" ref="R1346">_xlfn.TEXTJOIN("、",TRUE,IF('學員資料-新北高中'!$B$2:$B$583=$F1346,'學員資料-新北高中'!$G$2:$G$583,""))</f>
        <v/>
      </c>
      <c r="S1346" t="str" cm="1">
        <f t="array" ref="S1346">_xlfn.TEXTJOIN("、",TRUE,IF('學員資料-三重商工'!$B$2:$B$472=$F1346,'學員資料-三重商工'!$G$2:$G$472,""))</f>
        <v>0927061808</v>
      </c>
      <c r="T1346">
        <f t="shared" si="20"/>
        <v>1</v>
      </c>
    </row>
    <row r="1347" spans="1:20" ht="14.25" hidden="1" customHeight="1">
      <c r="A1347" s="15">
        <v>1346</v>
      </c>
      <c r="B1347" s="16" t="s">
        <v>4263</v>
      </c>
      <c r="C1347" s="17">
        <v>45815</v>
      </c>
      <c r="D1347" s="15" t="s">
        <v>4264</v>
      </c>
      <c r="E1347" s="18" t="s">
        <v>44</v>
      </c>
      <c r="F1347" s="19" t="s">
        <v>1740</v>
      </c>
      <c r="G1347" s="18" t="s">
        <v>1741</v>
      </c>
      <c r="H1347" s="20" t="s">
        <v>210</v>
      </c>
      <c r="I1347" s="15">
        <v>1</v>
      </c>
      <c r="J1347" s="15" t="s">
        <v>26</v>
      </c>
      <c r="K1347" s="15"/>
      <c r="L1347" s="21" t="s">
        <v>16</v>
      </c>
      <c r="M1347" s="22">
        <v>0</v>
      </c>
      <c r="N1347" s="22">
        <v>-600</v>
      </c>
      <c r="O1347" s="22">
        <v>11400</v>
      </c>
      <c r="P1347" s="22">
        <v>11400</v>
      </c>
      <c r="Q1347" t="str" cm="1">
        <f t="array" ref="Q1347">_xlfn.TEXTJOIN("、",TRUE,IF('學員資料-三民高中'!$B$2:$B$454=$F1347,'學員資料-三民高中'!$G$2:$G$454,""))</f>
        <v/>
      </c>
      <c r="R1347" t="str" cm="1">
        <f t="array" ref="R1347">_xlfn.TEXTJOIN("、",TRUE,IF('學員資料-新北高中'!$B$2:$B$583=$F1347,'學員資料-新北高中'!$G$2:$G$583,""))</f>
        <v>0960755204</v>
      </c>
      <c r="S1347" t="str" cm="1">
        <f t="array" ref="S1347">_xlfn.TEXTJOIN("、",TRUE,IF('學員資料-三重商工'!$B$2:$B$472=$F1347,'學員資料-三重商工'!$G$2:$G$472,""))</f>
        <v/>
      </c>
      <c r="T1347">
        <f t="shared" ref="T1347:T1410" si="21">3-COUNTBLANK(Q1347:S1347)</f>
        <v>1</v>
      </c>
    </row>
    <row r="1348" spans="1:20" ht="28.5" hidden="1" customHeight="1">
      <c r="A1348" s="15">
        <v>1347</v>
      </c>
      <c r="B1348" s="16" t="s">
        <v>4265</v>
      </c>
      <c r="C1348" s="17">
        <v>45815</v>
      </c>
      <c r="D1348" s="15" t="s">
        <v>4266</v>
      </c>
      <c r="E1348" s="18" t="s">
        <v>44</v>
      </c>
      <c r="F1348" s="19" t="s">
        <v>4267</v>
      </c>
      <c r="G1348" s="18" t="s">
        <v>4268</v>
      </c>
      <c r="H1348" s="20" t="s">
        <v>75</v>
      </c>
      <c r="I1348" s="15">
        <v>2</v>
      </c>
      <c r="J1348" s="15" t="s">
        <v>23</v>
      </c>
      <c r="K1348" s="15"/>
      <c r="L1348" s="21" t="s">
        <v>16</v>
      </c>
      <c r="M1348" s="22">
        <v>0</v>
      </c>
      <c r="N1348" s="22">
        <v>-690</v>
      </c>
      <c r="O1348" s="22">
        <v>13110</v>
      </c>
      <c r="P1348" s="22">
        <v>13110</v>
      </c>
      <c r="Q1348" t="str" cm="1">
        <f t="array" ref="Q1348">_xlfn.TEXTJOIN("、",TRUE,IF('學員資料-三民高中'!$B$2:$B$454=$F1348,'學員資料-三民高中'!$G$2:$G$454,""))</f>
        <v/>
      </c>
      <c r="R1348" t="str" cm="1">
        <f t="array" ref="R1348">_xlfn.TEXTJOIN("、",TRUE,IF('學員資料-新北高中'!$B$2:$B$583=$F1348,'學員資料-新北高中'!$G$2:$G$583,""))</f>
        <v/>
      </c>
      <c r="S1348" t="str" cm="1">
        <f t="array" ref="S1348">_xlfn.TEXTJOIN("、",TRUE,IF('學員資料-三重商工'!$B$2:$B$472=$F1348,'學員資料-三重商工'!$G$2:$G$472,""))</f>
        <v>0905191938</v>
      </c>
      <c r="T1348">
        <f t="shared" si="21"/>
        <v>1</v>
      </c>
    </row>
    <row r="1349" spans="1:20" ht="14.25" hidden="1" customHeight="1">
      <c r="A1349" s="15">
        <v>1348</v>
      </c>
      <c r="B1349" s="16" t="s">
        <v>4269</v>
      </c>
      <c r="C1349" s="17">
        <v>45815</v>
      </c>
      <c r="D1349" s="15" t="s">
        <v>4270</v>
      </c>
      <c r="E1349" s="18" t="s">
        <v>44</v>
      </c>
      <c r="F1349" s="19" t="s">
        <v>4271</v>
      </c>
      <c r="G1349" s="18" t="s">
        <v>4272</v>
      </c>
      <c r="H1349" s="20" t="s">
        <v>47</v>
      </c>
      <c r="I1349" s="15">
        <v>1</v>
      </c>
      <c r="J1349" s="15" t="s">
        <v>24</v>
      </c>
      <c r="K1349" s="15"/>
      <c r="L1349" s="21" t="s">
        <v>16</v>
      </c>
      <c r="M1349" s="22">
        <v>0</v>
      </c>
      <c r="N1349" s="22">
        <v>-450</v>
      </c>
      <c r="O1349" s="22">
        <v>8550</v>
      </c>
      <c r="P1349" s="22">
        <v>8550</v>
      </c>
      <c r="Q1349" t="str" cm="1">
        <f t="array" ref="Q1349">_xlfn.TEXTJOIN("、",TRUE,IF('學員資料-三民高中'!$B$2:$B$454=$F1349,'學員資料-三民高中'!$G$2:$G$454,""))</f>
        <v/>
      </c>
      <c r="R1349" t="str" cm="1">
        <f t="array" ref="R1349">_xlfn.TEXTJOIN("、",TRUE,IF('學員資料-新北高中'!$B$2:$B$583=$F1349,'學員資料-新北高中'!$G$2:$G$583,""))</f>
        <v/>
      </c>
      <c r="S1349" t="str" cm="1">
        <f t="array" ref="S1349">_xlfn.TEXTJOIN("、",TRUE,IF('學員資料-三重商工'!$B$2:$B$472=$F1349,'學員資料-三重商工'!$G$2:$G$472,""))</f>
        <v>0921604248</v>
      </c>
      <c r="T1349">
        <f t="shared" si="21"/>
        <v>1</v>
      </c>
    </row>
    <row r="1350" spans="1:20" ht="72" hidden="1" customHeight="1">
      <c r="A1350" s="15">
        <v>1349</v>
      </c>
      <c r="B1350" s="16" t="s">
        <v>4273</v>
      </c>
      <c r="C1350" s="17">
        <v>45815</v>
      </c>
      <c r="D1350" s="15" t="s">
        <v>4274</v>
      </c>
      <c r="E1350" s="18" t="s">
        <v>44</v>
      </c>
      <c r="F1350" s="19" t="s">
        <v>4275</v>
      </c>
      <c r="G1350" s="18" t="s">
        <v>4276</v>
      </c>
      <c r="H1350" s="20" t="s">
        <v>4277</v>
      </c>
      <c r="I1350" s="15">
        <v>5</v>
      </c>
      <c r="J1350" s="15" t="s">
        <v>24</v>
      </c>
      <c r="K1350" s="15"/>
      <c r="L1350" s="21" t="s">
        <v>16</v>
      </c>
      <c r="M1350" s="22">
        <v>0</v>
      </c>
      <c r="N1350" s="22">
        <v>-2250</v>
      </c>
      <c r="O1350" s="22">
        <v>42750</v>
      </c>
      <c r="P1350" s="22">
        <v>42750</v>
      </c>
      <c r="Q1350" t="str" cm="1">
        <f t="array" ref="Q1350">_xlfn.TEXTJOIN("、",TRUE,IF('學員資料-三民高中'!$B$2:$B$454=$F1350,'學員資料-三民高中'!$G$2:$G$454,""))</f>
        <v/>
      </c>
      <c r="R1350" t="str" cm="1">
        <f t="array" ref="R1350">_xlfn.TEXTJOIN("、",TRUE,IF('學員資料-新北高中'!$B$2:$B$583=$F1350,'學員資料-新北高中'!$G$2:$G$583,""))</f>
        <v/>
      </c>
      <c r="S1350" t="str" cm="1">
        <f t="array" ref="S1350">_xlfn.TEXTJOIN("、",TRUE,IF('學員資料-三重商工'!$B$2:$B$472=$F1350,'學員資料-三重商工'!$G$2:$G$472,""))</f>
        <v>0920588290</v>
      </c>
      <c r="T1350">
        <f t="shared" si="21"/>
        <v>1</v>
      </c>
    </row>
    <row r="1351" spans="1:20" ht="14.25" hidden="1" customHeight="1">
      <c r="A1351" s="15">
        <v>1350</v>
      </c>
      <c r="B1351" s="16" t="s">
        <v>4278</v>
      </c>
      <c r="C1351" s="17">
        <v>45815</v>
      </c>
      <c r="D1351" s="15" t="s">
        <v>4279</v>
      </c>
      <c r="E1351" s="18" t="s">
        <v>44</v>
      </c>
      <c r="F1351" s="19" t="s">
        <v>3138</v>
      </c>
      <c r="G1351" s="18" t="s">
        <v>3139</v>
      </c>
      <c r="H1351" s="20" t="s">
        <v>52</v>
      </c>
      <c r="I1351" s="15">
        <v>1</v>
      </c>
      <c r="J1351" s="15" t="s">
        <v>24</v>
      </c>
      <c r="K1351" s="15"/>
      <c r="L1351" s="21" t="s">
        <v>16</v>
      </c>
      <c r="M1351" s="22">
        <v>0</v>
      </c>
      <c r="N1351" s="22">
        <v>0</v>
      </c>
      <c r="O1351" s="22">
        <v>7500</v>
      </c>
      <c r="P1351" s="22">
        <v>7500</v>
      </c>
      <c r="Q1351" t="str" cm="1">
        <f t="array" ref="Q1351">_xlfn.TEXTJOIN("、",TRUE,IF('學員資料-三民高中'!$B$2:$B$454=$F1351,'學員資料-三民高中'!$G$2:$G$454,""))</f>
        <v/>
      </c>
      <c r="R1351" t="str" cm="1">
        <f t="array" ref="R1351">_xlfn.TEXTJOIN("、",TRUE,IF('學員資料-新北高中'!$B$2:$B$583=$F1351,'學員資料-新北高中'!$G$2:$G$583,""))</f>
        <v>0916760790</v>
      </c>
      <c r="S1351" t="str" cm="1">
        <f t="array" ref="S1351">_xlfn.TEXTJOIN("、",TRUE,IF('學員資料-三重商工'!$B$2:$B$472=$F1351,'學員資料-三重商工'!$G$2:$G$472,""))</f>
        <v/>
      </c>
      <c r="T1351">
        <f t="shared" si="21"/>
        <v>1</v>
      </c>
    </row>
    <row r="1352" spans="1:20" ht="14.25" hidden="1" customHeight="1">
      <c r="A1352" s="15">
        <v>1351</v>
      </c>
      <c r="B1352" s="16" t="s">
        <v>4280</v>
      </c>
      <c r="C1352" s="17">
        <v>45814</v>
      </c>
      <c r="D1352" s="15" t="s">
        <v>4281</v>
      </c>
      <c r="E1352" s="18" t="s">
        <v>402</v>
      </c>
      <c r="F1352" s="19" t="s">
        <v>1508</v>
      </c>
      <c r="G1352" s="18" t="s">
        <v>1509</v>
      </c>
      <c r="H1352" s="20" t="s">
        <v>52</v>
      </c>
      <c r="I1352" s="15">
        <v>1</v>
      </c>
      <c r="J1352" s="15" t="s">
        <v>24</v>
      </c>
      <c r="K1352" s="15"/>
      <c r="L1352" s="21" t="s">
        <v>16</v>
      </c>
      <c r="M1352" s="22">
        <v>0</v>
      </c>
      <c r="N1352" s="22">
        <v>-375</v>
      </c>
      <c r="O1352" s="22">
        <v>7125</v>
      </c>
      <c r="P1352" s="22">
        <v>7125</v>
      </c>
      <c r="Q1352" t="str" cm="1">
        <f t="array" ref="Q1352">_xlfn.TEXTJOIN("、",TRUE,IF('學員資料-三民高中'!$B$2:$B$454=$F1352,'學員資料-三民高中'!$G$2:$G$454,""))</f>
        <v/>
      </c>
      <c r="R1352" t="str" cm="1">
        <f t="array" ref="R1352">_xlfn.TEXTJOIN("、",TRUE,IF('學員資料-新北高中'!$B$2:$B$583=$F1352,'學員資料-新北高中'!$G$2:$G$583,""))</f>
        <v>0935676683</v>
      </c>
      <c r="S1352" t="str" cm="1">
        <f t="array" ref="S1352">_xlfn.TEXTJOIN("、",TRUE,IF('學員資料-三重商工'!$B$2:$B$472=$F1352,'學員資料-三重商工'!$G$2:$G$472,""))</f>
        <v/>
      </c>
      <c r="T1352">
        <f t="shared" si="21"/>
        <v>1</v>
      </c>
    </row>
    <row r="1353" spans="1:20" ht="14.25" hidden="1" customHeight="1">
      <c r="A1353" s="15">
        <v>1352</v>
      </c>
      <c r="B1353" s="16" t="s">
        <v>4282</v>
      </c>
      <c r="C1353" s="17">
        <v>45814</v>
      </c>
      <c r="D1353" s="15" t="s">
        <v>4283</v>
      </c>
      <c r="E1353" s="18" t="s">
        <v>402</v>
      </c>
      <c r="F1353" s="19" t="s">
        <v>4284</v>
      </c>
      <c r="G1353" s="18" t="s">
        <v>4285</v>
      </c>
      <c r="H1353" s="20" t="s">
        <v>52</v>
      </c>
      <c r="I1353" s="15">
        <v>1</v>
      </c>
      <c r="J1353" s="15" t="s">
        <v>24</v>
      </c>
      <c r="K1353" s="15"/>
      <c r="L1353" s="21" t="s">
        <v>16</v>
      </c>
      <c r="M1353" s="22">
        <v>0</v>
      </c>
      <c r="N1353" s="22">
        <v>-375</v>
      </c>
      <c r="O1353" s="22">
        <v>7125</v>
      </c>
      <c r="P1353" s="22">
        <v>7125</v>
      </c>
      <c r="Q1353" t="str" cm="1">
        <f t="array" ref="Q1353">_xlfn.TEXTJOIN("、",TRUE,IF('學員資料-三民高中'!$B$2:$B$454=$F1353,'學員資料-三民高中'!$G$2:$G$454,""))</f>
        <v/>
      </c>
      <c r="R1353" t="str" cm="1">
        <f t="array" ref="R1353">_xlfn.TEXTJOIN("、",TRUE,IF('學員資料-新北高中'!$B$2:$B$583=$F1353,'學員資料-新北高中'!$G$2:$G$583,""))</f>
        <v>0955447959</v>
      </c>
      <c r="S1353" t="str" cm="1">
        <f t="array" ref="S1353">_xlfn.TEXTJOIN("、",TRUE,IF('學員資料-三重商工'!$B$2:$B$472=$F1353,'學員資料-三重商工'!$G$2:$G$472,""))</f>
        <v/>
      </c>
      <c r="T1353">
        <f t="shared" si="21"/>
        <v>1</v>
      </c>
    </row>
    <row r="1354" spans="1:20" ht="28.5" hidden="1" customHeight="1">
      <c r="A1354" s="15">
        <v>1353</v>
      </c>
      <c r="B1354" s="16" t="s">
        <v>4286</v>
      </c>
      <c r="C1354" s="17">
        <v>45814</v>
      </c>
      <c r="D1354" s="15" t="s">
        <v>4287</v>
      </c>
      <c r="E1354" s="18" t="s">
        <v>402</v>
      </c>
      <c r="F1354" s="19" t="s">
        <v>4288</v>
      </c>
      <c r="G1354" s="18" t="s">
        <v>4289</v>
      </c>
      <c r="H1354" s="20" t="s">
        <v>75</v>
      </c>
      <c r="I1354" s="15">
        <v>2</v>
      </c>
      <c r="J1354" s="15" t="s">
        <v>23</v>
      </c>
      <c r="K1354" s="15"/>
      <c r="L1354" s="21" t="s">
        <v>16</v>
      </c>
      <c r="M1354" s="22">
        <v>0</v>
      </c>
      <c r="N1354" s="22">
        <v>-690</v>
      </c>
      <c r="O1354" s="22">
        <v>13110</v>
      </c>
      <c r="P1354" s="22">
        <v>13110</v>
      </c>
      <c r="Q1354" t="str" cm="1">
        <f t="array" ref="Q1354">_xlfn.TEXTJOIN("、",TRUE,IF('學員資料-三民高中'!$B$2:$B$454=$F1354,'學員資料-三民高中'!$G$2:$G$454,""))</f>
        <v/>
      </c>
      <c r="R1354" t="str" cm="1">
        <f t="array" ref="R1354">_xlfn.TEXTJOIN("、",TRUE,IF('學員資料-新北高中'!$B$2:$B$583=$F1354,'學員資料-新北高中'!$G$2:$G$583,""))</f>
        <v>0912922986</v>
      </c>
      <c r="S1354" t="str" cm="1">
        <f t="array" ref="S1354">_xlfn.TEXTJOIN("、",TRUE,IF('學員資料-三重商工'!$B$2:$B$472=$F1354,'學員資料-三重商工'!$G$2:$G$472,""))</f>
        <v/>
      </c>
      <c r="T1354">
        <f t="shared" si="21"/>
        <v>1</v>
      </c>
    </row>
    <row r="1355" spans="1:20" ht="14.25" hidden="1" customHeight="1">
      <c r="A1355" s="15">
        <v>1354</v>
      </c>
      <c r="B1355" s="16" t="s">
        <v>4290</v>
      </c>
      <c r="C1355" s="17">
        <v>45814</v>
      </c>
      <c r="D1355" s="15" t="s">
        <v>4291</v>
      </c>
      <c r="E1355" s="18" t="s">
        <v>402</v>
      </c>
      <c r="F1355" s="19" t="s">
        <v>4292</v>
      </c>
      <c r="G1355" s="18" t="s">
        <v>4293</v>
      </c>
      <c r="H1355" s="20" t="s">
        <v>52</v>
      </c>
      <c r="I1355" s="15">
        <v>1</v>
      </c>
      <c r="J1355" s="15" t="s">
        <v>24</v>
      </c>
      <c r="K1355" s="15"/>
      <c r="L1355" s="21" t="s">
        <v>16</v>
      </c>
      <c r="M1355" s="22">
        <v>0</v>
      </c>
      <c r="N1355" s="22">
        <v>-375</v>
      </c>
      <c r="O1355" s="22">
        <v>7125</v>
      </c>
      <c r="P1355" s="22">
        <v>7125</v>
      </c>
      <c r="Q1355" t="str" cm="1">
        <f t="array" ref="Q1355">_xlfn.TEXTJOIN("、",TRUE,IF('學員資料-三民高中'!$B$2:$B$454=$F1355,'學員資料-三民高中'!$G$2:$G$454,""))</f>
        <v/>
      </c>
      <c r="R1355" t="str" cm="1">
        <f t="array" ref="R1355">_xlfn.TEXTJOIN("、",TRUE,IF('學員資料-新北高中'!$B$2:$B$583=$F1355,'學員資料-新北高中'!$G$2:$G$583,""))</f>
        <v>0932242332</v>
      </c>
      <c r="S1355" t="str" cm="1">
        <f t="array" ref="S1355">_xlfn.TEXTJOIN("、",TRUE,IF('學員資料-三重商工'!$B$2:$B$472=$F1355,'學員資料-三重商工'!$G$2:$G$472,""))</f>
        <v/>
      </c>
      <c r="T1355">
        <f t="shared" si="21"/>
        <v>1</v>
      </c>
    </row>
    <row r="1356" spans="1:20" ht="14.25" hidden="1" customHeight="1">
      <c r="A1356" s="15">
        <v>1355</v>
      </c>
      <c r="B1356" s="16" t="s">
        <v>4294</v>
      </c>
      <c r="C1356" s="17">
        <v>45814</v>
      </c>
      <c r="D1356" s="15" t="s">
        <v>4295</v>
      </c>
      <c r="E1356" s="18" t="s">
        <v>402</v>
      </c>
      <c r="F1356" s="19" t="s">
        <v>542</v>
      </c>
      <c r="G1356" s="18" t="s">
        <v>543</v>
      </c>
      <c r="H1356" s="20" t="s">
        <v>66</v>
      </c>
      <c r="I1356" s="15">
        <v>1</v>
      </c>
      <c r="J1356" s="15" t="s">
        <v>23</v>
      </c>
      <c r="K1356" s="15"/>
      <c r="L1356" s="21" t="s">
        <v>16</v>
      </c>
      <c r="M1356" s="22">
        <v>0</v>
      </c>
      <c r="N1356" s="22">
        <v>-345</v>
      </c>
      <c r="O1356" s="22">
        <v>6555</v>
      </c>
      <c r="P1356" s="22">
        <v>6555</v>
      </c>
      <c r="Q1356" t="str" cm="1">
        <f t="array" ref="Q1356">_xlfn.TEXTJOIN("、",TRUE,IF('學員資料-三民高中'!$B$2:$B$454=$F1356,'學員資料-三民高中'!$G$2:$G$454,""))</f>
        <v/>
      </c>
      <c r="R1356" t="str" cm="1">
        <f t="array" ref="R1356">_xlfn.TEXTJOIN("、",TRUE,IF('學員資料-新北高中'!$B$2:$B$583=$F1356,'學員資料-新北高中'!$G$2:$G$583,""))</f>
        <v>0918068640</v>
      </c>
      <c r="S1356" t="str" cm="1">
        <f t="array" ref="S1356">_xlfn.TEXTJOIN("、",TRUE,IF('學員資料-三重商工'!$B$2:$B$472=$F1356,'學員資料-三重商工'!$G$2:$G$472,""))</f>
        <v/>
      </c>
      <c r="T1356">
        <f t="shared" si="21"/>
        <v>1</v>
      </c>
    </row>
    <row r="1357" spans="1:20" ht="14.25" hidden="1" customHeight="1">
      <c r="A1357" s="15">
        <v>1356</v>
      </c>
      <c r="B1357" s="16" t="s">
        <v>4296</v>
      </c>
      <c r="C1357" s="17">
        <v>45814</v>
      </c>
      <c r="D1357" s="15" t="s">
        <v>4297</v>
      </c>
      <c r="E1357" s="18" t="s">
        <v>402</v>
      </c>
      <c r="F1357" s="19" t="s">
        <v>1652</v>
      </c>
      <c r="G1357" s="18" t="s">
        <v>1653</v>
      </c>
      <c r="H1357" s="20" t="s">
        <v>52</v>
      </c>
      <c r="I1357" s="15">
        <v>1</v>
      </c>
      <c r="J1357" s="15" t="s">
        <v>24</v>
      </c>
      <c r="K1357" s="15"/>
      <c r="L1357" s="21" t="s">
        <v>16</v>
      </c>
      <c r="M1357" s="22">
        <v>0</v>
      </c>
      <c r="N1357" s="22">
        <v>-375</v>
      </c>
      <c r="O1357" s="22">
        <v>7125</v>
      </c>
      <c r="P1357" s="22">
        <v>7125</v>
      </c>
      <c r="Q1357" t="str" cm="1">
        <f t="array" ref="Q1357">_xlfn.TEXTJOIN("、",TRUE,IF('學員資料-三民高中'!$B$2:$B$454=$F1357,'學員資料-三民高中'!$G$2:$G$454,""))</f>
        <v/>
      </c>
      <c r="R1357" t="str" cm="1">
        <f t="array" ref="R1357">_xlfn.TEXTJOIN("、",TRUE,IF('學員資料-新北高中'!$B$2:$B$583=$F1357,'學員資料-新北高中'!$G$2:$G$583,""))</f>
        <v>0923113843</v>
      </c>
      <c r="S1357" t="str" cm="1">
        <f t="array" ref="S1357">_xlfn.TEXTJOIN("、",TRUE,IF('學員資料-三重商工'!$B$2:$B$472=$F1357,'學員資料-三重商工'!$G$2:$G$472,""))</f>
        <v/>
      </c>
      <c r="T1357">
        <f t="shared" si="21"/>
        <v>1</v>
      </c>
    </row>
    <row r="1358" spans="1:20" ht="14.25" hidden="1" customHeight="1">
      <c r="A1358" s="15">
        <v>1357</v>
      </c>
      <c r="B1358" s="16" t="s">
        <v>4298</v>
      </c>
      <c r="C1358" s="17">
        <v>45814</v>
      </c>
      <c r="D1358" s="15" t="s">
        <v>4299</v>
      </c>
      <c r="E1358" s="18" t="s">
        <v>402</v>
      </c>
      <c r="F1358" s="19" t="s">
        <v>4300</v>
      </c>
      <c r="G1358" s="18" t="s">
        <v>4301</v>
      </c>
      <c r="H1358" s="20" t="s">
        <v>130</v>
      </c>
      <c r="I1358" s="15">
        <v>1</v>
      </c>
      <c r="J1358" s="15" t="s">
        <v>25</v>
      </c>
      <c r="K1358" s="15"/>
      <c r="L1358" s="21" t="s">
        <v>16</v>
      </c>
      <c r="M1358" s="22">
        <v>0</v>
      </c>
      <c r="N1358" s="22">
        <v>-495</v>
      </c>
      <c r="O1358" s="22">
        <v>9405</v>
      </c>
      <c r="P1358" s="22">
        <v>9405</v>
      </c>
      <c r="Q1358" t="str" cm="1">
        <f t="array" ref="Q1358">_xlfn.TEXTJOIN("、",TRUE,IF('學員資料-三民高中'!$B$2:$B$454=$F1358,'學員資料-三民高中'!$G$2:$G$454,""))</f>
        <v/>
      </c>
      <c r="R1358" t="str" cm="1">
        <f t="array" ref="R1358">_xlfn.TEXTJOIN("、",TRUE,IF('學員資料-新北高中'!$B$2:$B$583=$F1358,'學員資料-新北高中'!$G$2:$G$583,""))</f>
        <v>0952668021</v>
      </c>
      <c r="S1358" t="str" cm="1">
        <f t="array" ref="S1358">_xlfn.TEXTJOIN("、",TRUE,IF('學員資料-三重商工'!$B$2:$B$472=$F1358,'學員資料-三重商工'!$G$2:$G$472,""))</f>
        <v/>
      </c>
      <c r="T1358">
        <f t="shared" si="21"/>
        <v>1</v>
      </c>
    </row>
    <row r="1359" spans="1:20" ht="43.5" hidden="1" customHeight="1">
      <c r="A1359" s="15">
        <v>1358</v>
      </c>
      <c r="B1359" s="16" t="s">
        <v>4302</v>
      </c>
      <c r="C1359" s="17">
        <v>45814</v>
      </c>
      <c r="D1359" s="15" t="s">
        <v>4303</v>
      </c>
      <c r="E1359" s="18" t="s">
        <v>402</v>
      </c>
      <c r="F1359" s="19" t="s">
        <v>4304</v>
      </c>
      <c r="G1359" s="18" t="s">
        <v>4305</v>
      </c>
      <c r="H1359" s="20" t="s">
        <v>261</v>
      </c>
      <c r="I1359" s="15">
        <v>3</v>
      </c>
      <c r="J1359" s="15" t="s">
        <v>23</v>
      </c>
      <c r="K1359" s="15"/>
      <c r="L1359" s="21" t="s">
        <v>16</v>
      </c>
      <c r="M1359" s="22">
        <v>0</v>
      </c>
      <c r="N1359" s="22">
        <v>-1035</v>
      </c>
      <c r="O1359" s="22">
        <v>19665</v>
      </c>
      <c r="P1359" s="22">
        <v>19665</v>
      </c>
      <c r="Q1359" t="str" cm="1">
        <f t="array" ref="Q1359">_xlfn.TEXTJOIN("、",TRUE,IF('學員資料-三民高中'!$B$2:$B$454=$F1359,'學員資料-三民高中'!$G$2:$G$454,""))</f>
        <v/>
      </c>
      <c r="R1359" t="str" cm="1">
        <f t="array" ref="R1359">_xlfn.TEXTJOIN("、",TRUE,IF('學員資料-新北高中'!$B$2:$B$583=$F1359,'學員資料-新北高中'!$G$2:$G$583,""))</f>
        <v>0960625945</v>
      </c>
      <c r="S1359" t="str" cm="1">
        <f t="array" ref="S1359">_xlfn.TEXTJOIN("、",TRUE,IF('學員資料-三重商工'!$B$2:$B$472=$F1359,'學員資料-三重商工'!$G$2:$G$472,""))</f>
        <v/>
      </c>
      <c r="T1359">
        <f t="shared" si="21"/>
        <v>1</v>
      </c>
    </row>
    <row r="1360" spans="1:20" ht="14.25" hidden="1" customHeight="1">
      <c r="A1360" s="15">
        <v>1359</v>
      </c>
      <c r="B1360" s="16" t="s">
        <v>4306</v>
      </c>
      <c r="C1360" s="17">
        <v>45814</v>
      </c>
      <c r="D1360" s="15" t="s">
        <v>4307</v>
      </c>
      <c r="E1360" s="18" t="s">
        <v>402</v>
      </c>
      <c r="F1360" s="19" t="s">
        <v>403</v>
      </c>
      <c r="G1360" s="18" t="s">
        <v>404</v>
      </c>
      <c r="H1360" s="20" t="s">
        <v>130</v>
      </c>
      <c r="I1360" s="15">
        <v>1</v>
      </c>
      <c r="J1360" s="15" t="s">
        <v>25</v>
      </c>
      <c r="K1360" s="15"/>
      <c r="L1360" s="21" t="s">
        <v>16</v>
      </c>
      <c r="M1360" s="22">
        <v>0</v>
      </c>
      <c r="N1360" s="22">
        <v>-495</v>
      </c>
      <c r="O1360" s="22">
        <v>9405</v>
      </c>
      <c r="P1360" s="22">
        <v>9405</v>
      </c>
      <c r="Q1360" t="str" cm="1">
        <f t="array" ref="Q1360">_xlfn.TEXTJOIN("、",TRUE,IF('學員資料-三民高中'!$B$2:$B$454=$F1360,'學員資料-三民高中'!$G$2:$G$454,""))</f>
        <v/>
      </c>
      <c r="R1360" t="str" cm="1">
        <f t="array" ref="R1360">_xlfn.TEXTJOIN("、",TRUE,IF('學員資料-新北高中'!$B$2:$B$583=$F1360,'學員資料-新北高中'!$G$2:$G$583,""))</f>
        <v>0921991299</v>
      </c>
      <c r="S1360" t="str" cm="1">
        <f t="array" ref="S1360">_xlfn.TEXTJOIN("、",TRUE,IF('學員資料-三重商工'!$B$2:$B$472=$F1360,'學員資料-三重商工'!$G$2:$G$472,""))</f>
        <v/>
      </c>
      <c r="T1360">
        <f t="shared" si="21"/>
        <v>1</v>
      </c>
    </row>
    <row r="1361" spans="1:20" ht="14.25" hidden="1" customHeight="1">
      <c r="A1361" s="15">
        <v>1360</v>
      </c>
      <c r="B1361" s="16" t="s">
        <v>4308</v>
      </c>
      <c r="C1361" s="17">
        <v>45814</v>
      </c>
      <c r="D1361" s="15" t="s">
        <v>4309</v>
      </c>
      <c r="E1361" s="18" t="s">
        <v>402</v>
      </c>
      <c r="F1361" s="19" t="s">
        <v>4310</v>
      </c>
      <c r="G1361" s="18" t="s">
        <v>4311</v>
      </c>
      <c r="H1361" s="20" t="s">
        <v>52</v>
      </c>
      <c r="I1361" s="15">
        <v>1</v>
      </c>
      <c r="J1361" s="15" t="s">
        <v>24</v>
      </c>
      <c r="K1361" s="15"/>
      <c r="L1361" s="21" t="s">
        <v>16</v>
      </c>
      <c r="M1361" s="22">
        <v>0</v>
      </c>
      <c r="N1361" s="22">
        <v>-375</v>
      </c>
      <c r="O1361" s="22">
        <v>7125</v>
      </c>
      <c r="P1361" s="22">
        <v>7125</v>
      </c>
      <c r="Q1361" t="str" cm="1">
        <f t="array" ref="Q1361">_xlfn.TEXTJOIN("、",TRUE,IF('學員資料-三民高中'!$B$2:$B$454=$F1361,'學員資料-三民高中'!$G$2:$G$454,""))</f>
        <v/>
      </c>
      <c r="R1361" t="str" cm="1">
        <f t="array" ref="R1361">_xlfn.TEXTJOIN("、",TRUE,IF('學員資料-新北高中'!$B$2:$B$583=$F1361,'學員資料-新北高中'!$G$2:$G$583,""))</f>
        <v>0965322117</v>
      </c>
      <c r="S1361" t="str" cm="1">
        <f t="array" ref="S1361">_xlfn.TEXTJOIN("、",TRUE,IF('學員資料-三重商工'!$B$2:$B$472=$F1361,'學員資料-三重商工'!$G$2:$G$472,""))</f>
        <v/>
      </c>
      <c r="T1361">
        <f t="shared" si="21"/>
        <v>1</v>
      </c>
    </row>
    <row r="1362" spans="1:20" ht="28.5" hidden="1" customHeight="1">
      <c r="A1362" s="15">
        <v>1361</v>
      </c>
      <c r="B1362" s="16" t="s">
        <v>4312</v>
      </c>
      <c r="C1362" s="17">
        <v>45814</v>
      </c>
      <c r="D1362" s="15" t="s">
        <v>4313</v>
      </c>
      <c r="E1362" s="18" t="s">
        <v>402</v>
      </c>
      <c r="F1362" s="19" t="s">
        <v>1684</v>
      </c>
      <c r="G1362" s="18" t="s">
        <v>1685</v>
      </c>
      <c r="H1362" s="20" t="s">
        <v>75</v>
      </c>
      <c r="I1362" s="15">
        <v>2</v>
      </c>
      <c r="J1362" s="15" t="s">
        <v>23</v>
      </c>
      <c r="K1362" s="15"/>
      <c r="L1362" s="21" t="s">
        <v>16</v>
      </c>
      <c r="M1362" s="22">
        <v>0</v>
      </c>
      <c r="N1362" s="22">
        <v>-690</v>
      </c>
      <c r="O1362" s="22">
        <v>13110</v>
      </c>
      <c r="P1362" s="22">
        <v>13110</v>
      </c>
      <c r="Q1362" t="str" cm="1">
        <f t="array" ref="Q1362">_xlfn.TEXTJOIN("、",TRUE,IF('學員資料-三民高中'!$B$2:$B$454=$F1362,'學員資料-三民高中'!$G$2:$G$454,""))</f>
        <v/>
      </c>
      <c r="R1362" t="str" cm="1">
        <f t="array" ref="R1362">_xlfn.TEXTJOIN("、",TRUE,IF('學員資料-新北高中'!$B$2:$B$583=$F1362,'學員資料-新北高中'!$G$2:$G$583,""))</f>
        <v>0919705056</v>
      </c>
      <c r="S1362" t="str" cm="1">
        <f t="array" ref="S1362">_xlfn.TEXTJOIN("、",TRUE,IF('學員資料-三重商工'!$B$2:$B$472=$F1362,'學員資料-三重商工'!$G$2:$G$472,""))</f>
        <v/>
      </c>
      <c r="T1362">
        <f t="shared" si="21"/>
        <v>1</v>
      </c>
    </row>
    <row r="1363" spans="1:20" ht="28.5" hidden="1" customHeight="1">
      <c r="A1363" s="15">
        <v>1362</v>
      </c>
      <c r="B1363" s="16" t="s">
        <v>4314</v>
      </c>
      <c r="C1363" s="17">
        <v>45814</v>
      </c>
      <c r="D1363" s="15" t="s">
        <v>4315</v>
      </c>
      <c r="E1363" s="18" t="s">
        <v>402</v>
      </c>
      <c r="F1363" s="19" t="s">
        <v>358</v>
      </c>
      <c r="G1363" s="18" t="s">
        <v>359</v>
      </c>
      <c r="H1363" s="20" t="s">
        <v>75</v>
      </c>
      <c r="I1363" s="15">
        <v>2</v>
      </c>
      <c r="J1363" s="15" t="s">
        <v>23</v>
      </c>
      <c r="K1363" s="15"/>
      <c r="L1363" s="21" t="s">
        <v>16</v>
      </c>
      <c r="M1363" s="22">
        <v>0</v>
      </c>
      <c r="N1363" s="22">
        <v>-690</v>
      </c>
      <c r="O1363" s="22">
        <v>13110</v>
      </c>
      <c r="P1363" s="22">
        <v>13110</v>
      </c>
      <c r="Q1363" t="str" cm="1">
        <f t="array" ref="Q1363">_xlfn.TEXTJOIN("、",TRUE,IF('學員資料-三民高中'!$B$2:$B$454=$F1363,'學員資料-三民高中'!$G$2:$G$454,""))</f>
        <v/>
      </c>
      <c r="R1363" t="str" cm="1">
        <f t="array" ref="R1363">_xlfn.TEXTJOIN("、",TRUE,IF('學員資料-新北高中'!$B$2:$B$583=$F1363,'學員資料-新北高中'!$G$2:$G$583,""))</f>
        <v>0918008574</v>
      </c>
      <c r="S1363" t="str" cm="1">
        <f t="array" ref="S1363">_xlfn.TEXTJOIN("、",TRUE,IF('學員資料-三重商工'!$B$2:$B$472=$F1363,'學員資料-三重商工'!$G$2:$G$472,""))</f>
        <v/>
      </c>
      <c r="T1363">
        <f t="shared" si="21"/>
        <v>1</v>
      </c>
    </row>
    <row r="1364" spans="1:20" ht="28.5" hidden="1" customHeight="1">
      <c r="A1364" s="15">
        <v>1363</v>
      </c>
      <c r="B1364" s="16" t="s">
        <v>4316</v>
      </c>
      <c r="C1364" s="17">
        <v>45814</v>
      </c>
      <c r="D1364" s="15" t="s">
        <v>4317</v>
      </c>
      <c r="E1364" s="18" t="s">
        <v>402</v>
      </c>
      <c r="F1364" s="19" t="s">
        <v>4318</v>
      </c>
      <c r="G1364" s="18" t="s">
        <v>4319</v>
      </c>
      <c r="H1364" s="20" t="s">
        <v>99</v>
      </c>
      <c r="I1364" s="15">
        <v>2</v>
      </c>
      <c r="J1364" s="15" t="s">
        <v>24</v>
      </c>
      <c r="K1364" s="15"/>
      <c r="L1364" s="21" t="s">
        <v>16</v>
      </c>
      <c r="M1364" s="22">
        <v>0</v>
      </c>
      <c r="N1364" s="22">
        <v>-750</v>
      </c>
      <c r="O1364" s="22">
        <v>14250</v>
      </c>
      <c r="P1364" s="22">
        <v>14250</v>
      </c>
      <c r="Q1364" t="str" cm="1">
        <f t="array" ref="Q1364">_xlfn.TEXTJOIN("、",TRUE,IF('學員資料-三民高中'!$B$2:$B$454=$F1364,'學員資料-三民高中'!$G$2:$G$454,""))</f>
        <v/>
      </c>
      <c r="R1364" t="str" cm="1">
        <f t="array" ref="R1364">_xlfn.TEXTJOIN("、",TRUE,IF('學員資料-新北高中'!$B$2:$B$583=$F1364,'學員資料-新北高中'!$G$2:$G$583,""))</f>
        <v>0918201818</v>
      </c>
      <c r="S1364" t="str" cm="1">
        <f t="array" ref="S1364">_xlfn.TEXTJOIN("、",TRUE,IF('學員資料-三重商工'!$B$2:$B$472=$F1364,'學員資料-三重商工'!$G$2:$G$472,""))</f>
        <v/>
      </c>
      <c r="T1364">
        <f t="shared" si="21"/>
        <v>1</v>
      </c>
    </row>
    <row r="1365" spans="1:20" ht="43.5" hidden="1" customHeight="1">
      <c r="A1365" s="15">
        <v>1364</v>
      </c>
      <c r="B1365" s="16" t="s">
        <v>4320</v>
      </c>
      <c r="C1365" s="17">
        <v>45814</v>
      </c>
      <c r="D1365" s="15" t="s">
        <v>4321</v>
      </c>
      <c r="E1365" s="18" t="s">
        <v>402</v>
      </c>
      <c r="F1365" s="19" t="s">
        <v>1724</v>
      </c>
      <c r="G1365" s="18" t="s">
        <v>1725</v>
      </c>
      <c r="H1365" s="20" t="s">
        <v>436</v>
      </c>
      <c r="I1365" s="15">
        <v>3</v>
      </c>
      <c r="J1365" s="15" t="s">
        <v>24</v>
      </c>
      <c r="K1365" s="15"/>
      <c r="L1365" s="21" t="s">
        <v>16</v>
      </c>
      <c r="M1365" s="22">
        <v>0</v>
      </c>
      <c r="N1365" s="22">
        <v>-1125</v>
      </c>
      <c r="O1365" s="22">
        <v>21375</v>
      </c>
      <c r="P1365" s="22">
        <v>21375</v>
      </c>
      <c r="Q1365" t="str" cm="1">
        <f t="array" ref="Q1365">_xlfn.TEXTJOIN("、",TRUE,IF('學員資料-三民高中'!$B$2:$B$454=$F1365,'學員資料-三民高中'!$G$2:$G$454,""))</f>
        <v/>
      </c>
      <c r="R1365" t="str" cm="1">
        <f t="array" ref="R1365">_xlfn.TEXTJOIN("、",TRUE,IF('學員資料-新北高中'!$B$2:$B$583=$F1365,'學員資料-新北高中'!$G$2:$G$583,""))</f>
        <v>0937503938</v>
      </c>
      <c r="S1365" t="str" cm="1">
        <f t="array" ref="S1365">_xlfn.TEXTJOIN("、",TRUE,IF('學員資料-三重商工'!$B$2:$B$472=$F1365,'學員資料-三重商工'!$G$2:$G$472,""))</f>
        <v/>
      </c>
      <c r="T1365">
        <f t="shared" si="21"/>
        <v>1</v>
      </c>
    </row>
    <row r="1366" spans="1:20" ht="14.25" hidden="1" customHeight="1">
      <c r="A1366" s="15">
        <v>1365</v>
      </c>
      <c r="B1366" s="16" t="s">
        <v>4322</v>
      </c>
      <c r="C1366" s="17">
        <v>45813</v>
      </c>
      <c r="D1366" s="15" t="s">
        <v>4323</v>
      </c>
      <c r="E1366" s="18" t="s">
        <v>83</v>
      </c>
      <c r="F1366" s="19" t="s">
        <v>4324</v>
      </c>
      <c r="G1366" s="18" t="s">
        <v>4325</v>
      </c>
      <c r="H1366" s="20" t="s">
        <v>66</v>
      </c>
      <c r="I1366" s="15">
        <v>1</v>
      </c>
      <c r="J1366" s="15" t="s">
        <v>23</v>
      </c>
      <c r="K1366" s="15"/>
      <c r="L1366" s="21" t="s">
        <v>16</v>
      </c>
      <c r="M1366" s="22">
        <v>0</v>
      </c>
      <c r="N1366" s="22">
        <v>-345</v>
      </c>
      <c r="O1366" s="22">
        <v>6555</v>
      </c>
      <c r="P1366" s="22">
        <v>6555</v>
      </c>
      <c r="Q1366" t="str" cm="1">
        <f t="array" ref="Q1366">_xlfn.TEXTJOIN("、",TRUE,IF('學員資料-三民高中'!$B$2:$B$454=$F1366,'學員資料-三民高中'!$G$2:$G$454,""))</f>
        <v/>
      </c>
      <c r="R1366" t="str" cm="1">
        <f t="array" ref="R1366">_xlfn.TEXTJOIN("、",TRUE,IF('學員資料-新北高中'!$B$2:$B$583=$F1366,'學員資料-新北高中'!$G$2:$G$583,""))</f>
        <v/>
      </c>
      <c r="S1366" t="str" cm="1">
        <f t="array" ref="S1366">_xlfn.TEXTJOIN("、",TRUE,IF('學員資料-三重商工'!$B$2:$B$472=$F1366,'學員資料-三重商工'!$G$2:$G$472,""))</f>
        <v>0928256839.1</v>
      </c>
      <c r="T1366">
        <f t="shared" si="21"/>
        <v>1</v>
      </c>
    </row>
    <row r="1367" spans="1:20" ht="14.25" hidden="1" customHeight="1">
      <c r="A1367" s="15">
        <v>1366</v>
      </c>
      <c r="B1367" s="16" t="s">
        <v>4326</v>
      </c>
      <c r="C1367" s="17">
        <v>45813</v>
      </c>
      <c r="D1367" s="15" t="s">
        <v>4327</v>
      </c>
      <c r="E1367" s="18" t="s">
        <v>3477</v>
      </c>
      <c r="F1367" s="19" t="s">
        <v>4328</v>
      </c>
      <c r="G1367" s="18" t="s">
        <v>4329</v>
      </c>
      <c r="H1367" s="20" t="s">
        <v>52</v>
      </c>
      <c r="I1367" s="15">
        <v>1</v>
      </c>
      <c r="J1367" s="15" t="s">
        <v>24</v>
      </c>
      <c r="K1367" s="15"/>
      <c r="L1367" s="21" t="s">
        <v>16</v>
      </c>
      <c r="M1367" s="22">
        <v>0</v>
      </c>
      <c r="N1367" s="22">
        <v>0</v>
      </c>
      <c r="O1367" s="22">
        <v>7500</v>
      </c>
      <c r="P1367" s="22">
        <v>7500</v>
      </c>
      <c r="Q1367" t="str" cm="1">
        <f t="array" ref="Q1367">_xlfn.TEXTJOIN("、",TRUE,IF('學員資料-三民高中'!$B$2:$B$454=$F1367,'學員資料-三民高中'!$G$2:$G$454,""))</f>
        <v>0934272195</v>
      </c>
      <c r="R1367" t="str" cm="1">
        <f t="array" ref="R1367">_xlfn.TEXTJOIN("、",TRUE,IF('學員資料-新北高中'!$B$2:$B$583=$F1367,'學員資料-新北高中'!$G$2:$G$583,""))</f>
        <v/>
      </c>
      <c r="S1367" t="str" cm="1">
        <f t="array" ref="S1367">_xlfn.TEXTJOIN("、",TRUE,IF('學員資料-三重商工'!$B$2:$B$472=$F1367,'學員資料-三重商工'!$G$2:$G$472,""))</f>
        <v/>
      </c>
      <c r="T1367">
        <f t="shared" si="21"/>
        <v>1</v>
      </c>
    </row>
    <row r="1368" spans="1:20" ht="14.25" hidden="1" customHeight="1">
      <c r="A1368" s="15">
        <v>1367</v>
      </c>
      <c r="B1368" s="16" t="s">
        <v>4330</v>
      </c>
      <c r="C1368" s="17">
        <v>45813</v>
      </c>
      <c r="D1368" s="15" t="s">
        <v>4331</v>
      </c>
      <c r="E1368" s="18" t="s">
        <v>3477</v>
      </c>
      <c r="F1368" s="19" t="s">
        <v>4332</v>
      </c>
      <c r="G1368" s="18" t="s">
        <v>4333</v>
      </c>
      <c r="H1368" s="20" t="s">
        <v>66</v>
      </c>
      <c r="I1368" s="15">
        <v>1</v>
      </c>
      <c r="J1368" s="15" t="s">
        <v>23</v>
      </c>
      <c r="K1368" s="15"/>
      <c r="L1368" s="21" t="s">
        <v>16</v>
      </c>
      <c r="M1368" s="22">
        <v>0</v>
      </c>
      <c r="N1368" s="22">
        <v>0</v>
      </c>
      <c r="O1368" s="22">
        <v>6900</v>
      </c>
      <c r="P1368" s="22">
        <v>6900</v>
      </c>
      <c r="Q1368" t="str" cm="1">
        <f t="array" ref="Q1368">_xlfn.TEXTJOIN("、",TRUE,IF('學員資料-三民高中'!$B$2:$B$454=$F1368,'學員資料-三民高中'!$G$2:$G$454,""))</f>
        <v>0905552067</v>
      </c>
      <c r="R1368" t="str" cm="1">
        <f t="array" ref="R1368">_xlfn.TEXTJOIN("、",TRUE,IF('學員資料-新北高中'!$B$2:$B$583=$F1368,'學員資料-新北高中'!$G$2:$G$583,""))</f>
        <v/>
      </c>
      <c r="S1368" t="str" cm="1">
        <f t="array" ref="S1368">_xlfn.TEXTJOIN("、",TRUE,IF('學員資料-三重商工'!$B$2:$B$472=$F1368,'學員資料-三重商工'!$G$2:$G$472,""))</f>
        <v/>
      </c>
      <c r="T1368">
        <f t="shared" si="21"/>
        <v>1</v>
      </c>
    </row>
    <row r="1369" spans="1:20" ht="14.25" hidden="1" customHeight="1">
      <c r="A1369" s="15">
        <v>1368</v>
      </c>
      <c r="B1369" s="16" t="s">
        <v>4334</v>
      </c>
      <c r="C1369" s="17">
        <v>45811</v>
      </c>
      <c r="D1369" s="15" t="s">
        <v>4335</v>
      </c>
      <c r="E1369" s="18" t="s">
        <v>83</v>
      </c>
      <c r="F1369" s="19" t="s">
        <v>4013</v>
      </c>
      <c r="G1369" s="18" t="s">
        <v>4014</v>
      </c>
      <c r="H1369" s="20" t="s">
        <v>52</v>
      </c>
      <c r="I1369" s="15">
        <v>1</v>
      </c>
      <c r="J1369" s="15" t="s">
        <v>24</v>
      </c>
      <c r="K1369" s="15"/>
      <c r="L1369" s="21" t="s">
        <v>16</v>
      </c>
      <c r="M1369" s="22">
        <v>0</v>
      </c>
      <c r="N1369" s="22">
        <v>0</v>
      </c>
      <c r="O1369" s="22">
        <v>7500</v>
      </c>
      <c r="P1369" s="22">
        <v>7500</v>
      </c>
      <c r="Q1369" t="str" cm="1">
        <f t="array" ref="Q1369">_xlfn.TEXTJOIN("、",TRUE,IF('學員資料-三民高中'!$B$2:$B$454=$F1369,'學員資料-三民高中'!$G$2:$G$454,""))</f>
        <v/>
      </c>
      <c r="R1369" t="str" cm="1">
        <f t="array" ref="R1369">_xlfn.TEXTJOIN("、",TRUE,IF('學員資料-新北高中'!$B$2:$B$583=$F1369,'學員資料-新北高中'!$G$2:$G$583,""))</f>
        <v/>
      </c>
      <c r="S1369" t="str" cm="1">
        <f t="array" ref="S1369">_xlfn.TEXTJOIN("、",TRUE,IF('學員資料-三重商工'!$B$2:$B$472=$F1369,'學員資料-三重商工'!$G$2:$G$472,""))</f>
        <v>0928527015</v>
      </c>
      <c r="T1369">
        <f t="shared" si="21"/>
        <v>1</v>
      </c>
    </row>
    <row r="1370" spans="1:20" ht="14.25" hidden="1" customHeight="1">
      <c r="A1370" s="15">
        <v>1369</v>
      </c>
      <c r="B1370" s="16" t="s">
        <v>4336</v>
      </c>
      <c r="C1370" s="17">
        <v>45811</v>
      </c>
      <c r="D1370" s="15" t="s">
        <v>4337</v>
      </c>
      <c r="E1370" s="18" t="s">
        <v>83</v>
      </c>
      <c r="F1370" s="19" t="s">
        <v>1744</v>
      </c>
      <c r="G1370" s="18" t="s">
        <v>1745</v>
      </c>
      <c r="H1370" s="20" t="s">
        <v>52</v>
      </c>
      <c r="I1370" s="15">
        <v>1</v>
      </c>
      <c r="J1370" s="15" t="s">
        <v>24</v>
      </c>
      <c r="K1370" s="15"/>
      <c r="L1370" s="21" t="s">
        <v>16</v>
      </c>
      <c r="M1370" s="22">
        <v>0</v>
      </c>
      <c r="N1370" s="22">
        <v>0</v>
      </c>
      <c r="O1370" s="22">
        <v>7500</v>
      </c>
      <c r="P1370" s="22">
        <v>7500</v>
      </c>
      <c r="Q1370" t="str" cm="1">
        <f t="array" ref="Q1370">_xlfn.TEXTJOIN("、",TRUE,IF('學員資料-三民高中'!$B$2:$B$454=$F1370,'學員資料-三民高中'!$G$2:$G$454,""))</f>
        <v/>
      </c>
      <c r="R1370" t="str" cm="1">
        <f t="array" ref="R1370">_xlfn.TEXTJOIN("、",TRUE,IF('學員資料-新北高中'!$B$2:$B$583=$F1370,'學員資料-新北高中'!$G$2:$G$583,""))</f>
        <v/>
      </c>
      <c r="S1370" t="str" cm="1">
        <f t="array" ref="S1370">_xlfn.TEXTJOIN("、",TRUE,IF('學員資料-三重商工'!$B$2:$B$472=$F1370,'學員資料-三重商工'!$G$2:$G$472,""))</f>
        <v>0926882435</v>
      </c>
      <c r="T1370">
        <f t="shared" si="21"/>
        <v>1</v>
      </c>
    </row>
    <row r="1371" spans="1:20" ht="57.75" hidden="1" customHeight="1">
      <c r="A1371" s="15">
        <v>1370</v>
      </c>
      <c r="B1371" s="16" t="s">
        <v>4338</v>
      </c>
      <c r="C1371" s="17">
        <v>45809</v>
      </c>
      <c r="D1371" s="15" t="s">
        <v>4339</v>
      </c>
      <c r="E1371" s="18" t="s">
        <v>3477</v>
      </c>
      <c r="F1371" s="19" t="s">
        <v>4340</v>
      </c>
      <c r="G1371" s="18" t="s">
        <v>4341</v>
      </c>
      <c r="H1371" s="20" t="s">
        <v>4342</v>
      </c>
      <c r="I1371" s="15">
        <v>4</v>
      </c>
      <c r="J1371" s="15" t="s">
        <v>26</v>
      </c>
      <c r="K1371" s="15"/>
      <c r="L1371" s="21" t="s">
        <v>16</v>
      </c>
      <c r="M1371" s="22">
        <v>0</v>
      </c>
      <c r="N1371" s="22">
        <v>-2400</v>
      </c>
      <c r="O1371" s="22">
        <v>45600</v>
      </c>
      <c r="P1371" s="22">
        <v>45600</v>
      </c>
      <c r="Q1371" t="str" cm="1">
        <f t="array" ref="Q1371">_xlfn.TEXTJOIN("、",TRUE,IF('學員資料-三民高中'!$B$2:$B$454=$F1371,'學員資料-三民高中'!$G$2:$G$454,""))</f>
        <v>0955181838</v>
      </c>
      <c r="R1371" t="str" cm="1">
        <f t="array" ref="R1371">_xlfn.TEXTJOIN("、",TRUE,IF('學員資料-新北高中'!$B$2:$B$583=$F1371,'學員資料-新北高中'!$G$2:$G$583,""))</f>
        <v/>
      </c>
      <c r="S1371" t="str" cm="1">
        <f t="array" ref="S1371">_xlfn.TEXTJOIN("、",TRUE,IF('學員資料-三重商工'!$B$2:$B$472=$F1371,'學員資料-三重商工'!$G$2:$G$472,""))</f>
        <v/>
      </c>
      <c r="T1371">
        <f t="shared" si="21"/>
        <v>1</v>
      </c>
    </row>
    <row r="1372" spans="1:20" ht="14.25" customHeight="1">
      <c r="A1372" s="15">
        <v>1371</v>
      </c>
      <c r="B1372" s="16" t="s">
        <v>4343</v>
      </c>
      <c r="C1372" s="17">
        <v>45809</v>
      </c>
      <c r="D1372" s="15" t="s">
        <v>4344</v>
      </c>
      <c r="E1372" s="18" t="s">
        <v>3477</v>
      </c>
      <c r="F1372" s="19" t="s">
        <v>2790</v>
      </c>
      <c r="G1372" s="18" t="s">
        <v>2791</v>
      </c>
      <c r="H1372" s="20" t="s">
        <v>66</v>
      </c>
      <c r="I1372" s="15">
        <v>1</v>
      </c>
      <c r="J1372" s="15" t="s">
        <v>23</v>
      </c>
      <c r="K1372" s="15"/>
      <c r="L1372" s="21" t="s">
        <v>16</v>
      </c>
      <c r="M1372" s="22">
        <v>0</v>
      </c>
      <c r="N1372" s="22">
        <v>-345</v>
      </c>
      <c r="O1372" s="22">
        <v>6555</v>
      </c>
      <c r="P1372" s="22">
        <v>6555</v>
      </c>
      <c r="Q1372" t="str" cm="1">
        <f t="array" ref="Q1372">_xlfn.TEXTJOIN("、",TRUE,IF('學員資料-三民高中'!$B$2:$B$454=$F1372,'學員資料-三民高中'!$G$2:$G$454,""))</f>
        <v/>
      </c>
      <c r="R1372" t="str" cm="1">
        <f t="array" ref="R1372">_xlfn.TEXTJOIN("、",TRUE,IF('學員資料-新北高中'!$B$2:$B$583=$F1372,'學員資料-新北高中'!$G$2:$G$583,""))</f>
        <v/>
      </c>
      <c r="S1372" t="str" cm="1">
        <f t="array" ref="S1372">_xlfn.TEXTJOIN("、",TRUE,IF('學員資料-三重商工'!$B$2:$B$472=$F1372,'學員資料-三重商工'!$G$2:$G$472,""))</f>
        <v/>
      </c>
      <c r="T1372">
        <f t="shared" si="21"/>
        <v>0</v>
      </c>
    </row>
    <row r="1373" spans="1:20" ht="14.25" hidden="1" customHeight="1">
      <c r="A1373" s="15">
        <v>1372</v>
      </c>
      <c r="B1373" s="16" t="s">
        <v>4345</v>
      </c>
      <c r="C1373" s="17">
        <v>45809</v>
      </c>
      <c r="D1373" s="15" t="s">
        <v>4346</v>
      </c>
      <c r="E1373" s="23"/>
      <c r="F1373" s="19" t="s">
        <v>4347</v>
      </c>
      <c r="G1373" s="18" t="s">
        <v>4348</v>
      </c>
      <c r="H1373" s="20" t="s">
        <v>2989</v>
      </c>
      <c r="I1373" s="15">
        <v>1</v>
      </c>
      <c r="J1373" s="15" t="s">
        <v>23</v>
      </c>
      <c r="K1373" s="21" t="s">
        <v>116</v>
      </c>
      <c r="L1373" s="21" t="s">
        <v>16</v>
      </c>
      <c r="M1373" s="22">
        <v>0</v>
      </c>
      <c r="N1373" s="22">
        <v>0</v>
      </c>
      <c r="O1373" s="22">
        <v>1200</v>
      </c>
      <c r="P1373" s="22">
        <v>1200</v>
      </c>
      <c r="Q1373" t="str" cm="1">
        <f t="array" ref="Q1373">_xlfn.TEXTJOIN("、",TRUE,IF('學員資料-三民高中'!$B$2:$B$454=$F1373,'學員資料-三民高中'!$G$2:$G$454,""))</f>
        <v/>
      </c>
      <c r="R1373" t="str" cm="1">
        <f t="array" ref="R1373">_xlfn.TEXTJOIN("、",TRUE,IF('學員資料-新北高中'!$B$2:$B$583=$F1373,'學員資料-新北高中'!$G$2:$G$583,""))</f>
        <v>0937786189</v>
      </c>
      <c r="S1373" t="str" cm="1">
        <f t="array" ref="S1373">_xlfn.TEXTJOIN("、",TRUE,IF('學員資料-三重商工'!$B$2:$B$472=$F1373,'學員資料-三重商工'!$G$2:$G$472,""))</f>
        <v/>
      </c>
      <c r="T1373">
        <f t="shared" si="21"/>
        <v>1</v>
      </c>
    </row>
    <row r="1374" spans="1:20" ht="14.25" hidden="1" customHeight="1">
      <c r="A1374" s="15">
        <v>1373</v>
      </c>
      <c r="B1374" s="16" t="s">
        <v>4349</v>
      </c>
      <c r="C1374" s="17">
        <v>45809</v>
      </c>
      <c r="D1374" s="15" t="s">
        <v>4350</v>
      </c>
      <c r="E1374" s="23"/>
      <c r="F1374" s="19" t="s">
        <v>3963</v>
      </c>
      <c r="G1374" s="18" t="s">
        <v>3964</v>
      </c>
      <c r="H1374" s="20" t="s">
        <v>52</v>
      </c>
      <c r="I1374" s="15">
        <v>1</v>
      </c>
      <c r="J1374" s="15" t="s">
        <v>24</v>
      </c>
      <c r="K1374" s="15"/>
      <c r="L1374" s="21" t="s">
        <v>16</v>
      </c>
      <c r="M1374" s="22">
        <v>0</v>
      </c>
      <c r="N1374" s="22">
        <v>-375</v>
      </c>
      <c r="O1374" s="22">
        <v>7125</v>
      </c>
      <c r="P1374" s="22">
        <v>7125</v>
      </c>
      <c r="Q1374" t="str" cm="1">
        <f t="array" ref="Q1374">_xlfn.TEXTJOIN("、",TRUE,IF('學員資料-三民高中'!$B$2:$B$454=$F1374,'學員資料-三民高中'!$G$2:$G$454,""))</f>
        <v/>
      </c>
      <c r="R1374" t="str" cm="1">
        <f t="array" ref="R1374">_xlfn.TEXTJOIN("、",TRUE,IF('學員資料-新北高中'!$B$2:$B$583=$F1374,'學員資料-新北高中'!$G$2:$G$583,""))</f>
        <v>0981398589</v>
      </c>
      <c r="S1374" t="str" cm="1">
        <f t="array" ref="S1374">_xlfn.TEXTJOIN("、",TRUE,IF('學員資料-三重商工'!$B$2:$B$472=$F1374,'學員資料-三重商工'!$G$2:$G$472,""))</f>
        <v/>
      </c>
      <c r="T1374">
        <f t="shared" si="21"/>
        <v>1</v>
      </c>
    </row>
    <row r="1375" spans="1:20" ht="14.25" hidden="1" customHeight="1">
      <c r="A1375" s="15">
        <v>1374</v>
      </c>
      <c r="B1375" s="16" t="s">
        <v>4351</v>
      </c>
      <c r="C1375" s="17">
        <v>45804</v>
      </c>
      <c r="D1375" s="15" t="s">
        <v>3196</v>
      </c>
      <c r="E1375" s="18" t="s">
        <v>83</v>
      </c>
      <c r="F1375" s="19" t="s">
        <v>3787</v>
      </c>
      <c r="G1375" s="18" t="s">
        <v>3788</v>
      </c>
      <c r="H1375" s="20" t="s">
        <v>52</v>
      </c>
      <c r="I1375" s="15">
        <v>1</v>
      </c>
      <c r="J1375" s="15" t="s">
        <v>24</v>
      </c>
      <c r="K1375" s="15"/>
      <c r="L1375" s="21" t="s">
        <v>16</v>
      </c>
      <c r="M1375" s="22">
        <v>0</v>
      </c>
      <c r="N1375" s="22">
        <v>0</v>
      </c>
      <c r="O1375" s="22">
        <v>7500</v>
      </c>
      <c r="P1375" s="22">
        <v>7500</v>
      </c>
      <c r="Q1375" t="str" cm="1">
        <f t="array" ref="Q1375">_xlfn.TEXTJOIN("、",TRUE,IF('學員資料-三民高中'!$B$2:$B$454=$F1375,'學員資料-三民高中'!$G$2:$G$454,""))</f>
        <v/>
      </c>
      <c r="R1375" t="str" cm="1">
        <f t="array" ref="R1375">_xlfn.TEXTJOIN("、",TRUE,IF('學員資料-新北高中'!$B$2:$B$583=$F1375,'學員資料-新北高中'!$G$2:$G$583,""))</f>
        <v/>
      </c>
      <c r="S1375" t="str" cm="1">
        <f t="array" ref="S1375">_xlfn.TEXTJOIN("、",TRUE,IF('學員資料-三重商工'!$B$2:$B$472=$F1375,'學員資料-三重商工'!$G$2:$G$472,""))</f>
        <v>0970658238</v>
      </c>
      <c r="T1375">
        <f t="shared" si="21"/>
        <v>1</v>
      </c>
    </row>
    <row r="1376" spans="1:20" ht="14.25" customHeight="1">
      <c r="A1376" s="15">
        <v>1375</v>
      </c>
      <c r="B1376" s="16" t="s">
        <v>4352</v>
      </c>
      <c r="C1376" s="17">
        <v>45803</v>
      </c>
      <c r="D1376" s="15" t="s">
        <v>4353</v>
      </c>
      <c r="E1376" s="23"/>
      <c r="F1376" s="19" t="s">
        <v>4092</v>
      </c>
      <c r="G1376" s="18" t="s">
        <v>4093</v>
      </c>
      <c r="H1376" s="20" t="s">
        <v>66</v>
      </c>
      <c r="I1376" s="15">
        <v>1</v>
      </c>
      <c r="J1376" s="15" t="s">
        <v>23</v>
      </c>
      <c r="K1376" s="15"/>
      <c r="L1376" s="21" t="s">
        <v>16</v>
      </c>
      <c r="M1376" s="22">
        <v>0</v>
      </c>
      <c r="N1376" s="22">
        <v>-2760</v>
      </c>
      <c r="O1376" s="22">
        <v>4140</v>
      </c>
      <c r="P1376" s="22">
        <v>4140</v>
      </c>
      <c r="Q1376" t="str" cm="1">
        <f t="array" ref="Q1376">_xlfn.TEXTJOIN("、",TRUE,IF('學員資料-三民高中'!$B$2:$B$454=$F1376,'學員資料-三民高中'!$G$2:$G$454,""))</f>
        <v/>
      </c>
      <c r="R1376" t="str" cm="1">
        <f t="array" ref="R1376">_xlfn.TEXTJOIN("、",TRUE,IF('學員資料-新北高中'!$B$2:$B$583=$F1376,'學員資料-新北高中'!$G$2:$G$583,""))</f>
        <v/>
      </c>
      <c r="S1376" t="str" cm="1">
        <f t="array" ref="S1376">_xlfn.TEXTJOIN("、",TRUE,IF('學員資料-三重商工'!$B$2:$B$472=$F1376,'學員資料-三重商工'!$G$2:$G$472,""))</f>
        <v/>
      </c>
      <c r="T1376">
        <f t="shared" si="21"/>
        <v>0</v>
      </c>
    </row>
    <row r="1377" spans="1:20" ht="14.25" hidden="1" customHeight="1">
      <c r="A1377" s="15">
        <v>1376</v>
      </c>
      <c r="B1377" s="16" t="s">
        <v>4354</v>
      </c>
      <c r="C1377" s="17">
        <v>45802</v>
      </c>
      <c r="D1377" s="15" t="s">
        <v>4355</v>
      </c>
      <c r="E1377" s="23"/>
      <c r="F1377" s="19" t="s">
        <v>3228</v>
      </c>
      <c r="G1377" s="18" t="s">
        <v>3229</v>
      </c>
      <c r="H1377" s="20" t="s">
        <v>66</v>
      </c>
      <c r="I1377" s="15">
        <v>1</v>
      </c>
      <c r="J1377" s="15" t="s">
        <v>23</v>
      </c>
      <c r="K1377" s="15"/>
      <c r="L1377" s="21" t="s">
        <v>16</v>
      </c>
      <c r="M1377" s="22">
        <v>0</v>
      </c>
      <c r="N1377" s="22">
        <v>0</v>
      </c>
      <c r="O1377" s="22">
        <v>6900</v>
      </c>
      <c r="P1377" s="22">
        <v>6900</v>
      </c>
      <c r="Q1377" t="str" cm="1">
        <f t="array" ref="Q1377">_xlfn.TEXTJOIN("、",TRUE,IF('學員資料-三民高中'!$B$2:$B$454=$F1377,'學員資料-三民高中'!$G$2:$G$454,""))</f>
        <v/>
      </c>
      <c r="R1377" t="str" cm="1">
        <f t="array" ref="R1377">_xlfn.TEXTJOIN("、",TRUE,IF('學員資料-新北高中'!$B$2:$B$583=$F1377,'學員資料-新北高中'!$G$2:$G$583,""))</f>
        <v/>
      </c>
      <c r="S1377" t="str" cm="1">
        <f t="array" ref="S1377">_xlfn.TEXTJOIN("、",TRUE,IF('學員資料-三重商工'!$B$2:$B$472=$F1377,'學員資料-三重商工'!$G$2:$G$472,""))</f>
        <v>0920218511</v>
      </c>
      <c r="T1377">
        <f t="shared" si="21"/>
        <v>1</v>
      </c>
    </row>
    <row r="1378" spans="1:20" ht="14.25" hidden="1" customHeight="1">
      <c r="A1378" s="15">
        <v>1377</v>
      </c>
      <c r="B1378" s="16" t="s">
        <v>4356</v>
      </c>
      <c r="C1378" s="17">
        <v>45802</v>
      </c>
      <c r="D1378" s="15" t="s">
        <v>4357</v>
      </c>
      <c r="E1378" s="23"/>
      <c r="F1378" s="19" t="s">
        <v>3281</v>
      </c>
      <c r="G1378" s="18" t="s">
        <v>3282</v>
      </c>
      <c r="H1378" s="20" t="s">
        <v>130</v>
      </c>
      <c r="I1378" s="15">
        <v>1</v>
      </c>
      <c r="J1378" s="15" t="s">
        <v>25</v>
      </c>
      <c r="K1378" s="15"/>
      <c r="L1378" s="21" t="s">
        <v>16</v>
      </c>
      <c r="M1378" s="22">
        <v>0</v>
      </c>
      <c r="N1378" s="22">
        <v>0</v>
      </c>
      <c r="O1378" s="22">
        <v>9900</v>
      </c>
      <c r="P1378" s="22">
        <v>9900</v>
      </c>
      <c r="Q1378" t="str" cm="1">
        <f t="array" ref="Q1378">_xlfn.TEXTJOIN("、",TRUE,IF('學員資料-三民高中'!$B$2:$B$454=$F1378,'學員資料-三民高中'!$G$2:$G$454,""))</f>
        <v/>
      </c>
      <c r="R1378" t="str" cm="1">
        <f t="array" ref="R1378">_xlfn.TEXTJOIN("、",TRUE,IF('學員資料-新北高中'!$B$2:$B$583=$F1378,'學員資料-新北高中'!$G$2:$G$583,""))</f>
        <v>0920096096</v>
      </c>
      <c r="S1378" t="str" cm="1">
        <f t="array" ref="S1378">_xlfn.TEXTJOIN("、",TRUE,IF('學員資料-三重商工'!$B$2:$B$472=$F1378,'學員資料-三重商工'!$G$2:$G$472,""))</f>
        <v/>
      </c>
      <c r="T1378">
        <f t="shared" si="21"/>
        <v>1</v>
      </c>
    </row>
    <row r="1379" spans="1:20" ht="14.25" hidden="1" customHeight="1">
      <c r="A1379" s="15">
        <v>1378</v>
      </c>
      <c r="B1379" s="16" t="s">
        <v>4358</v>
      </c>
      <c r="C1379" s="17">
        <v>45802</v>
      </c>
      <c r="D1379" s="15" t="s">
        <v>4359</v>
      </c>
      <c r="E1379" s="18" t="s">
        <v>44</v>
      </c>
      <c r="F1379" s="19" t="s">
        <v>4360</v>
      </c>
      <c r="G1379" s="18" t="s">
        <v>4361</v>
      </c>
      <c r="H1379" s="20" t="s">
        <v>112</v>
      </c>
      <c r="I1379" s="15">
        <v>1</v>
      </c>
      <c r="J1379" s="15" t="s">
        <v>23</v>
      </c>
      <c r="K1379" s="15"/>
      <c r="L1379" s="21" t="s">
        <v>16</v>
      </c>
      <c r="M1379" s="22">
        <v>0</v>
      </c>
      <c r="N1379" s="22">
        <v>0</v>
      </c>
      <c r="O1379" s="22">
        <v>8280</v>
      </c>
      <c r="P1379" s="22">
        <v>8280</v>
      </c>
      <c r="Q1379" t="str" cm="1">
        <f t="array" ref="Q1379">_xlfn.TEXTJOIN("、",TRUE,IF('學員資料-三民高中'!$B$2:$B$454=$F1379,'學員資料-三民高中'!$G$2:$G$454,""))</f>
        <v/>
      </c>
      <c r="R1379" t="str" cm="1">
        <f t="array" ref="R1379">_xlfn.TEXTJOIN("、",TRUE,IF('學員資料-新北高中'!$B$2:$B$583=$F1379,'學員資料-新北高中'!$G$2:$G$583,""))</f>
        <v/>
      </c>
      <c r="S1379" t="str" cm="1">
        <f t="array" ref="S1379">_xlfn.TEXTJOIN("、",TRUE,IF('學員資料-三重商工'!$B$2:$B$472=$F1379,'學員資料-三重商工'!$G$2:$G$472,""))</f>
        <v>0903170826</v>
      </c>
      <c r="T1379">
        <f t="shared" si="21"/>
        <v>1</v>
      </c>
    </row>
    <row r="1380" spans="1:20" ht="14.25" hidden="1" customHeight="1">
      <c r="A1380" s="15">
        <v>1379</v>
      </c>
      <c r="B1380" s="16" t="s">
        <v>4362</v>
      </c>
      <c r="C1380" s="17">
        <v>45802</v>
      </c>
      <c r="D1380" s="15" t="s">
        <v>4363</v>
      </c>
      <c r="E1380" s="23"/>
      <c r="F1380" s="19" t="s">
        <v>681</v>
      </c>
      <c r="G1380" s="18" t="s">
        <v>682</v>
      </c>
      <c r="H1380" s="20" t="s">
        <v>683</v>
      </c>
      <c r="I1380" s="15">
        <v>1</v>
      </c>
      <c r="J1380" s="15" t="s">
        <v>23</v>
      </c>
      <c r="K1380" s="15"/>
      <c r="L1380" s="21" t="s">
        <v>16</v>
      </c>
      <c r="M1380" s="22">
        <v>0</v>
      </c>
      <c r="N1380" s="22">
        <v>-3600</v>
      </c>
      <c r="O1380" s="22">
        <v>5400</v>
      </c>
      <c r="P1380" s="22">
        <v>5400</v>
      </c>
      <c r="Q1380" t="str" cm="1">
        <f t="array" ref="Q1380">_xlfn.TEXTJOIN("、",TRUE,IF('學員資料-三民高中'!$B$2:$B$454=$F1380,'學員資料-三民高中'!$G$2:$G$454,""))</f>
        <v/>
      </c>
      <c r="R1380" t="str" cm="1">
        <f t="array" ref="R1380">_xlfn.TEXTJOIN("、",TRUE,IF('學員資料-新北高中'!$B$2:$B$583=$F1380,'學員資料-新北高中'!$G$2:$G$583,""))</f>
        <v>0956888791</v>
      </c>
      <c r="S1380" t="str" cm="1">
        <f t="array" ref="S1380">_xlfn.TEXTJOIN("、",TRUE,IF('學員資料-三重商工'!$B$2:$B$472=$F1380,'學員資料-三重商工'!$G$2:$G$472,""))</f>
        <v/>
      </c>
      <c r="T1380">
        <f t="shared" si="21"/>
        <v>1</v>
      </c>
    </row>
    <row r="1381" spans="1:20" ht="14.25" hidden="1" customHeight="1">
      <c r="A1381" s="15">
        <v>1380</v>
      </c>
      <c r="B1381" s="16" t="s">
        <v>4364</v>
      </c>
      <c r="C1381" s="17">
        <v>45802</v>
      </c>
      <c r="D1381" s="15" t="s">
        <v>4365</v>
      </c>
      <c r="E1381" s="23"/>
      <c r="F1381" s="19" t="s">
        <v>4366</v>
      </c>
      <c r="G1381" s="18" t="s">
        <v>4367</v>
      </c>
      <c r="H1381" s="20" t="s">
        <v>2989</v>
      </c>
      <c r="I1381" s="15">
        <v>1</v>
      </c>
      <c r="J1381" s="15" t="s">
        <v>23</v>
      </c>
      <c r="K1381" s="21" t="s">
        <v>116</v>
      </c>
      <c r="L1381" s="21" t="s">
        <v>16</v>
      </c>
      <c r="M1381" s="22">
        <v>0</v>
      </c>
      <c r="N1381" s="22">
        <v>0</v>
      </c>
      <c r="O1381" s="22">
        <v>1200</v>
      </c>
      <c r="P1381" s="22">
        <v>1200</v>
      </c>
      <c r="Q1381" t="str" cm="1">
        <f t="array" ref="Q1381">_xlfn.TEXTJOIN("、",TRUE,IF('學員資料-三民高中'!$B$2:$B$454=$F1381,'學員資料-三民高中'!$G$2:$G$454,""))</f>
        <v/>
      </c>
      <c r="R1381" t="str" cm="1">
        <f t="array" ref="R1381">_xlfn.TEXTJOIN("、",TRUE,IF('學員資料-新北高中'!$B$2:$B$583=$F1381,'學員資料-新北高中'!$G$2:$G$583,""))</f>
        <v>0926061999</v>
      </c>
      <c r="S1381" t="str" cm="1">
        <f t="array" ref="S1381">_xlfn.TEXTJOIN("、",TRUE,IF('學員資料-三重商工'!$B$2:$B$472=$F1381,'學員資料-三重商工'!$G$2:$G$472,""))</f>
        <v/>
      </c>
      <c r="T1381">
        <f t="shared" si="21"/>
        <v>1</v>
      </c>
    </row>
    <row r="1382" spans="1:20" ht="14.25" hidden="1" customHeight="1">
      <c r="A1382" s="15">
        <v>1381</v>
      </c>
      <c r="B1382" s="16" t="s">
        <v>4368</v>
      </c>
      <c r="C1382" s="17">
        <v>45801</v>
      </c>
      <c r="D1382" s="15" t="s">
        <v>4369</v>
      </c>
      <c r="E1382" s="18" t="s">
        <v>3477</v>
      </c>
      <c r="F1382" s="19" t="s">
        <v>2626</v>
      </c>
      <c r="G1382" s="18" t="s">
        <v>2627</v>
      </c>
      <c r="H1382" s="20" t="s">
        <v>210</v>
      </c>
      <c r="I1382" s="15">
        <v>1</v>
      </c>
      <c r="J1382" s="15" t="s">
        <v>26</v>
      </c>
      <c r="K1382" s="15"/>
      <c r="L1382" s="21" t="s">
        <v>16</v>
      </c>
      <c r="M1382" s="22">
        <v>0</v>
      </c>
      <c r="N1382" s="22">
        <v>0</v>
      </c>
      <c r="O1382" s="22">
        <v>12000</v>
      </c>
      <c r="P1382" s="22">
        <v>12000</v>
      </c>
      <c r="Q1382" t="str" cm="1">
        <f t="array" ref="Q1382">_xlfn.TEXTJOIN("、",TRUE,IF('學員資料-三民高中'!$B$2:$B$454=$F1382,'學員資料-三民高中'!$G$2:$G$454,""))</f>
        <v>0916858752</v>
      </c>
      <c r="R1382" t="str" cm="1">
        <f t="array" ref="R1382">_xlfn.TEXTJOIN("、",TRUE,IF('學員資料-新北高中'!$B$2:$B$583=$F1382,'學員資料-新北高中'!$G$2:$G$583,""))</f>
        <v/>
      </c>
      <c r="S1382" t="str" cm="1">
        <f t="array" ref="S1382">_xlfn.TEXTJOIN("、",TRUE,IF('學員資料-三重商工'!$B$2:$B$472=$F1382,'學員資料-三重商工'!$G$2:$G$472,""))</f>
        <v/>
      </c>
      <c r="T1382">
        <f t="shared" si="21"/>
        <v>1</v>
      </c>
    </row>
    <row r="1383" spans="1:20" ht="14.25" hidden="1" customHeight="1">
      <c r="A1383" s="15">
        <v>1382</v>
      </c>
      <c r="B1383" s="16" t="s">
        <v>4370</v>
      </c>
      <c r="C1383" s="17">
        <v>45801</v>
      </c>
      <c r="D1383" s="15" t="s">
        <v>4371</v>
      </c>
      <c r="E1383" s="18" t="s">
        <v>44</v>
      </c>
      <c r="F1383" s="19" t="s">
        <v>4372</v>
      </c>
      <c r="G1383" s="18" t="s">
        <v>4373</v>
      </c>
      <c r="H1383" s="20" t="s">
        <v>52</v>
      </c>
      <c r="I1383" s="15">
        <v>1</v>
      </c>
      <c r="J1383" s="15" t="s">
        <v>24</v>
      </c>
      <c r="K1383" s="15"/>
      <c r="L1383" s="21" t="s">
        <v>16</v>
      </c>
      <c r="M1383" s="22">
        <v>0</v>
      </c>
      <c r="N1383" s="22">
        <v>0</v>
      </c>
      <c r="O1383" s="22">
        <v>7500</v>
      </c>
      <c r="P1383" s="22">
        <v>7500</v>
      </c>
      <c r="Q1383" t="str" cm="1">
        <f t="array" ref="Q1383">_xlfn.TEXTJOIN("、",TRUE,IF('學員資料-三民高中'!$B$2:$B$454=$F1383,'學員資料-三民高中'!$G$2:$G$454,""))</f>
        <v/>
      </c>
      <c r="R1383" t="str" cm="1">
        <f t="array" ref="R1383">_xlfn.TEXTJOIN("、",TRUE,IF('學員資料-新北高中'!$B$2:$B$583=$F1383,'學員資料-新北高中'!$G$2:$G$583,""))</f>
        <v/>
      </c>
      <c r="S1383" t="str" cm="1">
        <f t="array" ref="S1383">_xlfn.TEXTJOIN("、",TRUE,IF('學員資料-三重商工'!$B$2:$B$472=$F1383,'學員資料-三重商工'!$G$2:$G$472,""))</f>
        <v>0988233775</v>
      </c>
      <c r="T1383">
        <f t="shared" si="21"/>
        <v>1</v>
      </c>
    </row>
    <row r="1384" spans="1:20" ht="28.5" hidden="1" customHeight="1">
      <c r="A1384" s="15">
        <v>1383</v>
      </c>
      <c r="B1384" s="16" t="s">
        <v>4374</v>
      </c>
      <c r="C1384" s="17">
        <v>45800</v>
      </c>
      <c r="D1384" s="15" t="s">
        <v>2490</v>
      </c>
      <c r="E1384" s="18" t="s">
        <v>83</v>
      </c>
      <c r="F1384" s="19" t="s">
        <v>2720</v>
      </c>
      <c r="G1384" s="18" t="s">
        <v>2721</v>
      </c>
      <c r="H1384" s="20" t="s">
        <v>244</v>
      </c>
      <c r="I1384" s="15">
        <v>2</v>
      </c>
      <c r="J1384" s="15" t="s">
        <v>23</v>
      </c>
      <c r="K1384" s="15"/>
      <c r="L1384" s="21" t="s">
        <v>16</v>
      </c>
      <c r="M1384" s="22">
        <v>0</v>
      </c>
      <c r="N1384" s="22">
        <v>0</v>
      </c>
      <c r="O1384" s="22">
        <v>16560</v>
      </c>
      <c r="P1384" s="22">
        <v>16560</v>
      </c>
      <c r="Q1384" t="str" cm="1">
        <f t="array" ref="Q1384">_xlfn.TEXTJOIN("、",TRUE,IF('學員資料-三民高中'!$B$2:$B$454=$F1384,'學員資料-三民高中'!$G$2:$G$454,""))</f>
        <v/>
      </c>
      <c r="R1384" t="str" cm="1">
        <f t="array" ref="R1384">_xlfn.TEXTJOIN("、",TRUE,IF('學員資料-新北高中'!$B$2:$B$583=$F1384,'學員資料-新北高中'!$G$2:$G$583,""))</f>
        <v/>
      </c>
      <c r="S1384" t="str" cm="1">
        <f t="array" ref="S1384">_xlfn.TEXTJOIN("、",TRUE,IF('學員資料-三重商工'!$B$2:$B$472=$F1384,'學員資料-三重商工'!$G$2:$G$472,""))</f>
        <v>0955810184</v>
      </c>
      <c r="T1384">
        <f t="shared" si="21"/>
        <v>1</v>
      </c>
    </row>
    <row r="1385" spans="1:20" ht="14.25" hidden="1" customHeight="1">
      <c r="A1385" s="15">
        <v>1384</v>
      </c>
      <c r="B1385" s="16" t="s">
        <v>4375</v>
      </c>
      <c r="C1385" s="17">
        <v>45800</v>
      </c>
      <c r="D1385" s="15" t="s">
        <v>4376</v>
      </c>
      <c r="E1385" s="18" t="s">
        <v>3477</v>
      </c>
      <c r="F1385" s="19" t="s">
        <v>3856</v>
      </c>
      <c r="G1385" s="18" t="s">
        <v>3857</v>
      </c>
      <c r="H1385" s="20" t="s">
        <v>3766</v>
      </c>
      <c r="I1385" s="15">
        <v>1</v>
      </c>
      <c r="J1385" s="15" t="s">
        <v>24</v>
      </c>
      <c r="K1385" s="21" t="s">
        <v>116</v>
      </c>
      <c r="L1385" s="21" t="s">
        <v>16</v>
      </c>
      <c r="M1385" s="22">
        <v>0</v>
      </c>
      <c r="N1385" s="22">
        <v>0</v>
      </c>
      <c r="O1385" s="22">
        <v>1300</v>
      </c>
      <c r="P1385" s="22">
        <v>1300</v>
      </c>
      <c r="Q1385" t="str" cm="1">
        <f t="array" ref="Q1385">_xlfn.TEXTJOIN("、",TRUE,IF('學員資料-三民高中'!$B$2:$B$454=$F1385,'學員資料-三民高中'!$G$2:$G$454,""))</f>
        <v/>
      </c>
      <c r="R1385" t="str" cm="1">
        <f t="array" ref="R1385">_xlfn.TEXTJOIN("、",TRUE,IF('學員資料-新北高中'!$B$2:$B$583=$F1385,'學員資料-新北高中'!$G$2:$G$583,""))</f>
        <v>0927673831</v>
      </c>
      <c r="S1385" t="str" cm="1">
        <f t="array" ref="S1385">_xlfn.TEXTJOIN("、",TRUE,IF('學員資料-三重商工'!$B$2:$B$472=$F1385,'學員資料-三重商工'!$G$2:$G$472,""))</f>
        <v/>
      </c>
      <c r="T1385">
        <f t="shared" si="21"/>
        <v>1</v>
      </c>
    </row>
    <row r="1386" spans="1:20" ht="14.25" hidden="1" customHeight="1">
      <c r="A1386" s="15">
        <v>1385</v>
      </c>
      <c r="B1386" s="16" t="s">
        <v>4377</v>
      </c>
      <c r="C1386" s="17">
        <v>45799</v>
      </c>
      <c r="D1386" s="15" t="s">
        <v>4378</v>
      </c>
      <c r="E1386" s="18" t="s">
        <v>402</v>
      </c>
      <c r="F1386" s="19" t="s">
        <v>4379</v>
      </c>
      <c r="G1386" s="18" t="s">
        <v>4380</v>
      </c>
      <c r="H1386" s="20" t="s">
        <v>52</v>
      </c>
      <c r="I1386" s="15">
        <v>1</v>
      </c>
      <c r="J1386" s="15" t="s">
        <v>24</v>
      </c>
      <c r="K1386" s="15"/>
      <c r="L1386" s="21" t="s">
        <v>16</v>
      </c>
      <c r="M1386" s="22">
        <v>0</v>
      </c>
      <c r="N1386" s="22">
        <v>0</v>
      </c>
      <c r="O1386" s="22">
        <v>7500</v>
      </c>
      <c r="P1386" s="22">
        <v>7500</v>
      </c>
      <c r="Q1386" t="str" cm="1">
        <f t="array" ref="Q1386">_xlfn.TEXTJOIN("、",TRUE,IF('學員資料-三民高中'!$B$2:$B$454=$F1386,'學員資料-三民高中'!$G$2:$G$454,""))</f>
        <v/>
      </c>
      <c r="R1386" t="str" cm="1">
        <f t="array" ref="R1386">_xlfn.TEXTJOIN("、",TRUE,IF('學員資料-新北高中'!$B$2:$B$583=$F1386,'學員資料-新北高中'!$G$2:$G$583,""))</f>
        <v>0933777240</v>
      </c>
      <c r="S1386" t="str" cm="1">
        <f t="array" ref="S1386">_xlfn.TEXTJOIN("、",TRUE,IF('學員資料-三重商工'!$B$2:$B$472=$F1386,'學員資料-三重商工'!$G$2:$G$472,""))</f>
        <v/>
      </c>
      <c r="T1386">
        <f t="shared" si="21"/>
        <v>1</v>
      </c>
    </row>
    <row r="1387" spans="1:20" ht="43.5" hidden="1" customHeight="1">
      <c r="A1387" s="15">
        <v>1386</v>
      </c>
      <c r="B1387" s="16" t="s">
        <v>4381</v>
      </c>
      <c r="C1387" s="17">
        <v>45798</v>
      </c>
      <c r="D1387" s="15" t="s">
        <v>4382</v>
      </c>
      <c r="E1387" s="18" t="s">
        <v>83</v>
      </c>
      <c r="F1387" s="19" t="s">
        <v>3305</v>
      </c>
      <c r="G1387" s="18" t="s">
        <v>3306</v>
      </c>
      <c r="H1387" s="20" t="s">
        <v>405</v>
      </c>
      <c r="I1387" s="15">
        <v>3</v>
      </c>
      <c r="J1387" s="15" t="s">
        <v>25</v>
      </c>
      <c r="K1387" s="15"/>
      <c r="L1387" s="21" t="s">
        <v>16</v>
      </c>
      <c r="M1387" s="22">
        <v>0</v>
      </c>
      <c r="N1387" s="22">
        <v>0</v>
      </c>
      <c r="O1387" s="22">
        <v>29700</v>
      </c>
      <c r="P1387" s="22">
        <v>29700</v>
      </c>
      <c r="Q1387" t="str" cm="1">
        <f t="array" ref="Q1387">_xlfn.TEXTJOIN("、",TRUE,IF('學員資料-三民高中'!$B$2:$B$454=$F1387,'學員資料-三民高中'!$G$2:$G$454,""))</f>
        <v/>
      </c>
      <c r="R1387" t="str" cm="1">
        <f t="array" ref="R1387">_xlfn.TEXTJOIN("、",TRUE,IF('學員資料-新北高中'!$B$2:$B$583=$F1387,'學員資料-新北高中'!$G$2:$G$583,""))</f>
        <v/>
      </c>
      <c r="S1387" t="str" cm="1">
        <f t="array" ref="S1387">_xlfn.TEXTJOIN("、",TRUE,IF('學員資料-三重商工'!$B$2:$B$472=$F1387,'學員資料-三重商工'!$G$2:$G$472,""))</f>
        <v>0987122163</v>
      </c>
      <c r="T1387">
        <f t="shared" si="21"/>
        <v>1</v>
      </c>
    </row>
    <row r="1388" spans="1:20" ht="28.5" hidden="1" customHeight="1">
      <c r="A1388" s="15">
        <v>1387</v>
      </c>
      <c r="B1388" s="16" t="s">
        <v>4383</v>
      </c>
      <c r="C1388" s="17">
        <v>45798</v>
      </c>
      <c r="D1388" s="15" t="s">
        <v>4384</v>
      </c>
      <c r="E1388" s="18" t="s">
        <v>402</v>
      </c>
      <c r="F1388" s="19" t="s">
        <v>4385</v>
      </c>
      <c r="G1388" s="18" t="s">
        <v>4386</v>
      </c>
      <c r="H1388" s="20" t="s">
        <v>1985</v>
      </c>
      <c r="I1388" s="15">
        <v>2</v>
      </c>
      <c r="J1388" s="15" t="s">
        <v>23</v>
      </c>
      <c r="K1388" s="15"/>
      <c r="L1388" s="21" t="s">
        <v>16</v>
      </c>
      <c r="M1388" s="22">
        <v>0</v>
      </c>
      <c r="N1388" s="22">
        <v>0</v>
      </c>
      <c r="O1388" s="22">
        <v>36000</v>
      </c>
      <c r="P1388" s="22">
        <v>36000</v>
      </c>
      <c r="Q1388" t="str" cm="1">
        <f t="array" ref="Q1388">_xlfn.TEXTJOIN("、",TRUE,IF('學員資料-三民高中'!$B$2:$B$454=$F1388,'學員資料-三民高中'!$G$2:$G$454,""))</f>
        <v/>
      </c>
      <c r="R1388" t="str" cm="1">
        <f t="array" ref="R1388">_xlfn.TEXTJOIN("、",TRUE,IF('學員資料-新北高中'!$B$2:$B$583=$F1388,'學員資料-新北高中'!$G$2:$G$583,""))</f>
        <v>0912896786</v>
      </c>
      <c r="S1388" t="str" cm="1">
        <f t="array" ref="S1388">_xlfn.TEXTJOIN("、",TRUE,IF('學員資料-三重商工'!$B$2:$B$472=$F1388,'學員資料-三重商工'!$G$2:$G$472,""))</f>
        <v/>
      </c>
      <c r="T1388">
        <f t="shared" si="21"/>
        <v>1</v>
      </c>
    </row>
    <row r="1389" spans="1:20" ht="14.25" hidden="1" customHeight="1">
      <c r="A1389" s="15">
        <v>1388</v>
      </c>
      <c r="B1389" s="16" t="s">
        <v>4387</v>
      </c>
      <c r="C1389" s="17">
        <v>45798</v>
      </c>
      <c r="D1389" s="15" t="s">
        <v>4388</v>
      </c>
      <c r="E1389" s="18" t="s">
        <v>402</v>
      </c>
      <c r="F1389" s="19" t="s">
        <v>694</v>
      </c>
      <c r="G1389" s="18" t="s">
        <v>695</v>
      </c>
      <c r="H1389" s="20" t="s">
        <v>683</v>
      </c>
      <c r="I1389" s="15">
        <v>1</v>
      </c>
      <c r="J1389" s="15" t="s">
        <v>23</v>
      </c>
      <c r="K1389" s="15"/>
      <c r="L1389" s="21" t="s">
        <v>16</v>
      </c>
      <c r="M1389" s="22">
        <v>0</v>
      </c>
      <c r="N1389" s="22">
        <v>0</v>
      </c>
      <c r="O1389" s="22">
        <v>9000</v>
      </c>
      <c r="P1389" s="22">
        <v>9000</v>
      </c>
      <c r="Q1389" t="str" cm="1">
        <f t="array" ref="Q1389">_xlfn.TEXTJOIN("、",TRUE,IF('學員資料-三民高中'!$B$2:$B$454=$F1389,'學員資料-三民高中'!$G$2:$G$454,""))</f>
        <v/>
      </c>
      <c r="R1389" t="str" cm="1">
        <f t="array" ref="R1389">_xlfn.TEXTJOIN("、",TRUE,IF('學員資料-新北高中'!$B$2:$B$583=$F1389,'學員資料-新北高中'!$G$2:$G$583,""))</f>
        <v>0913521852</v>
      </c>
      <c r="S1389" t="str" cm="1">
        <f t="array" ref="S1389">_xlfn.TEXTJOIN("、",TRUE,IF('學員資料-三重商工'!$B$2:$B$472=$F1389,'學員資料-三重商工'!$G$2:$G$472,""))</f>
        <v/>
      </c>
      <c r="T1389">
        <f t="shared" si="21"/>
        <v>1</v>
      </c>
    </row>
    <row r="1390" spans="1:20" ht="43.5" hidden="1" customHeight="1">
      <c r="A1390" s="15">
        <v>1389</v>
      </c>
      <c r="B1390" s="16" t="s">
        <v>4389</v>
      </c>
      <c r="C1390" s="17">
        <v>45798</v>
      </c>
      <c r="D1390" s="15" t="s">
        <v>4390</v>
      </c>
      <c r="E1390" s="18" t="s">
        <v>402</v>
      </c>
      <c r="F1390" s="19" t="s">
        <v>694</v>
      </c>
      <c r="G1390" s="18" t="s">
        <v>695</v>
      </c>
      <c r="H1390" s="20" t="s">
        <v>4391</v>
      </c>
      <c r="I1390" s="15">
        <v>3</v>
      </c>
      <c r="J1390" s="15" t="s">
        <v>23</v>
      </c>
      <c r="K1390" s="15"/>
      <c r="L1390" s="21" t="s">
        <v>16</v>
      </c>
      <c r="M1390" s="22">
        <v>0</v>
      </c>
      <c r="N1390" s="22">
        <v>0</v>
      </c>
      <c r="O1390" s="22">
        <v>27000</v>
      </c>
      <c r="P1390" s="22">
        <v>27000</v>
      </c>
      <c r="Q1390" t="str" cm="1">
        <f t="array" ref="Q1390">_xlfn.TEXTJOIN("、",TRUE,IF('學員資料-三民高中'!$B$2:$B$454=$F1390,'學員資料-三民高中'!$G$2:$G$454,""))</f>
        <v/>
      </c>
      <c r="R1390" t="str" cm="1">
        <f t="array" ref="R1390">_xlfn.TEXTJOIN("、",TRUE,IF('學員資料-新北高中'!$B$2:$B$583=$F1390,'學員資料-新北高中'!$G$2:$G$583,""))</f>
        <v>0913521852</v>
      </c>
      <c r="S1390" t="str" cm="1">
        <f t="array" ref="S1390">_xlfn.TEXTJOIN("、",TRUE,IF('學員資料-三重商工'!$B$2:$B$472=$F1390,'學員資料-三重商工'!$G$2:$G$472,""))</f>
        <v/>
      </c>
      <c r="T1390">
        <f t="shared" si="21"/>
        <v>1</v>
      </c>
    </row>
    <row r="1391" spans="1:20" ht="57.75" customHeight="1">
      <c r="A1391" s="15">
        <v>1390</v>
      </c>
      <c r="B1391" s="16" t="s">
        <v>4392</v>
      </c>
      <c r="C1391" s="17">
        <v>45796</v>
      </c>
      <c r="D1391" s="15" t="s">
        <v>4393</v>
      </c>
      <c r="E1391" s="18" t="s">
        <v>954</v>
      </c>
      <c r="F1391" s="19"/>
      <c r="G1391" s="18" t="s">
        <v>4394</v>
      </c>
      <c r="H1391" s="20" t="s">
        <v>4395</v>
      </c>
      <c r="I1391" s="15">
        <v>4</v>
      </c>
      <c r="J1391" s="15" t="s">
        <v>23</v>
      </c>
      <c r="K1391" s="21" t="s">
        <v>116</v>
      </c>
      <c r="L1391" s="21" t="s">
        <v>16</v>
      </c>
      <c r="M1391" s="22">
        <v>0</v>
      </c>
      <c r="N1391" s="22">
        <v>0</v>
      </c>
      <c r="O1391" s="22">
        <v>4800</v>
      </c>
      <c r="P1391" s="22">
        <v>4800</v>
      </c>
      <c r="Q1391" t="str" cm="1">
        <f t="array" ref="Q1391">_xlfn.TEXTJOIN("、",TRUE,IF('學員資料-三民高中'!$B$2:$B$454=$F1391,'學員資料-三民高中'!$G$2:$G$454,""))</f>
        <v/>
      </c>
      <c r="R1391" t="str" cm="1">
        <f t="array" ref="R1391">_xlfn.TEXTJOIN("、",TRUE,IF('學員資料-新北高中'!$B$2:$B$583=$F1391,'學員資料-新北高中'!$G$2:$G$583,""))</f>
        <v/>
      </c>
      <c r="S1391" t="str" cm="1">
        <f t="array" ref="S1391">_xlfn.TEXTJOIN("、",TRUE,IF('學員資料-三重商工'!$B$2:$B$472=$F1391,'學員資料-三重商工'!$G$2:$G$472,""))</f>
        <v/>
      </c>
      <c r="T1391">
        <f t="shared" si="21"/>
        <v>0</v>
      </c>
    </row>
    <row r="1392" spans="1:20" ht="14.25" hidden="1" customHeight="1">
      <c r="A1392" s="15">
        <v>1391</v>
      </c>
      <c r="B1392" s="16" t="s">
        <v>4396</v>
      </c>
      <c r="C1392" s="17">
        <v>45795</v>
      </c>
      <c r="D1392" s="15" t="s">
        <v>4397</v>
      </c>
      <c r="E1392" s="18" t="s">
        <v>954</v>
      </c>
      <c r="F1392" s="19" t="s">
        <v>403</v>
      </c>
      <c r="G1392" s="18" t="s">
        <v>404</v>
      </c>
      <c r="H1392" s="20" t="s">
        <v>130</v>
      </c>
      <c r="I1392" s="15">
        <v>1</v>
      </c>
      <c r="J1392" s="15" t="s">
        <v>25</v>
      </c>
      <c r="K1392" s="15"/>
      <c r="L1392" s="21" t="s">
        <v>16</v>
      </c>
      <c r="M1392" s="22">
        <v>0</v>
      </c>
      <c r="N1392" s="22">
        <v>0</v>
      </c>
      <c r="O1392" s="22">
        <v>9900</v>
      </c>
      <c r="P1392" s="22">
        <v>9900</v>
      </c>
      <c r="Q1392" t="str" cm="1">
        <f t="array" ref="Q1392">_xlfn.TEXTJOIN("、",TRUE,IF('學員資料-三民高中'!$B$2:$B$454=$F1392,'學員資料-三民高中'!$G$2:$G$454,""))</f>
        <v/>
      </c>
      <c r="R1392" t="str" cm="1">
        <f t="array" ref="R1392">_xlfn.TEXTJOIN("、",TRUE,IF('學員資料-新北高中'!$B$2:$B$583=$F1392,'學員資料-新北高中'!$G$2:$G$583,""))</f>
        <v>0921991299</v>
      </c>
      <c r="S1392" t="str" cm="1">
        <f t="array" ref="S1392">_xlfn.TEXTJOIN("、",TRUE,IF('學員資料-三重商工'!$B$2:$B$472=$F1392,'學員資料-三重商工'!$G$2:$G$472,""))</f>
        <v/>
      </c>
      <c r="T1392">
        <f t="shared" si="21"/>
        <v>1</v>
      </c>
    </row>
    <row r="1393" spans="1:20" ht="14.25" hidden="1" customHeight="1">
      <c r="A1393" s="15">
        <v>1392</v>
      </c>
      <c r="B1393" s="16" t="s">
        <v>4398</v>
      </c>
      <c r="C1393" s="17">
        <v>45795</v>
      </c>
      <c r="D1393" s="15" t="s">
        <v>4399</v>
      </c>
      <c r="E1393" s="18" t="s">
        <v>954</v>
      </c>
      <c r="F1393" s="19" t="s">
        <v>852</v>
      </c>
      <c r="G1393" s="18" t="s">
        <v>853</v>
      </c>
      <c r="H1393" s="20" t="s">
        <v>130</v>
      </c>
      <c r="I1393" s="15">
        <v>1</v>
      </c>
      <c r="J1393" s="15" t="s">
        <v>25</v>
      </c>
      <c r="K1393" s="15"/>
      <c r="L1393" s="21" t="s">
        <v>16</v>
      </c>
      <c r="M1393" s="22">
        <v>0</v>
      </c>
      <c r="N1393" s="22">
        <v>0</v>
      </c>
      <c r="O1393" s="22">
        <v>9900</v>
      </c>
      <c r="P1393" s="22">
        <v>9900</v>
      </c>
      <c r="Q1393" t="str" cm="1">
        <f t="array" ref="Q1393">_xlfn.TEXTJOIN("、",TRUE,IF('學員資料-三民高中'!$B$2:$B$454=$F1393,'學員資料-三民高中'!$G$2:$G$454,""))</f>
        <v/>
      </c>
      <c r="R1393" t="str" cm="1">
        <f t="array" ref="R1393">_xlfn.TEXTJOIN("、",TRUE,IF('學員資料-新北高中'!$B$2:$B$583=$F1393,'學員資料-新北高中'!$G$2:$G$583,""))</f>
        <v>0928516113</v>
      </c>
      <c r="S1393" t="str" cm="1">
        <f t="array" ref="S1393">_xlfn.TEXTJOIN("、",TRUE,IF('學員資料-三重商工'!$B$2:$B$472=$F1393,'學員資料-三重商工'!$G$2:$G$472,""))</f>
        <v/>
      </c>
      <c r="T1393">
        <f t="shared" si="21"/>
        <v>1</v>
      </c>
    </row>
    <row r="1394" spans="1:20" ht="14.25" hidden="1" customHeight="1">
      <c r="A1394" s="15">
        <v>1393</v>
      </c>
      <c r="B1394" s="16" t="s">
        <v>4400</v>
      </c>
      <c r="C1394" s="17">
        <v>45795</v>
      </c>
      <c r="D1394" s="15" t="s">
        <v>4401</v>
      </c>
      <c r="E1394" s="18" t="s">
        <v>954</v>
      </c>
      <c r="F1394" s="19" t="s">
        <v>3963</v>
      </c>
      <c r="G1394" s="18" t="s">
        <v>3964</v>
      </c>
      <c r="H1394" s="20" t="s">
        <v>3766</v>
      </c>
      <c r="I1394" s="15">
        <v>1</v>
      </c>
      <c r="J1394" s="15" t="s">
        <v>24</v>
      </c>
      <c r="K1394" s="21" t="s">
        <v>116</v>
      </c>
      <c r="L1394" s="21" t="s">
        <v>16</v>
      </c>
      <c r="M1394" s="22">
        <v>0</v>
      </c>
      <c r="N1394" s="22">
        <v>0</v>
      </c>
      <c r="O1394" s="22">
        <v>1300</v>
      </c>
      <c r="P1394" s="22">
        <v>1300</v>
      </c>
      <c r="Q1394" t="str" cm="1">
        <f t="array" ref="Q1394">_xlfn.TEXTJOIN("、",TRUE,IF('學員資料-三民高中'!$B$2:$B$454=$F1394,'學員資料-三民高中'!$G$2:$G$454,""))</f>
        <v/>
      </c>
      <c r="R1394" t="str" cm="1">
        <f t="array" ref="R1394">_xlfn.TEXTJOIN("、",TRUE,IF('學員資料-新北高中'!$B$2:$B$583=$F1394,'學員資料-新北高中'!$G$2:$G$583,""))</f>
        <v>0981398589</v>
      </c>
      <c r="S1394" t="str" cm="1">
        <f t="array" ref="S1394">_xlfn.TEXTJOIN("、",TRUE,IF('學員資料-三重商工'!$B$2:$B$472=$F1394,'學員資料-三重商工'!$G$2:$G$472,""))</f>
        <v/>
      </c>
      <c r="T1394">
        <f t="shared" si="21"/>
        <v>1</v>
      </c>
    </row>
    <row r="1395" spans="1:20" ht="14.25" hidden="1" customHeight="1">
      <c r="A1395" s="15">
        <v>1394</v>
      </c>
      <c r="B1395" s="16" t="s">
        <v>4402</v>
      </c>
      <c r="C1395" s="17">
        <v>45795</v>
      </c>
      <c r="D1395" s="15" t="s">
        <v>4403</v>
      </c>
      <c r="E1395" s="18" t="s">
        <v>954</v>
      </c>
      <c r="F1395" s="19" t="s">
        <v>1832</v>
      </c>
      <c r="G1395" s="18" t="s">
        <v>1833</v>
      </c>
      <c r="H1395" s="20" t="s">
        <v>52</v>
      </c>
      <c r="I1395" s="15">
        <v>1</v>
      </c>
      <c r="J1395" s="15" t="s">
        <v>24</v>
      </c>
      <c r="K1395" s="15"/>
      <c r="L1395" s="21" t="s">
        <v>16</v>
      </c>
      <c r="M1395" s="22">
        <v>0</v>
      </c>
      <c r="N1395" s="22">
        <v>0</v>
      </c>
      <c r="O1395" s="22">
        <v>7500</v>
      </c>
      <c r="P1395" s="22">
        <v>7500</v>
      </c>
      <c r="Q1395" t="str" cm="1">
        <f t="array" ref="Q1395">_xlfn.TEXTJOIN("、",TRUE,IF('學員資料-三民高中'!$B$2:$B$454=$F1395,'學員資料-三民高中'!$G$2:$G$454,""))</f>
        <v/>
      </c>
      <c r="R1395" t="str" cm="1">
        <f t="array" ref="R1395">_xlfn.TEXTJOIN("、",TRUE,IF('學員資料-新北高中'!$B$2:$B$583=$F1395,'學員資料-新北高中'!$G$2:$G$583,""))</f>
        <v/>
      </c>
      <c r="S1395" t="str" cm="1">
        <f t="array" ref="S1395">_xlfn.TEXTJOIN("、",TRUE,IF('學員資料-三重商工'!$B$2:$B$472=$F1395,'學員資料-三重商工'!$G$2:$G$472,""))</f>
        <v>0930980802</v>
      </c>
      <c r="T1395">
        <f t="shared" si="21"/>
        <v>1</v>
      </c>
    </row>
    <row r="1396" spans="1:20" ht="14.25" hidden="1" customHeight="1">
      <c r="A1396" s="15">
        <v>1395</v>
      </c>
      <c r="B1396" s="16" t="s">
        <v>4404</v>
      </c>
      <c r="C1396" s="17">
        <v>45795</v>
      </c>
      <c r="D1396" s="15" t="s">
        <v>4405</v>
      </c>
      <c r="E1396" s="18" t="s">
        <v>954</v>
      </c>
      <c r="F1396" s="19" t="s">
        <v>4245</v>
      </c>
      <c r="G1396" s="18" t="s">
        <v>4246</v>
      </c>
      <c r="H1396" s="20" t="s">
        <v>2989</v>
      </c>
      <c r="I1396" s="15">
        <v>1</v>
      </c>
      <c r="J1396" s="15" t="s">
        <v>23</v>
      </c>
      <c r="K1396" s="21" t="s">
        <v>116</v>
      </c>
      <c r="L1396" s="21" t="s">
        <v>16</v>
      </c>
      <c r="M1396" s="22">
        <v>0</v>
      </c>
      <c r="N1396" s="22">
        <v>0</v>
      </c>
      <c r="O1396" s="22">
        <v>1200</v>
      </c>
      <c r="P1396" s="22">
        <v>1200</v>
      </c>
      <c r="Q1396" t="str" cm="1">
        <f t="array" ref="Q1396">_xlfn.TEXTJOIN("、",TRUE,IF('學員資料-三民高中'!$B$2:$B$454=$F1396,'學員資料-三民高中'!$G$2:$G$454,""))</f>
        <v/>
      </c>
      <c r="R1396" t="str" cm="1">
        <f t="array" ref="R1396">_xlfn.TEXTJOIN("、",TRUE,IF('學員資料-新北高中'!$B$2:$B$583=$F1396,'學員資料-新北高中'!$G$2:$G$583,""))</f>
        <v/>
      </c>
      <c r="S1396" t="str" cm="1">
        <f t="array" ref="S1396">_xlfn.TEXTJOIN("、",TRUE,IF('學員資料-三重商工'!$B$2:$B$472=$F1396,'學員資料-三重商工'!$G$2:$G$472,""))</f>
        <v>0975277268</v>
      </c>
      <c r="T1396">
        <f t="shared" si="21"/>
        <v>1</v>
      </c>
    </row>
    <row r="1397" spans="1:20" ht="14.25" hidden="1" customHeight="1">
      <c r="A1397" s="15">
        <v>1396</v>
      </c>
      <c r="B1397" s="16" t="s">
        <v>4406</v>
      </c>
      <c r="C1397" s="17">
        <v>45794</v>
      </c>
      <c r="D1397" s="15" t="s">
        <v>4407</v>
      </c>
      <c r="E1397" s="18" t="s">
        <v>954</v>
      </c>
      <c r="F1397" s="19" t="s">
        <v>1551</v>
      </c>
      <c r="G1397" s="18" t="s">
        <v>1552</v>
      </c>
      <c r="H1397" s="20" t="s">
        <v>52</v>
      </c>
      <c r="I1397" s="15">
        <v>1</v>
      </c>
      <c r="J1397" s="15" t="s">
        <v>24</v>
      </c>
      <c r="K1397" s="15"/>
      <c r="L1397" s="21" t="s">
        <v>16</v>
      </c>
      <c r="M1397" s="22">
        <v>0</v>
      </c>
      <c r="N1397" s="22">
        <v>0</v>
      </c>
      <c r="O1397" s="22">
        <v>7500</v>
      </c>
      <c r="P1397" s="22">
        <v>7500</v>
      </c>
      <c r="Q1397" t="str" cm="1">
        <f t="array" ref="Q1397">_xlfn.TEXTJOIN("、",TRUE,IF('學員資料-三民高中'!$B$2:$B$454=$F1397,'學員資料-三民高中'!$G$2:$G$454,""))</f>
        <v>0926332775</v>
      </c>
      <c r="R1397" t="str" cm="1">
        <f t="array" ref="R1397">_xlfn.TEXTJOIN("、",TRUE,IF('學員資料-新北高中'!$B$2:$B$583=$F1397,'學員資料-新北高中'!$G$2:$G$583,""))</f>
        <v/>
      </c>
      <c r="S1397" t="str" cm="1">
        <f t="array" ref="S1397">_xlfn.TEXTJOIN("、",TRUE,IF('學員資料-三重商工'!$B$2:$B$472=$F1397,'學員資料-三重商工'!$G$2:$G$472,""))</f>
        <v/>
      </c>
      <c r="T1397">
        <f t="shared" si="21"/>
        <v>1</v>
      </c>
    </row>
    <row r="1398" spans="1:20" ht="14.25" hidden="1" customHeight="1">
      <c r="A1398" s="15">
        <v>1397</v>
      </c>
      <c r="B1398" s="16" t="s">
        <v>4408</v>
      </c>
      <c r="C1398" s="17">
        <v>45794</v>
      </c>
      <c r="D1398" s="15" t="s">
        <v>4409</v>
      </c>
      <c r="E1398" s="18" t="s">
        <v>954</v>
      </c>
      <c r="F1398" s="19" t="s">
        <v>3598</v>
      </c>
      <c r="G1398" s="18" t="s">
        <v>3599</v>
      </c>
      <c r="H1398" s="20" t="s">
        <v>52</v>
      </c>
      <c r="I1398" s="15">
        <v>1</v>
      </c>
      <c r="J1398" s="15" t="s">
        <v>24</v>
      </c>
      <c r="K1398" s="15"/>
      <c r="L1398" s="21" t="s">
        <v>16</v>
      </c>
      <c r="M1398" s="22">
        <v>0</v>
      </c>
      <c r="N1398" s="22">
        <v>0</v>
      </c>
      <c r="O1398" s="22">
        <v>7500</v>
      </c>
      <c r="P1398" s="22">
        <v>7500</v>
      </c>
      <c r="Q1398" t="str" cm="1">
        <f t="array" ref="Q1398">_xlfn.TEXTJOIN("、",TRUE,IF('學員資料-三民高中'!$B$2:$B$454=$F1398,'學員資料-三民高中'!$G$2:$G$454,""))</f>
        <v/>
      </c>
      <c r="R1398" t="str" cm="1">
        <f t="array" ref="R1398">_xlfn.TEXTJOIN("、",TRUE,IF('學員資料-新北高中'!$B$2:$B$583=$F1398,'學員資料-新北高中'!$G$2:$G$583,""))</f>
        <v>0958267292</v>
      </c>
      <c r="S1398" t="str" cm="1">
        <f t="array" ref="S1398">_xlfn.TEXTJOIN("、",TRUE,IF('學員資料-三重商工'!$B$2:$B$472=$F1398,'學員資料-三重商工'!$G$2:$G$472,""))</f>
        <v/>
      </c>
      <c r="T1398">
        <f t="shared" si="21"/>
        <v>1</v>
      </c>
    </row>
    <row r="1399" spans="1:20" ht="14.25" hidden="1" customHeight="1">
      <c r="A1399" s="15">
        <v>1398</v>
      </c>
      <c r="B1399" s="16" t="s">
        <v>4410</v>
      </c>
      <c r="C1399" s="17">
        <v>45794</v>
      </c>
      <c r="D1399" s="15" t="s">
        <v>4411</v>
      </c>
      <c r="E1399" s="18" t="s">
        <v>954</v>
      </c>
      <c r="F1399" s="19" t="s">
        <v>4412</v>
      </c>
      <c r="G1399" s="18" t="s">
        <v>4413</v>
      </c>
      <c r="H1399" s="20" t="s">
        <v>1087</v>
      </c>
      <c r="I1399" s="15">
        <v>1</v>
      </c>
      <c r="J1399" s="15" t="s">
        <v>27</v>
      </c>
      <c r="K1399" s="15"/>
      <c r="L1399" s="21" t="s">
        <v>16</v>
      </c>
      <c r="M1399" s="22">
        <v>0</v>
      </c>
      <c r="N1399" s="22">
        <v>-2250</v>
      </c>
      <c r="O1399" s="22">
        <v>12750</v>
      </c>
      <c r="P1399" s="22">
        <v>12750</v>
      </c>
      <c r="Q1399" t="str" cm="1">
        <f t="array" ref="Q1399">_xlfn.TEXTJOIN("、",TRUE,IF('學員資料-三民高中'!$B$2:$B$454=$F1399,'學員資料-三民高中'!$G$2:$G$454,""))</f>
        <v/>
      </c>
      <c r="R1399" t="str" cm="1">
        <f t="array" ref="R1399">_xlfn.TEXTJOIN("、",TRUE,IF('學員資料-新北高中'!$B$2:$B$583=$F1399,'學員資料-新北高中'!$G$2:$G$583,""))</f>
        <v>0933822113-1</v>
      </c>
      <c r="S1399" t="str" cm="1">
        <f t="array" ref="S1399">_xlfn.TEXTJOIN("、",TRUE,IF('學員資料-三重商工'!$B$2:$B$472=$F1399,'學員資料-三重商工'!$G$2:$G$472,""))</f>
        <v/>
      </c>
      <c r="T1399">
        <f t="shared" si="21"/>
        <v>1</v>
      </c>
    </row>
    <row r="1400" spans="1:20" ht="14.25" hidden="1" customHeight="1">
      <c r="A1400" s="15">
        <v>1399</v>
      </c>
      <c r="B1400" s="16" t="s">
        <v>4414</v>
      </c>
      <c r="C1400" s="17">
        <v>45794</v>
      </c>
      <c r="D1400" s="15" t="s">
        <v>4415</v>
      </c>
      <c r="E1400" s="18" t="s">
        <v>954</v>
      </c>
      <c r="F1400" s="19" t="s">
        <v>4412</v>
      </c>
      <c r="G1400" s="18" t="s">
        <v>4413</v>
      </c>
      <c r="H1400" s="20" t="s">
        <v>1087</v>
      </c>
      <c r="I1400" s="15">
        <v>1</v>
      </c>
      <c r="J1400" s="15" t="s">
        <v>27</v>
      </c>
      <c r="K1400" s="15"/>
      <c r="L1400" s="21" t="s">
        <v>16</v>
      </c>
      <c r="M1400" s="22">
        <v>0</v>
      </c>
      <c r="N1400" s="22">
        <v>-2250</v>
      </c>
      <c r="O1400" s="22">
        <v>12750</v>
      </c>
      <c r="P1400" s="22">
        <v>12750</v>
      </c>
      <c r="Q1400" t="str" cm="1">
        <f t="array" ref="Q1400">_xlfn.TEXTJOIN("、",TRUE,IF('學員資料-三民高中'!$B$2:$B$454=$F1400,'學員資料-三民高中'!$G$2:$G$454,""))</f>
        <v/>
      </c>
      <c r="R1400" t="str" cm="1">
        <f t="array" ref="R1400">_xlfn.TEXTJOIN("、",TRUE,IF('學員資料-新北高中'!$B$2:$B$583=$F1400,'學員資料-新北高中'!$G$2:$G$583,""))</f>
        <v>0933822113-1</v>
      </c>
      <c r="S1400" t="str" cm="1">
        <f t="array" ref="S1400">_xlfn.TEXTJOIN("、",TRUE,IF('學員資料-三重商工'!$B$2:$B$472=$F1400,'學員資料-三重商工'!$G$2:$G$472,""))</f>
        <v/>
      </c>
      <c r="T1400">
        <f t="shared" si="21"/>
        <v>1</v>
      </c>
    </row>
    <row r="1401" spans="1:20" ht="14.25" hidden="1" customHeight="1">
      <c r="A1401" s="15">
        <v>1400</v>
      </c>
      <c r="B1401" s="16" t="s">
        <v>4416</v>
      </c>
      <c r="C1401" s="17">
        <v>45794</v>
      </c>
      <c r="D1401" s="15" t="s">
        <v>4417</v>
      </c>
      <c r="E1401" s="18" t="s">
        <v>954</v>
      </c>
      <c r="F1401" s="19" t="s">
        <v>2813</v>
      </c>
      <c r="G1401" s="18" t="s">
        <v>2814</v>
      </c>
      <c r="H1401" s="20" t="s">
        <v>210</v>
      </c>
      <c r="I1401" s="15">
        <v>1</v>
      </c>
      <c r="J1401" s="15" t="s">
        <v>26</v>
      </c>
      <c r="K1401" s="15"/>
      <c r="L1401" s="21" t="s">
        <v>16</v>
      </c>
      <c r="M1401" s="22">
        <v>0</v>
      </c>
      <c r="N1401" s="22">
        <v>0</v>
      </c>
      <c r="O1401" s="22">
        <v>12000</v>
      </c>
      <c r="P1401" s="22">
        <v>12000</v>
      </c>
      <c r="Q1401" t="str" cm="1">
        <f t="array" ref="Q1401">_xlfn.TEXTJOIN("、",TRUE,IF('學員資料-三民高中'!$B$2:$B$454=$F1401,'學員資料-三民高中'!$G$2:$G$454,""))</f>
        <v/>
      </c>
      <c r="R1401" t="str" cm="1">
        <f t="array" ref="R1401">_xlfn.TEXTJOIN("、",TRUE,IF('學員資料-新北高中'!$B$2:$B$583=$F1401,'學員資料-新北高中'!$G$2:$G$583,""))</f>
        <v>0933883158</v>
      </c>
      <c r="S1401" t="str" cm="1">
        <f t="array" ref="S1401">_xlfn.TEXTJOIN("、",TRUE,IF('學員資料-三重商工'!$B$2:$B$472=$F1401,'學員資料-三重商工'!$G$2:$G$472,""))</f>
        <v/>
      </c>
      <c r="T1401">
        <f t="shared" si="21"/>
        <v>1</v>
      </c>
    </row>
    <row r="1402" spans="1:20" ht="14.25" hidden="1" customHeight="1">
      <c r="A1402" s="15">
        <v>1401</v>
      </c>
      <c r="B1402" s="16" t="s">
        <v>4418</v>
      </c>
      <c r="C1402" s="17">
        <v>45794</v>
      </c>
      <c r="D1402" s="15" t="s">
        <v>4419</v>
      </c>
      <c r="E1402" s="18" t="s">
        <v>954</v>
      </c>
      <c r="F1402" s="19" t="s">
        <v>358</v>
      </c>
      <c r="G1402" s="18" t="s">
        <v>359</v>
      </c>
      <c r="H1402" s="20" t="s">
        <v>2989</v>
      </c>
      <c r="I1402" s="15">
        <v>1</v>
      </c>
      <c r="J1402" s="15" t="s">
        <v>23</v>
      </c>
      <c r="K1402" s="21" t="s">
        <v>116</v>
      </c>
      <c r="L1402" s="21" t="s">
        <v>16</v>
      </c>
      <c r="M1402" s="22">
        <v>0</v>
      </c>
      <c r="N1402" s="22">
        <v>0</v>
      </c>
      <c r="O1402" s="22">
        <v>1200</v>
      </c>
      <c r="P1402" s="22">
        <v>1200</v>
      </c>
      <c r="Q1402" t="str" cm="1">
        <f t="array" ref="Q1402">_xlfn.TEXTJOIN("、",TRUE,IF('學員資料-三民高中'!$B$2:$B$454=$F1402,'學員資料-三民高中'!$G$2:$G$454,""))</f>
        <v/>
      </c>
      <c r="R1402" t="str" cm="1">
        <f t="array" ref="R1402">_xlfn.TEXTJOIN("、",TRUE,IF('學員資料-新北高中'!$B$2:$B$583=$F1402,'學員資料-新北高中'!$G$2:$G$583,""))</f>
        <v>0918008574</v>
      </c>
      <c r="S1402" t="str" cm="1">
        <f t="array" ref="S1402">_xlfn.TEXTJOIN("、",TRUE,IF('學員資料-三重商工'!$B$2:$B$472=$F1402,'學員資料-三重商工'!$G$2:$G$472,""))</f>
        <v/>
      </c>
      <c r="T1402">
        <f t="shared" si="21"/>
        <v>1</v>
      </c>
    </row>
    <row r="1403" spans="1:20" ht="14.25" hidden="1" customHeight="1">
      <c r="A1403" s="15">
        <v>1402</v>
      </c>
      <c r="B1403" s="16" t="s">
        <v>4420</v>
      </c>
      <c r="C1403" s="17">
        <v>45793</v>
      </c>
      <c r="D1403" s="15" t="s">
        <v>4421</v>
      </c>
      <c r="E1403" s="18" t="s">
        <v>954</v>
      </c>
      <c r="F1403" s="19" t="s">
        <v>4422</v>
      </c>
      <c r="G1403" s="18" t="s">
        <v>4423</v>
      </c>
      <c r="H1403" s="20" t="s">
        <v>66</v>
      </c>
      <c r="I1403" s="15">
        <v>1</v>
      </c>
      <c r="J1403" s="15" t="s">
        <v>23</v>
      </c>
      <c r="K1403" s="15"/>
      <c r="L1403" s="21" t="s">
        <v>16</v>
      </c>
      <c r="M1403" s="22">
        <v>0</v>
      </c>
      <c r="N1403" s="22">
        <v>0</v>
      </c>
      <c r="O1403" s="22">
        <v>6900</v>
      </c>
      <c r="P1403" s="22">
        <v>6900</v>
      </c>
      <c r="Q1403" t="str" cm="1">
        <f t="array" ref="Q1403">_xlfn.TEXTJOIN("、",TRUE,IF('學員資料-三民高中'!$B$2:$B$454=$F1403,'學員資料-三民高中'!$G$2:$G$454,""))</f>
        <v/>
      </c>
      <c r="R1403" t="str" cm="1">
        <f t="array" ref="R1403">_xlfn.TEXTJOIN("、",TRUE,IF('學員資料-新北高中'!$B$2:$B$583=$F1403,'學員資料-新北高中'!$G$2:$G$583,""))</f>
        <v>0975766527</v>
      </c>
      <c r="S1403" t="str" cm="1">
        <f t="array" ref="S1403">_xlfn.TEXTJOIN("、",TRUE,IF('學員資料-三重商工'!$B$2:$B$472=$F1403,'學員資料-三重商工'!$G$2:$G$472,""))</f>
        <v/>
      </c>
      <c r="T1403">
        <f t="shared" si="21"/>
        <v>1</v>
      </c>
    </row>
    <row r="1404" spans="1:20" ht="14.25" hidden="1" customHeight="1">
      <c r="A1404" s="15">
        <v>1403</v>
      </c>
      <c r="B1404" s="16" t="s">
        <v>4424</v>
      </c>
      <c r="C1404" s="17">
        <v>45793</v>
      </c>
      <c r="D1404" s="15" t="s">
        <v>4425</v>
      </c>
      <c r="E1404" s="18" t="s">
        <v>954</v>
      </c>
      <c r="F1404" s="19" t="s">
        <v>1925</v>
      </c>
      <c r="G1404" s="18" t="s">
        <v>1926</v>
      </c>
      <c r="H1404" s="20" t="s">
        <v>66</v>
      </c>
      <c r="I1404" s="15">
        <v>1</v>
      </c>
      <c r="J1404" s="15" t="s">
        <v>23</v>
      </c>
      <c r="K1404" s="15"/>
      <c r="L1404" s="21" t="s">
        <v>16</v>
      </c>
      <c r="M1404" s="22">
        <v>0</v>
      </c>
      <c r="N1404" s="22">
        <v>0</v>
      </c>
      <c r="O1404" s="22">
        <v>6900</v>
      </c>
      <c r="P1404" s="22">
        <v>6900</v>
      </c>
      <c r="Q1404" t="str" cm="1">
        <f t="array" ref="Q1404">_xlfn.TEXTJOIN("、",TRUE,IF('學員資料-三民高中'!$B$2:$B$454=$F1404,'學員資料-三民高中'!$G$2:$G$454,""))</f>
        <v/>
      </c>
      <c r="R1404" t="str" cm="1">
        <f t="array" ref="R1404">_xlfn.TEXTJOIN("、",TRUE,IF('學員資料-新北高中'!$B$2:$B$583=$F1404,'學員資料-新北高中'!$G$2:$G$583,""))</f>
        <v>0902228252</v>
      </c>
      <c r="S1404" t="str" cm="1">
        <f t="array" ref="S1404">_xlfn.TEXTJOIN("、",TRUE,IF('學員資料-三重商工'!$B$2:$B$472=$F1404,'學員資料-三重商工'!$G$2:$G$472,""))</f>
        <v/>
      </c>
      <c r="T1404">
        <f t="shared" si="21"/>
        <v>1</v>
      </c>
    </row>
    <row r="1405" spans="1:20" ht="14.25" hidden="1" customHeight="1">
      <c r="A1405" s="15">
        <v>1404</v>
      </c>
      <c r="B1405" s="16" t="s">
        <v>4426</v>
      </c>
      <c r="C1405" s="17">
        <v>45791</v>
      </c>
      <c r="D1405" s="15" t="s">
        <v>4427</v>
      </c>
      <c r="E1405" s="18" t="s">
        <v>954</v>
      </c>
      <c r="F1405" s="19" t="s">
        <v>4428</v>
      </c>
      <c r="G1405" s="18" t="s">
        <v>4429</v>
      </c>
      <c r="H1405" s="20" t="s">
        <v>130</v>
      </c>
      <c r="I1405" s="15">
        <v>1</v>
      </c>
      <c r="J1405" s="15" t="s">
        <v>25</v>
      </c>
      <c r="K1405" s="15"/>
      <c r="L1405" s="21" t="s">
        <v>16</v>
      </c>
      <c r="M1405" s="22">
        <v>0</v>
      </c>
      <c r="N1405" s="22">
        <v>0</v>
      </c>
      <c r="O1405" s="22">
        <v>9900</v>
      </c>
      <c r="P1405" s="22">
        <v>9900</v>
      </c>
      <c r="Q1405" t="str" cm="1">
        <f t="array" ref="Q1405">_xlfn.TEXTJOIN("、",TRUE,IF('學員資料-三民高中'!$B$2:$B$454=$F1405,'學員資料-三民高中'!$G$2:$G$454,""))</f>
        <v/>
      </c>
      <c r="R1405" t="str" cm="1">
        <f t="array" ref="R1405">_xlfn.TEXTJOIN("、",TRUE,IF('學員資料-新北高中'!$B$2:$B$583=$F1405,'學員資料-新北高中'!$G$2:$G$583,""))</f>
        <v/>
      </c>
      <c r="S1405" t="str" cm="1">
        <f t="array" ref="S1405">_xlfn.TEXTJOIN("、",TRUE,IF('學員資料-三重商工'!$B$2:$B$472=$F1405,'學員資料-三重商工'!$G$2:$G$472,""))</f>
        <v>0938551505</v>
      </c>
      <c r="T1405">
        <f t="shared" si="21"/>
        <v>1</v>
      </c>
    </row>
    <row r="1406" spans="1:20" ht="14.25" hidden="1" customHeight="1">
      <c r="A1406" s="15">
        <v>1405</v>
      </c>
      <c r="B1406" s="16" t="s">
        <v>4430</v>
      </c>
      <c r="C1406" s="17">
        <v>45790</v>
      </c>
      <c r="D1406" s="15" t="s">
        <v>4431</v>
      </c>
      <c r="E1406" s="18" t="s">
        <v>954</v>
      </c>
      <c r="F1406" s="19" t="s">
        <v>4432</v>
      </c>
      <c r="G1406" s="18" t="s">
        <v>4433</v>
      </c>
      <c r="H1406" s="20" t="s">
        <v>66</v>
      </c>
      <c r="I1406" s="15">
        <v>1</v>
      </c>
      <c r="J1406" s="15" t="s">
        <v>23</v>
      </c>
      <c r="K1406" s="15"/>
      <c r="L1406" s="21" t="s">
        <v>16</v>
      </c>
      <c r="M1406" s="22">
        <v>0</v>
      </c>
      <c r="N1406" s="22">
        <v>0</v>
      </c>
      <c r="O1406" s="22">
        <v>6900</v>
      </c>
      <c r="P1406" s="22">
        <v>6900</v>
      </c>
      <c r="Q1406" t="str" cm="1">
        <f t="array" ref="Q1406">_xlfn.TEXTJOIN("、",TRUE,IF('學員資料-三民高中'!$B$2:$B$454=$F1406,'學員資料-三民高中'!$G$2:$G$454,""))</f>
        <v/>
      </c>
      <c r="R1406" t="str" cm="1">
        <f t="array" ref="R1406">_xlfn.TEXTJOIN("、",TRUE,IF('學員資料-新北高中'!$B$2:$B$583=$F1406,'學員資料-新北高中'!$G$2:$G$583,""))</f>
        <v/>
      </c>
      <c r="S1406" t="str" cm="1">
        <f t="array" ref="S1406">_xlfn.TEXTJOIN("、",TRUE,IF('學員資料-三重商工'!$B$2:$B$472=$F1406,'學員資料-三重商工'!$G$2:$G$472,""))</f>
        <v>0919870210</v>
      </c>
      <c r="T1406">
        <f t="shared" si="21"/>
        <v>1</v>
      </c>
    </row>
    <row r="1407" spans="1:20" ht="87" hidden="1" customHeight="1">
      <c r="A1407" s="15">
        <v>1406</v>
      </c>
      <c r="B1407" s="16" t="s">
        <v>4434</v>
      </c>
      <c r="C1407" s="17">
        <v>45790</v>
      </c>
      <c r="D1407" s="15" t="s">
        <v>4435</v>
      </c>
      <c r="E1407" s="18" t="s">
        <v>954</v>
      </c>
      <c r="F1407" s="19" t="s">
        <v>4436</v>
      </c>
      <c r="G1407" s="18" t="s">
        <v>4437</v>
      </c>
      <c r="H1407" s="20" t="s">
        <v>4438</v>
      </c>
      <c r="I1407" s="15">
        <v>6</v>
      </c>
      <c r="J1407" s="15" t="s">
        <v>23</v>
      </c>
      <c r="K1407" s="21" t="s">
        <v>116</v>
      </c>
      <c r="L1407" s="21" t="s">
        <v>16</v>
      </c>
      <c r="M1407" s="22">
        <v>0</v>
      </c>
      <c r="N1407" s="22">
        <v>0</v>
      </c>
      <c r="O1407" s="22">
        <v>12900</v>
      </c>
      <c r="P1407" s="22">
        <v>12900</v>
      </c>
      <c r="Q1407" t="str" cm="1">
        <f t="array" ref="Q1407">_xlfn.TEXTJOIN("、",TRUE,IF('學員資料-三民高中'!$B$2:$B$454=$F1407,'學員資料-三民高中'!$G$2:$G$454,""))</f>
        <v>0909000975-1</v>
      </c>
      <c r="R1407" t="str" cm="1">
        <f t="array" ref="R1407">_xlfn.TEXTJOIN("、",TRUE,IF('學員資料-新北高中'!$B$2:$B$583=$F1407,'學員資料-新北高中'!$G$2:$G$583,""))</f>
        <v/>
      </c>
      <c r="S1407" t="str" cm="1">
        <f t="array" ref="S1407">_xlfn.TEXTJOIN("、",TRUE,IF('學員資料-三重商工'!$B$2:$B$472=$F1407,'學員資料-三重商工'!$G$2:$G$472,""))</f>
        <v/>
      </c>
      <c r="T1407">
        <f t="shared" si="21"/>
        <v>1</v>
      </c>
    </row>
    <row r="1408" spans="1:20" ht="14.25" hidden="1" customHeight="1">
      <c r="A1408" s="15">
        <v>1407</v>
      </c>
      <c r="B1408" s="16" t="s">
        <v>4439</v>
      </c>
      <c r="C1408" s="17">
        <v>45790</v>
      </c>
      <c r="D1408" s="15" t="s">
        <v>4440</v>
      </c>
      <c r="E1408" s="18" t="s">
        <v>954</v>
      </c>
      <c r="F1408" s="19" t="s">
        <v>1426</v>
      </c>
      <c r="G1408" s="18" t="s">
        <v>1427</v>
      </c>
      <c r="H1408" s="20" t="s">
        <v>52</v>
      </c>
      <c r="I1408" s="15">
        <v>1</v>
      </c>
      <c r="J1408" s="15" t="s">
        <v>24</v>
      </c>
      <c r="K1408" s="15"/>
      <c r="L1408" s="21" t="s">
        <v>16</v>
      </c>
      <c r="M1408" s="22">
        <v>0</v>
      </c>
      <c r="N1408" s="22">
        <v>0</v>
      </c>
      <c r="O1408" s="22">
        <v>7500</v>
      </c>
      <c r="P1408" s="22">
        <v>7500</v>
      </c>
      <c r="Q1408" t="str" cm="1">
        <f t="array" ref="Q1408">_xlfn.TEXTJOIN("、",TRUE,IF('學員資料-三民高中'!$B$2:$B$454=$F1408,'學員資料-三民高中'!$G$2:$G$454,""))</f>
        <v/>
      </c>
      <c r="R1408" t="str" cm="1">
        <f t="array" ref="R1408">_xlfn.TEXTJOIN("、",TRUE,IF('學員資料-新北高中'!$B$2:$B$583=$F1408,'學員資料-新北高中'!$G$2:$G$583,""))</f>
        <v>0961212771</v>
      </c>
      <c r="S1408" t="str" cm="1">
        <f t="array" ref="S1408">_xlfn.TEXTJOIN("、",TRUE,IF('學員資料-三重商工'!$B$2:$B$472=$F1408,'學員資料-三重商工'!$G$2:$G$472,""))</f>
        <v/>
      </c>
      <c r="T1408">
        <f t="shared" si="21"/>
        <v>1</v>
      </c>
    </row>
    <row r="1409" spans="1:20" ht="28.5" hidden="1" customHeight="1">
      <c r="A1409" s="15">
        <v>1408</v>
      </c>
      <c r="B1409" s="16" t="s">
        <v>4441</v>
      </c>
      <c r="C1409" s="17">
        <v>45788</v>
      </c>
      <c r="D1409" s="15" t="s">
        <v>4442</v>
      </c>
      <c r="E1409" s="18" t="s">
        <v>954</v>
      </c>
      <c r="F1409" s="19" t="s">
        <v>4443</v>
      </c>
      <c r="G1409" s="18" t="s">
        <v>4444</v>
      </c>
      <c r="H1409" s="20" t="s">
        <v>99</v>
      </c>
      <c r="I1409" s="15">
        <v>2</v>
      </c>
      <c r="J1409" s="15" t="s">
        <v>24</v>
      </c>
      <c r="K1409" s="15"/>
      <c r="L1409" s="21" t="s">
        <v>16</v>
      </c>
      <c r="M1409" s="22">
        <v>0</v>
      </c>
      <c r="N1409" s="22">
        <v>0</v>
      </c>
      <c r="O1409" s="22">
        <v>15000</v>
      </c>
      <c r="P1409" s="22">
        <v>15000</v>
      </c>
      <c r="Q1409" t="str" cm="1">
        <f t="array" ref="Q1409">_xlfn.TEXTJOIN("、",TRUE,IF('學員資料-三民高中'!$B$2:$B$454=$F1409,'學員資料-三民高中'!$G$2:$G$454,""))</f>
        <v/>
      </c>
      <c r="R1409" t="str" cm="1">
        <f t="array" ref="R1409">_xlfn.TEXTJOIN("、",TRUE,IF('學員資料-新北高中'!$B$2:$B$583=$F1409,'學員資料-新北高中'!$G$2:$G$583,""))</f>
        <v/>
      </c>
      <c r="S1409" t="str" cm="1">
        <f t="array" ref="S1409">_xlfn.TEXTJOIN("、",TRUE,IF('學員資料-三重商工'!$B$2:$B$472=$F1409,'學員資料-三重商工'!$G$2:$G$472,""))</f>
        <v>0935323195</v>
      </c>
      <c r="T1409">
        <f t="shared" si="21"/>
        <v>1</v>
      </c>
    </row>
    <row r="1410" spans="1:20" ht="14.25" hidden="1" customHeight="1">
      <c r="A1410" s="15">
        <v>1409</v>
      </c>
      <c r="B1410" s="16" t="s">
        <v>4445</v>
      </c>
      <c r="C1410" s="17">
        <v>45788</v>
      </c>
      <c r="D1410" s="15" t="s">
        <v>4446</v>
      </c>
      <c r="E1410" s="18" t="s">
        <v>954</v>
      </c>
      <c r="F1410" s="19" t="s">
        <v>778</v>
      </c>
      <c r="G1410" s="18" t="s">
        <v>779</v>
      </c>
      <c r="H1410" s="20" t="s">
        <v>66</v>
      </c>
      <c r="I1410" s="15">
        <v>1</v>
      </c>
      <c r="J1410" s="15" t="s">
        <v>23</v>
      </c>
      <c r="K1410" s="15"/>
      <c r="L1410" s="21" t="s">
        <v>16</v>
      </c>
      <c r="M1410" s="22">
        <v>0</v>
      </c>
      <c r="N1410" s="22">
        <v>0</v>
      </c>
      <c r="O1410" s="22">
        <v>6900</v>
      </c>
      <c r="P1410" s="22">
        <v>6900</v>
      </c>
      <c r="Q1410" t="str" cm="1">
        <f t="array" ref="Q1410">_xlfn.TEXTJOIN("、",TRUE,IF('學員資料-三民高中'!$B$2:$B$454=$F1410,'學員資料-三民高中'!$G$2:$G$454,""))</f>
        <v/>
      </c>
      <c r="R1410" t="str" cm="1">
        <f t="array" ref="R1410">_xlfn.TEXTJOIN("、",TRUE,IF('學員資料-新北高中'!$B$2:$B$583=$F1410,'學員資料-新北高中'!$G$2:$G$583,""))</f>
        <v>0972103256</v>
      </c>
      <c r="S1410" t="str" cm="1">
        <f t="array" ref="S1410">_xlfn.TEXTJOIN("、",TRUE,IF('學員資料-三重商工'!$B$2:$B$472=$F1410,'學員資料-三重商工'!$G$2:$G$472,""))</f>
        <v/>
      </c>
      <c r="T1410">
        <f t="shared" si="21"/>
        <v>1</v>
      </c>
    </row>
    <row r="1411" spans="1:20" ht="14.25" hidden="1" customHeight="1">
      <c r="A1411" s="15">
        <v>1410</v>
      </c>
      <c r="B1411" s="16" t="s">
        <v>4447</v>
      </c>
      <c r="C1411" s="17">
        <v>45788</v>
      </c>
      <c r="D1411" s="15" t="s">
        <v>4448</v>
      </c>
      <c r="E1411" s="18" t="s">
        <v>954</v>
      </c>
      <c r="F1411" s="19" t="s">
        <v>2654</v>
      </c>
      <c r="G1411" s="18" t="s">
        <v>2655</v>
      </c>
      <c r="H1411" s="20" t="s">
        <v>52</v>
      </c>
      <c r="I1411" s="15">
        <v>1</v>
      </c>
      <c r="J1411" s="15" t="s">
        <v>24</v>
      </c>
      <c r="K1411" s="15"/>
      <c r="L1411" s="21" t="s">
        <v>16</v>
      </c>
      <c r="M1411" s="22">
        <v>0</v>
      </c>
      <c r="N1411" s="22">
        <v>0</v>
      </c>
      <c r="O1411" s="22">
        <v>7500</v>
      </c>
      <c r="P1411" s="22">
        <v>7500</v>
      </c>
      <c r="Q1411" t="str" cm="1">
        <f t="array" ref="Q1411">_xlfn.TEXTJOIN("、",TRUE,IF('學員資料-三民高中'!$B$2:$B$454=$F1411,'學員資料-三民高中'!$G$2:$G$454,""))</f>
        <v/>
      </c>
      <c r="R1411" t="str" cm="1">
        <f t="array" ref="R1411">_xlfn.TEXTJOIN("、",TRUE,IF('學員資料-新北高中'!$B$2:$B$583=$F1411,'學員資料-新北高中'!$G$2:$G$583,""))</f>
        <v/>
      </c>
      <c r="S1411" t="str" cm="1">
        <f t="array" ref="S1411">_xlfn.TEXTJOIN("、",TRUE,IF('學員資料-三重商工'!$B$2:$B$472=$F1411,'學員資料-三重商工'!$G$2:$G$472,""))</f>
        <v>0938775756</v>
      </c>
      <c r="T1411">
        <f t="shared" ref="T1411:T1474" si="22">3-COUNTBLANK(Q1411:S1411)</f>
        <v>1</v>
      </c>
    </row>
    <row r="1412" spans="1:20" ht="14.25" hidden="1" customHeight="1">
      <c r="A1412" s="15">
        <v>1411</v>
      </c>
      <c r="B1412" s="16" t="s">
        <v>4449</v>
      </c>
      <c r="C1412" s="17">
        <v>45788</v>
      </c>
      <c r="D1412" s="15" t="s">
        <v>4450</v>
      </c>
      <c r="E1412" s="18" t="s">
        <v>954</v>
      </c>
      <c r="F1412" s="19" t="s">
        <v>1684</v>
      </c>
      <c r="G1412" s="18" t="s">
        <v>1685</v>
      </c>
      <c r="H1412" s="20" t="s">
        <v>66</v>
      </c>
      <c r="I1412" s="15">
        <v>1</v>
      </c>
      <c r="J1412" s="15" t="s">
        <v>23</v>
      </c>
      <c r="K1412" s="15"/>
      <c r="L1412" s="21" t="s">
        <v>16</v>
      </c>
      <c r="M1412" s="22">
        <v>0</v>
      </c>
      <c r="N1412" s="22">
        <v>0</v>
      </c>
      <c r="O1412" s="22">
        <v>6900</v>
      </c>
      <c r="P1412" s="22">
        <v>6900</v>
      </c>
      <c r="Q1412" t="str" cm="1">
        <f t="array" ref="Q1412">_xlfn.TEXTJOIN("、",TRUE,IF('學員資料-三民高中'!$B$2:$B$454=$F1412,'學員資料-三民高中'!$G$2:$G$454,""))</f>
        <v/>
      </c>
      <c r="R1412" t="str" cm="1">
        <f t="array" ref="R1412">_xlfn.TEXTJOIN("、",TRUE,IF('學員資料-新北高中'!$B$2:$B$583=$F1412,'學員資料-新北高中'!$G$2:$G$583,""))</f>
        <v>0919705056</v>
      </c>
      <c r="S1412" t="str" cm="1">
        <f t="array" ref="S1412">_xlfn.TEXTJOIN("、",TRUE,IF('學員資料-三重商工'!$B$2:$B$472=$F1412,'學員資料-三重商工'!$G$2:$G$472,""))</f>
        <v/>
      </c>
      <c r="T1412">
        <f t="shared" si="22"/>
        <v>1</v>
      </c>
    </row>
    <row r="1413" spans="1:20" ht="14.25" hidden="1" customHeight="1">
      <c r="A1413" s="15">
        <v>1412</v>
      </c>
      <c r="B1413" s="16" t="s">
        <v>4451</v>
      </c>
      <c r="C1413" s="17">
        <v>45788</v>
      </c>
      <c r="D1413" s="15" t="s">
        <v>4452</v>
      </c>
      <c r="E1413" s="18" t="s">
        <v>954</v>
      </c>
      <c r="F1413" s="19" t="s">
        <v>4453</v>
      </c>
      <c r="G1413" s="18" t="s">
        <v>4454</v>
      </c>
      <c r="H1413" s="20" t="s">
        <v>3766</v>
      </c>
      <c r="I1413" s="15">
        <v>1</v>
      </c>
      <c r="J1413" s="15" t="s">
        <v>24</v>
      </c>
      <c r="K1413" s="21" t="s">
        <v>116</v>
      </c>
      <c r="L1413" s="21" t="s">
        <v>16</v>
      </c>
      <c r="M1413" s="22">
        <v>0</v>
      </c>
      <c r="N1413" s="22">
        <v>0</v>
      </c>
      <c r="O1413" s="22">
        <v>1300</v>
      </c>
      <c r="P1413" s="22">
        <v>1300</v>
      </c>
      <c r="Q1413" t="str" cm="1">
        <f t="array" ref="Q1413">_xlfn.TEXTJOIN("、",TRUE,IF('學員資料-三民高中'!$B$2:$B$454=$F1413,'學員資料-三民高中'!$G$2:$G$454,""))</f>
        <v/>
      </c>
      <c r="R1413" t="str" cm="1">
        <f t="array" ref="R1413">_xlfn.TEXTJOIN("、",TRUE,IF('學員資料-新北高中'!$B$2:$B$583=$F1413,'學員資料-新北高中'!$G$2:$G$583,""))</f>
        <v/>
      </c>
      <c r="S1413" t="str" cm="1">
        <f t="array" ref="S1413">_xlfn.TEXTJOIN("、",TRUE,IF('學員資料-三重商工'!$B$2:$B$472=$F1413,'學員資料-三重商工'!$G$2:$G$472,""))</f>
        <v>0905767803</v>
      </c>
      <c r="T1413">
        <f t="shared" si="22"/>
        <v>1</v>
      </c>
    </row>
    <row r="1414" spans="1:20" ht="14.25" hidden="1" customHeight="1">
      <c r="A1414" s="15">
        <v>1413</v>
      </c>
      <c r="B1414" s="16" t="s">
        <v>4455</v>
      </c>
      <c r="C1414" s="17">
        <v>45788</v>
      </c>
      <c r="D1414" s="15" t="s">
        <v>4456</v>
      </c>
      <c r="E1414" s="18" t="s">
        <v>954</v>
      </c>
      <c r="F1414" s="19" t="s">
        <v>4457</v>
      </c>
      <c r="G1414" s="18" t="s">
        <v>4458</v>
      </c>
      <c r="H1414" s="20" t="s">
        <v>66</v>
      </c>
      <c r="I1414" s="15">
        <v>1</v>
      </c>
      <c r="J1414" s="15" t="s">
        <v>23</v>
      </c>
      <c r="K1414" s="15"/>
      <c r="L1414" s="21" t="s">
        <v>16</v>
      </c>
      <c r="M1414" s="22">
        <v>0</v>
      </c>
      <c r="N1414" s="22">
        <v>-2760</v>
      </c>
      <c r="O1414" s="22">
        <v>4140</v>
      </c>
      <c r="P1414" s="22">
        <v>4140</v>
      </c>
      <c r="Q1414" t="str" cm="1">
        <f t="array" ref="Q1414">_xlfn.TEXTJOIN("、",TRUE,IF('學員資料-三民高中'!$B$2:$B$454=$F1414,'學員資料-三民高中'!$G$2:$G$454,""))</f>
        <v/>
      </c>
      <c r="R1414" t="str" cm="1">
        <f t="array" ref="R1414">_xlfn.TEXTJOIN("、",TRUE,IF('學員資料-新北高中'!$B$2:$B$583=$F1414,'學員資料-新北高中'!$G$2:$G$583,""))</f>
        <v/>
      </c>
      <c r="S1414" t="str" cm="1">
        <f t="array" ref="S1414">_xlfn.TEXTJOIN("、",TRUE,IF('學員資料-三重商工'!$B$2:$B$472=$F1414,'學員資料-三重商工'!$G$2:$G$472,""))</f>
        <v>0988519327</v>
      </c>
      <c r="T1414">
        <f t="shared" si="22"/>
        <v>1</v>
      </c>
    </row>
    <row r="1415" spans="1:20" ht="14.25" hidden="1" customHeight="1">
      <c r="A1415" s="15">
        <v>1414</v>
      </c>
      <c r="B1415" s="16" t="s">
        <v>4459</v>
      </c>
      <c r="C1415" s="17">
        <v>45788</v>
      </c>
      <c r="D1415" s="15" t="s">
        <v>4460</v>
      </c>
      <c r="E1415" s="18" t="s">
        <v>954</v>
      </c>
      <c r="F1415" s="19" t="s">
        <v>1832</v>
      </c>
      <c r="G1415" s="18" t="s">
        <v>1833</v>
      </c>
      <c r="H1415" s="20" t="s">
        <v>3766</v>
      </c>
      <c r="I1415" s="15">
        <v>1</v>
      </c>
      <c r="J1415" s="15" t="s">
        <v>24</v>
      </c>
      <c r="K1415" s="21" t="s">
        <v>116</v>
      </c>
      <c r="L1415" s="21" t="s">
        <v>16</v>
      </c>
      <c r="M1415" s="22">
        <v>0</v>
      </c>
      <c r="N1415" s="22">
        <v>0</v>
      </c>
      <c r="O1415" s="22">
        <v>1300</v>
      </c>
      <c r="P1415" s="22">
        <v>1300</v>
      </c>
      <c r="Q1415" t="str" cm="1">
        <f t="array" ref="Q1415">_xlfn.TEXTJOIN("、",TRUE,IF('學員資料-三民高中'!$B$2:$B$454=$F1415,'學員資料-三民高中'!$G$2:$G$454,""))</f>
        <v/>
      </c>
      <c r="R1415" t="str" cm="1">
        <f t="array" ref="R1415">_xlfn.TEXTJOIN("、",TRUE,IF('學員資料-新北高中'!$B$2:$B$583=$F1415,'學員資料-新北高中'!$G$2:$G$583,""))</f>
        <v/>
      </c>
      <c r="S1415" t="str" cm="1">
        <f t="array" ref="S1415">_xlfn.TEXTJOIN("、",TRUE,IF('學員資料-三重商工'!$B$2:$B$472=$F1415,'學員資料-三重商工'!$G$2:$G$472,""))</f>
        <v>0930980802</v>
      </c>
      <c r="T1415">
        <f t="shared" si="22"/>
        <v>1</v>
      </c>
    </row>
    <row r="1416" spans="1:20" ht="14.25" hidden="1" customHeight="1">
      <c r="A1416" s="15">
        <v>1415</v>
      </c>
      <c r="B1416" s="16" t="s">
        <v>4461</v>
      </c>
      <c r="C1416" s="17">
        <v>45788</v>
      </c>
      <c r="D1416" s="15" t="s">
        <v>4462</v>
      </c>
      <c r="E1416" s="18" t="s">
        <v>954</v>
      </c>
      <c r="F1416" s="19" t="s">
        <v>4463</v>
      </c>
      <c r="G1416" s="18" t="s">
        <v>4464</v>
      </c>
      <c r="H1416" s="20" t="s">
        <v>3766</v>
      </c>
      <c r="I1416" s="15">
        <v>1</v>
      </c>
      <c r="J1416" s="15" t="s">
        <v>24</v>
      </c>
      <c r="K1416" s="21" t="s">
        <v>116</v>
      </c>
      <c r="L1416" s="21" t="s">
        <v>16</v>
      </c>
      <c r="M1416" s="22">
        <v>0</v>
      </c>
      <c r="N1416" s="22">
        <v>0</v>
      </c>
      <c r="O1416" s="22">
        <v>1300</v>
      </c>
      <c r="P1416" s="22">
        <v>1300</v>
      </c>
      <c r="Q1416" t="str" cm="1">
        <f t="array" ref="Q1416">_xlfn.TEXTJOIN("、",TRUE,IF('學員資料-三民高中'!$B$2:$B$454=$F1416,'學員資料-三民高中'!$G$2:$G$454,""))</f>
        <v/>
      </c>
      <c r="R1416" t="str" cm="1">
        <f t="array" ref="R1416">_xlfn.TEXTJOIN("、",TRUE,IF('學員資料-新北高中'!$B$2:$B$583=$F1416,'學員資料-新北高中'!$G$2:$G$583,""))</f>
        <v>0988259860</v>
      </c>
      <c r="S1416" t="str" cm="1">
        <f t="array" ref="S1416">_xlfn.TEXTJOIN("、",TRUE,IF('學員資料-三重商工'!$B$2:$B$472=$F1416,'學員資料-三重商工'!$G$2:$G$472,""))</f>
        <v/>
      </c>
      <c r="T1416">
        <f t="shared" si="22"/>
        <v>1</v>
      </c>
    </row>
    <row r="1417" spans="1:20" ht="14.25" hidden="1" customHeight="1">
      <c r="A1417" s="15">
        <v>1416</v>
      </c>
      <c r="B1417" s="16" t="s">
        <v>4465</v>
      </c>
      <c r="C1417" s="17">
        <v>45787</v>
      </c>
      <c r="D1417" s="15" t="s">
        <v>4466</v>
      </c>
      <c r="E1417" s="18" t="s">
        <v>954</v>
      </c>
      <c r="F1417" s="19" t="s">
        <v>4467</v>
      </c>
      <c r="G1417" s="18" t="s">
        <v>4468</v>
      </c>
      <c r="H1417" s="20" t="s">
        <v>3652</v>
      </c>
      <c r="I1417" s="15">
        <v>1</v>
      </c>
      <c r="J1417" s="15" t="s">
        <v>25</v>
      </c>
      <c r="K1417" s="15"/>
      <c r="L1417" s="21" t="s">
        <v>16</v>
      </c>
      <c r="M1417" s="22">
        <v>0</v>
      </c>
      <c r="N1417" s="22">
        <v>-2700</v>
      </c>
      <c r="O1417" s="22">
        <v>12150</v>
      </c>
      <c r="P1417" s="22">
        <v>12150</v>
      </c>
      <c r="Q1417" t="str" cm="1">
        <f t="array" ref="Q1417">_xlfn.TEXTJOIN("、",TRUE,IF('學員資料-三民高中'!$B$2:$B$454=$F1417,'學員資料-三民高中'!$G$2:$G$454,""))</f>
        <v/>
      </c>
      <c r="R1417" t="str" cm="1">
        <f t="array" ref="R1417">_xlfn.TEXTJOIN("、",TRUE,IF('學員資料-新北高中'!$B$2:$B$583=$F1417,'學員資料-新北高中'!$G$2:$G$583,""))</f>
        <v>0955333911</v>
      </c>
      <c r="S1417" t="str" cm="1">
        <f t="array" ref="S1417">_xlfn.TEXTJOIN("、",TRUE,IF('學員資料-三重商工'!$B$2:$B$472=$F1417,'學員資料-三重商工'!$G$2:$G$472,""))</f>
        <v/>
      </c>
      <c r="T1417">
        <f t="shared" si="22"/>
        <v>1</v>
      </c>
    </row>
    <row r="1418" spans="1:20" ht="14.25" hidden="1" customHeight="1">
      <c r="A1418" s="15">
        <v>1417</v>
      </c>
      <c r="B1418" s="16" t="s">
        <v>4469</v>
      </c>
      <c r="C1418" s="17">
        <v>45787</v>
      </c>
      <c r="D1418" s="15" t="s">
        <v>4470</v>
      </c>
      <c r="E1418" s="18" t="s">
        <v>954</v>
      </c>
      <c r="F1418" s="19" t="s">
        <v>2359</v>
      </c>
      <c r="G1418" s="18" t="s">
        <v>2360</v>
      </c>
      <c r="H1418" s="20" t="s">
        <v>52</v>
      </c>
      <c r="I1418" s="15">
        <v>1</v>
      </c>
      <c r="J1418" s="15" t="s">
        <v>24</v>
      </c>
      <c r="K1418" s="15"/>
      <c r="L1418" s="21" t="s">
        <v>16</v>
      </c>
      <c r="M1418" s="22">
        <v>0</v>
      </c>
      <c r="N1418" s="22">
        <v>0</v>
      </c>
      <c r="O1418" s="22">
        <v>7500</v>
      </c>
      <c r="P1418" s="22">
        <v>7500</v>
      </c>
      <c r="Q1418" t="str" cm="1">
        <f t="array" ref="Q1418">_xlfn.TEXTJOIN("、",TRUE,IF('學員資料-三民高中'!$B$2:$B$454=$F1418,'學員資料-三民高中'!$G$2:$G$454,""))</f>
        <v>0937017975</v>
      </c>
      <c r="R1418" t="str" cm="1">
        <f t="array" ref="R1418">_xlfn.TEXTJOIN("、",TRUE,IF('學員資料-新北高中'!$B$2:$B$583=$F1418,'學員資料-新北高中'!$G$2:$G$583,""))</f>
        <v/>
      </c>
      <c r="S1418" t="str" cm="1">
        <f t="array" ref="S1418">_xlfn.TEXTJOIN("、",TRUE,IF('學員資料-三重商工'!$B$2:$B$472=$F1418,'學員資料-三重商工'!$G$2:$G$472,""))</f>
        <v/>
      </c>
      <c r="T1418">
        <f t="shared" si="22"/>
        <v>1</v>
      </c>
    </row>
    <row r="1419" spans="1:20" ht="43.5" hidden="1" customHeight="1">
      <c r="A1419" s="15">
        <v>1418</v>
      </c>
      <c r="B1419" s="16" t="s">
        <v>4471</v>
      </c>
      <c r="C1419" s="17">
        <v>45787</v>
      </c>
      <c r="D1419" s="15" t="s">
        <v>4472</v>
      </c>
      <c r="E1419" s="18" t="s">
        <v>954</v>
      </c>
      <c r="F1419" s="19" t="s">
        <v>4473</v>
      </c>
      <c r="G1419" s="18" t="s">
        <v>4474</v>
      </c>
      <c r="H1419" s="20" t="s">
        <v>4475</v>
      </c>
      <c r="I1419" s="15">
        <v>3</v>
      </c>
      <c r="J1419" s="15" t="s">
        <v>24</v>
      </c>
      <c r="K1419" s="21" t="s">
        <v>116</v>
      </c>
      <c r="L1419" s="21" t="s">
        <v>16</v>
      </c>
      <c r="M1419" s="22">
        <v>0</v>
      </c>
      <c r="N1419" s="22">
        <v>0</v>
      </c>
      <c r="O1419" s="22">
        <v>3600</v>
      </c>
      <c r="P1419" s="22">
        <v>3600</v>
      </c>
      <c r="Q1419" t="str" cm="1">
        <f t="array" ref="Q1419">_xlfn.TEXTJOIN("、",TRUE,IF('學員資料-三民高中'!$B$2:$B$454=$F1419,'學員資料-三民高中'!$G$2:$G$454,""))</f>
        <v/>
      </c>
      <c r="R1419" t="str" cm="1">
        <f t="array" ref="R1419">_xlfn.TEXTJOIN("、",TRUE,IF('學員資料-新北高中'!$B$2:$B$583=$F1419,'學員資料-新北高中'!$G$2:$G$583,""))</f>
        <v>0983888731</v>
      </c>
      <c r="S1419" t="str" cm="1">
        <f t="array" ref="S1419">_xlfn.TEXTJOIN("、",TRUE,IF('學員資料-三重商工'!$B$2:$B$472=$F1419,'學員資料-三重商工'!$G$2:$G$472,""))</f>
        <v/>
      </c>
      <c r="T1419">
        <f t="shared" si="22"/>
        <v>1</v>
      </c>
    </row>
    <row r="1420" spans="1:20" ht="14.25" hidden="1" customHeight="1">
      <c r="A1420" s="15">
        <v>1419</v>
      </c>
      <c r="B1420" s="16" t="s">
        <v>4476</v>
      </c>
      <c r="C1420" s="17">
        <v>45787</v>
      </c>
      <c r="D1420" s="15" t="s">
        <v>4477</v>
      </c>
      <c r="E1420" s="18" t="s">
        <v>954</v>
      </c>
      <c r="F1420" s="19" t="s">
        <v>4478</v>
      </c>
      <c r="G1420" s="18" t="s">
        <v>4479</v>
      </c>
      <c r="H1420" s="20" t="s">
        <v>52</v>
      </c>
      <c r="I1420" s="15">
        <v>1</v>
      </c>
      <c r="J1420" s="15" t="s">
        <v>24</v>
      </c>
      <c r="K1420" s="15"/>
      <c r="L1420" s="21" t="s">
        <v>16</v>
      </c>
      <c r="M1420" s="22">
        <v>0</v>
      </c>
      <c r="N1420" s="22">
        <v>0</v>
      </c>
      <c r="O1420" s="22">
        <v>7500</v>
      </c>
      <c r="P1420" s="22">
        <v>7500</v>
      </c>
      <c r="Q1420" t="str" cm="1">
        <f t="array" ref="Q1420">_xlfn.TEXTJOIN("、",TRUE,IF('學員資料-三民高中'!$B$2:$B$454=$F1420,'學員資料-三民高中'!$G$2:$G$454,""))</f>
        <v/>
      </c>
      <c r="R1420" t="str" cm="1">
        <f t="array" ref="R1420">_xlfn.TEXTJOIN("、",TRUE,IF('學員資料-新北高中'!$B$2:$B$583=$F1420,'學員資料-新北高中'!$G$2:$G$583,""))</f>
        <v>0975535719-2</v>
      </c>
      <c r="S1420" t="str" cm="1">
        <f t="array" ref="S1420">_xlfn.TEXTJOIN("、",TRUE,IF('學員資料-三重商工'!$B$2:$B$472=$F1420,'學員資料-三重商工'!$G$2:$G$472,""))</f>
        <v/>
      </c>
      <c r="T1420">
        <f t="shared" si="22"/>
        <v>1</v>
      </c>
    </row>
    <row r="1421" spans="1:20" ht="14.25" hidden="1" customHeight="1">
      <c r="A1421" s="15">
        <v>1420</v>
      </c>
      <c r="B1421" s="16" t="s">
        <v>4480</v>
      </c>
      <c r="C1421" s="17">
        <v>45787</v>
      </c>
      <c r="D1421" s="15" t="s">
        <v>4481</v>
      </c>
      <c r="E1421" s="18" t="s">
        <v>954</v>
      </c>
      <c r="F1421" s="19" t="s">
        <v>1724</v>
      </c>
      <c r="G1421" s="18" t="s">
        <v>1725</v>
      </c>
      <c r="H1421" s="20" t="s">
        <v>52</v>
      </c>
      <c r="I1421" s="15">
        <v>1</v>
      </c>
      <c r="J1421" s="15" t="s">
        <v>24</v>
      </c>
      <c r="K1421" s="15"/>
      <c r="L1421" s="21" t="s">
        <v>16</v>
      </c>
      <c r="M1421" s="22">
        <v>0</v>
      </c>
      <c r="N1421" s="22">
        <v>0</v>
      </c>
      <c r="O1421" s="22">
        <v>7500</v>
      </c>
      <c r="P1421" s="22">
        <v>7500</v>
      </c>
      <c r="Q1421" t="str" cm="1">
        <f t="array" ref="Q1421">_xlfn.TEXTJOIN("、",TRUE,IF('學員資料-三民高中'!$B$2:$B$454=$F1421,'學員資料-三民高中'!$G$2:$G$454,""))</f>
        <v/>
      </c>
      <c r="R1421" t="str" cm="1">
        <f t="array" ref="R1421">_xlfn.TEXTJOIN("、",TRUE,IF('學員資料-新北高中'!$B$2:$B$583=$F1421,'學員資料-新北高中'!$G$2:$G$583,""))</f>
        <v>0937503938</v>
      </c>
      <c r="S1421" t="str" cm="1">
        <f t="array" ref="S1421">_xlfn.TEXTJOIN("、",TRUE,IF('學員資料-三重商工'!$B$2:$B$472=$F1421,'學員資料-三重商工'!$G$2:$G$472,""))</f>
        <v/>
      </c>
      <c r="T1421">
        <f t="shared" si="22"/>
        <v>1</v>
      </c>
    </row>
    <row r="1422" spans="1:20" ht="14.25" hidden="1" customHeight="1">
      <c r="A1422" s="15">
        <v>1421</v>
      </c>
      <c r="B1422" s="16" t="s">
        <v>4482</v>
      </c>
      <c r="C1422" s="17">
        <v>45786</v>
      </c>
      <c r="D1422" s="15" t="s">
        <v>4483</v>
      </c>
      <c r="E1422" s="18" t="s">
        <v>954</v>
      </c>
      <c r="F1422" s="19" t="s">
        <v>4484</v>
      </c>
      <c r="G1422" s="18" t="s">
        <v>4485</v>
      </c>
      <c r="H1422" s="20" t="s">
        <v>52</v>
      </c>
      <c r="I1422" s="15">
        <v>1</v>
      </c>
      <c r="J1422" s="15" t="s">
        <v>24</v>
      </c>
      <c r="K1422" s="15"/>
      <c r="L1422" s="21" t="s">
        <v>16</v>
      </c>
      <c r="M1422" s="22">
        <v>0</v>
      </c>
      <c r="N1422" s="22">
        <v>0</v>
      </c>
      <c r="O1422" s="22">
        <v>7500</v>
      </c>
      <c r="P1422" s="22">
        <v>7500</v>
      </c>
      <c r="Q1422" t="str" cm="1">
        <f t="array" ref="Q1422">_xlfn.TEXTJOIN("、",TRUE,IF('學員資料-三民高中'!$B$2:$B$454=$F1422,'學員資料-三民高中'!$G$2:$G$454,""))</f>
        <v>0909000975</v>
      </c>
      <c r="R1422" t="str" cm="1">
        <f t="array" ref="R1422">_xlfn.TEXTJOIN("、",TRUE,IF('學員資料-新北高中'!$B$2:$B$583=$F1422,'學員資料-新北高中'!$G$2:$G$583,""))</f>
        <v/>
      </c>
      <c r="S1422" t="str" cm="1">
        <f t="array" ref="S1422">_xlfn.TEXTJOIN("、",TRUE,IF('學員資料-三重商工'!$B$2:$B$472=$F1422,'學員資料-三重商工'!$G$2:$G$472,""))</f>
        <v/>
      </c>
      <c r="T1422">
        <f t="shared" si="22"/>
        <v>1</v>
      </c>
    </row>
    <row r="1423" spans="1:20" ht="14.25" hidden="1" customHeight="1">
      <c r="A1423" s="15">
        <v>1422</v>
      </c>
      <c r="B1423" s="16" t="s">
        <v>4486</v>
      </c>
      <c r="C1423" s="17">
        <v>45786</v>
      </c>
      <c r="D1423" s="15" t="s">
        <v>4487</v>
      </c>
      <c r="E1423" s="18" t="s">
        <v>954</v>
      </c>
      <c r="F1423" s="19" t="s">
        <v>2217</v>
      </c>
      <c r="G1423" s="18" t="s">
        <v>2218</v>
      </c>
      <c r="H1423" s="20" t="s">
        <v>66</v>
      </c>
      <c r="I1423" s="15">
        <v>1</v>
      </c>
      <c r="J1423" s="15" t="s">
        <v>23</v>
      </c>
      <c r="K1423" s="15"/>
      <c r="L1423" s="21" t="s">
        <v>16</v>
      </c>
      <c r="M1423" s="22">
        <v>0</v>
      </c>
      <c r="N1423" s="22">
        <v>0</v>
      </c>
      <c r="O1423" s="22">
        <v>6900</v>
      </c>
      <c r="P1423" s="22">
        <v>6900</v>
      </c>
      <c r="Q1423" t="str" cm="1">
        <f t="array" ref="Q1423">_xlfn.TEXTJOIN("、",TRUE,IF('學員資料-三民高中'!$B$2:$B$454=$F1423,'學員資料-三民高中'!$G$2:$G$454,""))</f>
        <v/>
      </c>
      <c r="R1423" t="str" cm="1">
        <f t="array" ref="R1423">_xlfn.TEXTJOIN("、",TRUE,IF('學員資料-新北高中'!$B$2:$B$583=$F1423,'學員資料-新北高中'!$G$2:$G$583,""))</f>
        <v/>
      </c>
      <c r="S1423" t="str" cm="1">
        <f t="array" ref="S1423">_xlfn.TEXTJOIN("、",TRUE,IF('學員資料-三重商工'!$B$2:$B$472=$F1423,'學員資料-三重商工'!$G$2:$G$472,""))</f>
        <v>0958739859</v>
      </c>
      <c r="T1423">
        <f t="shared" si="22"/>
        <v>1</v>
      </c>
    </row>
    <row r="1424" spans="1:20" ht="28.5" customHeight="1">
      <c r="A1424" s="15">
        <v>1423</v>
      </c>
      <c r="B1424" s="16" t="s">
        <v>4488</v>
      </c>
      <c r="C1424" s="17">
        <v>45786</v>
      </c>
      <c r="D1424" s="15" t="s">
        <v>4489</v>
      </c>
      <c r="E1424" s="18" t="s">
        <v>954</v>
      </c>
      <c r="F1424" s="19"/>
      <c r="G1424" s="23" t="s">
        <v>4490</v>
      </c>
      <c r="H1424" s="20" t="s">
        <v>821</v>
      </c>
      <c r="I1424" s="15">
        <v>2</v>
      </c>
      <c r="J1424" s="15" t="s">
        <v>26</v>
      </c>
      <c r="K1424" s="15"/>
      <c r="L1424" s="21" t="s">
        <v>16</v>
      </c>
      <c r="M1424" s="22">
        <v>0</v>
      </c>
      <c r="N1424" s="22">
        <v>-3600</v>
      </c>
      <c r="O1424" s="22">
        <v>20400</v>
      </c>
      <c r="P1424" s="22">
        <v>20400</v>
      </c>
      <c r="Q1424" t="str" cm="1">
        <f t="array" ref="Q1424">_xlfn.TEXTJOIN("、",TRUE,IF('學員資料-三民高中'!$B$2:$B$454=$F1424,'學員資料-三民高中'!$G$2:$G$454,""))</f>
        <v/>
      </c>
      <c r="R1424" t="str" cm="1">
        <f t="array" ref="R1424">_xlfn.TEXTJOIN("、",TRUE,IF('學員資料-新北高中'!$B$2:$B$583=$F1424,'學員資料-新北高中'!$G$2:$G$583,""))</f>
        <v/>
      </c>
      <c r="S1424" t="str" cm="1">
        <f t="array" ref="S1424">_xlfn.TEXTJOIN("、",TRUE,IF('學員資料-三重商工'!$B$2:$B$472=$F1424,'學員資料-三重商工'!$G$2:$G$472,""))</f>
        <v/>
      </c>
      <c r="T1424">
        <f t="shared" si="22"/>
        <v>0</v>
      </c>
    </row>
    <row r="1425" spans="1:20" ht="14.25" hidden="1" customHeight="1">
      <c r="A1425" s="15">
        <v>1424</v>
      </c>
      <c r="B1425" s="16" t="s">
        <v>4491</v>
      </c>
      <c r="C1425" s="17">
        <v>45785</v>
      </c>
      <c r="D1425" s="15" t="s">
        <v>4492</v>
      </c>
      <c r="E1425" s="18" t="s">
        <v>954</v>
      </c>
      <c r="F1425" s="19" t="s">
        <v>4432</v>
      </c>
      <c r="G1425" s="18" t="s">
        <v>4433</v>
      </c>
      <c r="H1425" s="20" t="s">
        <v>2989</v>
      </c>
      <c r="I1425" s="15">
        <v>1</v>
      </c>
      <c r="J1425" s="15" t="s">
        <v>23</v>
      </c>
      <c r="K1425" s="21" t="s">
        <v>116</v>
      </c>
      <c r="L1425" s="21" t="s">
        <v>16</v>
      </c>
      <c r="M1425" s="22">
        <v>0</v>
      </c>
      <c r="N1425" s="22">
        <v>0</v>
      </c>
      <c r="O1425" s="22">
        <v>1200</v>
      </c>
      <c r="P1425" s="22">
        <v>1200</v>
      </c>
      <c r="Q1425" t="str" cm="1">
        <f t="array" ref="Q1425">_xlfn.TEXTJOIN("、",TRUE,IF('學員資料-三民高中'!$B$2:$B$454=$F1425,'學員資料-三民高中'!$G$2:$G$454,""))</f>
        <v/>
      </c>
      <c r="R1425" t="str" cm="1">
        <f t="array" ref="R1425">_xlfn.TEXTJOIN("、",TRUE,IF('學員資料-新北高中'!$B$2:$B$583=$F1425,'學員資料-新北高中'!$G$2:$G$583,""))</f>
        <v/>
      </c>
      <c r="S1425" t="str" cm="1">
        <f t="array" ref="S1425">_xlfn.TEXTJOIN("、",TRUE,IF('學員資料-三重商工'!$B$2:$B$472=$F1425,'學員資料-三重商工'!$G$2:$G$472,""))</f>
        <v>0919870210</v>
      </c>
      <c r="T1425">
        <f t="shared" si="22"/>
        <v>1</v>
      </c>
    </row>
    <row r="1426" spans="1:20" ht="14.25" hidden="1" customHeight="1">
      <c r="A1426" s="15">
        <v>1425</v>
      </c>
      <c r="B1426" s="16" t="s">
        <v>4493</v>
      </c>
      <c r="C1426" s="17">
        <v>45784</v>
      </c>
      <c r="D1426" s="15" t="s">
        <v>4494</v>
      </c>
      <c r="E1426" s="18" t="s">
        <v>954</v>
      </c>
      <c r="F1426" s="19" t="s">
        <v>4495</v>
      </c>
      <c r="G1426" s="18" t="s">
        <v>4496</v>
      </c>
      <c r="H1426" s="20" t="s">
        <v>52</v>
      </c>
      <c r="I1426" s="15">
        <v>1</v>
      </c>
      <c r="J1426" s="15" t="s">
        <v>24</v>
      </c>
      <c r="K1426" s="15"/>
      <c r="L1426" s="21" t="s">
        <v>16</v>
      </c>
      <c r="M1426" s="22">
        <v>0</v>
      </c>
      <c r="N1426" s="22">
        <v>0</v>
      </c>
      <c r="O1426" s="22">
        <v>7500</v>
      </c>
      <c r="P1426" s="22">
        <v>7500</v>
      </c>
      <c r="Q1426" t="str" cm="1">
        <f t="array" ref="Q1426">_xlfn.TEXTJOIN("、",TRUE,IF('學員資料-三民高中'!$B$2:$B$454=$F1426,'學員資料-三民高中'!$G$2:$G$454,""))</f>
        <v/>
      </c>
      <c r="R1426" t="str" cm="1">
        <f t="array" ref="R1426">_xlfn.TEXTJOIN("、",TRUE,IF('學員資料-新北高中'!$B$2:$B$583=$F1426,'學員資料-新北高中'!$G$2:$G$583,""))</f>
        <v/>
      </c>
      <c r="S1426" t="str" cm="1">
        <f t="array" ref="S1426">_xlfn.TEXTJOIN("、",TRUE,IF('學員資料-三重商工'!$B$2:$B$472=$F1426,'學員資料-三重商工'!$G$2:$G$472,""))</f>
        <v>0922004000</v>
      </c>
      <c r="T1426">
        <f t="shared" si="22"/>
        <v>1</v>
      </c>
    </row>
    <row r="1427" spans="1:20" ht="14.25" hidden="1" customHeight="1">
      <c r="A1427" s="15">
        <v>1426</v>
      </c>
      <c r="B1427" s="16" t="s">
        <v>4497</v>
      </c>
      <c r="C1427" s="17">
        <v>45784</v>
      </c>
      <c r="D1427" s="15" t="s">
        <v>4498</v>
      </c>
      <c r="E1427" s="18" t="s">
        <v>954</v>
      </c>
      <c r="F1427" s="19" t="s">
        <v>4499</v>
      </c>
      <c r="G1427" s="18" t="s">
        <v>4500</v>
      </c>
      <c r="H1427" s="20" t="s">
        <v>66</v>
      </c>
      <c r="I1427" s="15">
        <v>1</v>
      </c>
      <c r="J1427" s="15" t="s">
        <v>23</v>
      </c>
      <c r="K1427" s="15"/>
      <c r="L1427" s="21" t="s">
        <v>16</v>
      </c>
      <c r="M1427" s="22">
        <v>0</v>
      </c>
      <c r="N1427" s="22">
        <v>0</v>
      </c>
      <c r="O1427" s="22">
        <v>6900</v>
      </c>
      <c r="P1427" s="22">
        <v>6900</v>
      </c>
      <c r="Q1427" t="str" cm="1">
        <f t="array" ref="Q1427">_xlfn.TEXTJOIN("、",TRUE,IF('學員資料-三民高中'!$B$2:$B$454=$F1427,'學員資料-三民高中'!$G$2:$G$454,""))</f>
        <v/>
      </c>
      <c r="R1427" t="str" cm="1">
        <f t="array" ref="R1427">_xlfn.TEXTJOIN("、",TRUE,IF('學員資料-新北高中'!$B$2:$B$583=$F1427,'學員資料-新北高中'!$G$2:$G$583,""))</f>
        <v/>
      </c>
      <c r="S1427" t="str" cm="1">
        <f t="array" ref="S1427">_xlfn.TEXTJOIN("、",TRUE,IF('學員資料-三重商工'!$B$2:$B$472=$F1427,'學員資料-三重商工'!$G$2:$G$472,""))</f>
        <v>0919095297</v>
      </c>
      <c r="T1427">
        <f t="shared" si="22"/>
        <v>1</v>
      </c>
    </row>
    <row r="1428" spans="1:20" ht="14.25" hidden="1" customHeight="1">
      <c r="A1428" s="15">
        <v>1427</v>
      </c>
      <c r="B1428" s="16" t="s">
        <v>4501</v>
      </c>
      <c r="C1428" s="17">
        <v>45784</v>
      </c>
      <c r="D1428" s="15" t="s">
        <v>4502</v>
      </c>
      <c r="E1428" s="18" t="s">
        <v>954</v>
      </c>
      <c r="F1428" s="19" t="s">
        <v>1175</v>
      </c>
      <c r="G1428" s="18" t="s">
        <v>1176</v>
      </c>
      <c r="H1428" s="20" t="s">
        <v>66</v>
      </c>
      <c r="I1428" s="15">
        <v>1</v>
      </c>
      <c r="J1428" s="15" t="s">
        <v>23</v>
      </c>
      <c r="K1428" s="15"/>
      <c r="L1428" s="21" t="s">
        <v>16</v>
      </c>
      <c r="M1428" s="22">
        <v>0</v>
      </c>
      <c r="N1428" s="22">
        <v>0</v>
      </c>
      <c r="O1428" s="22">
        <v>6900</v>
      </c>
      <c r="P1428" s="22">
        <v>6900</v>
      </c>
      <c r="Q1428" t="str" cm="1">
        <f t="array" ref="Q1428">_xlfn.TEXTJOIN("、",TRUE,IF('學員資料-三民高中'!$B$2:$B$454=$F1428,'學員資料-三民高中'!$G$2:$G$454,""))</f>
        <v>0963008351</v>
      </c>
      <c r="R1428" t="str" cm="1">
        <f t="array" ref="R1428">_xlfn.TEXTJOIN("、",TRUE,IF('學員資料-新北高中'!$B$2:$B$583=$F1428,'學員資料-新北高中'!$G$2:$G$583,""))</f>
        <v/>
      </c>
      <c r="S1428" t="str" cm="1">
        <f t="array" ref="S1428">_xlfn.TEXTJOIN("、",TRUE,IF('學員資料-三重商工'!$B$2:$B$472=$F1428,'學員資料-三重商工'!$G$2:$G$472,""))</f>
        <v/>
      </c>
      <c r="T1428">
        <f t="shared" si="22"/>
        <v>1</v>
      </c>
    </row>
    <row r="1429" spans="1:20" ht="14.25" hidden="1" customHeight="1">
      <c r="A1429" s="15">
        <v>1428</v>
      </c>
      <c r="B1429" s="16" t="s">
        <v>4503</v>
      </c>
      <c r="C1429" s="17">
        <v>45784</v>
      </c>
      <c r="D1429" s="15" t="s">
        <v>4504</v>
      </c>
      <c r="E1429" s="18" t="s">
        <v>954</v>
      </c>
      <c r="F1429" s="19" t="s">
        <v>631</v>
      </c>
      <c r="G1429" s="18" t="s">
        <v>632</v>
      </c>
      <c r="H1429" s="20" t="s">
        <v>52</v>
      </c>
      <c r="I1429" s="15">
        <v>1</v>
      </c>
      <c r="J1429" s="15" t="s">
        <v>24</v>
      </c>
      <c r="K1429" s="15"/>
      <c r="L1429" s="21" t="s">
        <v>16</v>
      </c>
      <c r="M1429" s="22">
        <v>0</v>
      </c>
      <c r="N1429" s="22">
        <v>0</v>
      </c>
      <c r="O1429" s="22">
        <v>7500</v>
      </c>
      <c r="P1429" s="22">
        <v>7500</v>
      </c>
      <c r="Q1429" t="str" cm="1">
        <f t="array" ref="Q1429">_xlfn.TEXTJOIN("、",TRUE,IF('學員資料-三民高中'!$B$2:$B$454=$F1429,'學員資料-三民高中'!$G$2:$G$454,""))</f>
        <v/>
      </c>
      <c r="R1429" t="str" cm="1">
        <f t="array" ref="R1429">_xlfn.TEXTJOIN("、",TRUE,IF('學員資料-新北高中'!$B$2:$B$583=$F1429,'學員資料-新北高中'!$G$2:$G$583,""))</f>
        <v/>
      </c>
      <c r="S1429" t="str" cm="1">
        <f t="array" ref="S1429">_xlfn.TEXTJOIN("、",TRUE,IF('學員資料-三重商工'!$B$2:$B$472=$F1429,'學員資料-三重商工'!$G$2:$G$472,""))</f>
        <v>0939272316</v>
      </c>
      <c r="T1429">
        <f t="shared" si="22"/>
        <v>1</v>
      </c>
    </row>
    <row r="1430" spans="1:20" ht="14.25" hidden="1" customHeight="1">
      <c r="A1430" s="15">
        <v>1429</v>
      </c>
      <c r="B1430" s="16" t="s">
        <v>4505</v>
      </c>
      <c r="C1430" s="17">
        <v>45783</v>
      </c>
      <c r="D1430" s="15" t="s">
        <v>4506</v>
      </c>
      <c r="E1430" s="18" t="s">
        <v>954</v>
      </c>
      <c r="F1430" s="19" t="s">
        <v>318</v>
      </c>
      <c r="G1430" s="18" t="s">
        <v>319</v>
      </c>
      <c r="H1430" s="20" t="s">
        <v>52</v>
      </c>
      <c r="I1430" s="15">
        <v>1</v>
      </c>
      <c r="J1430" s="15" t="s">
        <v>24</v>
      </c>
      <c r="K1430" s="15"/>
      <c r="L1430" s="21" t="s">
        <v>16</v>
      </c>
      <c r="M1430" s="22">
        <v>0</v>
      </c>
      <c r="N1430" s="22">
        <v>0</v>
      </c>
      <c r="O1430" s="22">
        <v>7500</v>
      </c>
      <c r="P1430" s="22">
        <v>7500</v>
      </c>
      <c r="Q1430" t="str" cm="1">
        <f t="array" ref="Q1430">_xlfn.TEXTJOIN("、",TRUE,IF('學員資料-三民高中'!$B$2:$B$454=$F1430,'學員資料-三民高中'!$G$2:$G$454,""))</f>
        <v/>
      </c>
      <c r="R1430" t="str" cm="1">
        <f t="array" ref="R1430">_xlfn.TEXTJOIN("、",TRUE,IF('學員資料-新北高中'!$B$2:$B$583=$F1430,'學員資料-新北高中'!$G$2:$G$583,""))</f>
        <v>0980465708-1</v>
      </c>
      <c r="S1430" t="str" cm="1">
        <f t="array" ref="S1430">_xlfn.TEXTJOIN("、",TRUE,IF('學員資料-三重商工'!$B$2:$B$472=$F1430,'學員資料-三重商工'!$G$2:$G$472,""))</f>
        <v/>
      </c>
      <c r="T1430">
        <f t="shared" si="22"/>
        <v>1</v>
      </c>
    </row>
    <row r="1431" spans="1:20" ht="14.25" hidden="1" customHeight="1">
      <c r="A1431" s="15">
        <v>1430</v>
      </c>
      <c r="B1431" s="16" t="s">
        <v>4507</v>
      </c>
      <c r="C1431" s="17">
        <v>45783</v>
      </c>
      <c r="D1431" s="15" t="s">
        <v>4508</v>
      </c>
      <c r="E1431" s="18" t="s">
        <v>3862</v>
      </c>
      <c r="F1431" s="19" t="s">
        <v>318</v>
      </c>
      <c r="G1431" s="18" t="s">
        <v>319</v>
      </c>
      <c r="H1431" s="20" t="s">
        <v>52</v>
      </c>
      <c r="I1431" s="15">
        <v>1</v>
      </c>
      <c r="J1431" s="15" t="s">
        <v>24</v>
      </c>
      <c r="K1431" s="15"/>
      <c r="L1431" s="21" t="s">
        <v>16</v>
      </c>
      <c r="M1431" s="22">
        <v>0</v>
      </c>
      <c r="N1431" s="22">
        <v>0</v>
      </c>
      <c r="O1431" s="22">
        <v>7500</v>
      </c>
      <c r="P1431" s="22">
        <v>7500</v>
      </c>
      <c r="Q1431" t="str" cm="1">
        <f t="array" ref="Q1431">_xlfn.TEXTJOIN("、",TRUE,IF('學員資料-三民高中'!$B$2:$B$454=$F1431,'學員資料-三民高中'!$G$2:$G$454,""))</f>
        <v/>
      </c>
      <c r="R1431" t="str" cm="1">
        <f t="array" ref="R1431">_xlfn.TEXTJOIN("、",TRUE,IF('學員資料-新北高中'!$B$2:$B$583=$F1431,'學員資料-新北高中'!$G$2:$G$583,""))</f>
        <v>0980465708-1</v>
      </c>
      <c r="S1431" t="str" cm="1">
        <f t="array" ref="S1431">_xlfn.TEXTJOIN("、",TRUE,IF('學員資料-三重商工'!$B$2:$B$472=$F1431,'學員資料-三重商工'!$G$2:$G$472,""))</f>
        <v/>
      </c>
      <c r="T1431">
        <f t="shared" si="22"/>
        <v>1</v>
      </c>
    </row>
    <row r="1432" spans="1:20" ht="14.25" hidden="1" customHeight="1">
      <c r="A1432" s="15">
        <v>1431</v>
      </c>
      <c r="B1432" s="16" t="s">
        <v>4509</v>
      </c>
      <c r="C1432" s="17">
        <v>45783</v>
      </c>
      <c r="D1432" s="15" t="s">
        <v>4510</v>
      </c>
      <c r="E1432" s="18" t="s">
        <v>954</v>
      </c>
      <c r="F1432" s="19" t="s">
        <v>1508</v>
      </c>
      <c r="G1432" s="18" t="s">
        <v>1509</v>
      </c>
      <c r="H1432" s="20" t="s">
        <v>52</v>
      </c>
      <c r="I1432" s="15">
        <v>1</v>
      </c>
      <c r="J1432" s="15" t="s">
        <v>24</v>
      </c>
      <c r="K1432" s="15"/>
      <c r="L1432" s="21" t="s">
        <v>16</v>
      </c>
      <c r="M1432" s="22">
        <v>0</v>
      </c>
      <c r="N1432" s="22">
        <v>0</v>
      </c>
      <c r="O1432" s="22">
        <v>7500</v>
      </c>
      <c r="P1432" s="22">
        <v>7500</v>
      </c>
      <c r="Q1432" t="str" cm="1">
        <f t="array" ref="Q1432">_xlfn.TEXTJOIN("、",TRUE,IF('學員資料-三民高中'!$B$2:$B$454=$F1432,'學員資料-三民高中'!$G$2:$G$454,""))</f>
        <v/>
      </c>
      <c r="R1432" t="str" cm="1">
        <f t="array" ref="R1432">_xlfn.TEXTJOIN("、",TRUE,IF('學員資料-新北高中'!$B$2:$B$583=$F1432,'學員資料-新北高中'!$G$2:$G$583,""))</f>
        <v>0935676683</v>
      </c>
      <c r="S1432" t="str" cm="1">
        <f t="array" ref="S1432">_xlfn.TEXTJOIN("、",TRUE,IF('學員資料-三重商工'!$B$2:$B$472=$F1432,'學員資料-三重商工'!$G$2:$G$472,""))</f>
        <v/>
      </c>
      <c r="T1432">
        <f t="shared" si="22"/>
        <v>1</v>
      </c>
    </row>
    <row r="1433" spans="1:20" ht="14.25" hidden="1" customHeight="1">
      <c r="A1433" s="15">
        <v>1432</v>
      </c>
      <c r="B1433" s="16" t="s">
        <v>4511</v>
      </c>
      <c r="C1433" s="17">
        <v>45783</v>
      </c>
      <c r="D1433" s="15" t="s">
        <v>4512</v>
      </c>
      <c r="E1433" s="18" t="s">
        <v>954</v>
      </c>
      <c r="F1433" s="19" t="s">
        <v>997</v>
      </c>
      <c r="G1433" s="18" t="s">
        <v>998</v>
      </c>
      <c r="H1433" s="20" t="s">
        <v>210</v>
      </c>
      <c r="I1433" s="15">
        <v>1</v>
      </c>
      <c r="J1433" s="15" t="s">
        <v>26</v>
      </c>
      <c r="K1433" s="15"/>
      <c r="L1433" s="21" t="s">
        <v>16</v>
      </c>
      <c r="M1433" s="22">
        <v>0</v>
      </c>
      <c r="N1433" s="22">
        <v>0</v>
      </c>
      <c r="O1433" s="22">
        <v>12000</v>
      </c>
      <c r="P1433" s="22">
        <v>12000</v>
      </c>
      <c r="Q1433" t="str" cm="1">
        <f t="array" ref="Q1433">_xlfn.TEXTJOIN("、",TRUE,IF('學員資料-三民高中'!$B$2:$B$454=$F1433,'學員資料-三民高中'!$G$2:$G$454,""))</f>
        <v/>
      </c>
      <c r="R1433" t="str" cm="1">
        <f t="array" ref="R1433">_xlfn.TEXTJOIN("、",TRUE,IF('學員資料-新北高中'!$B$2:$B$583=$F1433,'學員資料-新北高中'!$G$2:$G$583,""))</f>
        <v/>
      </c>
      <c r="S1433" t="str" cm="1">
        <f t="array" ref="S1433">_xlfn.TEXTJOIN("、",TRUE,IF('學員資料-三重商工'!$B$2:$B$472=$F1433,'學員資料-三重商工'!$G$2:$G$472,""))</f>
        <v>0970944931</v>
      </c>
      <c r="T1433">
        <f t="shared" si="22"/>
        <v>1</v>
      </c>
    </row>
    <row r="1434" spans="1:20" ht="14.25" hidden="1" customHeight="1">
      <c r="A1434" s="15">
        <v>1433</v>
      </c>
      <c r="B1434" s="16" t="s">
        <v>4513</v>
      </c>
      <c r="C1434" s="17">
        <v>45783</v>
      </c>
      <c r="D1434" s="15" t="s">
        <v>4514</v>
      </c>
      <c r="E1434" s="18" t="s">
        <v>954</v>
      </c>
      <c r="F1434" s="19" t="s">
        <v>4515</v>
      </c>
      <c r="G1434" s="18" t="s">
        <v>4516</v>
      </c>
      <c r="H1434" s="20" t="s">
        <v>52</v>
      </c>
      <c r="I1434" s="15">
        <v>1</v>
      </c>
      <c r="J1434" s="15" t="s">
        <v>24</v>
      </c>
      <c r="K1434" s="15"/>
      <c r="L1434" s="21" t="s">
        <v>16</v>
      </c>
      <c r="M1434" s="22">
        <v>0</v>
      </c>
      <c r="N1434" s="22">
        <v>0</v>
      </c>
      <c r="O1434" s="22">
        <v>7500</v>
      </c>
      <c r="P1434" s="22">
        <v>7500</v>
      </c>
      <c r="Q1434" t="str" cm="1">
        <f t="array" ref="Q1434">_xlfn.TEXTJOIN("、",TRUE,IF('學員資料-三民高中'!$B$2:$B$454=$F1434,'學員資料-三民高中'!$G$2:$G$454,""))</f>
        <v/>
      </c>
      <c r="R1434" t="str" cm="1">
        <f t="array" ref="R1434">_xlfn.TEXTJOIN("、",TRUE,IF('學員資料-新北高中'!$B$2:$B$583=$F1434,'學員資料-新北高中'!$G$2:$G$583,""))</f>
        <v>0933826476</v>
      </c>
      <c r="S1434" t="str" cm="1">
        <f t="array" ref="S1434">_xlfn.TEXTJOIN("、",TRUE,IF('學員資料-三重商工'!$B$2:$B$472=$F1434,'學員資料-三重商工'!$G$2:$G$472,""))</f>
        <v/>
      </c>
      <c r="T1434">
        <f t="shared" si="22"/>
        <v>1</v>
      </c>
    </row>
    <row r="1435" spans="1:20" ht="14.25" hidden="1" customHeight="1">
      <c r="A1435" s="15">
        <v>1434</v>
      </c>
      <c r="B1435" s="16" t="s">
        <v>4517</v>
      </c>
      <c r="C1435" s="17">
        <v>45783</v>
      </c>
      <c r="D1435" s="15" t="s">
        <v>4518</v>
      </c>
      <c r="E1435" s="18" t="s">
        <v>954</v>
      </c>
      <c r="F1435" s="19" t="s">
        <v>675</v>
      </c>
      <c r="G1435" s="18" t="s">
        <v>676</v>
      </c>
      <c r="H1435" s="20" t="s">
        <v>66</v>
      </c>
      <c r="I1435" s="15">
        <v>1</v>
      </c>
      <c r="J1435" s="15" t="s">
        <v>23</v>
      </c>
      <c r="K1435" s="15"/>
      <c r="L1435" s="21" t="s">
        <v>16</v>
      </c>
      <c r="M1435" s="22">
        <v>0</v>
      </c>
      <c r="N1435" s="22">
        <v>-345</v>
      </c>
      <c r="O1435" s="22">
        <v>6555</v>
      </c>
      <c r="P1435" s="22">
        <v>6555</v>
      </c>
      <c r="Q1435" t="str" cm="1">
        <f t="array" ref="Q1435">_xlfn.TEXTJOIN("、",TRUE,IF('學員資料-三民高中'!$B$2:$B$454=$F1435,'學員資料-三民高中'!$G$2:$G$454,""))</f>
        <v/>
      </c>
      <c r="R1435" t="str" cm="1">
        <f t="array" ref="R1435">_xlfn.TEXTJOIN("、",TRUE,IF('學員資料-新北高中'!$B$2:$B$583=$F1435,'學員資料-新北高中'!$G$2:$G$583,""))</f>
        <v>0953272736</v>
      </c>
      <c r="S1435" t="str" cm="1">
        <f t="array" ref="S1435">_xlfn.TEXTJOIN("、",TRUE,IF('學員資料-三重商工'!$B$2:$B$472=$F1435,'學員資料-三重商工'!$G$2:$G$472,""))</f>
        <v/>
      </c>
      <c r="T1435">
        <f t="shared" si="22"/>
        <v>1</v>
      </c>
    </row>
    <row r="1436" spans="1:20" ht="14.25" hidden="1" customHeight="1">
      <c r="A1436" s="15">
        <v>1435</v>
      </c>
      <c r="B1436" s="16" t="s">
        <v>4519</v>
      </c>
      <c r="C1436" s="17">
        <v>45782</v>
      </c>
      <c r="D1436" s="15" t="s">
        <v>4520</v>
      </c>
      <c r="E1436" s="18" t="s">
        <v>954</v>
      </c>
      <c r="F1436" s="19" t="s">
        <v>4332</v>
      </c>
      <c r="G1436" s="18" t="s">
        <v>4333</v>
      </c>
      <c r="H1436" s="20" t="s">
        <v>66</v>
      </c>
      <c r="I1436" s="15">
        <v>1</v>
      </c>
      <c r="J1436" s="15" t="s">
        <v>23</v>
      </c>
      <c r="K1436" s="15"/>
      <c r="L1436" s="21" t="s">
        <v>16</v>
      </c>
      <c r="M1436" s="22">
        <v>0</v>
      </c>
      <c r="N1436" s="22">
        <v>0</v>
      </c>
      <c r="O1436" s="22">
        <v>6900</v>
      </c>
      <c r="P1436" s="22">
        <v>6900</v>
      </c>
      <c r="Q1436" t="str" cm="1">
        <f t="array" ref="Q1436">_xlfn.TEXTJOIN("、",TRUE,IF('學員資料-三民高中'!$B$2:$B$454=$F1436,'學員資料-三民高中'!$G$2:$G$454,""))</f>
        <v>0905552067</v>
      </c>
      <c r="R1436" t="str" cm="1">
        <f t="array" ref="R1436">_xlfn.TEXTJOIN("、",TRUE,IF('學員資料-新北高中'!$B$2:$B$583=$F1436,'學員資料-新北高中'!$G$2:$G$583,""))</f>
        <v/>
      </c>
      <c r="S1436" t="str" cm="1">
        <f t="array" ref="S1436">_xlfn.TEXTJOIN("、",TRUE,IF('學員資料-三重商工'!$B$2:$B$472=$F1436,'學員資料-三重商工'!$G$2:$G$472,""))</f>
        <v/>
      </c>
      <c r="T1436">
        <f t="shared" si="22"/>
        <v>1</v>
      </c>
    </row>
    <row r="1437" spans="1:20" ht="14.25" hidden="1" customHeight="1">
      <c r="A1437" s="15">
        <v>1436</v>
      </c>
      <c r="B1437" s="16" t="s">
        <v>4521</v>
      </c>
      <c r="C1437" s="17">
        <v>45782</v>
      </c>
      <c r="D1437" s="15" t="s">
        <v>4522</v>
      </c>
      <c r="E1437" s="18" t="s">
        <v>954</v>
      </c>
      <c r="F1437" s="19" t="s">
        <v>4523</v>
      </c>
      <c r="G1437" s="18" t="s">
        <v>4524</v>
      </c>
      <c r="H1437" s="20" t="s">
        <v>3766</v>
      </c>
      <c r="I1437" s="15">
        <v>1</v>
      </c>
      <c r="J1437" s="15" t="s">
        <v>24</v>
      </c>
      <c r="K1437" s="21" t="s">
        <v>116</v>
      </c>
      <c r="L1437" s="21" t="s">
        <v>16</v>
      </c>
      <c r="M1437" s="22">
        <v>0</v>
      </c>
      <c r="N1437" s="22">
        <v>0</v>
      </c>
      <c r="O1437" s="22">
        <v>1300</v>
      </c>
      <c r="P1437" s="22">
        <v>1300</v>
      </c>
      <c r="Q1437" t="str" cm="1">
        <f t="array" ref="Q1437">_xlfn.TEXTJOIN("、",TRUE,IF('學員資料-三民高中'!$B$2:$B$454=$F1437,'學員資料-三民高中'!$G$2:$G$454,""))</f>
        <v>0963326690</v>
      </c>
      <c r="R1437" t="str" cm="1">
        <f t="array" ref="R1437">_xlfn.TEXTJOIN("、",TRUE,IF('學員資料-新北高中'!$B$2:$B$583=$F1437,'學員資料-新北高中'!$G$2:$G$583,""))</f>
        <v/>
      </c>
      <c r="S1437" t="str" cm="1">
        <f t="array" ref="S1437">_xlfn.TEXTJOIN("、",TRUE,IF('學員資料-三重商工'!$B$2:$B$472=$F1437,'學員資料-三重商工'!$G$2:$G$472,""))</f>
        <v/>
      </c>
      <c r="T1437">
        <f t="shared" si="22"/>
        <v>1</v>
      </c>
    </row>
    <row r="1438" spans="1:20" ht="14.25" hidden="1" customHeight="1">
      <c r="A1438" s="15">
        <v>1437</v>
      </c>
      <c r="B1438" s="16" t="s">
        <v>4525</v>
      </c>
      <c r="C1438" s="17">
        <v>45781</v>
      </c>
      <c r="D1438" s="15" t="s">
        <v>4526</v>
      </c>
      <c r="E1438" s="18" t="s">
        <v>954</v>
      </c>
      <c r="F1438" s="19" t="s">
        <v>778</v>
      </c>
      <c r="G1438" s="18" t="s">
        <v>779</v>
      </c>
      <c r="H1438" s="20" t="s">
        <v>3811</v>
      </c>
      <c r="I1438" s="15">
        <v>1</v>
      </c>
      <c r="J1438" s="15" t="s">
        <v>24</v>
      </c>
      <c r="K1438" s="21" t="s">
        <v>116</v>
      </c>
      <c r="L1438" s="21" t="s">
        <v>16</v>
      </c>
      <c r="M1438" s="22">
        <v>0</v>
      </c>
      <c r="N1438" s="22">
        <v>0</v>
      </c>
      <c r="O1438" s="22">
        <v>1200</v>
      </c>
      <c r="P1438" s="22">
        <v>1200</v>
      </c>
      <c r="Q1438" t="str" cm="1">
        <f t="array" ref="Q1438">_xlfn.TEXTJOIN("、",TRUE,IF('學員資料-三民高中'!$B$2:$B$454=$F1438,'學員資料-三民高中'!$G$2:$G$454,""))</f>
        <v/>
      </c>
      <c r="R1438" t="str" cm="1">
        <f t="array" ref="R1438">_xlfn.TEXTJOIN("、",TRUE,IF('學員資料-新北高中'!$B$2:$B$583=$F1438,'學員資料-新北高中'!$G$2:$G$583,""))</f>
        <v>0972103256</v>
      </c>
      <c r="S1438" t="str" cm="1">
        <f t="array" ref="S1438">_xlfn.TEXTJOIN("、",TRUE,IF('學員資料-三重商工'!$B$2:$B$472=$F1438,'學員資料-三重商工'!$G$2:$G$472,""))</f>
        <v/>
      </c>
      <c r="T1438">
        <f t="shared" si="22"/>
        <v>1</v>
      </c>
    </row>
    <row r="1439" spans="1:20" ht="14.25" hidden="1" customHeight="1">
      <c r="A1439" s="15">
        <v>1438</v>
      </c>
      <c r="B1439" s="16" t="s">
        <v>4527</v>
      </c>
      <c r="C1439" s="17">
        <v>45781</v>
      </c>
      <c r="D1439" s="15" t="s">
        <v>4528</v>
      </c>
      <c r="E1439" s="18" t="s">
        <v>954</v>
      </c>
      <c r="F1439" s="19" t="s">
        <v>4310</v>
      </c>
      <c r="G1439" s="18" t="s">
        <v>4311</v>
      </c>
      <c r="H1439" s="20" t="s">
        <v>3811</v>
      </c>
      <c r="I1439" s="15">
        <v>1</v>
      </c>
      <c r="J1439" s="15" t="s">
        <v>24</v>
      </c>
      <c r="K1439" s="21" t="s">
        <v>116</v>
      </c>
      <c r="L1439" s="21" t="s">
        <v>16</v>
      </c>
      <c r="M1439" s="22">
        <v>0</v>
      </c>
      <c r="N1439" s="22">
        <v>0</v>
      </c>
      <c r="O1439" s="22">
        <v>1200</v>
      </c>
      <c r="P1439" s="22">
        <v>1200</v>
      </c>
      <c r="Q1439" t="str" cm="1">
        <f t="array" ref="Q1439">_xlfn.TEXTJOIN("、",TRUE,IF('學員資料-三民高中'!$B$2:$B$454=$F1439,'學員資料-三民高中'!$G$2:$G$454,""))</f>
        <v/>
      </c>
      <c r="R1439" t="str" cm="1">
        <f t="array" ref="R1439">_xlfn.TEXTJOIN("、",TRUE,IF('學員資料-新北高中'!$B$2:$B$583=$F1439,'學員資料-新北高中'!$G$2:$G$583,""))</f>
        <v>0965322117</v>
      </c>
      <c r="S1439" t="str" cm="1">
        <f t="array" ref="S1439">_xlfn.TEXTJOIN("、",TRUE,IF('學員資料-三重商工'!$B$2:$B$472=$F1439,'學員資料-三重商工'!$G$2:$G$472,""))</f>
        <v/>
      </c>
      <c r="T1439">
        <f t="shared" si="22"/>
        <v>1</v>
      </c>
    </row>
    <row r="1440" spans="1:20" ht="14.25" hidden="1" customHeight="1">
      <c r="A1440" s="15">
        <v>1439</v>
      </c>
      <c r="B1440" s="16" t="s">
        <v>4529</v>
      </c>
      <c r="C1440" s="17">
        <v>45781</v>
      </c>
      <c r="D1440" s="15" t="s">
        <v>4530</v>
      </c>
      <c r="E1440" s="18" t="s">
        <v>954</v>
      </c>
      <c r="F1440" s="19" t="s">
        <v>4310</v>
      </c>
      <c r="G1440" s="18" t="s">
        <v>4311</v>
      </c>
      <c r="H1440" s="20" t="s">
        <v>52</v>
      </c>
      <c r="I1440" s="15">
        <v>1</v>
      </c>
      <c r="J1440" s="15" t="s">
        <v>24</v>
      </c>
      <c r="K1440" s="15"/>
      <c r="L1440" s="21" t="s">
        <v>16</v>
      </c>
      <c r="M1440" s="22">
        <v>0</v>
      </c>
      <c r="N1440" s="22">
        <v>0</v>
      </c>
      <c r="O1440" s="22">
        <v>7500</v>
      </c>
      <c r="P1440" s="22">
        <v>7500</v>
      </c>
      <c r="Q1440" t="str" cm="1">
        <f t="array" ref="Q1440">_xlfn.TEXTJOIN("、",TRUE,IF('學員資料-三民高中'!$B$2:$B$454=$F1440,'學員資料-三民高中'!$G$2:$G$454,""))</f>
        <v/>
      </c>
      <c r="R1440" t="str" cm="1">
        <f t="array" ref="R1440">_xlfn.TEXTJOIN("、",TRUE,IF('學員資料-新北高中'!$B$2:$B$583=$F1440,'學員資料-新北高中'!$G$2:$G$583,""))</f>
        <v>0965322117</v>
      </c>
      <c r="S1440" t="str" cm="1">
        <f t="array" ref="S1440">_xlfn.TEXTJOIN("、",TRUE,IF('學員資料-三重商工'!$B$2:$B$472=$F1440,'學員資料-三重商工'!$G$2:$G$472,""))</f>
        <v/>
      </c>
      <c r="T1440">
        <f t="shared" si="22"/>
        <v>1</v>
      </c>
    </row>
    <row r="1441" spans="1:20" ht="14.25" hidden="1" customHeight="1">
      <c r="A1441" s="15">
        <v>1440</v>
      </c>
      <c r="B1441" s="16" t="s">
        <v>4531</v>
      </c>
      <c r="C1441" s="17">
        <v>45781</v>
      </c>
      <c r="D1441" s="15" t="s">
        <v>4532</v>
      </c>
      <c r="E1441" s="18" t="s">
        <v>954</v>
      </c>
      <c r="F1441" s="19" t="s">
        <v>4533</v>
      </c>
      <c r="G1441" s="18" t="s">
        <v>4534</v>
      </c>
      <c r="H1441" s="20" t="s">
        <v>52</v>
      </c>
      <c r="I1441" s="15">
        <v>1</v>
      </c>
      <c r="J1441" s="15" t="s">
        <v>24</v>
      </c>
      <c r="K1441" s="15"/>
      <c r="L1441" s="21" t="s">
        <v>16</v>
      </c>
      <c r="M1441" s="22">
        <v>0</v>
      </c>
      <c r="N1441" s="22">
        <v>0</v>
      </c>
      <c r="O1441" s="22">
        <v>7500</v>
      </c>
      <c r="P1441" s="22">
        <v>7500</v>
      </c>
      <c r="Q1441" t="str" cm="1">
        <f t="array" ref="Q1441">_xlfn.TEXTJOIN("、",TRUE,IF('學員資料-三民高中'!$B$2:$B$454=$F1441,'學員資料-三民高中'!$G$2:$G$454,""))</f>
        <v/>
      </c>
      <c r="R1441" t="str" cm="1">
        <f t="array" ref="R1441">_xlfn.TEXTJOIN("、",TRUE,IF('學員資料-新北高中'!$B$2:$B$583=$F1441,'學員資料-新北高中'!$G$2:$G$583,""))</f>
        <v>0939590106</v>
      </c>
      <c r="S1441" t="str" cm="1">
        <f t="array" ref="S1441">_xlfn.TEXTJOIN("、",TRUE,IF('學員資料-三重商工'!$B$2:$B$472=$F1441,'學員資料-三重商工'!$G$2:$G$472,""))</f>
        <v/>
      </c>
      <c r="T1441">
        <f t="shared" si="22"/>
        <v>1</v>
      </c>
    </row>
    <row r="1442" spans="1:20" ht="14.25" hidden="1" customHeight="1">
      <c r="A1442" s="15">
        <v>1441</v>
      </c>
      <c r="B1442" s="16" t="s">
        <v>4535</v>
      </c>
      <c r="C1442" s="17">
        <v>45781</v>
      </c>
      <c r="D1442" s="15" t="s">
        <v>4536</v>
      </c>
      <c r="E1442" s="18" t="s">
        <v>954</v>
      </c>
      <c r="F1442" s="19" t="s">
        <v>3856</v>
      </c>
      <c r="G1442" s="18" t="s">
        <v>3857</v>
      </c>
      <c r="H1442" s="20" t="s">
        <v>52</v>
      </c>
      <c r="I1442" s="15">
        <v>1</v>
      </c>
      <c r="J1442" s="15" t="s">
        <v>24</v>
      </c>
      <c r="K1442" s="15"/>
      <c r="L1442" s="21" t="s">
        <v>16</v>
      </c>
      <c r="M1442" s="22">
        <v>0</v>
      </c>
      <c r="N1442" s="22">
        <v>0</v>
      </c>
      <c r="O1442" s="22">
        <v>7500</v>
      </c>
      <c r="P1442" s="22">
        <v>7500</v>
      </c>
      <c r="Q1442" t="str" cm="1">
        <f t="array" ref="Q1442">_xlfn.TEXTJOIN("、",TRUE,IF('學員資料-三民高中'!$B$2:$B$454=$F1442,'學員資料-三民高中'!$G$2:$G$454,""))</f>
        <v/>
      </c>
      <c r="R1442" t="str" cm="1">
        <f t="array" ref="R1442">_xlfn.TEXTJOIN("、",TRUE,IF('學員資料-新北高中'!$B$2:$B$583=$F1442,'學員資料-新北高中'!$G$2:$G$583,""))</f>
        <v>0927673831</v>
      </c>
      <c r="S1442" t="str" cm="1">
        <f t="array" ref="S1442">_xlfn.TEXTJOIN("、",TRUE,IF('學員資料-三重商工'!$B$2:$B$472=$F1442,'學員資料-三重商工'!$G$2:$G$472,""))</f>
        <v/>
      </c>
      <c r="T1442">
        <f t="shared" si="22"/>
        <v>1</v>
      </c>
    </row>
    <row r="1443" spans="1:20" ht="28.5" hidden="1" customHeight="1">
      <c r="A1443" s="15">
        <v>1442</v>
      </c>
      <c r="B1443" s="16" t="s">
        <v>4537</v>
      </c>
      <c r="C1443" s="17">
        <v>45780</v>
      </c>
      <c r="D1443" s="15" t="s">
        <v>1862</v>
      </c>
      <c r="E1443" s="18" t="s">
        <v>954</v>
      </c>
      <c r="F1443" s="19" t="s">
        <v>4538</v>
      </c>
      <c r="G1443" s="18" t="s">
        <v>4539</v>
      </c>
      <c r="H1443" s="20" t="s">
        <v>99</v>
      </c>
      <c r="I1443" s="15">
        <v>2</v>
      </c>
      <c r="J1443" s="15" t="s">
        <v>24</v>
      </c>
      <c r="K1443" s="15"/>
      <c r="L1443" s="21" t="s">
        <v>16</v>
      </c>
      <c r="M1443" s="22">
        <v>0</v>
      </c>
      <c r="N1443" s="22">
        <v>0</v>
      </c>
      <c r="O1443" s="22">
        <v>15000</v>
      </c>
      <c r="P1443" s="22">
        <v>15000</v>
      </c>
      <c r="Q1443" t="str" cm="1">
        <f t="array" ref="Q1443">_xlfn.TEXTJOIN("、",TRUE,IF('學員資料-三民高中'!$B$2:$B$454=$F1443,'學員資料-三民高中'!$G$2:$G$454,""))</f>
        <v/>
      </c>
      <c r="R1443" t="str" cm="1">
        <f t="array" ref="R1443">_xlfn.TEXTJOIN("、",TRUE,IF('學員資料-新北高中'!$B$2:$B$583=$F1443,'學員資料-新北高中'!$G$2:$G$583,""))</f>
        <v/>
      </c>
      <c r="S1443" t="str" cm="1">
        <f t="array" ref="S1443">_xlfn.TEXTJOIN("、",TRUE,IF('學員資料-三重商工'!$B$2:$B$472=$F1443,'學員資料-三重商工'!$G$2:$G$472,""))</f>
        <v>0953289313</v>
      </c>
      <c r="T1443">
        <f t="shared" si="22"/>
        <v>1</v>
      </c>
    </row>
    <row r="1444" spans="1:20" ht="14.25" hidden="1" customHeight="1">
      <c r="A1444" s="15">
        <v>1443</v>
      </c>
      <c r="B1444" s="16" t="s">
        <v>4540</v>
      </c>
      <c r="C1444" s="17">
        <v>45780</v>
      </c>
      <c r="D1444" s="15" t="s">
        <v>4541</v>
      </c>
      <c r="E1444" s="18" t="s">
        <v>954</v>
      </c>
      <c r="F1444" s="19" t="s">
        <v>4542</v>
      </c>
      <c r="G1444" s="18" t="s">
        <v>4543</v>
      </c>
      <c r="H1444" s="20" t="s">
        <v>66</v>
      </c>
      <c r="I1444" s="15">
        <v>1</v>
      </c>
      <c r="J1444" s="15" t="s">
        <v>23</v>
      </c>
      <c r="K1444" s="15"/>
      <c r="L1444" s="21" t="s">
        <v>16</v>
      </c>
      <c r="M1444" s="22">
        <v>0</v>
      </c>
      <c r="N1444" s="22">
        <v>0</v>
      </c>
      <c r="O1444" s="22">
        <v>6900</v>
      </c>
      <c r="P1444" s="22">
        <v>6900</v>
      </c>
      <c r="Q1444" t="str" cm="1">
        <f t="array" ref="Q1444">_xlfn.TEXTJOIN("、",TRUE,IF('學員資料-三民高中'!$B$2:$B$454=$F1444,'學員資料-三民高中'!$G$2:$G$454,""))</f>
        <v/>
      </c>
      <c r="R1444" t="str" cm="1">
        <f t="array" ref="R1444">_xlfn.TEXTJOIN("、",TRUE,IF('學員資料-新北高中'!$B$2:$B$583=$F1444,'學員資料-新北高中'!$G$2:$G$583,""))</f>
        <v/>
      </c>
      <c r="S1444" t="str" cm="1">
        <f t="array" ref="S1444">_xlfn.TEXTJOIN("、",TRUE,IF('學員資料-三重商工'!$B$2:$B$472=$F1444,'學員資料-三重商工'!$G$2:$G$472,""))</f>
        <v>0918713136</v>
      </c>
      <c r="T1444">
        <f t="shared" si="22"/>
        <v>1</v>
      </c>
    </row>
    <row r="1445" spans="1:20" ht="14.25" hidden="1" customHeight="1">
      <c r="A1445" s="15">
        <v>1444</v>
      </c>
      <c r="B1445" s="16" t="s">
        <v>4544</v>
      </c>
      <c r="C1445" s="17">
        <v>45780</v>
      </c>
      <c r="D1445" s="15" t="s">
        <v>4545</v>
      </c>
      <c r="E1445" s="18" t="s">
        <v>954</v>
      </c>
      <c r="F1445" s="19" t="s">
        <v>4546</v>
      </c>
      <c r="G1445" s="18" t="s">
        <v>4547</v>
      </c>
      <c r="H1445" s="20" t="s">
        <v>52</v>
      </c>
      <c r="I1445" s="15">
        <v>1</v>
      </c>
      <c r="J1445" s="15" t="s">
        <v>24</v>
      </c>
      <c r="K1445" s="15"/>
      <c r="L1445" s="21" t="s">
        <v>16</v>
      </c>
      <c r="M1445" s="22">
        <v>0</v>
      </c>
      <c r="N1445" s="22">
        <v>0</v>
      </c>
      <c r="O1445" s="22">
        <v>7500</v>
      </c>
      <c r="P1445" s="22">
        <v>7500</v>
      </c>
      <c r="Q1445" t="str" cm="1">
        <f t="array" ref="Q1445">_xlfn.TEXTJOIN("、",TRUE,IF('學員資料-三民高中'!$B$2:$B$454=$F1445,'學員資料-三民高中'!$G$2:$G$454,""))</f>
        <v/>
      </c>
      <c r="R1445" t="str" cm="1">
        <f t="array" ref="R1445">_xlfn.TEXTJOIN("、",TRUE,IF('學員資料-新北高中'!$B$2:$B$583=$F1445,'學員資料-新北高中'!$G$2:$G$583,""))</f>
        <v/>
      </c>
      <c r="S1445" t="str" cm="1">
        <f t="array" ref="S1445">_xlfn.TEXTJOIN("、",TRUE,IF('學員資料-三重商工'!$B$2:$B$472=$F1445,'學員資料-三重商工'!$G$2:$G$472,""))</f>
        <v>0937984913</v>
      </c>
      <c r="T1445">
        <f t="shared" si="22"/>
        <v>1</v>
      </c>
    </row>
    <row r="1446" spans="1:20" ht="14.25" hidden="1" customHeight="1">
      <c r="A1446" s="15">
        <v>1445</v>
      </c>
      <c r="B1446" s="16" t="s">
        <v>4548</v>
      </c>
      <c r="C1446" s="17">
        <v>45780</v>
      </c>
      <c r="D1446" s="15" t="s">
        <v>4549</v>
      </c>
      <c r="E1446" s="18" t="s">
        <v>954</v>
      </c>
      <c r="F1446" s="19" t="s">
        <v>4152</v>
      </c>
      <c r="G1446" s="18" t="s">
        <v>4153</v>
      </c>
      <c r="H1446" s="20" t="s">
        <v>52</v>
      </c>
      <c r="I1446" s="15">
        <v>1</v>
      </c>
      <c r="J1446" s="15" t="s">
        <v>24</v>
      </c>
      <c r="K1446" s="15"/>
      <c r="L1446" s="21" t="s">
        <v>16</v>
      </c>
      <c r="M1446" s="22">
        <v>0</v>
      </c>
      <c r="N1446" s="22">
        <v>0</v>
      </c>
      <c r="O1446" s="22">
        <v>7500</v>
      </c>
      <c r="P1446" s="22">
        <v>7500</v>
      </c>
      <c r="Q1446" t="str" cm="1">
        <f t="array" ref="Q1446">_xlfn.TEXTJOIN("、",TRUE,IF('學員資料-三民高中'!$B$2:$B$454=$F1446,'學員資料-三民高中'!$G$2:$G$454,""))</f>
        <v>22814891</v>
      </c>
      <c r="R1446" t="str" cm="1">
        <f t="array" ref="R1446">_xlfn.TEXTJOIN("、",TRUE,IF('學員資料-新北高中'!$B$2:$B$583=$F1446,'學員資料-新北高中'!$G$2:$G$583,""))</f>
        <v/>
      </c>
      <c r="S1446" t="str" cm="1">
        <f t="array" ref="S1446">_xlfn.TEXTJOIN("、",TRUE,IF('學員資料-三重商工'!$B$2:$B$472=$F1446,'學員資料-三重商工'!$G$2:$G$472,""))</f>
        <v/>
      </c>
      <c r="T1446">
        <f t="shared" si="22"/>
        <v>1</v>
      </c>
    </row>
    <row r="1447" spans="1:20" ht="14.25" hidden="1" customHeight="1">
      <c r="A1447" s="15">
        <v>1446</v>
      </c>
      <c r="B1447" s="16" t="s">
        <v>4550</v>
      </c>
      <c r="C1447" s="17">
        <v>45780</v>
      </c>
      <c r="D1447" s="15" t="s">
        <v>4551</v>
      </c>
      <c r="E1447" s="18" t="s">
        <v>954</v>
      </c>
      <c r="F1447" s="19" t="s">
        <v>4148</v>
      </c>
      <c r="G1447" s="18" t="s">
        <v>4149</v>
      </c>
      <c r="H1447" s="20" t="s">
        <v>52</v>
      </c>
      <c r="I1447" s="15">
        <v>1</v>
      </c>
      <c r="J1447" s="15" t="s">
        <v>24</v>
      </c>
      <c r="K1447" s="15"/>
      <c r="L1447" s="21" t="s">
        <v>16</v>
      </c>
      <c r="M1447" s="22">
        <v>0</v>
      </c>
      <c r="N1447" s="22">
        <v>0</v>
      </c>
      <c r="O1447" s="22">
        <v>7500</v>
      </c>
      <c r="P1447" s="22">
        <v>7500</v>
      </c>
      <c r="Q1447" t="str" cm="1">
        <f t="array" ref="Q1447">_xlfn.TEXTJOIN("、",TRUE,IF('學員資料-三民高中'!$B$2:$B$454=$F1447,'學員資料-三民高中'!$G$2:$G$454,""))</f>
        <v>0988507590</v>
      </c>
      <c r="R1447" t="str" cm="1">
        <f t="array" ref="R1447">_xlfn.TEXTJOIN("、",TRUE,IF('學員資料-新北高中'!$B$2:$B$583=$F1447,'學員資料-新北高中'!$G$2:$G$583,""))</f>
        <v/>
      </c>
      <c r="S1447" t="str" cm="1">
        <f t="array" ref="S1447">_xlfn.TEXTJOIN("、",TRUE,IF('學員資料-三重商工'!$B$2:$B$472=$F1447,'學員資料-三重商工'!$G$2:$G$472,""))</f>
        <v/>
      </c>
      <c r="T1447">
        <f t="shared" si="22"/>
        <v>1</v>
      </c>
    </row>
    <row r="1448" spans="1:20" ht="14.25" hidden="1" customHeight="1">
      <c r="A1448" s="15">
        <v>1447</v>
      </c>
      <c r="B1448" s="16" t="s">
        <v>4552</v>
      </c>
      <c r="C1448" s="17">
        <v>45780</v>
      </c>
      <c r="D1448" s="15" t="s">
        <v>4553</v>
      </c>
      <c r="E1448" s="18" t="s">
        <v>954</v>
      </c>
      <c r="F1448" s="19" t="s">
        <v>304</v>
      </c>
      <c r="G1448" s="18" t="s">
        <v>305</v>
      </c>
      <c r="H1448" s="20" t="s">
        <v>52</v>
      </c>
      <c r="I1448" s="15">
        <v>1</v>
      </c>
      <c r="J1448" s="15" t="s">
        <v>24</v>
      </c>
      <c r="K1448" s="15"/>
      <c r="L1448" s="21" t="s">
        <v>16</v>
      </c>
      <c r="M1448" s="22">
        <v>0</v>
      </c>
      <c r="N1448" s="22">
        <v>0</v>
      </c>
      <c r="O1448" s="22">
        <v>7500</v>
      </c>
      <c r="P1448" s="22">
        <v>7500</v>
      </c>
      <c r="Q1448" t="str" cm="1">
        <f t="array" ref="Q1448">_xlfn.TEXTJOIN("、",TRUE,IF('學員資料-三民高中'!$B$2:$B$454=$F1448,'學員資料-三民高中'!$G$2:$G$454,""))</f>
        <v>0956558987</v>
      </c>
      <c r="R1448" t="str" cm="1">
        <f t="array" ref="R1448">_xlfn.TEXTJOIN("、",TRUE,IF('學員資料-新北高中'!$B$2:$B$583=$F1448,'學員資料-新北高中'!$G$2:$G$583,""))</f>
        <v/>
      </c>
      <c r="S1448" t="str" cm="1">
        <f t="array" ref="S1448">_xlfn.TEXTJOIN("、",TRUE,IF('學員資料-三重商工'!$B$2:$B$472=$F1448,'學員資料-三重商工'!$G$2:$G$472,""))</f>
        <v/>
      </c>
      <c r="T1448">
        <f t="shared" si="22"/>
        <v>1</v>
      </c>
    </row>
    <row r="1449" spans="1:20" ht="14.25" hidden="1" customHeight="1">
      <c r="A1449" s="15">
        <v>1448</v>
      </c>
      <c r="B1449" s="16" t="s">
        <v>4554</v>
      </c>
      <c r="C1449" s="17">
        <v>45780</v>
      </c>
      <c r="D1449" s="15" t="s">
        <v>4555</v>
      </c>
      <c r="E1449" s="18" t="s">
        <v>954</v>
      </c>
      <c r="F1449" s="19" t="s">
        <v>858</v>
      </c>
      <c r="G1449" s="18" t="s">
        <v>859</v>
      </c>
      <c r="H1449" s="20" t="s">
        <v>66</v>
      </c>
      <c r="I1449" s="15">
        <v>1</v>
      </c>
      <c r="J1449" s="15" t="s">
        <v>23</v>
      </c>
      <c r="K1449" s="15"/>
      <c r="L1449" s="21" t="s">
        <v>16</v>
      </c>
      <c r="M1449" s="22">
        <v>0</v>
      </c>
      <c r="N1449" s="22">
        <v>0</v>
      </c>
      <c r="O1449" s="22">
        <v>6900</v>
      </c>
      <c r="P1449" s="22">
        <v>6900</v>
      </c>
      <c r="Q1449" t="str" cm="1">
        <f t="array" ref="Q1449">_xlfn.TEXTJOIN("、",TRUE,IF('學員資料-三民高中'!$B$2:$B$454=$F1449,'學員資料-三民高中'!$G$2:$G$454,""))</f>
        <v/>
      </c>
      <c r="R1449" t="str" cm="1">
        <f t="array" ref="R1449">_xlfn.TEXTJOIN("、",TRUE,IF('學員資料-新北高中'!$B$2:$B$583=$F1449,'學員資料-新北高中'!$G$2:$G$583,""))</f>
        <v>0975759723</v>
      </c>
      <c r="S1449" t="str" cm="1">
        <f t="array" ref="S1449">_xlfn.TEXTJOIN("、",TRUE,IF('學員資料-三重商工'!$B$2:$B$472=$F1449,'學員資料-三重商工'!$G$2:$G$472,""))</f>
        <v/>
      </c>
      <c r="T1449">
        <f t="shared" si="22"/>
        <v>1</v>
      </c>
    </row>
    <row r="1450" spans="1:20" ht="14.25" hidden="1" customHeight="1">
      <c r="A1450" s="15">
        <v>1449</v>
      </c>
      <c r="B1450" s="16" t="s">
        <v>4556</v>
      </c>
      <c r="C1450" s="17">
        <v>45780</v>
      </c>
      <c r="D1450" s="15" t="s">
        <v>4557</v>
      </c>
      <c r="E1450" s="18" t="s">
        <v>954</v>
      </c>
      <c r="F1450" s="19" t="s">
        <v>251</v>
      </c>
      <c r="G1450" s="18" t="s">
        <v>252</v>
      </c>
      <c r="H1450" s="20" t="s">
        <v>52</v>
      </c>
      <c r="I1450" s="15">
        <v>1</v>
      </c>
      <c r="J1450" s="15" t="s">
        <v>24</v>
      </c>
      <c r="K1450" s="15"/>
      <c r="L1450" s="21" t="s">
        <v>16</v>
      </c>
      <c r="M1450" s="22">
        <v>0</v>
      </c>
      <c r="N1450" s="22">
        <v>0</v>
      </c>
      <c r="O1450" s="22">
        <v>7500</v>
      </c>
      <c r="P1450" s="22">
        <v>7500</v>
      </c>
      <c r="Q1450" t="str" cm="1">
        <f t="array" ref="Q1450">_xlfn.TEXTJOIN("、",TRUE,IF('學員資料-三民高中'!$B$2:$B$454=$F1450,'學員資料-三民高中'!$G$2:$G$454,""))</f>
        <v/>
      </c>
      <c r="R1450" t="str" cm="1">
        <f t="array" ref="R1450">_xlfn.TEXTJOIN("、",TRUE,IF('學員資料-新北高中'!$B$2:$B$583=$F1450,'學員資料-新北高中'!$G$2:$G$583,""))</f>
        <v>0921929959</v>
      </c>
      <c r="S1450" t="str" cm="1">
        <f t="array" ref="S1450">_xlfn.TEXTJOIN("、",TRUE,IF('學員資料-三重商工'!$B$2:$B$472=$F1450,'學員資料-三重商工'!$G$2:$G$472,""))</f>
        <v/>
      </c>
      <c r="T1450">
        <f t="shared" si="22"/>
        <v>1</v>
      </c>
    </row>
    <row r="1451" spans="1:20" ht="14.25" hidden="1" customHeight="1">
      <c r="A1451" s="15">
        <v>1450</v>
      </c>
      <c r="B1451" s="16" t="s">
        <v>4558</v>
      </c>
      <c r="C1451" s="17">
        <v>45780</v>
      </c>
      <c r="D1451" s="15" t="s">
        <v>4559</v>
      </c>
      <c r="E1451" s="18" t="s">
        <v>954</v>
      </c>
      <c r="F1451" s="19" t="s">
        <v>4560</v>
      </c>
      <c r="G1451" s="18" t="s">
        <v>4561</v>
      </c>
      <c r="H1451" s="20" t="s">
        <v>52</v>
      </c>
      <c r="I1451" s="15">
        <v>1</v>
      </c>
      <c r="J1451" s="15" t="s">
        <v>24</v>
      </c>
      <c r="K1451" s="15"/>
      <c r="L1451" s="21" t="s">
        <v>16</v>
      </c>
      <c r="M1451" s="22">
        <v>0</v>
      </c>
      <c r="N1451" s="22">
        <v>0</v>
      </c>
      <c r="O1451" s="22">
        <v>7500</v>
      </c>
      <c r="P1451" s="22">
        <v>7500</v>
      </c>
      <c r="Q1451" t="str" cm="1">
        <f t="array" ref="Q1451">_xlfn.TEXTJOIN("、",TRUE,IF('學員資料-三民高中'!$B$2:$B$454=$F1451,'學員資料-三民高中'!$G$2:$G$454,""))</f>
        <v/>
      </c>
      <c r="R1451" t="str" cm="1">
        <f t="array" ref="R1451">_xlfn.TEXTJOIN("、",TRUE,IF('學員資料-新北高中'!$B$2:$B$583=$F1451,'學員資料-新北高中'!$G$2:$G$583,""))</f>
        <v/>
      </c>
      <c r="S1451" t="str" cm="1">
        <f t="array" ref="S1451">_xlfn.TEXTJOIN("、",TRUE,IF('學員資料-三重商工'!$B$2:$B$472=$F1451,'學員資料-三重商工'!$G$2:$G$472,""))</f>
        <v>0988084883</v>
      </c>
      <c r="T1451">
        <f t="shared" si="22"/>
        <v>1</v>
      </c>
    </row>
    <row r="1452" spans="1:20" ht="14.25" hidden="1" customHeight="1">
      <c r="A1452" s="15">
        <v>1451</v>
      </c>
      <c r="B1452" s="16" t="s">
        <v>4562</v>
      </c>
      <c r="C1452" s="17">
        <v>45779</v>
      </c>
      <c r="D1452" s="15" t="s">
        <v>4563</v>
      </c>
      <c r="E1452" s="18" t="s">
        <v>954</v>
      </c>
      <c r="F1452" s="19" t="s">
        <v>3722</v>
      </c>
      <c r="G1452" s="18" t="s">
        <v>3723</v>
      </c>
      <c r="H1452" s="20" t="s">
        <v>130</v>
      </c>
      <c r="I1452" s="15">
        <v>1</v>
      </c>
      <c r="J1452" s="15" t="s">
        <v>25</v>
      </c>
      <c r="K1452" s="15"/>
      <c r="L1452" s="21" t="s">
        <v>16</v>
      </c>
      <c r="M1452" s="22">
        <v>0</v>
      </c>
      <c r="N1452" s="22">
        <v>0</v>
      </c>
      <c r="O1452" s="22">
        <v>9900</v>
      </c>
      <c r="P1452" s="22">
        <v>9900</v>
      </c>
      <c r="Q1452" t="str" cm="1">
        <f t="array" ref="Q1452">_xlfn.TEXTJOIN("、",TRUE,IF('學員資料-三民高中'!$B$2:$B$454=$F1452,'學員資料-三民高中'!$G$2:$G$454,""))</f>
        <v/>
      </c>
      <c r="R1452" t="str" cm="1">
        <f t="array" ref="R1452">_xlfn.TEXTJOIN("、",TRUE,IF('學員資料-新北高中'!$B$2:$B$583=$F1452,'學員資料-新北高中'!$G$2:$G$583,""))</f>
        <v/>
      </c>
      <c r="S1452" t="str" cm="1">
        <f t="array" ref="S1452">_xlfn.TEXTJOIN("、",TRUE,IF('學員資料-三重商工'!$B$2:$B$472=$F1452,'學員資料-三重商工'!$G$2:$G$472,""))</f>
        <v>0911822047</v>
      </c>
      <c r="T1452">
        <f t="shared" si="22"/>
        <v>1</v>
      </c>
    </row>
    <row r="1453" spans="1:20" ht="28.5" hidden="1" customHeight="1">
      <c r="A1453" s="15">
        <v>1452</v>
      </c>
      <c r="B1453" s="16" t="s">
        <v>4564</v>
      </c>
      <c r="C1453" s="17">
        <v>45779</v>
      </c>
      <c r="D1453" s="15" t="s">
        <v>4565</v>
      </c>
      <c r="E1453" s="18" t="s">
        <v>954</v>
      </c>
      <c r="F1453" s="19" t="s">
        <v>4566</v>
      </c>
      <c r="G1453" s="18" t="s">
        <v>4567</v>
      </c>
      <c r="H1453" s="20" t="s">
        <v>99</v>
      </c>
      <c r="I1453" s="15">
        <v>2</v>
      </c>
      <c r="J1453" s="15" t="s">
        <v>24</v>
      </c>
      <c r="K1453" s="15"/>
      <c r="L1453" s="21" t="s">
        <v>16</v>
      </c>
      <c r="M1453" s="22">
        <v>0</v>
      </c>
      <c r="N1453" s="22">
        <v>0</v>
      </c>
      <c r="O1453" s="22">
        <v>15000</v>
      </c>
      <c r="P1453" s="22">
        <v>15000</v>
      </c>
      <c r="Q1453" t="str" cm="1">
        <f t="array" ref="Q1453">_xlfn.TEXTJOIN("、",TRUE,IF('學員資料-三民高中'!$B$2:$B$454=$F1453,'學員資料-三民高中'!$G$2:$G$454,""))</f>
        <v/>
      </c>
      <c r="R1453" t="str" cm="1">
        <f t="array" ref="R1453">_xlfn.TEXTJOIN("、",TRUE,IF('學員資料-新北高中'!$B$2:$B$583=$F1453,'學員資料-新北高中'!$G$2:$G$583,""))</f>
        <v/>
      </c>
      <c r="S1453" t="str" cm="1">
        <f t="array" ref="S1453">_xlfn.TEXTJOIN("、",TRUE,IF('學員資料-三重商工'!$B$2:$B$472=$F1453,'學員資料-三重商工'!$G$2:$G$472,""))</f>
        <v>0939287997</v>
      </c>
      <c r="T1453">
        <f t="shared" si="22"/>
        <v>1</v>
      </c>
    </row>
    <row r="1454" spans="1:20" ht="14.25" hidden="1" customHeight="1">
      <c r="A1454" s="15">
        <v>1453</v>
      </c>
      <c r="B1454" s="16" t="s">
        <v>4568</v>
      </c>
      <c r="C1454" s="17">
        <v>45777</v>
      </c>
      <c r="D1454" s="15" t="s">
        <v>4569</v>
      </c>
      <c r="E1454" s="18" t="s">
        <v>3862</v>
      </c>
      <c r="F1454" s="19" t="s">
        <v>1391</v>
      </c>
      <c r="G1454" s="18" t="s">
        <v>1392</v>
      </c>
      <c r="H1454" s="20" t="s">
        <v>3766</v>
      </c>
      <c r="I1454" s="15">
        <v>1</v>
      </c>
      <c r="J1454" s="15" t="s">
        <v>24</v>
      </c>
      <c r="K1454" s="21" t="s">
        <v>116</v>
      </c>
      <c r="L1454" s="21" t="s">
        <v>16</v>
      </c>
      <c r="M1454" s="22">
        <v>0</v>
      </c>
      <c r="N1454" s="22">
        <v>0</v>
      </c>
      <c r="O1454" s="22">
        <v>1300</v>
      </c>
      <c r="P1454" s="22">
        <v>1300</v>
      </c>
      <c r="Q1454" t="str" cm="1">
        <f t="array" ref="Q1454">_xlfn.TEXTJOIN("、",TRUE,IF('學員資料-三民高中'!$B$2:$B$454=$F1454,'學員資料-三民高中'!$G$2:$G$454,""))</f>
        <v/>
      </c>
      <c r="R1454" t="str" cm="1">
        <f t="array" ref="R1454">_xlfn.TEXTJOIN("、",TRUE,IF('學員資料-新北高中'!$B$2:$B$583=$F1454,'學員資料-新北高中'!$G$2:$G$583,""))</f>
        <v/>
      </c>
      <c r="S1454" t="str" cm="1">
        <f t="array" ref="S1454">_xlfn.TEXTJOIN("、",TRUE,IF('學員資料-三重商工'!$B$2:$B$472=$F1454,'學員資料-三重商工'!$G$2:$G$472,""))</f>
        <v>0921116744</v>
      </c>
      <c r="T1454">
        <f t="shared" si="22"/>
        <v>1</v>
      </c>
    </row>
    <row r="1455" spans="1:20" ht="43.5" hidden="1" customHeight="1">
      <c r="A1455" s="15">
        <v>1454</v>
      </c>
      <c r="B1455" s="16" t="s">
        <v>4570</v>
      </c>
      <c r="C1455" s="17">
        <v>45776</v>
      </c>
      <c r="D1455" s="15" t="s">
        <v>4571</v>
      </c>
      <c r="E1455" s="18" t="s">
        <v>954</v>
      </c>
      <c r="F1455" s="19" t="s">
        <v>4572</v>
      </c>
      <c r="G1455" s="18" t="s">
        <v>4573</v>
      </c>
      <c r="H1455" s="20" t="s">
        <v>261</v>
      </c>
      <c r="I1455" s="15">
        <v>3</v>
      </c>
      <c r="J1455" s="15" t="s">
        <v>23</v>
      </c>
      <c r="K1455" s="15"/>
      <c r="L1455" s="21" t="s">
        <v>16</v>
      </c>
      <c r="M1455" s="22">
        <v>0</v>
      </c>
      <c r="N1455" s="22">
        <v>0</v>
      </c>
      <c r="O1455" s="22">
        <v>20700</v>
      </c>
      <c r="P1455" s="22">
        <v>20700</v>
      </c>
      <c r="Q1455" t="str" cm="1">
        <f t="array" ref="Q1455">_xlfn.TEXTJOIN("、",TRUE,IF('學員資料-三民高中'!$B$2:$B$454=$F1455,'學員資料-三民高中'!$G$2:$G$454,""))</f>
        <v/>
      </c>
      <c r="R1455" t="str" cm="1">
        <f t="array" ref="R1455">_xlfn.TEXTJOIN("、",TRUE,IF('學員資料-新北高中'!$B$2:$B$583=$F1455,'學員資料-新北高中'!$G$2:$G$583,""))</f>
        <v/>
      </c>
      <c r="S1455" t="str" cm="1">
        <f t="array" ref="S1455">_xlfn.TEXTJOIN("、",TRUE,IF('學員資料-三重商工'!$B$2:$B$472=$F1455,'學員資料-三重商工'!$G$2:$G$472,""))</f>
        <v>0987607540</v>
      </c>
      <c r="T1455">
        <f t="shared" si="22"/>
        <v>1</v>
      </c>
    </row>
    <row r="1456" spans="1:20" ht="14.25" hidden="1" customHeight="1">
      <c r="A1456" s="15">
        <v>1455</v>
      </c>
      <c r="B1456" s="16" t="s">
        <v>4574</v>
      </c>
      <c r="C1456" s="17">
        <v>45776</v>
      </c>
      <c r="D1456" s="15" t="s">
        <v>4575</v>
      </c>
      <c r="E1456" s="18" t="s">
        <v>954</v>
      </c>
      <c r="F1456" s="19" t="s">
        <v>4219</v>
      </c>
      <c r="G1456" s="18" t="s">
        <v>4220</v>
      </c>
      <c r="H1456" s="20" t="s">
        <v>52</v>
      </c>
      <c r="I1456" s="15">
        <v>1</v>
      </c>
      <c r="J1456" s="15" t="s">
        <v>24</v>
      </c>
      <c r="K1456" s="15"/>
      <c r="L1456" s="21" t="s">
        <v>16</v>
      </c>
      <c r="M1456" s="22">
        <v>0</v>
      </c>
      <c r="N1456" s="22">
        <v>0</v>
      </c>
      <c r="O1456" s="22">
        <v>7500</v>
      </c>
      <c r="P1456" s="22">
        <v>7500</v>
      </c>
      <c r="Q1456" t="str" cm="1">
        <f t="array" ref="Q1456">_xlfn.TEXTJOIN("、",TRUE,IF('學員資料-三民高中'!$B$2:$B$454=$F1456,'學員資料-三民高中'!$G$2:$G$454,""))</f>
        <v/>
      </c>
      <c r="R1456" t="str" cm="1">
        <f t="array" ref="R1456">_xlfn.TEXTJOIN("、",TRUE,IF('學員資料-新北高中'!$B$2:$B$583=$F1456,'學員資料-新北高中'!$G$2:$G$583,""))</f>
        <v/>
      </c>
      <c r="S1456" t="str" cm="1">
        <f t="array" ref="S1456">_xlfn.TEXTJOIN("、",TRUE,IF('學員資料-三重商工'!$B$2:$B$472=$F1456,'學員資料-三重商工'!$G$2:$G$472,""))</f>
        <v>0926251535</v>
      </c>
      <c r="T1456">
        <f t="shared" si="22"/>
        <v>1</v>
      </c>
    </row>
    <row r="1457" spans="1:20" ht="28.5" hidden="1" customHeight="1">
      <c r="A1457" s="15">
        <v>1456</v>
      </c>
      <c r="B1457" s="16" t="s">
        <v>4576</v>
      </c>
      <c r="C1457" s="17">
        <v>45775</v>
      </c>
      <c r="D1457" s="15" t="s">
        <v>4577</v>
      </c>
      <c r="E1457" s="18" t="s">
        <v>954</v>
      </c>
      <c r="F1457" s="19" t="s">
        <v>4578</v>
      </c>
      <c r="G1457" s="18" t="s">
        <v>4579</v>
      </c>
      <c r="H1457" s="20" t="s">
        <v>75</v>
      </c>
      <c r="I1457" s="15">
        <v>2</v>
      </c>
      <c r="J1457" s="15" t="s">
        <v>23</v>
      </c>
      <c r="K1457" s="15"/>
      <c r="L1457" s="21" t="s">
        <v>16</v>
      </c>
      <c r="M1457" s="22">
        <v>0</v>
      </c>
      <c r="N1457" s="22">
        <v>0</v>
      </c>
      <c r="O1457" s="22">
        <v>13800</v>
      </c>
      <c r="P1457" s="22">
        <v>13800</v>
      </c>
      <c r="Q1457" t="str" cm="1">
        <f t="array" ref="Q1457">_xlfn.TEXTJOIN("、",TRUE,IF('學員資料-三民高中'!$B$2:$B$454=$F1457,'學員資料-三民高中'!$G$2:$G$454,""))</f>
        <v/>
      </c>
      <c r="R1457" t="str" cm="1">
        <f t="array" ref="R1457">_xlfn.TEXTJOIN("、",TRUE,IF('學員資料-新北高中'!$B$2:$B$583=$F1457,'學員資料-新北高中'!$G$2:$G$583,""))</f>
        <v>0912028648</v>
      </c>
      <c r="S1457" t="str" cm="1">
        <f t="array" ref="S1457">_xlfn.TEXTJOIN("、",TRUE,IF('學員資料-三重商工'!$B$2:$B$472=$F1457,'學員資料-三重商工'!$G$2:$G$472,""))</f>
        <v/>
      </c>
      <c r="T1457">
        <f t="shared" si="22"/>
        <v>1</v>
      </c>
    </row>
    <row r="1458" spans="1:20" ht="14.25" hidden="1" customHeight="1">
      <c r="A1458" s="15">
        <v>1457</v>
      </c>
      <c r="B1458" s="16" t="s">
        <v>4580</v>
      </c>
      <c r="C1458" s="17">
        <v>45774</v>
      </c>
      <c r="D1458" s="15" t="s">
        <v>4581</v>
      </c>
      <c r="E1458" s="18" t="s">
        <v>954</v>
      </c>
      <c r="F1458" s="19" t="s">
        <v>1791</v>
      </c>
      <c r="G1458" s="18" t="s">
        <v>1792</v>
      </c>
      <c r="H1458" s="20" t="s">
        <v>66</v>
      </c>
      <c r="I1458" s="15">
        <v>1</v>
      </c>
      <c r="J1458" s="15" t="s">
        <v>23</v>
      </c>
      <c r="K1458" s="15"/>
      <c r="L1458" s="21" t="s">
        <v>16</v>
      </c>
      <c r="M1458" s="22">
        <v>0</v>
      </c>
      <c r="N1458" s="22">
        <v>0</v>
      </c>
      <c r="O1458" s="22">
        <v>6900</v>
      </c>
      <c r="P1458" s="22">
        <v>6900</v>
      </c>
      <c r="Q1458" t="str" cm="1">
        <f t="array" ref="Q1458">_xlfn.TEXTJOIN("、",TRUE,IF('學員資料-三民高中'!$B$2:$B$454=$F1458,'學員資料-三民高中'!$G$2:$G$454,""))</f>
        <v/>
      </c>
      <c r="R1458" t="str" cm="1">
        <f t="array" ref="R1458">_xlfn.TEXTJOIN("、",TRUE,IF('學員資料-新北高中'!$B$2:$B$583=$F1458,'學員資料-新北高中'!$G$2:$G$583,""))</f>
        <v/>
      </c>
      <c r="S1458" t="str" cm="1">
        <f t="array" ref="S1458">_xlfn.TEXTJOIN("、",TRUE,IF('學員資料-三重商工'!$B$2:$B$472=$F1458,'學員資料-三重商工'!$G$2:$G$472,""))</f>
        <v>0912188682</v>
      </c>
      <c r="T1458">
        <f t="shared" si="22"/>
        <v>1</v>
      </c>
    </row>
    <row r="1459" spans="1:20" ht="14.25" hidden="1" customHeight="1">
      <c r="A1459" s="15">
        <v>1458</v>
      </c>
      <c r="B1459" s="16" t="s">
        <v>4582</v>
      </c>
      <c r="C1459" s="17">
        <v>45774</v>
      </c>
      <c r="D1459" s="15" t="s">
        <v>4583</v>
      </c>
      <c r="E1459" s="18" t="s">
        <v>954</v>
      </c>
      <c r="F1459" s="19" t="s">
        <v>4584</v>
      </c>
      <c r="G1459" s="18" t="s">
        <v>4585</v>
      </c>
      <c r="H1459" s="20" t="s">
        <v>66</v>
      </c>
      <c r="I1459" s="15">
        <v>1</v>
      </c>
      <c r="J1459" s="15" t="s">
        <v>23</v>
      </c>
      <c r="K1459" s="15"/>
      <c r="L1459" s="21" t="s">
        <v>16</v>
      </c>
      <c r="M1459" s="22">
        <v>0</v>
      </c>
      <c r="N1459" s="22">
        <v>0</v>
      </c>
      <c r="O1459" s="22">
        <v>6900</v>
      </c>
      <c r="P1459" s="22">
        <v>6900</v>
      </c>
      <c r="Q1459" t="str" cm="1">
        <f t="array" ref="Q1459">_xlfn.TEXTJOIN("、",TRUE,IF('學員資料-三民高中'!$B$2:$B$454=$F1459,'學員資料-三民高中'!$G$2:$G$454,""))</f>
        <v/>
      </c>
      <c r="R1459" t="str" cm="1">
        <f t="array" ref="R1459">_xlfn.TEXTJOIN("、",TRUE,IF('學員資料-新北高中'!$B$2:$B$583=$F1459,'學員資料-新北高中'!$G$2:$G$583,""))</f>
        <v/>
      </c>
      <c r="S1459" t="str" cm="1">
        <f t="array" ref="S1459">_xlfn.TEXTJOIN("、",TRUE,IF('學員資料-三重商工'!$B$2:$B$472=$F1459,'學員資料-三重商工'!$G$2:$G$472,""))</f>
        <v>0910760746</v>
      </c>
      <c r="T1459">
        <f t="shared" si="22"/>
        <v>1</v>
      </c>
    </row>
    <row r="1460" spans="1:20" ht="14.25" hidden="1" customHeight="1">
      <c r="A1460" s="15">
        <v>1459</v>
      </c>
      <c r="B1460" s="16" t="s">
        <v>4586</v>
      </c>
      <c r="C1460" s="17">
        <v>45773</v>
      </c>
      <c r="D1460" s="15" t="s">
        <v>4587</v>
      </c>
      <c r="E1460" s="18" t="s">
        <v>954</v>
      </c>
      <c r="F1460" s="19" t="s">
        <v>4267</v>
      </c>
      <c r="G1460" s="18" t="s">
        <v>4268</v>
      </c>
      <c r="H1460" s="20" t="s">
        <v>2989</v>
      </c>
      <c r="I1460" s="15">
        <v>1</v>
      </c>
      <c r="J1460" s="15" t="s">
        <v>23</v>
      </c>
      <c r="K1460" s="21" t="s">
        <v>116</v>
      </c>
      <c r="L1460" s="21" t="s">
        <v>16</v>
      </c>
      <c r="M1460" s="22">
        <v>0</v>
      </c>
      <c r="N1460" s="22">
        <v>0</v>
      </c>
      <c r="O1460" s="22">
        <v>1200</v>
      </c>
      <c r="P1460" s="22">
        <v>1200</v>
      </c>
      <c r="Q1460" t="str" cm="1">
        <f t="array" ref="Q1460">_xlfn.TEXTJOIN("、",TRUE,IF('學員資料-三民高中'!$B$2:$B$454=$F1460,'學員資料-三民高中'!$G$2:$G$454,""))</f>
        <v/>
      </c>
      <c r="R1460" t="str" cm="1">
        <f t="array" ref="R1460">_xlfn.TEXTJOIN("、",TRUE,IF('學員資料-新北高中'!$B$2:$B$583=$F1460,'學員資料-新北高中'!$G$2:$G$583,""))</f>
        <v/>
      </c>
      <c r="S1460" t="str" cm="1">
        <f t="array" ref="S1460">_xlfn.TEXTJOIN("、",TRUE,IF('學員資料-三重商工'!$B$2:$B$472=$F1460,'學員資料-三重商工'!$G$2:$G$472,""))</f>
        <v>0905191938</v>
      </c>
      <c r="T1460">
        <f t="shared" si="22"/>
        <v>1</v>
      </c>
    </row>
    <row r="1461" spans="1:20" ht="14.25" hidden="1" customHeight="1">
      <c r="A1461" s="15">
        <v>1460</v>
      </c>
      <c r="B1461" s="16" t="s">
        <v>4588</v>
      </c>
      <c r="C1461" s="17">
        <v>45773</v>
      </c>
      <c r="D1461" s="15" t="s">
        <v>4589</v>
      </c>
      <c r="E1461" s="18" t="s">
        <v>954</v>
      </c>
      <c r="F1461" s="19" t="s">
        <v>4590</v>
      </c>
      <c r="G1461" s="18" t="s">
        <v>4591</v>
      </c>
      <c r="H1461" s="20" t="s">
        <v>52</v>
      </c>
      <c r="I1461" s="15">
        <v>1</v>
      </c>
      <c r="J1461" s="15" t="s">
        <v>24</v>
      </c>
      <c r="K1461" s="15"/>
      <c r="L1461" s="21" t="s">
        <v>16</v>
      </c>
      <c r="M1461" s="22">
        <v>0</v>
      </c>
      <c r="N1461" s="22">
        <v>0</v>
      </c>
      <c r="O1461" s="22">
        <v>7500</v>
      </c>
      <c r="P1461" s="22">
        <v>7500</v>
      </c>
      <c r="Q1461" t="str" cm="1">
        <f t="array" ref="Q1461">_xlfn.TEXTJOIN("、",TRUE,IF('學員資料-三民高中'!$B$2:$B$454=$F1461,'學員資料-三民高中'!$G$2:$G$454,""))</f>
        <v/>
      </c>
      <c r="R1461" t="str" cm="1">
        <f t="array" ref="R1461">_xlfn.TEXTJOIN("、",TRUE,IF('學員資料-新北高中'!$B$2:$B$583=$F1461,'學員資料-新北高中'!$G$2:$G$583,""))</f>
        <v>0966592620</v>
      </c>
      <c r="S1461" t="str" cm="1">
        <f t="array" ref="S1461">_xlfn.TEXTJOIN("、",TRUE,IF('學員資料-三重商工'!$B$2:$B$472=$F1461,'學員資料-三重商工'!$G$2:$G$472,""))</f>
        <v/>
      </c>
      <c r="T1461">
        <f t="shared" si="22"/>
        <v>1</v>
      </c>
    </row>
    <row r="1462" spans="1:20" ht="14.25" hidden="1" customHeight="1">
      <c r="A1462" s="15">
        <v>1461</v>
      </c>
      <c r="B1462" s="16" t="s">
        <v>4592</v>
      </c>
      <c r="C1462" s="17">
        <v>45773</v>
      </c>
      <c r="D1462" s="15" t="s">
        <v>4593</v>
      </c>
      <c r="E1462" s="18" t="s">
        <v>954</v>
      </c>
      <c r="F1462" s="19" t="s">
        <v>3249</v>
      </c>
      <c r="G1462" s="18" t="s">
        <v>3250</v>
      </c>
      <c r="H1462" s="20" t="s">
        <v>66</v>
      </c>
      <c r="I1462" s="15">
        <v>1</v>
      </c>
      <c r="J1462" s="15" t="s">
        <v>23</v>
      </c>
      <c r="K1462" s="15"/>
      <c r="L1462" s="21" t="s">
        <v>16</v>
      </c>
      <c r="M1462" s="22">
        <v>0</v>
      </c>
      <c r="N1462" s="22">
        <v>0</v>
      </c>
      <c r="O1462" s="22">
        <v>6900</v>
      </c>
      <c r="P1462" s="22">
        <v>6900</v>
      </c>
      <c r="Q1462" t="str" cm="1">
        <f t="array" ref="Q1462">_xlfn.TEXTJOIN("、",TRUE,IF('學員資料-三民高中'!$B$2:$B$454=$F1462,'學員資料-三民高中'!$G$2:$G$454,""))</f>
        <v>0972878118</v>
      </c>
      <c r="R1462" t="str" cm="1">
        <f t="array" ref="R1462">_xlfn.TEXTJOIN("、",TRUE,IF('學員資料-新北高中'!$B$2:$B$583=$F1462,'學員資料-新北高中'!$G$2:$G$583,""))</f>
        <v/>
      </c>
      <c r="S1462" t="str" cm="1">
        <f t="array" ref="S1462">_xlfn.TEXTJOIN("、",TRUE,IF('學員資料-三重商工'!$B$2:$B$472=$F1462,'學員資料-三重商工'!$G$2:$G$472,""))</f>
        <v/>
      </c>
      <c r="T1462">
        <f t="shared" si="22"/>
        <v>1</v>
      </c>
    </row>
    <row r="1463" spans="1:20" ht="28.5" hidden="1" customHeight="1">
      <c r="A1463" s="15">
        <v>1462</v>
      </c>
      <c r="B1463" s="16" t="s">
        <v>4594</v>
      </c>
      <c r="C1463" s="17">
        <v>45773</v>
      </c>
      <c r="D1463" s="15" t="s">
        <v>4595</v>
      </c>
      <c r="E1463" s="18" t="s">
        <v>954</v>
      </c>
      <c r="F1463" s="19" t="s">
        <v>4596</v>
      </c>
      <c r="G1463" s="18" t="s">
        <v>4597</v>
      </c>
      <c r="H1463" s="20" t="s">
        <v>99</v>
      </c>
      <c r="I1463" s="15">
        <v>2</v>
      </c>
      <c r="J1463" s="15" t="s">
        <v>24</v>
      </c>
      <c r="K1463" s="15"/>
      <c r="L1463" s="21" t="s">
        <v>16</v>
      </c>
      <c r="M1463" s="22">
        <v>0</v>
      </c>
      <c r="N1463" s="22">
        <v>0</v>
      </c>
      <c r="O1463" s="22">
        <v>15000</v>
      </c>
      <c r="P1463" s="22">
        <v>15000</v>
      </c>
      <c r="Q1463" t="str" cm="1">
        <f t="array" ref="Q1463">_xlfn.TEXTJOIN("、",TRUE,IF('學員資料-三民高中'!$B$2:$B$454=$F1463,'學員資料-三民高中'!$G$2:$G$454,""))</f>
        <v/>
      </c>
      <c r="R1463" t="str" cm="1">
        <f t="array" ref="R1463">_xlfn.TEXTJOIN("、",TRUE,IF('學員資料-新北高中'!$B$2:$B$583=$F1463,'學員資料-新北高中'!$G$2:$G$583,""))</f>
        <v/>
      </c>
      <c r="S1463" t="str" cm="1">
        <f t="array" ref="S1463">_xlfn.TEXTJOIN("、",TRUE,IF('學員資料-三重商工'!$B$2:$B$472=$F1463,'學員資料-三重商工'!$G$2:$G$472,""))</f>
        <v>097866626</v>
      </c>
      <c r="T1463">
        <f t="shared" si="22"/>
        <v>1</v>
      </c>
    </row>
    <row r="1464" spans="1:20" ht="14.25" hidden="1" customHeight="1">
      <c r="A1464" s="15">
        <v>1463</v>
      </c>
      <c r="B1464" s="16" t="s">
        <v>4598</v>
      </c>
      <c r="C1464" s="17">
        <v>45773</v>
      </c>
      <c r="D1464" s="15" t="s">
        <v>4599</v>
      </c>
      <c r="E1464" s="18" t="s">
        <v>954</v>
      </c>
      <c r="F1464" s="19" t="s">
        <v>747</v>
      </c>
      <c r="G1464" s="18" t="s">
        <v>748</v>
      </c>
      <c r="H1464" s="20" t="s">
        <v>52</v>
      </c>
      <c r="I1464" s="15">
        <v>1</v>
      </c>
      <c r="J1464" s="15" t="s">
        <v>24</v>
      </c>
      <c r="K1464" s="15"/>
      <c r="L1464" s="21" t="s">
        <v>16</v>
      </c>
      <c r="M1464" s="22">
        <v>0</v>
      </c>
      <c r="N1464" s="22">
        <v>0</v>
      </c>
      <c r="O1464" s="22">
        <v>7500</v>
      </c>
      <c r="P1464" s="22">
        <v>7500</v>
      </c>
      <c r="Q1464" t="str" cm="1">
        <f t="array" ref="Q1464">_xlfn.TEXTJOIN("、",TRUE,IF('學員資料-三民高中'!$B$2:$B$454=$F1464,'學員資料-三民高中'!$G$2:$G$454,""))</f>
        <v/>
      </c>
      <c r="R1464" t="str" cm="1">
        <f t="array" ref="R1464">_xlfn.TEXTJOIN("、",TRUE,IF('學員資料-新北高中'!$B$2:$B$583=$F1464,'學員資料-新北高中'!$G$2:$G$583,""))</f>
        <v>0926366288</v>
      </c>
      <c r="S1464" t="str" cm="1">
        <f t="array" ref="S1464">_xlfn.TEXTJOIN("、",TRUE,IF('學員資料-三重商工'!$B$2:$B$472=$F1464,'學員資料-三重商工'!$G$2:$G$472,""))</f>
        <v/>
      </c>
      <c r="T1464">
        <f t="shared" si="22"/>
        <v>1</v>
      </c>
    </row>
    <row r="1465" spans="1:20" ht="14.25" hidden="1" customHeight="1">
      <c r="A1465" s="15">
        <v>1464</v>
      </c>
      <c r="B1465" s="16" t="s">
        <v>4600</v>
      </c>
      <c r="C1465" s="17">
        <v>45773</v>
      </c>
      <c r="D1465" s="15" t="s">
        <v>4601</v>
      </c>
      <c r="E1465" s="18" t="s">
        <v>954</v>
      </c>
      <c r="F1465" s="19" t="s">
        <v>450</v>
      </c>
      <c r="G1465" s="18" t="s">
        <v>451</v>
      </c>
      <c r="H1465" s="20" t="s">
        <v>52</v>
      </c>
      <c r="I1465" s="15">
        <v>1</v>
      </c>
      <c r="J1465" s="15" t="s">
        <v>24</v>
      </c>
      <c r="K1465" s="15"/>
      <c r="L1465" s="21" t="s">
        <v>16</v>
      </c>
      <c r="M1465" s="22">
        <v>0</v>
      </c>
      <c r="N1465" s="22">
        <v>0</v>
      </c>
      <c r="O1465" s="22">
        <v>7500</v>
      </c>
      <c r="P1465" s="22">
        <v>7500</v>
      </c>
      <c r="Q1465" t="str" cm="1">
        <f t="array" ref="Q1465">_xlfn.TEXTJOIN("、",TRUE,IF('學員資料-三民高中'!$B$2:$B$454=$F1465,'學員資料-三民高中'!$G$2:$G$454,""))</f>
        <v/>
      </c>
      <c r="R1465" t="str" cm="1">
        <f t="array" ref="R1465">_xlfn.TEXTJOIN("、",TRUE,IF('學員資料-新北高中'!$B$2:$B$583=$F1465,'學員資料-新北高中'!$G$2:$G$583,""))</f>
        <v/>
      </c>
      <c r="S1465" t="str" cm="1">
        <f t="array" ref="S1465">_xlfn.TEXTJOIN("、",TRUE,IF('學員資料-三重商工'!$B$2:$B$472=$F1465,'學員資料-三重商工'!$G$2:$G$472,""))</f>
        <v>0916242232</v>
      </c>
      <c r="T1465">
        <f t="shared" si="22"/>
        <v>1</v>
      </c>
    </row>
    <row r="1466" spans="1:20" ht="14.25" hidden="1" customHeight="1">
      <c r="A1466" s="15">
        <v>1465</v>
      </c>
      <c r="B1466" s="16" t="s">
        <v>4602</v>
      </c>
      <c r="C1466" s="17">
        <v>45772</v>
      </c>
      <c r="D1466" s="15" t="s">
        <v>4603</v>
      </c>
      <c r="E1466" s="18" t="s">
        <v>954</v>
      </c>
      <c r="F1466" s="19" t="s">
        <v>1740</v>
      </c>
      <c r="G1466" s="18" t="s">
        <v>1741</v>
      </c>
      <c r="H1466" s="20" t="s">
        <v>210</v>
      </c>
      <c r="I1466" s="15">
        <v>1</v>
      </c>
      <c r="J1466" s="15" t="s">
        <v>26</v>
      </c>
      <c r="K1466" s="15"/>
      <c r="L1466" s="21" t="s">
        <v>16</v>
      </c>
      <c r="M1466" s="22">
        <v>0</v>
      </c>
      <c r="N1466" s="22">
        <v>0</v>
      </c>
      <c r="O1466" s="22">
        <v>12000</v>
      </c>
      <c r="P1466" s="22">
        <v>12000</v>
      </c>
      <c r="Q1466" t="str" cm="1">
        <f t="array" ref="Q1466">_xlfn.TEXTJOIN("、",TRUE,IF('學員資料-三民高中'!$B$2:$B$454=$F1466,'學員資料-三民高中'!$G$2:$G$454,""))</f>
        <v/>
      </c>
      <c r="R1466" t="str" cm="1">
        <f t="array" ref="R1466">_xlfn.TEXTJOIN("、",TRUE,IF('學員資料-新北高中'!$B$2:$B$583=$F1466,'學員資料-新北高中'!$G$2:$G$583,""))</f>
        <v>0960755204</v>
      </c>
      <c r="S1466" t="str" cm="1">
        <f t="array" ref="S1466">_xlfn.TEXTJOIN("、",TRUE,IF('學員資料-三重商工'!$B$2:$B$472=$F1466,'學員資料-三重商工'!$G$2:$G$472,""))</f>
        <v/>
      </c>
      <c r="T1466">
        <f t="shared" si="22"/>
        <v>1</v>
      </c>
    </row>
    <row r="1467" spans="1:20" ht="28.5" hidden="1" customHeight="1">
      <c r="A1467" s="15">
        <v>1466</v>
      </c>
      <c r="B1467" s="16" t="s">
        <v>4604</v>
      </c>
      <c r="C1467" s="17">
        <v>45772</v>
      </c>
      <c r="D1467" s="15" t="s">
        <v>4605</v>
      </c>
      <c r="E1467" s="18" t="s">
        <v>954</v>
      </c>
      <c r="F1467" s="19" t="s">
        <v>4606</v>
      </c>
      <c r="G1467" s="18" t="s">
        <v>4607</v>
      </c>
      <c r="H1467" s="20" t="s">
        <v>219</v>
      </c>
      <c r="I1467" s="15">
        <v>2</v>
      </c>
      <c r="J1467" s="15" t="s">
        <v>25</v>
      </c>
      <c r="K1467" s="15"/>
      <c r="L1467" s="21" t="s">
        <v>16</v>
      </c>
      <c r="M1467" s="22">
        <v>0</v>
      </c>
      <c r="N1467" s="22">
        <v>-990</v>
      </c>
      <c r="O1467" s="22">
        <v>18810</v>
      </c>
      <c r="P1467" s="22">
        <v>18810</v>
      </c>
      <c r="Q1467" t="str" cm="1">
        <f t="array" ref="Q1467">_xlfn.TEXTJOIN("、",TRUE,IF('學員資料-三民高中'!$B$2:$B$454=$F1467,'學員資料-三民高中'!$G$2:$G$454,""))</f>
        <v/>
      </c>
      <c r="R1467" t="str" cm="1">
        <f t="array" ref="R1467">_xlfn.TEXTJOIN("、",TRUE,IF('學員資料-新北高中'!$B$2:$B$583=$F1467,'學員資料-新北高中'!$G$2:$G$583,""))</f>
        <v>0910928157</v>
      </c>
      <c r="S1467" t="str" cm="1">
        <f t="array" ref="S1467">_xlfn.TEXTJOIN("、",TRUE,IF('學員資料-三重商工'!$B$2:$B$472=$F1467,'學員資料-三重商工'!$G$2:$G$472,""))</f>
        <v/>
      </c>
      <c r="T1467">
        <f t="shared" si="22"/>
        <v>1</v>
      </c>
    </row>
    <row r="1468" spans="1:20" ht="14.25" hidden="1" customHeight="1">
      <c r="A1468" s="15">
        <v>1467</v>
      </c>
      <c r="B1468" s="16" t="s">
        <v>4608</v>
      </c>
      <c r="C1468" s="17">
        <v>45770</v>
      </c>
      <c r="D1468" s="15" t="s">
        <v>4609</v>
      </c>
      <c r="E1468" s="18" t="s">
        <v>954</v>
      </c>
      <c r="F1468" s="19" t="s">
        <v>4538</v>
      </c>
      <c r="G1468" s="18" t="s">
        <v>4539</v>
      </c>
      <c r="H1468" s="20" t="s">
        <v>52</v>
      </c>
      <c r="I1468" s="15">
        <v>1</v>
      </c>
      <c r="J1468" s="15" t="s">
        <v>24</v>
      </c>
      <c r="K1468" s="15"/>
      <c r="L1468" s="21" t="s">
        <v>16</v>
      </c>
      <c r="M1468" s="22">
        <v>0</v>
      </c>
      <c r="N1468" s="22">
        <v>0</v>
      </c>
      <c r="O1468" s="22">
        <v>7500</v>
      </c>
      <c r="P1468" s="22">
        <v>7500</v>
      </c>
      <c r="Q1468" t="str" cm="1">
        <f t="array" ref="Q1468">_xlfn.TEXTJOIN("、",TRUE,IF('學員資料-三民高中'!$B$2:$B$454=$F1468,'學員資料-三民高中'!$G$2:$G$454,""))</f>
        <v/>
      </c>
      <c r="R1468" t="str" cm="1">
        <f t="array" ref="R1468">_xlfn.TEXTJOIN("、",TRUE,IF('學員資料-新北高中'!$B$2:$B$583=$F1468,'學員資料-新北高中'!$G$2:$G$583,""))</f>
        <v/>
      </c>
      <c r="S1468" t="str" cm="1">
        <f t="array" ref="S1468">_xlfn.TEXTJOIN("、",TRUE,IF('學員資料-三重商工'!$B$2:$B$472=$F1468,'學員資料-三重商工'!$G$2:$G$472,""))</f>
        <v>0953289313</v>
      </c>
      <c r="T1468">
        <f t="shared" si="22"/>
        <v>1</v>
      </c>
    </row>
    <row r="1469" spans="1:20" ht="14.25" hidden="1" customHeight="1">
      <c r="A1469" s="15">
        <v>1468</v>
      </c>
      <c r="B1469" s="16" t="s">
        <v>4610</v>
      </c>
      <c r="C1469" s="17">
        <v>45770</v>
      </c>
      <c r="D1469" s="15" t="s">
        <v>4611</v>
      </c>
      <c r="E1469" s="18" t="s">
        <v>954</v>
      </c>
      <c r="F1469" s="19" t="s">
        <v>4612</v>
      </c>
      <c r="G1469" s="18" t="s">
        <v>4613</v>
      </c>
      <c r="H1469" s="20" t="s">
        <v>3766</v>
      </c>
      <c r="I1469" s="15">
        <v>1</v>
      </c>
      <c r="J1469" s="15" t="s">
        <v>24</v>
      </c>
      <c r="K1469" s="21" t="s">
        <v>116</v>
      </c>
      <c r="L1469" s="21" t="s">
        <v>16</v>
      </c>
      <c r="M1469" s="22">
        <v>0</v>
      </c>
      <c r="N1469" s="22">
        <v>0</v>
      </c>
      <c r="O1469" s="22">
        <v>1300</v>
      </c>
      <c r="P1469" s="22">
        <v>1300</v>
      </c>
      <c r="Q1469" t="str" cm="1">
        <f t="array" ref="Q1469">_xlfn.TEXTJOIN("、",TRUE,IF('學員資料-三民高中'!$B$2:$B$454=$F1469,'學員資料-三民高中'!$G$2:$G$454,""))</f>
        <v/>
      </c>
      <c r="R1469" t="str" cm="1">
        <f t="array" ref="R1469">_xlfn.TEXTJOIN("、",TRUE,IF('學員資料-新北高中'!$B$2:$B$583=$F1469,'學員資料-新北高中'!$G$2:$G$583,""))</f>
        <v>0976556212</v>
      </c>
      <c r="S1469" t="str" cm="1">
        <f t="array" ref="S1469">_xlfn.TEXTJOIN("、",TRUE,IF('學員資料-三重商工'!$B$2:$B$472=$F1469,'學員資料-三重商工'!$G$2:$G$472,""))</f>
        <v/>
      </c>
      <c r="T1469">
        <f t="shared" si="22"/>
        <v>1</v>
      </c>
    </row>
    <row r="1470" spans="1:20" ht="14.25" hidden="1" customHeight="1">
      <c r="A1470" s="15">
        <v>1469</v>
      </c>
      <c r="B1470" s="16" t="s">
        <v>4614</v>
      </c>
      <c r="C1470" s="17">
        <v>45770</v>
      </c>
      <c r="D1470" s="15" t="s">
        <v>4615</v>
      </c>
      <c r="E1470" s="18" t="s">
        <v>954</v>
      </c>
      <c r="F1470" s="19" t="s">
        <v>3547</v>
      </c>
      <c r="G1470" s="18" t="s">
        <v>3548</v>
      </c>
      <c r="H1470" s="20" t="s">
        <v>130</v>
      </c>
      <c r="I1470" s="15">
        <v>1</v>
      </c>
      <c r="J1470" s="15" t="s">
        <v>25</v>
      </c>
      <c r="K1470" s="15"/>
      <c r="L1470" s="21" t="s">
        <v>16</v>
      </c>
      <c r="M1470" s="22">
        <v>0</v>
      </c>
      <c r="N1470" s="22">
        <v>0</v>
      </c>
      <c r="O1470" s="22">
        <v>9900</v>
      </c>
      <c r="P1470" s="22">
        <v>9900</v>
      </c>
      <c r="Q1470" t="str" cm="1">
        <f t="array" ref="Q1470">_xlfn.TEXTJOIN("、",TRUE,IF('學員資料-三民高中'!$B$2:$B$454=$F1470,'學員資料-三民高中'!$G$2:$G$454,""))</f>
        <v/>
      </c>
      <c r="R1470" t="str" cm="1">
        <f t="array" ref="R1470">_xlfn.TEXTJOIN("、",TRUE,IF('學員資料-新北高中'!$B$2:$B$583=$F1470,'學員資料-新北高中'!$G$2:$G$583,""))</f>
        <v>0978401922</v>
      </c>
      <c r="S1470" t="str" cm="1">
        <f t="array" ref="S1470">_xlfn.TEXTJOIN("、",TRUE,IF('學員資料-三重商工'!$B$2:$B$472=$F1470,'學員資料-三重商工'!$G$2:$G$472,""))</f>
        <v/>
      </c>
      <c r="T1470">
        <f t="shared" si="22"/>
        <v>1</v>
      </c>
    </row>
    <row r="1471" spans="1:20" ht="28.5" hidden="1" customHeight="1">
      <c r="A1471" s="15">
        <v>1470</v>
      </c>
      <c r="B1471" s="16" t="s">
        <v>4616</v>
      </c>
      <c r="C1471" s="17">
        <v>45769</v>
      </c>
      <c r="D1471" s="15" t="s">
        <v>4617</v>
      </c>
      <c r="E1471" s="18" t="s">
        <v>954</v>
      </c>
      <c r="F1471" s="19" t="s">
        <v>4618</v>
      </c>
      <c r="G1471" s="18" t="s">
        <v>4619</v>
      </c>
      <c r="H1471" s="20" t="s">
        <v>244</v>
      </c>
      <c r="I1471" s="15">
        <v>2</v>
      </c>
      <c r="J1471" s="15" t="s">
        <v>23</v>
      </c>
      <c r="K1471" s="15"/>
      <c r="L1471" s="21" t="s">
        <v>16</v>
      </c>
      <c r="M1471" s="22">
        <v>0</v>
      </c>
      <c r="N1471" s="22">
        <v>0</v>
      </c>
      <c r="O1471" s="22">
        <v>16560</v>
      </c>
      <c r="P1471" s="22">
        <v>16560</v>
      </c>
      <c r="Q1471" t="str" cm="1">
        <f t="array" ref="Q1471">_xlfn.TEXTJOIN("、",TRUE,IF('學員資料-三民高中'!$B$2:$B$454=$F1471,'學員資料-三民高中'!$G$2:$G$454,""))</f>
        <v/>
      </c>
      <c r="R1471" t="str" cm="1">
        <f t="array" ref="R1471">_xlfn.TEXTJOIN("、",TRUE,IF('學員資料-新北高中'!$B$2:$B$583=$F1471,'學員資料-新北高中'!$G$2:$G$583,""))</f>
        <v/>
      </c>
      <c r="S1471" t="str" cm="1">
        <f t="array" ref="S1471">_xlfn.TEXTJOIN("、",TRUE,IF('學員資料-三重商工'!$B$2:$B$472=$F1471,'學員資料-三重商工'!$G$2:$G$472,""))</f>
        <v>0988305820</v>
      </c>
      <c r="T1471">
        <f t="shared" si="22"/>
        <v>1</v>
      </c>
    </row>
    <row r="1472" spans="1:20" ht="14.25" hidden="1" customHeight="1">
      <c r="A1472" s="15">
        <v>1471</v>
      </c>
      <c r="B1472" s="16" t="s">
        <v>4620</v>
      </c>
      <c r="C1472" s="17">
        <v>45768</v>
      </c>
      <c r="D1472" s="15" t="s">
        <v>4621</v>
      </c>
      <c r="E1472" s="18" t="s">
        <v>954</v>
      </c>
      <c r="F1472" s="19" t="s">
        <v>2910</v>
      </c>
      <c r="G1472" s="18" t="s">
        <v>2911</v>
      </c>
      <c r="H1472" s="20" t="s">
        <v>130</v>
      </c>
      <c r="I1472" s="15">
        <v>1</v>
      </c>
      <c r="J1472" s="15" t="s">
        <v>25</v>
      </c>
      <c r="K1472" s="15"/>
      <c r="L1472" s="21" t="s">
        <v>16</v>
      </c>
      <c r="M1472" s="22">
        <v>0</v>
      </c>
      <c r="N1472" s="22">
        <v>0</v>
      </c>
      <c r="O1472" s="22">
        <v>9900</v>
      </c>
      <c r="P1472" s="22">
        <v>9900</v>
      </c>
      <c r="Q1472" t="str" cm="1">
        <f t="array" ref="Q1472">_xlfn.TEXTJOIN("、",TRUE,IF('學員資料-三民高中'!$B$2:$B$454=$F1472,'學員資料-三民高中'!$G$2:$G$454,""))</f>
        <v>0939918883</v>
      </c>
      <c r="R1472" t="str" cm="1">
        <f t="array" ref="R1472">_xlfn.TEXTJOIN("、",TRUE,IF('學員資料-新北高中'!$B$2:$B$583=$F1472,'學員資料-新北高中'!$G$2:$G$583,""))</f>
        <v/>
      </c>
      <c r="S1472" t="str" cm="1">
        <f t="array" ref="S1472">_xlfn.TEXTJOIN("、",TRUE,IF('學員資料-三重商工'!$B$2:$B$472=$F1472,'學員資料-三重商工'!$G$2:$G$472,""))</f>
        <v/>
      </c>
      <c r="T1472">
        <f t="shared" si="22"/>
        <v>1</v>
      </c>
    </row>
    <row r="1473" spans="1:20" ht="57.75" hidden="1" customHeight="1">
      <c r="A1473" s="15">
        <v>1472</v>
      </c>
      <c r="B1473" s="16" t="s">
        <v>4622</v>
      </c>
      <c r="C1473" s="17">
        <v>45768</v>
      </c>
      <c r="D1473" s="15" t="s">
        <v>4623</v>
      </c>
      <c r="E1473" s="18" t="s">
        <v>954</v>
      </c>
      <c r="F1473" s="19" t="s">
        <v>4572</v>
      </c>
      <c r="G1473" s="18" t="s">
        <v>4573</v>
      </c>
      <c r="H1473" s="20" t="s">
        <v>1526</v>
      </c>
      <c r="I1473" s="15">
        <v>4</v>
      </c>
      <c r="J1473" s="15" t="s">
        <v>23</v>
      </c>
      <c r="K1473" s="15"/>
      <c r="L1473" s="21" t="s">
        <v>16</v>
      </c>
      <c r="M1473" s="22">
        <v>0</v>
      </c>
      <c r="N1473" s="22">
        <v>0</v>
      </c>
      <c r="O1473" s="22">
        <v>27600</v>
      </c>
      <c r="P1473" s="22">
        <v>27600</v>
      </c>
      <c r="Q1473" t="str" cm="1">
        <f t="array" ref="Q1473">_xlfn.TEXTJOIN("、",TRUE,IF('學員資料-三民高中'!$B$2:$B$454=$F1473,'學員資料-三民高中'!$G$2:$G$454,""))</f>
        <v/>
      </c>
      <c r="R1473" t="str" cm="1">
        <f t="array" ref="R1473">_xlfn.TEXTJOIN("、",TRUE,IF('學員資料-新北高中'!$B$2:$B$583=$F1473,'學員資料-新北高中'!$G$2:$G$583,""))</f>
        <v/>
      </c>
      <c r="S1473" t="str" cm="1">
        <f t="array" ref="S1473">_xlfn.TEXTJOIN("、",TRUE,IF('學員資料-三重商工'!$B$2:$B$472=$F1473,'學員資料-三重商工'!$G$2:$G$472,""))</f>
        <v>0987607540</v>
      </c>
      <c r="T1473">
        <f t="shared" si="22"/>
        <v>1</v>
      </c>
    </row>
    <row r="1474" spans="1:20" ht="14.25" hidden="1" customHeight="1">
      <c r="A1474" s="15">
        <v>1473</v>
      </c>
      <c r="B1474" s="16" t="s">
        <v>4624</v>
      </c>
      <c r="C1474" s="17">
        <v>45766</v>
      </c>
      <c r="D1474" s="15" t="s">
        <v>4625</v>
      </c>
      <c r="E1474" s="18" t="s">
        <v>954</v>
      </c>
      <c r="F1474" s="19" t="s">
        <v>4626</v>
      </c>
      <c r="G1474" s="18" t="s">
        <v>4627</v>
      </c>
      <c r="H1474" s="20" t="s">
        <v>2989</v>
      </c>
      <c r="I1474" s="15">
        <v>1</v>
      </c>
      <c r="J1474" s="15" t="s">
        <v>23</v>
      </c>
      <c r="K1474" s="21" t="s">
        <v>116</v>
      </c>
      <c r="L1474" s="21" t="s">
        <v>16</v>
      </c>
      <c r="M1474" s="22">
        <v>0</v>
      </c>
      <c r="N1474" s="22">
        <v>0</v>
      </c>
      <c r="O1474" s="22">
        <v>1200</v>
      </c>
      <c r="P1474" s="22">
        <v>1200</v>
      </c>
      <c r="Q1474" t="str" cm="1">
        <f t="array" ref="Q1474">_xlfn.TEXTJOIN("、",TRUE,IF('學員資料-三民高中'!$B$2:$B$454=$F1474,'學員資料-三民高中'!$G$2:$G$454,""))</f>
        <v>0983279778</v>
      </c>
      <c r="R1474" t="str" cm="1">
        <f t="array" ref="R1474">_xlfn.TEXTJOIN("、",TRUE,IF('學員資料-新北高中'!$B$2:$B$583=$F1474,'學員資料-新北高中'!$G$2:$G$583,""))</f>
        <v/>
      </c>
      <c r="S1474" t="str" cm="1">
        <f t="array" ref="S1474">_xlfn.TEXTJOIN("、",TRUE,IF('學員資料-三重商工'!$B$2:$B$472=$F1474,'學員資料-三重商工'!$G$2:$G$472,""))</f>
        <v/>
      </c>
      <c r="T1474">
        <f t="shared" si="22"/>
        <v>1</v>
      </c>
    </row>
    <row r="1475" spans="1:20" ht="14.25" hidden="1" customHeight="1">
      <c r="A1475" s="15">
        <v>1474</v>
      </c>
      <c r="B1475" s="16" t="s">
        <v>4628</v>
      </c>
      <c r="C1475" s="17">
        <v>45766</v>
      </c>
      <c r="D1475" s="15" t="s">
        <v>3262</v>
      </c>
      <c r="E1475" s="18" t="s">
        <v>954</v>
      </c>
      <c r="F1475" s="19" t="s">
        <v>4629</v>
      </c>
      <c r="G1475" s="18" t="s">
        <v>4630</v>
      </c>
      <c r="H1475" s="20" t="s">
        <v>210</v>
      </c>
      <c r="I1475" s="15">
        <v>1</v>
      </c>
      <c r="J1475" s="15" t="s">
        <v>26</v>
      </c>
      <c r="K1475" s="15"/>
      <c r="L1475" s="21" t="s">
        <v>16</v>
      </c>
      <c r="M1475" s="22">
        <v>0</v>
      </c>
      <c r="N1475" s="22">
        <v>-1200</v>
      </c>
      <c r="O1475" s="22">
        <v>10800</v>
      </c>
      <c r="P1475" s="22">
        <v>10800</v>
      </c>
      <c r="Q1475" t="str" cm="1">
        <f t="array" ref="Q1475">_xlfn.TEXTJOIN("、",TRUE,IF('學員資料-三民高中'!$B$2:$B$454=$F1475,'學員資料-三民高中'!$G$2:$G$454,""))</f>
        <v/>
      </c>
      <c r="R1475" t="str" cm="1">
        <f t="array" ref="R1475">_xlfn.TEXTJOIN("、",TRUE,IF('學員資料-新北高中'!$B$2:$B$583=$F1475,'學員資料-新北高中'!$G$2:$G$583,""))</f>
        <v>0987427287</v>
      </c>
      <c r="S1475" t="str" cm="1">
        <f t="array" ref="S1475">_xlfn.TEXTJOIN("、",TRUE,IF('學員資料-三重商工'!$B$2:$B$472=$F1475,'學員資料-三重商工'!$G$2:$G$472,""))</f>
        <v/>
      </c>
      <c r="T1475">
        <f t="shared" ref="T1475:T1538" si="23">3-COUNTBLANK(Q1475:S1475)</f>
        <v>1</v>
      </c>
    </row>
    <row r="1476" spans="1:20" ht="14.25" customHeight="1">
      <c r="A1476" s="15">
        <v>1475</v>
      </c>
      <c r="B1476" s="16" t="s">
        <v>4631</v>
      </c>
      <c r="C1476" s="17">
        <v>45766</v>
      </c>
      <c r="D1476" s="15" t="s">
        <v>4632</v>
      </c>
      <c r="E1476" s="18" t="s">
        <v>954</v>
      </c>
      <c r="F1476" s="19"/>
      <c r="G1476" s="23" t="s">
        <v>439</v>
      </c>
      <c r="H1476" s="20" t="s">
        <v>66</v>
      </c>
      <c r="I1476" s="15">
        <v>1</v>
      </c>
      <c r="J1476" s="15" t="s">
        <v>23</v>
      </c>
      <c r="K1476" s="15"/>
      <c r="L1476" s="21" t="s">
        <v>16</v>
      </c>
      <c r="M1476" s="22">
        <v>0</v>
      </c>
      <c r="N1476" s="22">
        <v>0</v>
      </c>
      <c r="O1476" s="22">
        <v>6900</v>
      </c>
      <c r="P1476" s="22">
        <v>6900</v>
      </c>
      <c r="Q1476" t="str" cm="1">
        <f t="array" ref="Q1476">_xlfn.TEXTJOIN("、",TRUE,IF('學員資料-三民高中'!$B$2:$B$454=$F1476,'學員資料-三民高中'!$G$2:$G$454,""))</f>
        <v/>
      </c>
      <c r="R1476" t="str" cm="1">
        <f t="array" ref="R1476">_xlfn.TEXTJOIN("、",TRUE,IF('學員資料-新北高中'!$B$2:$B$583=$F1476,'學員資料-新北高中'!$G$2:$G$583,""))</f>
        <v/>
      </c>
      <c r="S1476" t="str" cm="1">
        <f t="array" ref="S1476">_xlfn.TEXTJOIN("、",TRUE,IF('學員資料-三重商工'!$B$2:$B$472=$F1476,'學員資料-三重商工'!$G$2:$G$472,""))</f>
        <v/>
      </c>
      <c r="T1476">
        <f t="shared" si="23"/>
        <v>0</v>
      </c>
    </row>
    <row r="1477" spans="1:20" ht="14.25" hidden="1" customHeight="1">
      <c r="A1477" s="15">
        <v>1476</v>
      </c>
      <c r="B1477" s="16" t="s">
        <v>4633</v>
      </c>
      <c r="C1477" s="17">
        <v>45764</v>
      </c>
      <c r="D1477" s="15" t="s">
        <v>4634</v>
      </c>
      <c r="E1477" s="18" t="s">
        <v>954</v>
      </c>
      <c r="F1477" s="19" t="s">
        <v>2337</v>
      </c>
      <c r="G1477" s="18" t="s">
        <v>4635</v>
      </c>
      <c r="H1477" s="20" t="s">
        <v>130</v>
      </c>
      <c r="I1477" s="15">
        <v>1</v>
      </c>
      <c r="J1477" s="15" t="s">
        <v>25</v>
      </c>
      <c r="K1477" s="15"/>
      <c r="L1477" s="21" t="s">
        <v>16</v>
      </c>
      <c r="M1477" s="22">
        <v>0</v>
      </c>
      <c r="N1477" s="22">
        <v>0</v>
      </c>
      <c r="O1477" s="22">
        <v>9900</v>
      </c>
      <c r="P1477" s="22">
        <v>9900</v>
      </c>
      <c r="Q1477" t="str" cm="1">
        <f t="array" ref="Q1477">_xlfn.TEXTJOIN("、",TRUE,IF('學員資料-三民高中'!$B$2:$B$454=$F1477,'學員資料-三民高中'!$G$2:$G$454,""))</f>
        <v>0989637222</v>
      </c>
      <c r="R1477" t="str" cm="1">
        <f t="array" ref="R1477">_xlfn.TEXTJOIN("、",TRUE,IF('學員資料-新北高中'!$B$2:$B$583=$F1477,'學員資料-新北高中'!$G$2:$G$583,""))</f>
        <v/>
      </c>
      <c r="S1477" t="str" cm="1">
        <f t="array" ref="S1477">_xlfn.TEXTJOIN("、",TRUE,IF('學員資料-三重商工'!$B$2:$B$472=$F1477,'學員資料-三重商工'!$G$2:$G$472,""))</f>
        <v/>
      </c>
      <c r="T1477">
        <f t="shared" si="23"/>
        <v>1</v>
      </c>
    </row>
    <row r="1478" spans="1:20" ht="14.25" hidden="1" customHeight="1">
      <c r="A1478" s="15">
        <v>1477</v>
      </c>
      <c r="B1478" s="16" t="s">
        <v>4636</v>
      </c>
      <c r="C1478" s="17">
        <v>45764</v>
      </c>
      <c r="D1478" s="15" t="s">
        <v>4637</v>
      </c>
      <c r="E1478" s="18" t="s">
        <v>954</v>
      </c>
      <c r="F1478" s="19" t="s">
        <v>1875</v>
      </c>
      <c r="G1478" s="18" t="s">
        <v>1876</v>
      </c>
      <c r="H1478" s="20" t="s">
        <v>52</v>
      </c>
      <c r="I1478" s="15">
        <v>1</v>
      </c>
      <c r="J1478" s="15" t="s">
        <v>24</v>
      </c>
      <c r="K1478" s="15"/>
      <c r="L1478" s="21" t="s">
        <v>16</v>
      </c>
      <c r="M1478" s="22">
        <v>0</v>
      </c>
      <c r="N1478" s="22">
        <v>0</v>
      </c>
      <c r="O1478" s="22">
        <v>7500</v>
      </c>
      <c r="P1478" s="22">
        <v>7500</v>
      </c>
      <c r="Q1478" t="str" cm="1">
        <f t="array" ref="Q1478">_xlfn.TEXTJOIN("、",TRUE,IF('學員資料-三民高中'!$B$2:$B$454=$F1478,'學員資料-三民高中'!$G$2:$G$454,""))</f>
        <v>0916331753</v>
      </c>
      <c r="R1478" t="str" cm="1">
        <f t="array" ref="R1478">_xlfn.TEXTJOIN("、",TRUE,IF('學員資料-新北高中'!$B$2:$B$583=$F1478,'學員資料-新北高中'!$G$2:$G$583,""))</f>
        <v/>
      </c>
      <c r="S1478" t="str" cm="1">
        <f t="array" ref="S1478">_xlfn.TEXTJOIN("、",TRUE,IF('學員資料-三重商工'!$B$2:$B$472=$F1478,'學員資料-三重商工'!$G$2:$G$472,""))</f>
        <v/>
      </c>
      <c r="T1478">
        <f t="shared" si="23"/>
        <v>1</v>
      </c>
    </row>
    <row r="1479" spans="1:20" ht="14.25" hidden="1" customHeight="1">
      <c r="A1479" s="15">
        <v>1478</v>
      </c>
      <c r="B1479" s="16" t="s">
        <v>4638</v>
      </c>
      <c r="C1479" s="17">
        <v>45760</v>
      </c>
      <c r="D1479" s="15" t="s">
        <v>4639</v>
      </c>
      <c r="E1479" s="18" t="s">
        <v>954</v>
      </c>
      <c r="F1479" s="19" t="s">
        <v>4640</v>
      </c>
      <c r="G1479" s="18" t="s">
        <v>4641</v>
      </c>
      <c r="H1479" s="20" t="s">
        <v>210</v>
      </c>
      <c r="I1479" s="15">
        <v>1</v>
      </c>
      <c r="J1479" s="15" t="s">
        <v>26</v>
      </c>
      <c r="K1479" s="15"/>
      <c r="L1479" s="21" t="s">
        <v>16</v>
      </c>
      <c r="M1479" s="22">
        <v>0</v>
      </c>
      <c r="N1479" s="22">
        <v>0</v>
      </c>
      <c r="O1479" s="22">
        <v>12000</v>
      </c>
      <c r="P1479" s="22">
        <v>12000</v>
      </c>
      <c r="Q1479" t="str" cm="1">
        <f t="array" ref="Q1479">_xlfn.TEXTJOIN("、",TRUE,IF('學員資料-三民高中'!$B$2:$B$454=$F1479,'學員資料-三民高中'!$G$2:$G$454,""))</f>
        <v/>
      </c>
      <c r="R1479" t="str" cm="1">
        <f t="array" ref="R1479">_xlfn.TEXTJOIN("、",TRUE,IF('學員資料-新北高中'!$B$2:$B$583=$F1479,'學員資料-新北高中'!$G$2:$G$583,""))</f>
        <v/>
      </c>
      <c r="S1479" t="str" cm="1">
        <f t="array" ref="S1479">_xlfn.TEXTJOIN("、",TRUE,IF('學員資料-三重商工'!$B$2:$B$472=$F1479,'學員資料-三重商工'!$G$2:$G$472,""))</f>
        <v>0905632850</v>
      </c>
      <c r="T1479">
        <f t="shared" si="23"/>
        <v>1</v>
      </c>
    </row>
    <row r="1480" spans="1:20" ht="14.25" hidden="1" customHeight="1">
      <c r="A1480" s="15">
        <v>1479</v>
      </c>
      <c r="B1480" s="16" t="s">
        <v>4642</v>
      </c>
      <c r="C1480" s="17">
        <v>45758</v>
      </c>
      <c r="D1480" s="15" t="s">
        <v>4643</v>
      </c>
      <c r="E1480" s="18" t="s">
        <v>954</v>
      </c>
      <c r="F1480" s="19" t="s">
        <v>4372</v>
      </c>
      <c r="G1480" s="18" t="s">
        <v>4373</v>
      </c>
      <c r="H1480" s="20" t="s">
        <v>3811</v>
      </c>
      <c r="I1480" s="15">
        <v>1</v>
      </c>
      <c r="J1480" s="15" t="s">
        <v>24</v>
      </c>
      <c r="K1480" s="21" t="s">
        <v>116</v>
      </c>
      <c r="L1480" s="21" t="s">
        <v>16</v>
      </c>
      <c r="M1480" s="22">
        <v>0</v>
      </c>
      <c r="N1480" s="22">
        <v>0</v>
      </c>
      <c r="O1480" s="22">
        <v>1200</v>
      </c>
      <c r="P1480" s="22">
        <v>1200</v>
      </c>
      <c r="Q1480" t="str" cm="1">
        <f t="array" ref="Q1480">_xlfn.TEXTJOIN("、",TRUE,IF('學員資料-三民高中'!$B$2:$B$454=$F1480,'學員資料-三民高中'!$G$2:$G$454,""))</f>
        <v/>
      </c>
      <c r="R1480" t="str" cm="1">
        <f t="array" ref="R1480">_xlfn.TEXTJOIN("、",TRUE,IF('學員資料-新北高中'!$B$2:$B$583=$F1480,'學員資料-新北高中'!$G$2:$G$583,""))</f>
        <v/>
      </c>
      <c r="S1480" t="str" cm="1">
        <f t="array" ref="S1480">_xlfn.TEXTJOIN("、",TRUE,IF('學員資料-三重商工'!$B$2:$B$472=$F1480,'學員資料-三重商工'!$G$2:$G$472,""))</f>
        <v>0988233775</v>
      </c>
      <c r="T1480">
        <f t="shared" si="23"/>
        <v>1</v>
      </c>
    </row>
    <row r="1481" spans="1:20" ht="87" hidden="1" customHeight="1">
      <c r="A1481" s="15">
        <v>1480</v>
      </c>
      <c r="B1481" s="16" t="s">
        <v>4644</v>
      </c>
      <c r="C1481" s="17">
        <v>45758</v>
      </c>
      <c r="D1481" s="15" t="s">
        <v>4645</v>
      </c>
      <c r="E1481" s="18" t="s">
        <v>954</v>
      </c>
      <c r="F1481" s="19" t="s">
        <v>4646</v>
      </c>
      <c r="G1481" s="18" t="s">
        <v>4647</v>
      </c>
      <c r="H1481" s="20" t="s">
        <v>4648</v>
      </c>
      <c r="I1481" s="15">
        <v>6</v>
      </c>
      <c r="J1481" s="15" t="s">
        <v>23</v>
      </c>
      <c r="K1481" s="15"/>
      <c r="L1481" s="21" t="s">
        <v>16</v>
      </c>
      <c r="M1481" s="22">
        <v>0</v>
      </c>
      <c r="N1481" s="22">
        <v>0</v>
      </c>
      <c r="O1481" s="22">
        <v>41400</v>
      </c>
      <c r="P1481" s="22">
        <v>41400</v>
      </c>
      <c r="Q1481" t="str" cm="1">
        <f t="array" ref="Q1481">_xlfn.TEXTJOIN("、",TRUE,IF('學員資料-三民高中'!$B$2:$B$454=$F1481,'學員資料-三民高中'!$G$2:$G$454,""))</f>
        <v/>
      </c>
      <c r="R1481" t="str" cm="1">
        <f t="array" ref="R1481">_xlfn.TEXTJOIN("、",TRUE,IF('學員資料-新北高中'!$B$2:$B$583=$F1481,'學員資料-新北高中'!$G$2:$G$583,""))</f>
        <v/>
      </c>
      <c r="S1481" t="str" cm="1">
        <f t="array" ref="S1481">_xlfn.TEXTJOIN("、",TRUE,IF('學員資料-三重商工'!$B$2:$B$472=$F1481,'學員資料-三重商工'!$G$2:$G$472,""))</f>
        <v>0935973198</v>
      </c>
      <c r="T1481">
        <f t="shared" si="23"/>
        <v>1</v>
      </c>
    </row>
    <row r="1482" spans="1:20" ht="14.25" hidden="1" customHeight="1">
      <c r="A1482" s="15">
        <v>1481</v>
      </c>
      <c r="B1482" s="16" t="s">
        <v>4649</v>
      </c>
      <c r="C1482" s="17">
        <v>45755</v>
      </c>
      <c r="D1482" s="15" t="s">
        <v>4650</v>
      </c>
      <c r="E1482" s="18" t="s">
        <v>954</v>
      </c>
      <c r="F1482" s="19" t="s">
        <v>1744</v>
      </c>
      <c r="G1482" s="18" t="s">
        <v>1745</v>
      </c>
      <c r="H1482" s="20" t="s">
        <v>52</v>
      </c>
      <c r="I1482" s="15">
        <v>1</v>
      </c>
      <c r="J1482" s="15" t="s">
        <v>24</v>
      </c>
      <c r="K1482" s="15"/>
      <c r="L1482" s="21" t="s">
        <v>16</v>
      </c>
      <c r="M1482" s="22">
        <v>0</v>
      </c>
      <c r="N1482" s="22">
        <v>0</v>
      </c>
      <c r="O1482" s="22">
        <v>7500</v>
      </c>
      <c r="P1482" s="22">
        <v>7500</v>
      </c>
      <c r="Q1482" t="str" cm="1">
        <f t="array" ref="Q1482">_xlfn.TEXTJOIN("、",TRUE,IF('學員資料-三民高中'!$B$2:$B$454=$F1482,'學員資料-三民高中'!$G$2:$G$454,""))</f>
        <v/>
      </c>
      <c r="R1482" t="str" cm="1">
        <f t="array" ref="R1482">_xlfn.TEXTJOIN("、",TRUE,IF('學員資料-新北高中'!$B$2:$B$583=$F1482,'學員資料-新北高中'!$G$2:$G$583,""))</f>
        <v/>
      </c>
      <c r="S1482" t="str" cm="1">
        <f t="array" ref="S1482">_xlfn.TEXTJOIN("、",TRUE,IF('學員資料-三重商工'!$B$2:$B$472=$F1482,'學員資料-三重商工'!$G$2:$G$472,""))</f>
        <v>0926882435</v>
      </c>
      <c r="T1482">
        <f t="shared" si="23"/>
        <v>1</v>
      </c>
    </row>
    <row r="1483" spans="1:20" ht="14.25" hidden="1" customHeight="1">
      <c r="A1483" s="15">
        <v>1482</v>
      </c>
      <c r="B1483" s="16" t="s">
        <v>4651</v>
      </c>
      <c r="C1483" s="17">
        <v>45755</v>
      </c>
      <c r="D1483" s="15" t="s">
        <v>4652</v>
      </c>
      <c r="E1483" s="18" t="s">
        <v>954</v>
      </c>
      <c r="F1483" s="19" t="s">
        <v>4653</v>
      </c>
      <c r="G1483" s="18" t="s">
        <v>4654</v>
      </c>
      <c r="H1483" s="20" t="s">
        <v>683</v>
      </c>
      <c r="I1483" s="15">
        <v>1</v>
      </c>
      <c r="J1483" s="15" t="s">
        <v>23</v>
      </c>
      <c r="K1483" s="15"/>
      <c r="L1483" s="21" t="s">
        <v>16</v>
      </c>
      <c r="M1483" s="22">
        <v>0</v>
      </c>
      <c r="N1483" s="22">
        <v>0</v>
      </c>
      <c r="O1483" s="22">
        <v>9000</v>
      </c>
      <c r="P1483" s="22">
        <v>9000</v>
      </c>
      <c r="Q1483" t="str" cm="1">
        <f t="array" ref="Q1483">_xlfn.TEXTJOIN("、",TRUE,IF('學員資料-三民高中'!$B$2:$B$454=$F1483,'學員資料-三民高中'!$G$2:$G$454,""))</f>
        <v/>
      </c>
      <c r="R1483" t="str" cm="1">
        <f t="array" ref="R1483">_xlfn.TEXTJOIN("、",TRUE,IF('學員資料-新北高中'!$B$2:$B$583=$F1483,'學員資料-新北高中'!$G$2:$G$583,""))</f>
        <v>0921935005</v>
      </c>
      <c r="S1483" t="str" cm="1">
        <f t="array" ref="S1483">_xlfn.TEXTJOIN("、",TRUE,IF('學員資料-三重商工'!$B$2:$B$472=$F1483,'學員資料-三重商工'!$G$2:$G$472,""))</f>
        <v/>
      </c>
      <c r="T1483">
        <f t="shared" si="23"/>
        <v>1</v>
      </c>
    </row>
    <row r="1484" spans="1:20" ht="14.25" hidden="1" customHeight="1">
      <c r="A1484" s="15">
        <v>1483</v>
      </c>
      <c r="B1484" s="16" t="s">
        <v>4655</v>
      </c>
      <c r="C1484" s="17">
        <v>45755</v>
      </c>
      <c r="D1484" s="15" t="s">
        <v>4656</v>
      </c>
      <c r="E1484" s="18" t="s">
        <v>954</v>
      </c>
      <c r="F1484" s="19" t="s">
        <v>716</v>
      </c>
      <c r="G1484" s="18" t="s">
        <v>717</v>
      </c>
      <c r="H1484" s="20" t="s">
        <v>130</v>
      </c>
      <c r="I1484" s="15">
        <v>1</v>
      </c>
      <c r="J1484" s="15" t="s">
        <v>25</v>
      </c>
      <c r="K1484" s="15"/>
      <c r="L1484" s="21" t="s">
        <v>16</v>
      </c>
      <c r="M1484" s="22">
        <v>0</v>
      </c>
      <c r="N1484" s="22">
        <v>0</v>
      </c>
      <c r="O1484" s="22">
        <v>9900</v>
      </c>
      <c r="P1484" s="22">
        <v>9900</v>
      </c>
      <c r="Q1484" t="str" cm="1">
        <f t="array" ref="Q1484">_xlfn.TEXTJOIN("、",TRUE,IF('學員資料-三民高中'!$B$2:$B$454=$F1484,'學員資料-三民高中'!$G$2:$G$454,""))</f>
        <v/>
      </c>
      <c r="R1484" t="str" cm="1">
        <f t="array" ref="R1484">_xlfn.TEXTJOIN("、",TRUE,IF('學員資料-新北高中'!$B$2:$B$583=$F1484,'學員資料-新北高中'!$G$2:$G$583,""))</f>
        <v/>
      </c>
      <c r="S1484" t="str" cm="1">
        <f t="array" ref="S1484">_xlfn.TEXTJOIN("、",TRUE,IF('學員資料-三重商工'!$B$2:$B$472=$F1484,'學員資料-三重商工'!$G$2:$G$472,""))</f>
        <v>0928573701</v>
      </c>
      <c r="T1484">
        <f t="shared" si="23"/>
        <v>1</v>
      </c>
    </row>
    <row r="1485" spans="1:20" ht="28.5" hidden="1" customHeight="1">
      <c r="A1485" s="15">
        <v>1484</v>
      </c>
      <c r="B1485" s="16" t="s">
        <v>4657</v>
      </c>
      <c r="C1485" s="17">
        <v>45749</v>
      </c>
      <c r="D1485" s="15" t="s">
        <v>4658</v>
      </c>
      <c r="E1485" s="18" t="s">
        <v>954</v>
      </c>
      <c r="F1485" s="19" t="s">
        <v>4443</v>
      </c>
      <c r="G1485" s="18" t="s">
        <v>4444</v>
      </c>
      <c r="H1485" s="20" t="s">
        <v>99</v>
      </c>
      <c r="I1485" s="15">
        <v>2</v>
      </c>
      <c r="J1485" s="15" t="s">
        <v>24</v>
      </c>
      <c r="K1485" s="15"/>
      <c r="L1485" s="21" t="s">
        <v>16</v>
      </c>
      <c r="M1485" s="22">
        <v>0</v>
      </c>
      <c r="N1485" s="22">
        <v>0</v>
      </c>
      <c r="O1485" s="22">
        <v>15000</v>
      </c>
      <c r="P1485" s="22">
        <v>15000</v>
      </c>
      <c r="Q1485" t="str" cm="1">
        <f t="array" ref="Q1485">_xlfn.TEXTJOIN("、",TRUE,IF('學員資料-三民高中'!$B$2:$B$454=$F1485,'學員資料-三民高中'!$G$2:$G$454,""))</f>
        <v/>
      </c>
      <c r="R1485" t="str" cm="1">
        <f t="array" ref="R1485">_xlfn.TEXTJOIN("、",TRUE,IF('學員資料-新北高中'!$B$2:$B$583=$F1485,'學員資料-新北高中'!$G$2:$G$583,""))</f>
        <v/>
      </c>
      <c r="S1485" t="str" cm="1">
        <f t="array" ref="S1485">_xlfn.TEXTJOIN("、",TRUE,IF('學員資料-三重商工'!$B$2:$B$472=$F1485,'學員資料-三重商工'!$G$2:$G$472,""))</f>
        <v>0935323195</v>
      </c>
      <c r="T1485">
        <f t="shared" si="23"/>
        <v>1</v>
      </c>
    </row>
    <row r="1486" spans="1:20" ht="28.5" hidden="1" customHeight="1">
      <c r="A1486" s="15">
        <v>1485</v>
      </c>
      <c r="B1486" s="16" t="s">
        <v>4659</v>
      </c>
      <c r="C1486" s="17">
        <v>45749</v>
      </c>
      <c r="D1486" s="15" t="s">
        <v>4660</v>
      </c>
      <c r="E1486" s="18" t="s">
        <v>954</v>
      </c>
      <c r="F1486" s="19" t="s">
        <v>4661</v>
      </c>
      <c r="G1486" s="18" t="s">
        <v>4662</v>
      </c>
      <c r="H1486" s="20" t="s">
        <v>99</v>
      </c>
      <c r="I1486" s="15">
        <v>2</v>
      </c>
      <c r="J1486" s="15" t="s">
        <v>24</v>
      </c>
      <c r="K1486" s="15"/>
      <c r="L1486" s="21" t="s">
        <v>16</v>
      </c>
      <c r="M1486" s="22">
        <v>0</v>
      </c>
      <c r="N1486" s="22">
        <v>-1500</v>
      </c>
      <c r="O1486" s="22">
        <v>13500</v>
      </c>
      <c r="P1486" s="22">
        <v>13500</v>
      </c>
      <c r="Q1486" t="str" cm="1">
        <f t="array" ref="Q1486">_xlfn.TEXTJOIN("、",TRUE,IF('學員資料-三民高中'!$B$2:$B$454=$F1486,'學員資料-三民高中'!$G$2:$G$454,""))</f>
        <v>0920016260-1</v>
      </c>
      <c r="R1486" t="str" cm="1">
        <f t="array" ref="R1486">_xlfn.TEXTJOIN("、",TRUE,IF('學員資料-新北高中'!$B$2:$B$583=$F1486,'學員資料-新北高中'!$G$2:$G$583,""))</f>
        <v/>
      </c>
      <c r="S1486" t="str" cm="1">
        <f t="array" ref="S1486">_xlfn.TEXTJOIN("、",TRUE,IF('學員資料-三重商工'!$B$2:$B$472=$F1486,'學員資料-三重商工'!$G$2:$G$472,""))</f>
        <v/>
      </c>
      <c r="T1486">
        <f t="shared" si="23"/>
        <v>1</v>
      </c>
    </row>
    <row r="1487" spans="1:20" ht="14.25" hidden="1" customHeight="1">
      <c r="A1487" s="15">
        <v>1486</v>
      </c>
      <c r="B1487" s="16" t="s">
        <v>4663</v>
      </c>
      <c r="C1487" s="17">
        <v>45747</v>
      </c>
      <c r="D1487" s="15" t="s">
        <v>4664</v>
      </c>
      <c r="E1487" s="18" t="s">
        <v>3862</v>
      </c>
      <c r="F1487" s="19" t="s">
        <v>4332</v>
      </c>
      <c r="G1487" s="18" t="s">
        <v>4333</v>
      </c>
      <c r="H1487" s="20" t="s">
        <v>66</v>
      </c>
      <c r="I1487" s="15">
        <v>1</v>
      </c>
      <c r="J1487" s="15" t="s">
        <v>23</v>
      </c>
      <c r="K1487" s="15"/>
      <c r="L1487" s="21" t="s">
        <v>16</v>
      </c>
      <c r="M1487" s="22">
        <v>0</v>
      </c>
      <c r="N1487" s="22">
        <v>0</v>
      </c>
      <c r="O1487" s="22">
        <v>6900</v>
      </c>
      <c r="P1487" s="22">
        <v>6900</v>
      </c>
      <c r="Q1487" t="str" cm="1">
        <f t="array" ref="Q1487">_xlfn.TEXTJOIN("、",TRUE,IF('學員資料-三民高中'!$B$2:$B$454=$F1487,'學員資料-三民高中'!$G$2:$G$454,""))</f>
        <v>0905552067</v>
      </c>
      <c r="R1487" t="str" cm="1">
        <f t="array" ref="R1487">_xlfn.TEXTJOIN("、",TRUE,IF('學員資料-新北高中'!$B$2:$B$583=$F1487,'學員資料-新北高中'!$G$2:$G$583,""))</f>
        <v/>
      </c>
      <c r="S1487" t="str" cm="1">
        <f t="array" ref="S1487">_xlfn.TEXTJOIN("、",TRUE,IF('學員資料-三重商工'!$B$2:$B$472=$F1487,'學員資料-三重商工'!$G$2:$G$472,""))</f>
        <v/>
      </c>
      <c r="T1487">
        <f t="shared" si="23"/>
        <v>1</v>
      </c>
    </row>
    <row r="1488" spans="1:20" ht="14.25" hidden="1" customHeight="1">
      <c r="A1488" s="15">
        <v>1487</v>
      </c>
      <c r="B1488" s="16" t="s">
        <v>4665</v>
      </c>
      <c r="C1488" s="17">
        <v>45746</v>
      </c>
      <c r="D1488" s="15" t="s">
        <v>4666</v>
      </c>
      <c r="E1488" s="18" t="s">
        <v>954</v>
      </c>
      <c r="F1488" s="19" t="s">
        <v>4667</v>
      </c>
      <c r="G1488" s="18" t="s">
        <v>4668</v>
      </c>
      <c r="H1488" s="20" t="s">
        <v>66</v>
      </c>
      <c r="I1488" s="15">
        <v>1</v>
      </c>
      <c r="J1488" s="15" t="s">
        <v>23</v>
      </c>
      <c r="K1488" s="15"/>
      <c r="L1488" s="21" t="s">
        <v>16</v>
      </c>
      <c r="M1488" s="22">
        <v>0</v>
      </c>
      <c r="N1488" s="22">
        <v>0</v>
      </c>
      <c r="O1488" s="22">
        <v>6900</v>
      </c>
      <c r="P1488" s="22">
        <v>6900</v>
      </c>
      <c r="Q1488" t="str" cm="1">
        <f t="array" ref="Q1488">_xlfn.TEXTJOIN("、",TRUE,IF('學員資料-三民高中'!$B$2:$B$454=$F1488,'學員資料-三民高中'!$G$2:$G$454,""))</f>
        <v/>
      </c>
      <c r="R1488" t="str" cm="1">
        <f t="array" ref="R1488">_xlfn.TEXTJOIN("、",TRUE,IF('學員資料-新北高中'!$B$2:$B$583=$F1488,'學員資料-新北高中'!$G$2:$G$583,""))</f>
        <v/>
      </c>
      <c r="S1488" t="str" cm="1">
        <f t="array" ref="S1488">_xlfn.TEXTJOIN("、",TRUE,IF('學員資料-三重商工'!$B$2:$B$472=$F1488,'學員資料-三重商工'!$G$2:$G$472,""))</f>
        <v>0939676718-1</v>
      </c>
      <c r="T1488">
        <f t="shared" si="23"/>
        <v>1</v>
      </c>
    </row>
    <row r="1489" spans="1:20" ht="14.25" hidden="1" customHeight="1">
      <c r="A1489" s="15">
        <v>1488</v>
      </c>
      <c r="B1489" s="16" t="s">
        <v>4669</v>
      </c>
      <c r="C1489" s="17">
        <v>45744</v>
      </c>
      <c r="D1489" s="15" t="s">
        <v>4670</v>
      </c>
      <c r="E1489" s="18" t="s">
        <v>954</v>
      </c>
      <c r="F1489" s="19" t="s">
        <v>1740</v>
      </c>
      <c r="G1489" s="18" t="s">
        <v>1741</v>
      </c>
      <c r="H1489" s="20" t="s">
        <v>210</v>
      </c>
      <c r="I1489" s="15">
        <v>1</v>
      </c>
      <c r="J1489" s="15" t="s">
        <v>26</v>
      </c>
      <c r="K1489" s="15"/>
      <c r="L1489" s="21" t="s">
        <v>16</v>
      </c>
      <c r="M1489" s="22">
        <v>0</v>
      </c>
      <c r="N1489" s="22">
        <v>0</v>
      </c>
      <c r="O1489" s="22">
        <v>12000</v>
      </c>
      <c r="P1489" s="22">
        <v>12000</v>
      </c>
      <c r="Q1489" t="str" cm="1">
        <f t="array" ref="Q1489">_xlfn.TEXTJOIN("、",TRUE,IF('學員資料-三民高中'!$B$2:$B$454=$F1489,'學員資料-三民高中'!$G$2:$G$454,""))</f>
        <v/>
      </c>
      <c r="R1489" t="str" cm="1">
        <f t="array" ref="R1489">_xlfn.TEXTJOIN("、",TRUE,IF('學員資料-新北高中'!$B$2:$B$583=$F1489,'學員資料-新北高中'!$G$2:$G$583,""))</f>
        <v>0960755204</v>
      </c>
      <c r="S1489" t="str" cm="1">
        <f t="array" ref="S1489">_xlfn.TEXTJOIN("、",TRUE,IF('學員資料-三重商工'!$B$2:$B$472=$F1489,'學員資料-三重商工'!$G$2:$G$472,""))</f>
        <v/>
      </c>
      <c r="T1489">
        <f t="shared" si="23"/>
        <v>1</v>
      </c>
    </row>
    <row r="1490" spans="1:20" ht="14.25" hidden="1" customHeight="1">
      <c r="A1490" s="15">
        <v>1489</v>
      </c>
      <c r="B1490" s="16" t="s">
        <v>4671</v>
      </c>
      <c r="C1490" s="17">
        <v>45742</v>
      </c>
      <c r="D1490" s="15" t="s">
        <v>4672</v>
      </c>
      <c r="E1490" s="18" t="s">
        <v>954</v>
      </c>
      <c r="F1490" s="19" t="s">
        <v>2813</v>
      </c>
      <c r="G1490" s="18" t="s">
        <v>2814</v>
      </c>
      <c r="H1490" s="20" t="s">
        <v>210</v>
      </c>
      <c r="I1490" s="15">
        <v>1</v>
      </c>
      <c r="J1490" s="15" t="s">
        <v>26</v>
      </c>
      <c r="K1490" s="15"/>
      <c r="L1490" s="21" t="s">
        <v>16</v>
      </c>
      <c r="M1490" s="22">
        <v>0</v>
      </c>
      <c r="N1490" s="22">
        <v>-1200</v>
      </c>
      <c r="O1490" s="22">
        <v>10800</v>
      </c>
      <c r="P1490" s="22">
        <v>10800</v>
      </c>
      <c r="Q1490" t="str" cm="1">
        <f t="array" ref="Q1490">_xlfn.TEXTJOIN("、",TRUE,IF('學員資料-三民高中'!$B$2:$B$454=$F1490,'學員資料-三民高中'!$G$2:$G$454,""))</f>
        <v/>
      </c>
      <c r="R1490" t="str" cm="1">
        <f t="array" ref="R1490">_xlfn.TEXTJOIN("、",TRUE,IF('學員資料-新北高中'!$B$2:$B$583=$F1490,'學員資料-新北高中'!$G$2:$G$583,""))</f>
        <v>0933883158</v>
      </c>
      <c r="S1490" t="str" cm="1">
        <f t="array" ref="S1490">_xlfn.TEXTJOIN("、",TRUE,IF('學員資料-三重商工'!$B$2:$B$472=$F1490,'學員資料-三重商工'!$G$2:$G$472,""))</f>
        <v/>
      </c>
      <c r="T1490">
        <f t="shared" si="23"/>
        <v>1</v>
      </c>
    </row>
    <row r="1491" spans="1:20" ht="43.5" hidden="1" customHeight="1">
      <c r="A1491" s="15">
        <v>1490</v>
      </c>
      <c r="B1491" s="16" t="s">
        <v>4673</v>
      </c>
      <c r="C1491" s="17">
        <v>45742</v>
      </c>
      <c r="D1491" s="15" t="s">
        <v>4674</v>
      </c>
      <c r="E1491" s="18" t="s">
        <v>954</v>
      </c>
      <c r="F1491" s="19" t="s">
        <v>4675</v>
      </c>
      <c r="G1491" s="18" t="s">
        <v>4676</v>
      </c>
      <c r="H1491" s="20" t="s">
        <v>436</v>
      </c>
      <c r="I1491" s="15">
        <v>3</v>
      </c>
      <c r="J1491" s="15" t="s">
        <v>24</v>
      </c>
      <c r="K1491" s="15"/>
      <c r="L1491" s="21" t="s">
        <v>16</v>
      </c>
      <c r="M1491" s="22">
        <v>0</v>
      </c>
      <c r="N1491" s="22">
        <v>-2250</v>
      </c>
      <c r="O1491" s="22">
        <v>20250</v>
      </c>
      <c r="P1491" s="22">
        <v>20250</v>
      </c>
      <c r="Q1491" t="str" cm="1">
        <f t="array" ref="Q1491">_xlfn.TEXTJOIN("、",TRUE,IF('學員資料-三民高中'!$B$2:$B$454=$F1491,'學員資料-三民高中'!$G$2:$G$454,""))</f>
        <v>0954087043</v>
      </c>
      <c r="R1491" t="str" cm="1">
        <f t="array" ref="R1491">_xlfn.TEXTJOIN("、",TRUE,IF('學員資料-新北高中'!$B$2:$B$583=$F1491,'學員資料-新北高中'!$G$2:$G$583,""))</f>
        <v/>
      </c>
      <c r="S1491" t="str" cm="1">
        <f t="array" ref="S1491">_xlfn.TEXTJOIN("、",TRUE,IF('學員資料-三重商工'!$B$2:$B$472=$F1491,'學員資料-三重商工'!$G$2:$G$472,""))</f>
        <v/>
      </c>
      <c r="T1491">
        <f t="shared" si="23"/>
        <v>1</v>
      </c>
    </row>
    <row r="1492" spans="1:20" ht="14.25" hidden="1" customHeight="1">
      <c r="A1492" s="15">
        <v>1491</v>
      </c>
      <c r="B1492" s="16" t="s">
        <v>4677</v>
      </c>
      <c r="C1492" s="17">
        <v>45739</v>
      </c>
      <c r="D1492" s="15" t="s">
        <v>4678</v>
      </c>
      <c r="E1492" s="18" t="s">
        <v>954</v>
      </c>
      <c r="F1492" s="19" t="s">
        <v>1799</v>
      </c>
      <c r="G1492" s="18" t="s">
        <v>1800</v>
      </c>
      <c r="H1492" s="20" t="s">
        <v>2989</v>
      </c>
      <c r="I1492" s="15">
        <v>1</v>
      </c>
      <c r="J1492" s="15" t="s">
        <v>23</v>
      </c>
      <c r="K1492" s="21" t="s">
        <v>116</v>
      </c>
      <c r="L1492" s="21" t="s">
        <v>16</v>
      </c>
      <c r="M1492" s="22">
        <v>0</v>
      </c>
      <c r="N1492" s="22">
        <v>0</v>
      </c>
      <c r="O1492" s="22">
        <v>1200</v>
      </c>
      <c r="P1492" s="22">
        <v>1200</v>
      </c>
      <c r="Q1492" t="str" cm="1">
        <f t="array" ref="Q1492">_xlfn.TEXTJOIN("、",TRUE,IF('學員資料-三民高中'!$B$2:$B$454=$F1492,'學員資料-三民高中'!$G$2:$G$454,""))</f>
        <v/>
      </c>
      <c r="R1492" t="str" cm="1">
        <f t="array" ref="R1492">_xlfn.TEXTJOIN("、",TRUE,IF('學員資料-新北高中'!$B$2:$B$583=$F1492,'學員資料-新北高中'!$G$2:$G$583,""))</f>
        <v/>
      </c>
      <c r="S1492" t="str" cm="1">
        <f t="array" ref="S1492">_xlfn.TEXTJOIN("、",TRUE,IF('學員資料-三重商工'!$B$2:$B$472=$F1492,'學員資料-三重商工'!$G$2:$G$472,""))</f>
        <v>0939676718</v>
      </c>
      <c r="T1492">
        <f t="shared" si="23"/>
        <v>1</v>
      </c>
    </row>
    <row r="1493" spans="1:20" ht="14.25" hidden="1" customHeight="1">
      <c r="A1493" s="15">
        <v>1492</v>
      </c>
      <c r="B1493" s="16" t="s">
        <v>4679</v>
      </c>
      <c r="C1493" s="17">
        <v>45735</v>
      </c>
      <c r="D1493" s="15" t="s">
        <v>4680</v>
      </c>
      <c r="E1493" s="18" t="s">
        <v>954</v>
      </c>
      <c r="F1493" s="19" t="s">
        <v>3696</v>
      </c>
      <c r="G1493" s="18" t="s">
        <v>3697</v>
      </c>
      <c r="H1493" s="20" t="s">
        <v>210</v>
      </c>
      <c r="I1493" s="15">
        <v>1</v>
      </c>
      <c r="J1493" s="15" t="s">
        <v>26</v>
      </c>
      <c r="K1493" s="15"/>
      <c r="L1493" s="21" t="s">
        <v>16</v>
      </c>
      <c r="M1493" s="22">
        <v>0</v>
      </c>
      <c r="N1493" s="22">
        <v>-1800</v>
      </c>
      <c r="O1493" s="22">
        <v>10200</v>
      </c>
      <c r="P1493" s="22">
        <v>10200</v>
      </c>
      <c r="Q1493" t="str" cm="1">
        <f t="array" ref="Q1493">_xlfn.TEXTJOIN("、",TRUE,IF('學員資料-三民高中'!$B$2:$B$454=$F1493,'學員資料-三民高中'!$G$2:$G$454,""))</f>
        <v/>
      </c>
      <c r="R1493" t="str" cm="1">
        <f t="array" ref="R1493">_xlfn.TEXTJOIN("、",TRUE,IF('學員資料-新北高中'!$B$2:$B$583=$F1493,'學員資料-新北高中'!$G$2:$G$583,""))</f>
        <v>0918325831</v>
      </c>
      <c r="S1493" t="str" cm="1">
        <f t="array" ref="S1493">_xlfn.TEXTJOIN("、",TRUE,IF('學員資料-三重商工'!$B$2:$B$472=$F1493,'學員資料-三重商工'!$G$2:$G$472,""))</f>
        <v/>
      </c>
      <c r="T1493">
        <f t="shared" si="23"/>
        <v>1</v>
      </c>
    </row>
    <row r="1494" spans="1:20" ht="28.5" hidden="1" customHeight="1">
      <c r="A1494" s="15">
        <v>1493</v>
      </c>
      <c r="B1494" s="16" t="s">
        <v>4681</v>
      </c>
      <c r="C1494" s="17">
        <v>45735</v>
      </c>
      <c r="D1494" s="15" t="s">
        <v>4682</v>
      </c>
      <c r="E1494" s="18" t="s">
        <v>954</v>
      </c>
      <c r="F1494" s="19" t="s">
        <v>2519</v>
      </c>
      <c r="G1494" s="18" t="s">
        <v>2520</v>
      </c>
      <c r="H1494" s="20" t="s">
        <v>99</v>
      </c>
      <c r="I1494" s="15">
        <v>2</v>
      </c>
      <c r="J1494" s="15" t="s">
        <v>24</v>
      </c>
      <c r="K1494" s="15"/>
      <c r="L1494" s="21" t="s">
        <v>16</v>
      </c>
      <c r="M1494" s="22">
        <v>0</v>
      </c>
      <c r="N1494" s="22">
        <v>-1500</v>
      </c>
      <c r="O1494" s="22">
        <v>13500</v>
      </c>
      <c r="P1494" s="22">
        <v>13500</v>
      </c>
      <c r="Q1494" t="str" cm="1">
        <f t="array" ref="Q1494">_xlfn.TEXTJOIN("、",TRUE,IF('學員資料-三民高中'!$B$2:$B$454=$F1494,'學員資料-三民高中'!$G$2:$G$454,""))</f>
        <v>0933178605</v>
      </c>
      <c r="R1494" t="str" cm="1">
        <f t="array" ref="R1494">_xlfn.TEXTJOIN("、",TRUE,IF('學員資料-新北高中'!$B$2:$B$583=$F1494,'學員資料-新北高中'!$G$2:$G$583,""))</f>
        <v/>
      </c>
      <c r="S1494" t="str" cm="1">
        <f t="array" ref="S1494">_xlfn.TEXTJOIN("、",TRUE,IF('學員資料-三重商工'!$B$2:$B$472=$F1494,'學員資料-三重商工'!$G$2:$G$472,""))</f>
        <v/>
      </c>
      <c r="T1494">
        <f t="shared" si="23"/>
        <v>1</v>
      </c>
    </row>
    <row r="1495" spans="1:20" ht="28.5" hidden="1" customHeight="1">
      <c r="A1495" s="15">
        <v>1494</v>
      </c>
      <c r="B1495" s="16" t="s">
        <v>4683</v>
      </c>
      <c r="C1495" s="17">
        <v>45735</v>
      </c>
      <c r="D1495" s="15" t="s">
        <v>4684</v>
      </c>
      <c r="E1495" s="18" t="s">
        <v>954</v>
      </c>
      <c r="F1495" s="19" t="s">
        <v>4685</v>
      </c>
      <c r="G1495" s="18" t="s">
        <v>4686</v>
      </c>
      <c r="H1495" s="20" t="s">
        <v>726</v>
      </c>
      <c r="I1495" s="15">
        <v>2</v>
      </c>
      <c r="J1495" s="15" t="s">
        <v>24</v>
      </c>
      <c r="K1495" s="15"/>
      <c r="L1495" s="21" t="s">
        <v>16</v>
      </c>
      <c r="M1495" s="22">
        <v>0</v>
      </c>
      <c r="N1495" s="22">
        <v>-1800</v>
      </c>
      <c r="O1495" s="22">
        <v>16200</v>
      </c>
      <c r="P1495" s="22">
        <v>16200</v>
      </c>
      <c r="Q1495" t="str" cm="1">
        <f t="array" ref="Q1495">_xlfn.TEXTJOIN("、",TRUE,IF('學員資料-三民高中'!$B$2:$B$454=$F1495,'學員資料-三民高中'!$G$2:$G$454,""))</f>
        <v/>
      </c>
      <c r="R1495" t="str" cm="1">
        <f t="array" ref="R1495">_xlfn.TEXTJOIN("、",TRUE,IF('學員資料-新北高中'!$B$2:$B$583=$F1495,'學員資料-新北高中'!$G$2:$G$583,""))</f>
        <v/>
      </c>
      <c r="S1495" t="str" cm="1">
        <f t="array" ref="S1495">_xlfn.TEXTJOIN("、",TRUE,IF('學員資料-三重商工'!$B$2:$B$472=$F1495,'學員資料-三重商工'!$G$2:$G$472,""))</f>
        <v>0921812796</v>
      </c>
      <c r="T1495">
        <f t="shared" si="23"/>
        <v>1</v>
      </c>
    </row>
    <row r="1496" spans="1:20" ht="28.5" hidden="1" customHeight="1">
      <c r="A1496" s="15">
        <v>1495</v>
      </c>
      <c r="B1496" s="16" t="s">
        <v>4687</v>
      </c>
      <c r="C1496" s="17">
        <v>45735</v>
      </c>
      <c r="D1496" s="15" t="s">
        <v>4688</v>
      </c>
      <c r="E1496" s="18" t="s">
        <v>954</v>
      </c>
      <c r="F1496" s="19" t="s">
        <v>1149</v>
      </c>
      <c r="G1496" s="18" t="s">
        <v>1150</v>
      </c>
      <c r="H1496" s="20" t="s">
        <v>75</v>
      </c>
      <c r="I1496" s="15">
        <v>2</v>
      </c>
      <c r="J1496" s="15" t="s">
        <v>23</v>
      </c>
      <c r="K1496" s="15"/>
      <c r="L1496" s="21" t="s">
        <v>16</v>
      </c>
      <c r="M1496" s="22">
        <v>0</v>
      </c>
      <c r="N1496" s="22">
        <v>-690</v>
      </c>
      <c r="O1496" s="22">
        <v>13110</v>
      </c>
      <c r="P1496" s="22">
        <v>13110</v>
      </c>
      <c r="Q1496" t="str" cm="1">
        <f t="array" ref="Q1496">_xlfn.TEXTJOIN("、",TRUE,IF('學員資料-三民高中'!$B$2:$B$454=$F1496,'學員資料-三民高中'!$G$2:$G$454,""))</f>
        <v/>
      </c>
      <c r="R1496" t="str" cm="1">
        <f t="array" ref="R1496">_xlfn.TEXTJOIN("、",TRUE,IF('學員資料-新北高中'!$B$2:$B$583=$F1496,'學員資料-新北高中'!$G$2:$G$583,""))</f>
        <v>0921812164</v>
      </c>
      <c r="S1496" t="str" cm="1">
        <f t="array" ref="S1496">_xlfn.TEXTJOIN("、",TRUE,IF('學員資料-三重商工'!$B$2:$B$472=$F1496,'學員資料-三重商工'!$G$2:$G$472,""))</f>
        <v/>
      </c>
      <c r="T1496">
        <f t="shared" si="23"/>
        <v>1</v>
      </c>
    </row>
    <row r="1497" spans="1:20" ht="14.25" hidden="1" customHeight="1">
      <c r="A1497" s="15">
        <v>1496</v>
      </c>
      <c r="B1497" s="16" t="s">
        <v>4689</v>
      </c>
      <c r="C1497" s="17">
        <v>45735</v>
      </c>
      <c r="D1497" s="15" t="s">
        <v>4690</v>
      </c>
      <c r="E1497" s="18" t="s">
        <v>954</v>
      </c>
      <c r="F1497" s="19" t="s">
        <v>403</v>
      </c>
      <c r="G1497" s="18" t="s">
        <v>404</v>
      </c>
      <c r="H1497" s="20" t="s">
        <v>130</v>
      </c>
      <c r="I1497" s="15">
        <v>1</v>
      </c>
      <c r="J1497" s="15" t="s">
        <v>25</v>
      </c>
      <c r="K1497" s="15"/>
      <c r="L1497" s="21" t="s">
        <v>16</v>
      </c>
      <c r="M1497" s="22">
        <v>0</v>
      </c>
      <c r="N1497" s="22">
        <v>-990</v>
      </c>
      <c r="O1497" s="22">
        <v>8910</v>
      </c>
      <c r="P1497" s="22">
        <v>8910</v>
      </c>
      <c r="Q1497" t="str" cm="1">
        <f t="array" ref="Q1497">_xlfn.TEXTJOIN("、",TRUE,IF('學員資料-三民高中'!$B$2:$B$454=$F1497,'學員資料-三民高中'!$G$2:$G$454,""))</f>
        <v/>
      </c>
      <c r="R1497" t="str" cm="1">
        <f t="array" ref="R1497">_xlfn.TEXTJOIN("、",TRUE,IF('學員資料-新北高中'!$B$2:$B$583=$F1497,'學員資料-新北高中'!$G$2:$G$583,""))</f>
        <v>0921991299</v>
      </c>
      <c r="S1497" t="str" cm="1">
        <f t="array" ref="S1497">_xlfn.TEXTJOIN("、",TRUE,IF('學員資料-三重商工'!$B$2:$B$472=$F1497,'學員資料-三重商工'!$G$2:$G$472,""))</f>
        <v/>
      </c>
      <c r="T1497">
        <f t="shared" si="23"/>
        <v>1</v>
      </c>
    </row>
    <row r="1498" spans="1:20" ht="43.5" hidden="1" customHeight="1">
      <c r="A1498" s="15">
        <v>1497</v>
      </c>
      <c r="B1498" s="16" t="s">
        <v>4691</v>
      </c>
      <c r="C1498" s="17">
        <v>45735</v>
      </c>
      <c r="D1498" s="15" t="s">
        <v>4692</v>
      </c>
      <c r="E1498" s="18" t="s">
        <v>954</v>
      </c>
      <c r="F1498" s="19" t="s">
        <v>3391</v>
      </c>
      <c r="G1498" s="18" t="s">
        <v>3392</v>
      </c>
      <c r="H1498" s="20" t="s">
        <v>436</v>
      </c>
      <c r="I1498" s="15">
        <v>3</v>
      </c>
      <c r="J1498" s="15" t="s">
        <v>24</v>
      </c>
      <c r="K1498" s="15"/>
      <c r="L1498" s="21" t="s">
        <v>16</v>
      </c>
      <c r="M1498" s="22">
        <v>0</v>
      </c>
      <c r="N1498" s="22">
        <v>-2250</v>
      </c>
      <c r="O1498" s="22">
        <v>20250</v>
      </c>
      <c r="P1498" s="22">
        <v>20250</v>
      </c>
      <c r="Q1498" t="str" cm="1">
        <f t="array" ref="Q1498">_xlfn.TEXTJOIN("、",TRUE,IF('學員資料-三民高中'!$B$2:$B$454=$F1498,'學員資料-三民高中'!$G$2:$G$454,""))</f>
        <v/>
      </c>
      <c r="R1498" t="str" cm="1">
        <f t="array" ref="R1498">_xlfn.TEXTJOIN("、",TRUE,IF('學員資料-新北高中'!$B$2:$B$583=$F1498,'學員資料-新北高中'!$G$2:$G$583,""))</f>
        <v>0926281670</v>
      </c>
      <c r="S1498" t="str" cm="1">
        <f t="array" ref="S1498">_xlfn.TEXTJOIN("、",TRUE,IF('學員資料-三重商工'!$B$2:$B$472=$F1498,'學員資料-三重商工'!$G$2:$G$472,""))</f>
        <v/>
      </c>
      <c r="T1498">
        <f t="shared" si="23"/>
        <v>1</v>
      </c>
    </row>
    <row r="1499" spans="1:20" ht="14.25" hidden="1" customHeight="1">
      <c r="A1499" s="15">
        <v>1498</v>
      </c>
      <c r="B1499" s="16" t="s">
        <v>4693</v>
      </c>
      <c r="C1499" s="17">
        <v>45735</v>
      </c>
      <c r="D1499" s="15" t="s">
        <v>4694</v>
      </c>
      <c r="E1499" s="18" t="s">
        <v>954</v>
      </c>
      <c r="F1499" s="19" t="s">
        <v>4695</v>
      </c>
      <c r="G1499" s="18" t="s">
        <v>4696</v>
      </c>
      <c r="H1499" s="20" t="s">
        <v>66</v>
      </c>
      <c r="I1499" s="15">
        <v>1</v>
      </c>
      <c r="J1499" s="15" t="s">
        <v>23</v>
      </c>
      <c r="K1499" s="15"/>
      <c r="L1499" s="21" t="s">
        <v>16</v>
      </c>
      <c r="M1499" s="22">
        <v>0</v>
      </c>
      <c r="N1499" s="22">
        <v>-345</v>
      </c>
      <c r="O1499" s="22">
        <v>6555</v>
      </c>
      <c r="P1499" s="22">
        <v>6555</v>
      </c>
      <c r="Q1499" t="str" cm="1">
        <f t="array" ref="Q1499">_xlfn.TEXTJOIN("、",TRUE,IF('學員資料-三民高中'!$B$2:$B$454=$F1499,'學員資料-三民高中'!$G$2:$G$454,""))</f>
        <v>0922503532</v>
      </c>
      <c r="R1499" t="str" cm="1">
        <f t="array" ref="R1499">_xlfn.TEXTJOIN("、",TRUE,IF('學員資料-新北高中'!$B$2:$B$583=$F1499,'學員資料-新北高中'!$G$2:$G$583,""))</f>
        <v/>
      </c>
      <c r="S1499" t="str" cm="1">
        <f t="array" ref="S1499">_xlfn.TEXTJOIN("、",TRUE,IF('學員資料-三重商工'!$B$2:$B$472=$F1499,'學員資料-三重商工'!$G$2:$G$472,""))</f>
        <v/>
      </c>
      <c r="T1499">
        <f t="shared" si="23"/>
        <v>1</v>
      </c>
    </row>
    <row r="1500" spans="1:20" ht="14.25" hidden="1" customHeight="1">
      <c r="A1500" s="15">
        <v>1499</v>
      </c>
      <c r="B1500" s="16" t="s">
        <v>4697</v>
      </c>
      <c r="C1500" s="17">
        <v>45735</v>
      </c>
      <c r="D1500" s="15" t="s">
        <v>4698</v>
      </c>
      <c r="E1500" s="18" t="s">
        <v>954</v>
      </c>
      <c r="F1500" s="19" t="s">
        <v>4699</v>
      </c>
      <c r="G1500" s="18" t="s">
        <v>4700</v>
      </c>
      <c r="H1500" s="20" t="s">
        <v>66</v>
      </c>
      <c r="I1500" s="15">
        <v>1</v>
      </c>
      <c r="J1500" s="15" t="s">
        <v>23</v>
      </c>
      <c r="K1500" s="15"/>
      <c r="L1500" s="21" t="s">
        <v>16</v>
      </c>
      <c r="M1500" s="22">
        <v>0</v>
      </c>
      <c r="N1500" s="22">
        <v>-345</v>
      </c>
      <c r="O1500" s="22">
        <v>6555</v>
      </c>
      <c r="P1500" s="22">
        <v>6555</v>
      </c>
      <c r="Q1500" t="str" cm="1">
        <f t="array" ref="Q1500">_xlfn.TEXTJOIN("、",TRUE,IF('學員資料-三民高中'!$B$2:$B$454=$F1500,'學員資料-三民高中'!$G$2:$G$454,""))</f>
        <v/>
      </c>
      <c r="R1500" t="str" cm="1">
        <f t="array" ref="R1500">_xlfn.TEXTJOIN("、",TRUE,IF('學員資料-新北高中'!$B$2:$B$583=$F1500,'學員資料-新北高中'!$G$2:$G$583,""))</f>
        <v>0919935580</v>
      </c>
      <c r="S1500" t="str" cm="1">
        <f t="array" ref="S1500">_xlfn.TEXTJOIN("、",TRUE,IF('學員資料-三重商工'!$B$2:$B$472=$F1500,'學員資料-三重商工'!$G$2:$G$472,""))</f>
        <v/>
      </c>
      <c r="T1500">
        <f t="shared" si="23"/>
        <v>1</v>
      </c>
    </row>
    <row r="1501" spans="1:20" ht="28.5" hidden="1" customHeight="1">
      <c r="A1501" s="15">
        <v>1500</v>
      </c>
      <c r="B1501" s="16" t="s">
        <v>4701</v>
      </c>
      <c r="C1501" s="17">
        <v>45735</v>
      </c>
      <c r="D1501" s="15" t="s">
        <v>4702</v>
      </c>
      <c r="E1501" s="18" t="s">
        <v>954</v>
      </c>
      <c r="F1501" s="19" t="s">
        <v>4703</v>
      </c>
      <c r="G1501" s="18" t="s">
        <v>4704</v>
      </c>
      <c r="H1501" s="20" t="s">
        <v>219</v>
      </c>
      <c r="I1501" s="15">
        <v>2</v>
      </c>
      <c r="J1501" s="15" t="s">
        <v>25</v>
      </c>
      <c r="K1501" s="15"/>
      <c r="L1501" s="21" t="s">
        <v>16</v>
      </c>
      <c r="M1501" s="22">
        <v>0</v>
      </c>
      <c r="N1501" s="22">
        <v>-1980</v>
      </c>
      <c r="O1501" s="22">
        <v>17820</v>
      </c>
      <c r="P1501" s="22">
        <v>17820</v>
      </c>
      <c r="Q1501" t="str" cm="1">
        <f t="array" ref="Q1501">_xlfn.TEXTJOIN("、",TRUE,IF('學員資料-三民高中'!$B$2:$B$454=$F1501,'學員資料-三民高中'!$G$2:$G$454,""))</f>
        <v/>
      </c>
      <c r="R1501" t="str" cm="1">
        <f t="array" ref="R1501">_xlfn.TEXTJOIN("、",TRUE,IF('學員資料-新北高中'!$B$2:$B$583=$F1501,'學員資料-新北高中'!$G$2:$G$583,""))</f>
        <v>0915143585</v>
      </c>
      <c r="S1501" t="str" cm="1">
        <f t="array" ref="S1501">_xlfn.TEXTJOIN("、",TRUE,IF('學員資料-三重商工'!$B$2:$B$472=$F1501,'學員資料-三重商工'!$G$2:$G$472,""))</f>
        <v/>
      </c>
      <c r="T1501">
        <f t="shared" si="23"/>
        <v>1</v>
      </c>
    </row>
    <row r="1502" spans="1:20" ht="43.5" hidden="1" customHeight="1">
      <c r="A1502" s="15">
        <v>1501</v>
      </c>
      <c r="B1502" s="16" t="s">
        <v>4705</v>
      </c>
      <c r="C1502" s="17">
        <v>45735</v>
      </c>
      <c r="D1502" s="15" t="s">
        <v>4706</v>
      </c>
      <c r="E1502" s="18" t="s">
        <v>954</v>
      </c>
      <c r="F1502" s="19" t="s">
        <v>2026</v>
      </c>
      <c r="G1502" s="18" t="s">
        <v>2027</v>
      </c>
      <c r="H1502" s="20" t="s">
        <v>1531</v>
      </c>
      <c r="I1502" s="15">
        <v>3</v>
      </c>
      <c r="J1502" s="15" t="s">
        <v>24</v>
      </c>
      <c r="K1502" s="15"/>
      <c r="L1502" s="21" t="s">
        <v>16</v>
      </c>
      <c r="M1502" s="22">
        <v>0</v>
      </c>
      <c r="N1502" s="22">
        <v>-3240</v>
      </c>
      <c r="O1502" s="22">
        <v>29160</v>
      </c>
      <c r="P1502" s="22">
        <v>29160</v>
      </c>
      <c r="Q1502" t="str" cm="1">
        <f t="array" ref="Q1502">_xlfn.TEXTJOIN("、",TRUE,IF('學員資料-三民高中'!$B$2:$B$454=$F1502,'學員資料-三民高中'!$G$2:$G$454,""))</f>
        <v/>
      </c>
      <c r="R1502" t="str" cm="1">
        <f t="array" ref="R1502">_xlfn.TEXTJOIN("、",TRUE,IF('學員資料-新北高中'!$B$2:$B$583=$F1502,'學員資料-新北高中'!$G$2:$G$583,""))</f>
        <v>0953554707</v>
      </c>
      <c r="S1502" t="str" cm="1">
        <f t="array" ref="S1502">_xlfn.TEXTJOIN("、",TRUE,IF('學員資料-三重商工'!$B$2:$B$472=$F1502,'學員資料-三重商工'!$G$2:$G$472,""))</f>
        <v/>
      </c>
      <c r="T1502">
        <f t="shared" si="23"/>
        <v>1</v>
      </c>
    </row>
    <row r="1503" spans="1:20" ht="14.25" hidden="1" customHeight="1">
      <c r="A1503" s="15">
        <v>1502</v>
      </c>
      <c r="B1503" s="16" t="s">
        <v>4707</v>
      </c>
      <c r="C1503" s="17">
        <v>45735</v>
      </c>
      <c r="D1503" s="15" t="s">
        <v>4708</v>
      </c>
      <c r="E1503" s="18" t="s">
        <v>954</v>
      </c>
      <c r="F1503" s="19" t="s">
        <v>997</v>
      </c>
      <c r="G1503" s="18" t="s">
        <v>998</v>
      </c>
      <c r="H1503" s="20" t="s">
        <v>210</v>
      </c>
      <c r="I1503" s="15">
        <v>1</v>
      </c>
      <c r="J1503" s="15" t="s">
        <v>26</v>
      </c>
      <c r="K1503" s="15"/>
      <c r="L1503" s="21" t="s">
        <v>16</v>
      </c>
      <c r="M1503" s="22">
        <v>0</v>
      </c>
      <c r="N1503" s="22">
        <v>-1800</v>
      </c>
      <c r="O1503" s="22">
        <v>10200</v>
      </c>
      <c r="P1503" s="22">
        <v>10200</v>
      </c>
      <c r="Q1503" t="str" cm="1">
        <f t="array" ref="Q1503">_xlfn.TEXTJOIN("、",TRUE,IF('學員資料-三民高中'!$B$2:$B$454=$F1503,'學員資料-三民高中'!$G$2:$G$454,""))</f>
        <v/>
      </c>
      <c r="R1503" t="str" cm="1">
        <f t="array" ref="R1503">_xlfn.TEXTJOIN("、",TRUE,IF('學員資料-新北高中'!$B$2:$B$583=$F1503,'學員資料-新北高中'!$G$2:$G$583,""))</f>
        <v/>
      </c>
      <c r="S1503" t="str" cm="1">
        <f t="array" ref="S1503">_xlfn.TEXTJOIN("、",TRUE,IF('學員資料-三重商工'!$B$2:$B$472=$F1503,'學員資料-三重商工'!$G$2:$G$472,""))</f>
        <v>0970944931</v>
      </c>
      <c r="T1503">
        <f t="shared" si="23"/>
        <v>1</v>
      </c>
    </row>
    <row r="1504" spans="1:20" ht="14.25" hidden="1" customHeight="1">
      <c r="A1504" s="15">
        <v>1503</v>
      </c>
      <c r="B1504" s="16" t="s">
        <v>4709</v>
      </c>
      <c r="C1504" s="17">
        <v>45735</v>
      </c>
      <c r="D1504" s="15" t="s">
        <v>4710</v>
      </c>
      <c r="E1504" s="18" t="s">
        <v>954</v>
      </c>
      <c r="F1504" s="19" t="s">
        <v>4629</v>
      </c>
      <c r="G1504" s="18" t="s">
        <v>4630</v>
      </c>
      <c r="H1504" s="20" t="s">
        <v>210</v>
      </c>
      <c r="I1504" s="15">
        <v>1</v>
      </c>
      <c r="J1504" s="15" t="s">
        <v>26</v>
      </c>
      <c r="K1504" s="15"/>
      <c r="L1504" s="21" t="s">
        <v>16</v>
      </c>
      <c r="M1504" s="22">
        <v>0</v>
      </c>
      <c r="N1504" s="22">
        <v>-1800</v>
      </c>
      <c r="O1504" s="22">
        <v>10200</v>
      </c>
      <c r="P1504" s="22">
        <v>10200</v>
      </c>
      <c r="Q1504" t="str" cm="1">
        <f t="array" ref="Q1504">_xlfn.TEXTJOIN("、",TRUE,IF('學員資料-三民高中'!$B$2:$B$454=$F1504,'學員資料-三民高中'!$G$2:$G$454,""))</f>
        <v/>
      </c>
      <c r="R1504" t="str" cm="1">
        <f t="array" ref="R1504">_xlfn.TEXTJOIN("、",TRUE,IF('學員資料-新北高中'!$B$2:$B$583=$F1504,'學員資料-新北高中'!$G$2:$G$583,""))</f>
        <v>0987427287</v>
      </c>
      <c r="S1504" t="str" cm="1">
        <f t="array" ref="S1504">_xlfn.TEXTJOIN("、",TRUE,IF('學員資料-三重商工'!$B$2:$B$472=$F1504,'學員資料-三重商工'!$G$2:$G$472,""))</f>
        <v/>
      </c>
      <c r="T1504">
        <f t="shared" si="23"/>
        <v>1</v>
      </c>
    </row>
    <row r="1505" spans="1:20" ht="14.25" hidden="1" customHeight="1">
      <c r="A1505" s="15">
        <v>1504</v>
      </c>
      <c r="B1505" s="16" t="s">
        <v>4711</v>
      </c>
      <c r="C1505" s="17">
        <v>45734</v>
      </c>
      <c r="D1505" s="15" t="s">
        <v>4712</v>
      </c>
      <c r="E1505" s="18" t="s">
        <v>954</v>
      </c>
      <c r="F1505" s="19" t="s">
        <v>4713</v>
      </c>
      <c r="G1505" s="18" t="s">
        <v>4714</v>
      </c>
      <c r="H1505" s="20" t="s">
        <v>66</v>
      </c>
      <c r="I1505" s="15">
        <v>1</v>
      </c>
      <c r="J1505" s="15" t="s">
        <v>23</v>
      </c>
      <c r="K1505" s="15"/>
      <c r="L1505" s="21" t="s">
        <v>16</v>
      </c>
      <c r="M1505" s="22">
        <v>0</v>
      </c>
      <c r="N1505" s="22">
        <v>0</v>
      </c>
      <c r="O1505" s="22">
        <v>6900</v>
      </c>
      <c r="P1505" s="22">
        <v>6900</v>
      </c>
      <c r="Q1505" t="str" cm="1">
        <f t="array" ref="Q1505">_xlfn.TEXTJOIN("、",TRUE,IF('學員資料-三民高中'!$B$2:$B$454=$F1505,'學員資料-三民高中'!$G$2:$G$454,""))</f>
        <v>0918510809</v>
      </c>
      <c r="R1505" t="str" cm="1">
        <f t="array" ref="R1505">_xlfn.TEXTJOIN("、",TRUE,IF('學員資料-新北高中'!$B$2:$B$583=$F1505,'學員資料-新北高中'!$G$2:$G$583,""))</f>
        <v/>
      </c>
      <c r="S1505" t="str" cm="1">
        <f t="array" ref="S1505">_xlfn.TEXTJOIN("、",TRUE,IF('學員資料-三重商工'!$B$2:$B$472=$F1505,'學員資料-三重商工'!$G$2:$G$472,""))</f>
        <v/>
      </c>
      <c r="T1505">
        <f t="shared" si="23"/>
        <v>1</v>
      </c>
    </row>
    <row r="1506" spans="1:20" ht="14.25" hidden="1" customHeight="1">
      <c r="A1506" s="15">
        <v>1505</v>
      </c>
      <c r="B1506" s="16" t="s">
        <v>4715</v>
      </c>
      <c r="C1506" s="17">
        <v>45734</v>
      </c>
      <c r="D1506" s="15" t="s">
        <v>4716</v>
      </c>
      <c r="E1506" s="18" t="s">
        <v>954</v>
      </c>
      <c r="F1506" s="19" t="s">
        <v>4300</v>
      </c>
      <c r="G1506" s="18" t="s">
        <v>4301</v>
      </c>
      <c r="H1506" s="20" t="s">
        <v>130</v>
      </c>
      <c r="I1506" s="15">
        <v>1</v>
      </c>
      <c r="J1506" s="15" t="s">
        <v>25</v>
      </c>
      <c r="K1506" s="15"/>
      <c r="L1506" s="21" t="s">
        <v>16</v>
      </c>
      <c r="M1506" s="22">
        <v>0</v>
      </c>
      <c r="N1506" s="22">
        <v>-990</v>
      </c>
      <c r="O1506" s="22">
        <v>8910</v>
      </c>
      <c r="P1506" s="22">
        <v>8910</v>
      </c>
      <c r="Q1506" t="str" cm="1">
        <f t="array" ref="Q1506">_xlfn.TEXTJOIN("、",TRUE,IF('學員資料-三民高中'!$B$2:$B$454=$F1506,'學員資料-三民高中'!$G$2:$G$454,""))</f>
        <v/>
      </c>
      <c r="R1506" t="str" cm="1">
        <f t="array" ref="R1506">_xlfn.TEXTJOIN("、",TRUE,IF('學員資料-新北高中'!$B$2:$B$583=$F1506,'學員資料-新北高中'!$G$2:$G$583,""))</f>
        <v>0952668021</v>
      </c>
      <c r="S1506" t="str" cm="1">
        <f t="array" ref="S1506">_xlfn.TEXTJOIN("、",TRUE,IF('學員資料-三重商工'!$B$2:$B$472=$F1506,'學員資料-三重商工'!$G$2:$G$472,""))</f>
        <v/>
      </c>
      <c r="T1506">
        <f t="shared" si="23"/>
        <v>1</v>
      </c>
    </row>
    <row r="1507" spans="1:20" ht="14.25" hidden="1" customHeight="1">
      <c r="A1507" s="15">
        <v>1506</v>
      </c>
      <c r="B1507" s="16" t="s">
        <v>4717</v>
      </c>
      <c r="C1507" s="17">
        <v>45734</v>
      </c>
      <c r="D1507" s="15" t="s">
        <v>4718</v>
      </c>
      <c r="E1507" s="18" t="s">
        <v>954</v>
      </c>
      <c r="F1507" s="19" t="s">
        <v>1652</v>
      </c>
      <c r="G1507" s="18" t="s">
        <v>1653</v>
      </c>
      <c r="H1507" s="20" t="s">
        <v>3811</v>
      </c>
      <c r="I1507" s="15">
        <v>1</v>
      </c>
      <c r="J1507" s="15" t="s">
        <v>24</v>
      </c>
      <c r="K1507" s="21" t="s">
        <v>116</v>
      </c>
      <c r="L1507" s="21" t="s">
        <v>16</v>
      </c>
      <c r="M1507" s="22">
        <v>0</v>
      </c>
      <c r="N1507" s="22">
        <v>0</v>
      </c>
      <c r="O1507" s="22">
        <v>1200</v>
      </c>
      <c r="P1507" s="22">
        <v>1200</v>
      </c>
      <c r="Q1507" t="str" cm="1">
        <f t="array" ref="Q1507">_xlfn.TEXTJOIN("、",TRUE,IF('學員資料-三民高中'!$B$2:$B$454=$F1507,'學員資料-三民高中'!$G$2:$G$454,""))</f>
        <v/>
      </c>
      <c r="R1507" t="str" cm="1">
        <f t="array" ref="R1507">_xlfn.TEXTJOIN("、",TRUE,IF('學員資料-新北高中'!$B$2:$B$583=$F1507,'學員資料-新北高中'!$G$2:$G$583,""))</f>
        <v>0923113843</v>
      </c>
      <c r="S1507" t="str" cm="1">
        <f t="array" ref="S1507">_xlfn.TEXTJOIN("、",TRUE,IF('學員資料-三重商工'!$B$2:$B$472=$F1507,'學員資料-三重商工'!$G$2:$G$472,""))</f>
        <v/>
      </c>
      <c r="T1507">
        <f t="shared" si="23"/>
        <v>1</v>
      </c>
    </row>
    <row r="1508" spans="1:20" ht="14.25" hidden="1" customHeight="1">
      <c r="A1508" s="15">
        <v>1507</v>
      </c>
      <c r="B1508" s="16" t="s">
        <v>4719</v>
      </c>
      <c r="C1508" s="17">
        <v>45732</v>
      </c>
      <c r="D1508" s="15" t="s">
        <v>4720</v>
      </c>
      <c r="E1508" s="18" t="s">
        <v>954</v>
      </c>
      <c r="F1508" s="19" t="s">
        <v>4721</v>
      </c>
      <c r="G1508" s="18" t="s">
        <v>4722</v>
      </c>
      <c r="H1508" s="20" t="s">
        <v>52</v>
      </c>
      <c r="I1508" s="15">
        <v>1</v>
      </c>
      <c r="J1508" s="15" t="s">
        <v>24</v>
      </c>
      <c r="K1508" s="15"/>
      <c r="L1508" s="21" t="s">
        <v>16</v>
      </c>
      <c r="M1508" s="22">
        <v>0</v>
      </c>
      <c r="N1508" s="22">
        <v>-750</v>
      </c>
      <c r="O1508" s="22">
        <v>6750</v>
      </c>
      <c r="P1508" s="22">
        <v>6750</v>
      </c>
      <c r="Q1508" t="str" cm="1">
        <f t="array" ref="Q1508">_xlfn.TEXTJOIN("、",TRUE,IF('學員資料-三民高中'!$B$2:$B$454=$F1508,'學員資料-三民高中'!$G$2:$G$454,""))</f>
        <v/>
      </c>
      <c r="R1508" t="str" cm="1">
        <f t="array" ref="R1508">_xlfn.TEXTJOIN("、",TRUE,IF('學員資料-新北高中'!$B$2:$B$583=$F1508,'學員資料-新北高中'!$G$2:$G$583,""))</f>
        <v>0955883271-1</v>
      </c>
      <c r="S1508" t="str" cm="1">
        <f t="array" ref="S1508">_xlfn.TEXTJOIN("、",TRUE,IF('學員資料-三重商工'!$B$2:$B$472=$F1508,'學員資料-三重商工'!$G$2:$G$472,""))</f>
        <v/>
      </c>
      <c r="T1508">
        <f t="shared" si="23"/>
        <v>1</v>
      </c>
    </row>
    <row r="1509" spans="1:20" ht="14.25" hidden="1" customHeight="1">
      <c r="A1509" s="15">
        <v>1508</v>
      </c>
      <c r="B1509" s="16" t="s">
        <v>4723</v>
      </c>
      <c r="C1509" s="17">
        <v>45732</v>
      </c>
      <c r="D1509" s="15" t="s">
        <v>4724</v>
      </c>
      <c r="E1509" s="18" t="s">
        <v>954</v>
      </c>
      <c r="F1509" s="19" t="s">
        <v>4422</v>
      </c>
      <c r="G1509" s="18" t="s">
        <v>4423</v>
      </c>
      <c r="H1509" s="20" t="s">
        <v>66</v>
      </c>
      <c r="I1509" s="15">
        <v>1</v>
      </c>
      <c r="J1509" s="15" t="s">
        <v>23</v>
      </c>
      <c r="K1509" s="15"/>
      <c r="L1509" s="21" t="s">
        <v>16</v>
      </c>
      <c r="M1509" s="22">
        <v>0</v>
      </c>
      <c r="N1509" s="22">
        <v>-345</v>
      </c>
      <c r="O1509" s="22">
        <v>6555</v>
      </c>
      <c r="P1509" s="22">
        <v>6555</v>
      </c>
      <c r="Q1509" t="str" cm="1">
        <f t="array" ref="Q1509">_xlfn.TEXTJOIN("、",TRUE,IF('學員資料-三民高中'!$B$2:$B$454=$F1509,'學員資料-三民高中'!$G$2:$G$454,""))</f>
        <v/>
      </c>
      <c r="R1509" t="str" cm="1">
        <f t="array" ref="R1509">_xlfn.TEXTJOIN("、",TRUE,IF('學員資料-新北高中'!$B$2:$B$583=$F1509,'學員資料-新北高中'!$G$2:$G$583,""))</f>
        <v>0975766527</v>
      </c>
      <c r="S1509" t="str" cm="1">
        <f t="array" ref="S1509">_xlfn.TEXTJOIN("、",TRUE,IF('學員資料-三重商工'!$B$2:$B$472=$F1509,'學員資料-三重商工'!$G$2:$G$472,""))</f>
        <v/>
      </c>
      <c r="T1509">
        <f t="shared" si="23"/>
        <v>1</v>
      </c>
    </row>
    <row r="1510" spans="1:20" ht="28.5" hidden="1" customHeight="1">
      <c r="A1510" s="15">
        <v>1509</v>
      </c>
      <c r="B1510" s="16" t="s">
        <v>4725</v>
      </c>
      <c r="C1510" s="17">
        <v>45732</v>
      </c>
      <c r="D1510" s="15" t="s">
        <v>4726</v>
      </c>
      <c r="E1510" s="18" t="s">
        <v>954</v>
      </c>
      <c r="F1510" s="19" t="s">
        <v>1426</v>
      </c>
      <c r="G1510" s="18" t="s">
        <v>1427</v>
      </c>
      <c r="H1510" s="20" t="s">
        <v>99</v>
      </c>
      <c r="I1510" s="15">
        <v>2</v>
      </c>
      <c r="J1510" s="15" t="s">
        <v>24</v>
      </c>
      <c r="K1510" s="15"/>
      <c r="L1510" s="21" t="s">
        <v>16</v>
      </c>
      <c r="M1510" s="22">
        <v>0</v>
      </c>
      <c r="N1510" s="22">
        <v>-1500</v>
      </c>
      <c r="O1510" s="22">
        <v>13500</v>
      </c>
      <c r="P1510" s="22">
        <v>13500</v>
      </c>
      <c r="Q1510" t="str" cm="1">
        <f t="array" ref="Q1510">_xlfn.TEXTJOIN("、",TRUE,IF('學員資料-三民高中'!$B$2:$B$454=$F1510,'學員資料-三民高中'!$G$2:$G$454,""))</f>
        <v/>
      </c>
      <c r="R1510" t="str" cm="1">
        <f t="array" ref="R1510">_xlfn.TEXTJOIN("、",TRUE,IF('學員資料-新北高中'!$B$2:$B$583=$F1510,'學員資料-新北高中'!$G$2:$G$583,""))</f>
        <v>0961212771</v>
      </c>
      <c r="S1510" t="str" cm="1">
        <f t="array" ref="S1510">_xlfn.TEXTJOIN("、",TRUE,IF('學員資料-三重商工'!$B$2:$B$472=$F1510,'學員資料-三重商工'!$G$2:$G$472,""))</f>
        <v/>
      </c>
      <c r="T1510">
        <f t="shared" si="23"/>
        <v>1</v>
      </c>
    </row>
    <row r="1511" spans="1:20" ht="14.25" hidden="1" customHeight="1">
      <c r="A1511" s="15">
        <v>1510</v>
      </c>
      <c r="B1511" s="16" t="s">
        <v>4727</v>
      </c>
      <c r="C1511" s="17">
        <v>45732</v>
      </c>
      <c r="D1511" s="15" t="s">
        <v>4728</v>
      </c>
      <c r="E1511" s="18" t="s">
        <v>954</v>
      </c>
      <c r="F1511" s="19" t="s">
        <v>4729</v>
      </c>
      <c r="G1511" s="18" t="s">
        <v>4730</v>
      </c>
      <c r="H1511" s="20" t="s">
        <v>52</v>
      </c>
      <c r="I1511" s="15">
        <v>1</v>
      </c>
      <c r="J1511" s="15" t="s">
        <v>24</v>
      </c>
      <c r="K1511" s="15"/>
      <c r="L1511" s="21" t="s">
        <v>16</v>
      </c>
      <c r="M1511" s="22">
        <v>0</v>
      </c>
      <c r="N1511" s="22">
        <v>-750</v>
      </c>
      <c r="O1511" s="22">
        <v>6750</v>
      </c>
      <c r="P1511" s="22">
        <v>6750</v>
      </c>
      <c r="Q1511" t="str" cm="1">
        <f t="array" ref="Q1511">_xlfn.TEXTJOIN("、",TRUE,IF('學員資料-三民高中'!$B$2:$B$454=$F1511,'學員資料-三民高中'!$G$2:$G$454,""))</f>
        <v>0955948981</v>
      </c>
      <c r="R1511" t="str" cm="1">
        <f t="array" ref="R1511">_xlfn.TEXTJOIN("、",TRUE,IF('學員資料-新北高中'!$B$2:$B$583=$F1511,'學員資料-新北高中'!$G$2:$G$583,""))</f>
        <v/>
      </c>
      <c r="S1511" t="str" cm="1">
        <f t="array" ref="S1511">_xlfn.TEXTJOIN("、",TRUE,IF('學員資料-三重商工'!$B$2:$B$472=$F1511,'學員資料-三重商工'!$G$2:$G$472,""))</f>
        <v/>
      </c>
      <c r="T1511">
        <f t="shared" si="23"/>
        <v>1</v>
      </c>
    </row>
    <row r="1512" spans="1:20" ht="87" hidden="1" customHeight="1">
      <c r="A1512" s="15">
        <v>1511</v>
      </c>
      <c r="B1512" s="16" t="s">
        <v>4731</v>
      </c>
      <c r="C1512" s="17">
        <v>45731</v>
      </c>
      <c r="D1512" s="15" t="s">
        <v>4732</v>
      </c>
      <c r="E1512" s="18" t="s">
        <v>954</v>
      </c>
      <c r="F1512" s="19" t="s">
        <v>4733</v>
      </c>
      <c r="G1512" s="18" t="s">
        <v>4734</v>
      </c>
      <c r="H1512" s="20" t="s">
        <v>4438</v>
      </c>
      <c r="I1512" s="15">
        <v>6</v>
      </c>
      <c r="J1512" s="15" t="s">
        <v>23</v>
      </c>
      <c r="K1512" s="21" t="s">
        <v>116</v>
      </c>
      <c r="L1512" s="21" t="s">
        <v>16</v>
      </c>
      <c r="M1512" s="22">
        <v>0</v>
      </c>
      <c r="N1512" s="22">
        <v>0</v>
      </c>
      <c r="O1512" s="22">
        <v>12900</v>
      </c>
      <c r="P1512" s="22">
        <v>12900</v>
      </c>
      <c r="Q1512" t="str" cm="1">
        <f t="array" ref="Q1512">_xlfn.TEXTJOIN("、",TRUE,IF('學員資料-三民高中'!$B$2:$B$454=$F1512,'學員資料-三民高中'!$G$2:$G$454,""))</f>
        <v/>
      </c>
      <c r="R1512" t="str" cm="1">
        <f t="array" ref="R1512">_xlfn.TEXTJOIN("、",TRUE,IF('學員資料-新北高中'!$B$2:$B$583=$F1512,'學員資料-新北高中'!$G$2:$G$583,""))</f>
        <v/>
      </c>
      <c r="S1512" t="str" cm="1">
        <f t="array" ref="S1512">_xlfn.TEXTJOIN("、",TRUE,IF('學員資料-三重商工'!$B$2:$B$472=$F1512,'學員資料-三重商工'!$G$2:$G$472,""))</f>
        <v>0911685342</v>
      </c>
      <c r="T1512">
        <f t="shared" si="23"/>
        <v>1</v>
      </c>
    </row>
    <row r="1513" spans="1:20" ht="28.5" hidden="1" customHeight="1">
      <c r="A1513" s="15">
        <v>1512</v>
      </c>
      <c r="B1513" s="16" t="s">
        <v>4735</v>
      </c>
      <c r="C1513" s="17">
        <v>45731</v>
      </c>
      <c r="D1513" s="15" t="s">
        <v>4736</v>
      </c>
      <c r="E1513" s="18" t="s">
        <v>954</v>
      </c>
      <c r="F1513" s="19" t="s">
        <v>2519</v>
      </c>
      <c r="G1513" s="18" t="s">
        <v>2520</v>
      </c>
      <c r="H1513" s="20" t="s">
        <v>99</v>
      </c>
      <c r="I1513" s="15">
        <v>2</v>
      </c>
      <c r="J1513" s="15" t="s">
        <v>24</v>
      </c>
      <c r="K1513" s="15"/>
      <c r="L1513" s="21" t="s">
        <v>16</v>
      </c>
      <c r="M1513" s="22">
        <v>0</v>
      </c>
      <c r="N1513" s="22">
        <v>0</v>
      </c>
      <c r="O1513" s="22">
        <v>15000</v>
      </c>
      <c r="P1513" s="22">
        <v>15000</v>
      </c>
      <c r="Q1513" t="str" cm="1">
        <f t="array" ref="Q1513">_xlfn.TEXTJOIN("、",TRUE,IF('學員資料-三民高中'!$B$2:$B$454=$F1513,'學員資料-三民高中'!$G$2:$G$454,""))</f>
        <v>0933178605</v>
      </c>
      <c r="R1513" t="str" cm="1">
        <f t="array" ref="R1513">_xlfn.TEXTJOIN("、",TRUE,IF('學員資料-新北高中'!$B$2:$B$583=$F1513,'學員資料-新北高中'!$G$2:$G$583,""))</f>
        <v/>
      </c>
      <c r="S1513" t="str" cm="1">
        <f t="array" ref="S1513">_xlfn.TEXTJOIN("、",TRUE,IF('學員資料-三重商工'!$B$2:$B$472=$F1513,'學員資料-三重商工'!$G$2:$G$472,""))</f>
        <v/>
      </c>
      <c r="T1513">
        <f t="shared" si="23"/>
        <v>1</v>
      </c>
    </row>
    <row r="1514" spans="1:20" ht="14.25" hidden="1" customHeight="1">
      <c r="A1514" s="15">
        <v>1513</v>
      </c>
      <c r="B1514" s="16" t="s">
        <v>4737</v>
      </c>
      <c r="C1514" s="17">
        <v>45731</v>
      </c>
      <c r="D1514" s="15" t="s">
        <v>4738</v>
      </c>
      <c r="E1514" s="18" t="s">
        <v>954</v>
      </c>
      <c r="F1514" s="19" t="s">
        <v>4739</v>
      </c>
      <c r="G1514" s="18" t="s">
        <v>4740</v>
      </c>
      <c r="H1514" s="20" t="s">
        <v>130</v>
      </c>
      <c r="I1514" s="15">
        <v>1</v>
      </c>
      <c r="J1514" s="15" t="s">
        <v>25</v>
      </c>
      <c r="K1514" s="15"/>
      <c r="L1514" s="21" t="s">
        <v>16</v>
      </c>
      <c r="M1514" s="22">
        <v>0</v>
      </c>
      <c r="N1514" s="22">
        <v>-1980</v>
      </c>
      <c r="O1514" s="22">
        <v>7920</v>
      </c>
      <c r="P1514" s="22">
        <v>7920</v>
      </c>
      <c r="Q1514" t="str" cm="1">
        <f t="array" ref="Q1514">_xlfn.TEXTJOIN("、",TRUE,IF('學員資料-三民高中'!$B$2:$B$454=$F1514,'學員資料-三民高中'!$G$2:$G$454,""))</f>
        <v/>
      </c>
      <c r="R1514" t="str" cm="1">
        <f t="array" ref="R1514">_xlfn.TEXTJOIN("、",TRUE,IF('學員資料-新北高中'!$B$2:$B$583=$F1514,'學員資料-新北高中'!$G$2:$G$583,""))</f>
        <v/>
      </c>
      <c r="S1514" t="str" cm="1">
        <f t="array" ref="S1514">_xlfn.TEXTJOIN("、",TRUE,IF('學員資料-三重商工'!$B$2:$B$472=$F1514,'學員資料-三重商工'!$G$2:$G$472,""))</f>
        <v>0989197008</v>
      </c>
      <c r="T1514">
        <f t="shared" si="23"/>
        <v>1</v>
      </c>
    </row>
    <row r="1515" spans="1:20" ht="14.25" hidden="1" customHeight="1">
      <c r="A1515" s="15">
        <v>1514</v>
      </c>
      <c r="B1515" s="16" t="s">
        <v>4741</v>
      </c>
      <c r="C1515" s="17">
        <v>45730</v>
      </c>
      <c r="D1515" s="15" t="s">
        <v>4742</v>
      </c>
      <c r="E1515" s="18" t="s">
        <v>954</v>
      </c>
      <c r="F1515" s="19" t="s">
        <v>1442</v>
      </c>
      <c r="G1515" s="18" t="s">
        <v>1443</v>
      </c>
      <c r="H1515" s="20" t="s">
        <v>52</v>
      </c>
      <c r="I1515" s="15">
        <v>1</v>
      </c>
      <c r="J1515" s="15" t="s">
        <v>24</v>
      </c>
      <c r="K1515" s="15"/>
      <c r="L1515" s="21" t="s">
        <v>16</v>
      </c>
      <c r="M1515" s="22">
        <v>0</v>
      </c>
      <c r="N1515" s="22">
        <v>-750</v>
      </c>
      <c r="O1515" s="22">
        <v>6750</v>
      </c>
      <c r="P1515" s="22">
        <v>6750</v>
      </c>
      <c r="Q1515" t="str" cm="1">
        <f t="array" ref="Q1515">_xlfn.TEXTJOIN("、",TRUE,IF('學員資料-三民高中'!$B$2:$B$454=$F1515,'學員資料-三民高中'!$G$2:$G$454,""))</f>
        <v>0956454870-1</v>
      </c>
      <c r="R1515" t="str" cm="1">
        <f t="array" ref="R1515">_xlfn.TEXTJOIN("、",TRUE,IF('學員資料-新北高中'!$B$2:$B$583=$F1515,'學員資料-新北高中'!$G$2:$G$583,""))</f>
        <v/>
      </c>
      <c r="S1515" t="str" cm="1">
        <f t="array" ref="S1515">_xlfn.TEXTJOIN("、",TRUE,IF('學員資料-三重商工'!$B$2:$B$472=$F1515,'學員資料-三重商工'!$G$2:$G$472,""))</f>
        <v/>
      </c>
      <c r="T1515">
        <f t="shared" si="23"/>
        <v>1</v>
      </c>
    </row>
    <row r="1516" spans="1:20" ht="43.5" hidden="1" customHeight="1">
      <c r="A1516" s="15">
        <v>1515</v>
      </c>
      <c r="B1516" s="16" t="s">
        <v>4743</v>
      </c>
      <c r="C1516" s="17">
        <v>45730</v>
      </c>
      <c r="D1516" s="15" t="s">
        <v>4744</v>
      </c>
      <c r="E1516" s="18" t="s">
        <v>954</v>
      </c>
      <c r="F1516" s="19" t="s">
        <v>4745</v>
      </c>
      <c r="G1516" s="18" t="s">
        <v>4746</v>
      </c>
      <c r="H1516" s="20" t="s">
        <v>436</v>
      </c>
      <c r="I1516" s="15">
        <v>3</v>
      </c>
      <c r="J1516" s="15" t="s">
        <v>24</v>
      </c>
      <c r="K1516" s="15"/>
      <c r="L1516" s="21" t="s">
        <v>16</v>
      </c>
      <c r="M1516" s="22">
        <v>0</v>
      </c>
      <c r="N1516" s="22">
        <v>-2250</v>
      </c>
      <c r="O1516" s="22">
        <v>20250</v>
      </c>
      <c r="P1516" s="22">
        <v>20250</v>
      </c>
      <c r="Q1516" t="str" cm="1">
        <f t="array" ref="Q1516">_xlfn.TEXTJOIN("、",TRUE,IF('學員資料-三民高中'!$B$2:$B$454=$F1516,'學員資料-三民高中'!$G$2:$G$454,""))</f>
        <v>0919342268</v>
      </c>
      <c r="R1516" t="str" cm="1">
        <f t="array" ref="R1516">_xlfn.TEXTJOIN("、",TRUE,IF('學員資料-新北高中'!$B$2:$B$583=$F1516,'學員資料-新北高中'!$G$2:$G$583,""))</f>
        <v/>
      </c>
      <c r="S1516" t="str" cm="1">
        <f t="array" ref="S1516">_xlfn.TEXTJOIN("、",TRUE,IF('學員資料-三重商工'!$B$2:$B$472=$F1516,'學員資料-三重商工'!$G$2:$G$472,""))</f>
        <v/>
      </c>
      <c r="T1516">
        <f t="shared" si="23"/>
        <v>1</v>
      </c>
    </row>
    <row r="1517" spans="1:20" ht="43.5" customHeight="1">
      <c r="A1517" s="15">
        <v>1516</v>
      </c>
      <c r="B1517" s="16" t="s">
        <v>4747</v>
      </c>
      <c r="C1517" s="17">
        <v>45730</v>
      </c>
      <c r="D1517" s="15" t="s">
        <v>4748</v>
      </c>
      <c r="E1517" s="18" t="s">
        <v>954</v>
      </c>
      <c r="F1517" s="19" t="s">
        <v>1571</v>
      </c>
      <c r="G1517" s="18" t="s">
        <v>1572</v>
      </c>
      <c r="H1517" s="20" t="s">
        <v>436</v>
      </c>
      <c r="I1517" s="15">
        <v>3</v>
      </c>
      <c r="J1517" s="15" t="s">
        <v>24</v>
      </c>
      <c r="K1517" s="15"/>
      <c r="L1517" s="21" t="s">
        <v>16</v>
      </c>
      <c r="M1517" s="22">
        <v>0</v>
      </c>
      <c r="N1517" s="22">
        <v>-2250</v>
      </c>
      <c r="O1517" s="22">
        <v>20250</v>
      </c>
      <c r="P1517" s="22">
        <v>20250</v>
      </c>
      <c r="Q1517" t="str" cm="1">
        <f t="array" ref="Q1517">_xlfn.TEXTJOIN("、",TRUE,IF('學員資料-三民高中'!$B$2:$B$454=$F1517,'學員資料-三民高中'!$G$2:$G$454,""))</f>
        <v/>
      </c>
      <c r="R1517" t="str" cm="1">
        <f t="array" ref="R1517">_xlfn.TEXTJOIN("、",TRUE,IF('學員資料-新北高中'!$B$2:$B$583=$F1517,'學員資料-新北高中'!$G$2:$G$583,""))</f>
        <v/>
      </c>
      <c r="S1517" t="str" cm="1">
        <f t="array" ref="S1517">_xlfn.TEXTJOIN("、",TRUE,IF('學員資料-三重商工'!$B$2:$B$472=$F1517,'學員資料-三重商工'!$G$2:$G$472,""))</f>
        <v/>
      </c>
      <c r="T1517">
        <f t="shared" si="23"/>
        <v>0</v>
      </c>
    </row>
    <row r="1518" spans="1:20" ht="14.25" customHeight="1">
      <c r="A1518" s="15">
        <v>1517</v>
      </c>
      <c r="B1518" s="16" t="s">
        <v>4749</v>
      </c>
      <c r="C1518" s="17">
        <v>45730</v>
      </c>
      <c r="D1518" s="15" t="s">
        <v>4750</v>
      </c>
      <c r="E1518" s="18" t="s">
        <v>954</v>
      </c>
      <c r="F1518" s="19" t="s">
        <v>1077</v>
      </c>
      <c r="G1518" s="18" t="s">
        <v>1078</v>
      </c>
      <c r="H1518" s="20" t="s">
        <v>52</v>
      </c>
      <c r="I1518" s="15">
        <v>1</v>
      </c>
      <c r="J1518" s="15" t="s">
        <v>24</v>
      </c>
      <c r="K1518" s="15"/>
      <c r="L1518" s="21" t="s">
        <v>16</v>
      </c>
      <c r="M1518" s="22">
        <v>0</v>
      </c>
      <c r="N1518" s="22">
        <v>-750</v>
      </c>
      <c r="O1518" s="22">
        <v>6750</v>
      </c>
      <c r="P1518" s="22">
        <v>6750</v>
      </c>
      <c r="Q1518" t="str" cm="1">
        <f t="array" ref="Q1518">_xlfn.TEXTJOIN("、",TRUE,IF('學員資料-三民高中'!$B$2:$B$454=$F1518,'學員資料-三民高中'!$G$2:$G$454,""))</f>
        <v/>
      </c>
      <c r="R1518" t="str" cm="1">
        <f t="array" ref="R1518">_xlfn.TEXTJOIN("、",TRUE,IF('學員資料-新北高中'!$B$2:$B$583=$F1518,'學員資料-新北高中'!$G$2:$G$583,""))</f>
        <v/>
      </c>
      <c r="S1518" t="str" cm="1">
        <f t="array" ref="S1518">_xlfn.TEXTJOIN("、",TRUE,IF('學員資料-三重商工'!$B$2:$B$472=$F1518,'學員資料-三重商工'!$G$2:$G$472,""))</f>
        <v/>
      </c>
      <c r="T1518">
        <f t="shared" si="23"/>
        <v>0</v>
      </c>
    </row>
    <row r="1519" spans="1:20" ht="14.25" hidden="1" customHeight="1">
      <c r="A1519" s="15">
        <v>1518</v>
      </c>
      <c r="B1519" s="16" t="s">
        <v>4751</v>
      </c>
      <c r="C1519" s="17">
        <v>45729</v>
      </c>
      <c r="D1519" s="15" t="s">
        <v>4752</v>
      </c>
      <c r="E1519" s="18" t="s">
        <v>954</v>
      </c>
      <c r="F1519" s="19" t="s">
        <v>1652</v>
      </c>
      <c r="G1519" s="18" t="s">
        <v>1653</v>
      </c>
      <c r="H1519" s="20" t="s">
        <v>52</v>
      </c>
      <c r="I1519" s="15">
        <v>1</v>
      </c>
      <c r="J1519" s="15" t="s">
        <v>24</v>
      </c>
      <c r="K1519" s="15"/>
      <c r="L1519" s="21" t="s">
        <v>16</v>
      </c>
      <c r="M1519" s="22">
        <v>0</v>
      </c>
      <c r="N1519" s="22">
        <v>-750</v>
      </c>
      <c r="O1519" s="22">
        <v>6750</v>
      </c>
      <c r="P1519" s="22">
        <v>6750</v>
      </c>
      <c r="Q1519" t="str" cm="1">
        <f t="array" ref="Q1519">_xlfn.TEXTJOIN("、",TRUE,IF('學員資料-三民高中'!$B$2:$B$454=$F1519,'學員資料-三民高中'!$G$2:$G$454,""))</f>
        <v/>
      </c>
      <c r="R1519" t="str" cm="1">
        <f t="array" ref="R1519">_xlfn.TEXTJOIN("、",TRUE,IF('學員資料-新北高中'!$B$2:$B$583=$F1519,'學員資料-新北高中'!$G$2:$G$583,""))</f>
        <v>0923113843</v>
      </c>
      <c r="S1519" t="str" cm="1">
        <f t="array" ref="S1519">_xlfn.TEXTJOIN("、",TRUE,IF('學員資料-三重商工'!$B$2:$B$472=$F1519,'學員資料-三重商工'!$G$2:$G$472,""))</f>
        <v/>
      </c>
      <c r="T1519">
        <f t="shared" si="23"/>
        <v>1</v>
      </c>
    </row>
    <row r="1520" spans="1:20" ht="28.5" hidden="1" customHeight="1">
      <c r="A1520" s="15">
        <v>1519</v>
      </c>
      <c r="B1520" s="16" t="s">
        <v>4753</v>
      </c>
      <c r="C1520" s="17">
        <v>45729</v>
      </c>
      <c r="D1520" s="15" t="s">
        <v>4754</v>
      </c>
      <c r="E1520" s="18" t="s">
        <v>954</v>
      </c>
      <c r="F1520" s="19" t="s">
        <v>1811</v>
      </c>
      <c r="G1520" s="18" t="s">
        <v>1812</v>
      </c>
      <c r="H1520" s="20" t="s">
        <v>1985</v>
      </c>
      <c r="I1520" s="15">
        <v>2</v>
      </c>
      <c r="J1520" s="15" t="s">
        <v>23</v>
      </c>
      <c r="K1520" s="15"/>
      <c r="L1520" s="21" t="s">
        <v>16</v>
      </c>
      <c r="M1520" s="22">
        <v>0</v>
      </c>
      <c r="N1520" s="22">
        <v>-900</v>
      </c>
      <c r="O1520" s="22">
        <v>17100</v>
      </c>
      <c r="P1520" s="22">
        <v>17100</v>
      </c>
      <c r="Q1520" t="str" cm="1">
        <f t="array" ref="Q1520">_xlfn.TEXTJOIN("、",TRUE,IF('學員資料-三民高中'!$B$2:$B$454=$F1520,'學員資料-三民高中'!$G$2:$G$454,""))</f>
        <v/>
      </c>
      <c r="R1520" t="str" cm="1">
        <f t="array" ref="R1520">_xlfn.TEXTJOIN("、",TRUE,IF('學員資料-新北高中'!$B$2:$B$583=$F1520,'學員資料-新北高中'!$G$2:$G$583,""))</f>
        <v>0921387692</v>
      </c>
      <c r="S1520" t="str" cm="1">
        <f t="array" ref="S1520">_xlfn.TEXTJOIN("、",TRUE,IF('學員資料-三重商工'!$B$2:$B$472=$F1520,'學員資料-三重商工'!$G$2:$G$472,""))</f>
        <v/>
      </c>
      <c r="T1520">
        <f t="shared" si="23"/>
        <v>1</v>
      </c>
    </row>
    <row r="1521" spans="1:20" ht="28.5" hidden="1" customHeight="1">
      <c r="A1521" s="15">
        <v>1520</v>
      </c>
      <c r="B1521" s="16" t="s">
        <v>4755</v>
      </c>
      <c r="C1521" s="17">
        <v>45729</v>
      </c>
      <c r="D1521" s="15" t="s">
        <v>4756</v>
      </c>
      <c r="E1521" s="18" t="s">
        <v>954</v>
      </c>
      <c r="F1521" s="19" t="s">
        <v>1819</v>
      </c>
      <c r="G1521" s="18" t="s">
        <v>1820</v>
      </c>
      <c r="H1521" s="20" t="s">
        <v>1838</v>
      </c>
      <c r="I1521" s="15">
        <v>2</v>
      </c>
      <c r="J1521" s="15" t="s">
        <v>24</v>
      </c>
      <c r="K1521" s="15"/>
      <c r="L1521" s="21" t="s">
        <v>16</v>
      </c>
      <c r="M1521" s="22">
        <v>0</v>
      </c>
      <c r="N1521" s="22">
        <v>-2160</v>
      </c>
      <c r="O1521" s="22">
        <v>19440</v>
      </c>
      <c r="P1521" s="22">
        <v>19440</v>
      </c>
      <c r="Q1521" t="str" cm="1">
        <f t="array" ref="Q1521">_xlfn.TEXTJOIN("、",TRUE,IF('學員資料-三民高中'!$B$2:$B$454=$F1521,'學員資料-三民高中'!$G$2:$G$454,""))</f>
        <v/>
      </c>
      <c r="R1521" t="str" cm="1">
        <f t="array" ref="R1521">_xlfn.TEXTJOIN("、",TRUE,IF('學員資料-新北高中'!$B$2:$B$583=$F1521,'學員資料-新北高中'!$G$2:$G$583,""))</f>
        <v>0958715328</v>
      </c>
      <c r="S1521" t="str" cm="1">
        <f t="array" ref="S1521">_xlfn.TEXTJOIN("、",TRUE,IF('學員資料-三重商工'!$B$2:$B$472=$F1521,'學員資料-三重商工'!$G$2:$G$472,""))</f>
        <v/>
      </c>
      <c r="T1521">
        <f t="shared" si="23"/>
        <v>1</v>
      </c>
    </row>
    <row r="1522" spans="1:20" ht="14.25" hidden="1" customHeight="1">
      <c r="A1522" s="15">
        <v>1521</v>
      </c>
      <c r="B1522" s="16" t="s">
        <v>4757</v>
      </c>
      <c r="C1522" s="17">
        <v>45729</v>
      </c>
      <c r="D1522" s="15" t="s">
        <v>4758</v>
      </c>
      <c r="E1522" s="18" t="s">
        <v>954</v>
      </c>
      <c r="F1522" s="19" t="s">
        <v>4759</v>
      </c>
      <c r="G1522" s="18" t="s">
        <v>4760</v>
      </c>
      <c r="H1522" s="20" t="s">
        <v>210</v>
      </c>
      <c r="I1522" s="15">
        <v>1</v>
      </c>
      <c r="J1522" s="15" t="s">
        <v>26</v>
      </c>
      <c r="K1522" s="15"/>
      <c r="L1522" s="21" t="s">
        <v>16</v>
      </c>
      <c r="M1522" s="22">
        <v>0</v>
      </c>
      <c r="N1522" s="22">
        <v>-1800</v>
      </c>
      <c r="O1522" s="22">
        <v>10200</v>
      </c>
      <c r="P1522" s="22">
        <v>10200</v>
      </c>
      <c r="Q1522" t="str" cm="1">
        <f t="array" ref="Q1522">_xlfn.TEXTJOIN("、",TRUE,IF('學員資料-三民高中'!$B$2:$B$454=$F1522,'學員資料-三民高中'!$G$2:$G$454,""))</f>
        <v/>
      </c>
      <c r="R1522" t="str" cm="1">
        <f t="array" ref="R1522">_xlfn.TEXTJOIN("、",TRUE,IF('學員資料-新北高中'!$B$2:$B$583=$F1522,'學員資料-新北高中'!$G$2:$G$583,""))</f>
        <v/>
      </c>
      <c r="S1522" t="str" cm="1">
        <f t="array" ref="S1522">_xlfn.TEXTJOIN("、",TRUE,IF('學員資料-三重商工'!$B$2:$B$472=$F1522,'學員資料-三重商工'!$G$2:$G$472,""))</f>
        <v>09709449310</v>
      </c>
      <c r="T1522">
        <f t="shared" si="23"/>
        <v>1</v>
      </c>
    </row>
    <row r="1523" spans="1:20" ht="28.5" hidden="1" customHeight="1">
      <c r="A1523" s="15">
        <v>1522</v>
      </c>
      <c r="B1523" s="16" t="s">
        <v>4761</v>
      </c>
      <c r="C1523" s="17">
        <v>45729</v>
      </c>
      <c r="D1523" s="15" t="s">
        <v>4762</v>
      </c>
      <c r="E1523" s="18" t="s">
        <v>954</v>
      </c>
      <c r="F1523" s="19" t="s">
        <v>2321</v>
      </c>
      <c r="G1523" s="18" t="s">
        <v>2322</v>
      </c>
      <c r="H1523" s="20" t="s">
        <v>99</v>
      </c>
      <c r="I1523" s="15">
        <v>2</v>
      </c>
      <c r="J1523" s="15" t="s">
        <v>24</v>
      </c>
      <c r="K1523" s="15"/>
      <c r="L1523" s="21" t="s">
        <v>16</v>
      </c>
      <c r="M1523" s="22">
        <v>0</v>
      </c>
      <c r="N1523" s="22">
        <v>-1500</v>
      </c>
      <c r="O1523" s="22">
        <v>13500</v>
      </c>
      <c r="P1523" s="22">
        <v>13500</v>
      </c>
      <c r="Q1523" t="str" cm="1">
        <f t="array" ref="Q1523">_xlfn.TEXTJOIN("、",TRUE,IF('學員資料-三民高中'!$B$2:$B$454=$F1523,'學員資料-三民高中'!$G$2:$G$454,""))</f>
        <v/>
      </c>
      <c r="R1523" t="str" cm="1">
        <f t="array" ref="R1523">_xlfn.TEXTJOIN("、",TRUE,IF('學員資料-新北高中'!$B$2:$B$583=$F1523,'學員資料-新北高中'!$G$2:$G$583,""))</f>
        <v>0970061461</v>
      </c>
      <c r="S1523" t="str" cm="1">
        <f t="array" ref="S1523">_xlfn.TEXTJOIN("、",TRUE,IF('學員資料-三重商工'!$B$2:$B$472=$F1523,'學員資料-三重商工'!$G$2:$G$472,""))</f>
        <v/>
      </c>
      <c r="T1523">
        <f t="shared" si="23"/>
        <v>1</v>
      </c>
    </row>
    <row r="1524" spans="1:20" ht="14.25" hidden="1" customHeight="1">
      <c r="A1524" s="15">
        <v>1523</v>
      </c>
      <c r="B1524" s="16" t="s">
        <v>4763</v>
      </c>
      <c r="C1524" s="17">
        <v>45729</v>
      </c>
      <c r="D1524" s="15" t="s">
        <v>4764</v>
      </c>
      <c r="E1524" s="18" t="s">
        <v>954</v>
      </c>
      <c r="F1524" s="19" t="s">
        <v>4765</v>
      </c>
      <c r="G1524" s="18" t="s">
        <v>4766</v>
      </c>
      <c r="H1524" s="20" t="s">
        <v>52</v>
      </c>
      <c r="I1524" s="15">
        <v>1</v>
      </c>
      <c r="J1524" s="15" t="s">
        <v>24</v>
      </c>
      <c r="K1524" s="15"/>
      <c r="L1524" s="21" t="s">
        <v>16</v>
      </c>
      <c r="M1524" s="22">
        <v>0</v>
      </c>
      <c r="N1524" s="22">
        <v>-750</v>
      </c>
      <c r="O1524" s="22">
        <v>6750</v>
      </c>
      <c r="P1524" s="22">
        <v>6750</v>
      </c>
      <c r="Q1524" t="str" cm="1">
        <f t="array" ref="Q1524">_xlfn.TEXTJOIN("、",TRUE,IF('學員資料-三民高中'!$B$2:$B$454=$F1524,'學員資料-三民高中'!$G$2:$G$454,""))</f>
        <v>0939006257</v>
      </c>
      <c r="R1524" t="str" cm="1">
        <f t="array" ref="R1524">_xlfn.TEXTJOIN("、",TRUE,IF('學員資料-新北高中'!$B$2:$B$583=$F1524,'學員資料-新北高中'!$G$2:$G$583,""))</f>
        <v/>
      </c>
      <c r="S1524" t="str" cm="1">
        <f t="array" ref="S1524">_xlfn.TEXTJOIN("、",TRUE,IF('學員資料-三重商工'!$B$2:$B$472=$F1524,'學員資料-三重商工'!$G$2:$G$472,""))</f>
        <v/>
      </c>
      <c r="T1524">
        <f t="shared" si="23"/>
        <v>1</v>
      </c>
    </row>
    <row r="1525" spans="1:20" ht="28.5" hidden="1" customHeight="1">
      <c r="A1525" s="15">
        <v>1524</v>
      </c>
      <c r="B1525" s="16" t="s">
        <v>4767</v>
      </c>
      <c r="C1525" s="17">
        <v>45729</v>
      </c>
      <c r="D1525" s="15" t="s">
        <v>4768</v>
      </c>
      <c r="E1525" s="18" t="s">
        <v>954</v>
      </c>
      <c r="F1525" s="19" t="s">
        <v>1061</v>
      </c>
      <c r="G1525" s="18" t="s">
        <v>1062</v>
      </c>
      <c r="H1525" s="20" t="s">
        <v>99</v>
      </c>
      <c r="I1525" s="15">
        <v>2</v>
      </c>
      <c r="J1525" s="15" t="s">
        <v>24</v>
      </c>
      <c r="K1525" s="15"/>
      <c r="L1525" s="21" t="s">
        <v>16</v>
      </c>
      <c r="M1525" s="22">
        <v>0</v>
      </c>
      <c r="N1525" s="22">
        <v>-1500</v>
      </c>
      <c r="O1525" s="22">
        <v>13500</v>
      </c>
      <c r="P1525" s="22">
        <v>13500</v>
      </c>
      <c r="Q1525" t="str" cm="1">
        <f t="array" ref="Q1525">_xlfn.TEXTJOIN("、",TRUE,IF('學員資料-三民高中'!$B$2:$B$454=$F1525,'學員資料-三民高中'!$G$2:$G$454,""))</f>
        <v>0939113914</v>
      </c>
      <c r="R1525" t="str" cm="1">
        <f t="array" ref="R1525">_xlfn.TEXTJOIN("、",TRUE,IF('學員資料-新北高中'!$B$2:$B$583=$F1525,'學員資料-新北高中'!$G$2:$G$583,""))</f>
        <v/>
      </c>
      <c r="S1525" t="str" cm="1">
        <f t="array" ref="S1525">_xlfn.TEXTJOIN("、",TRUE,IF('學員資料-三重商工'!$B$2:$B$472=$F1525,'學員資料-三重商工'!$G$2:$G$472,""))</f>
        <v/>
      </c>
      <c r="T1525">
        <f t="shared" si="23"/>
        <v>1</v>
      </c>
    </row>
    <row r="1526" spans="1:20" ht="14.25" hidden="1" customHeight="1">
      <c r="A1526" s="15">
        <v>1525</v>
      </c>
      <c r="B1526" s="16" t="s">
        <v>4769</v>
      </c>
      <c r="C1526" s="17">
        <v>45729</v>
      </c>
      <c r="D1526" s="15" t="s">
        <v>4770</v>
      </c>
      <c r="E1526" s="18" t="s">
        <v>954</v>
      </c>
      <c r="F1526" s="19" t="s">
        <v>1442</v>
      </c>
      <c r="G1526" s="18" t="s">
        <v>1443</v>
      </c>
      <c r="H1526" s="20" t="s">
        <v>52</v>
      </c>
      <c r="I1526" s="15">
        <v>1</v>
      </c>
      <c r="J1526" s="15" t="s">
        <v>24</v>
      </c>
      <c r="K1526" s="15"/>
      <c r="L1526" s="21" t="s">
        <v>16</v>
      </c>
      <c r="M1526" s="22">
        <v>0</v>
      </c>
      <c r="N1526" s="22">
        <v>-750</v>
      </c>
      <c r="O1526" s="22">
        <v>6750</v>
      </c>
      <c r="P1526" s="22">
        <v>6750</v>
      </c>
      <c r="Q1526" t="str" cm="1">
        <f t="array" ref="Q1526">_xlfn.TEXTJOIN("、",TRUE,IF('學員資料-三民高中'!$B$2:$B$454=$F1526,'學員資料-三民高中'!$G$2:$G$454,""))</f>
        <v>0956454870-1</v>
      </c>
      <c r="R1526" t="str" cm="1">
        <f t="array" ref="R1526">_xlfn.TEXTJOIN("、",TRUE,IF('學員資料-新北高中'!$B$2:$B$583=$F1526,'學員資料-新北高中'!$G$2:$G$583,""))</f>
        <v/>
      </c>
      <c r="S1526" t="str" cm="1">
        <f t="array" ref="S1526">_xlfn.TEXTJOIN("、",TRUE,IF('學員資料-三重商工'!$B$2:$B$472=$F1526,'學員資料-三重商工'!$G$2:$G$472,""))</f>
        <v/>
      </c>
      <c r="T1526">
        <f t="shared" si="23"/>
        <v>1</v>
      </c>
    </row>
    <row r="1527" spans="1:20" ht="43.5" hidden="1" customHeight="1">
      <c r="A1527" s="15">
        <v>1526</v>
      </c>
      <c r="B1527" s="16" t="s">
        <v>4771</v>
      </c>
      <c r="C1527" s="17">
        <v>45729</v>
      </c>
      <c r="D1527" s="15" t="s">
        <v>4772</v>
      </c>
      <c r="E1527" s="18" t="s">
        <v>954</v>
      </c>
      <c r="F1527" s="19" t="s">
        <v>2026</v>
      </c>
      <c r="G1527" s="18" t="s">
        <v>2027</v>
      </c>
      <c r="H1527" s="20" t="s">
        <v>1531</v>
      </c>
      <c r="I1527" s="15">
        <v>3</v>
      </c>
      <c r="J1527" s="15" t="s">
        <v>24</v>
      </c>
      <c r="K1527" s="15"/>
      <c r="L1527" s="21" t="s">
        <v>16</v>
      </c>
      <c r="M1527" s="22">
        <v>0</v>
      </c>
      <c r="N1527" s="22">
        <v>-3240</v>
      </c>
      <c r="O1527" s="22">
        <v>29160</v>
      </c>
      <c r="P1527" s="22">
        <v>29160</v>
      </c>
      <c r="Q1527" t="str" cm="1">
        <f t="array" ref="Q1527">_xlfn.TEXTJOIN("、",TRUE,IF('學員資料-三民高中'!$B$2:$B$454=$F1527,'學員資料-三民高中'!$G$2:$G$454,""))</f>
        <v/>
      </c>
      <c r="R1527" t="str" cm="1">
        <f t="array" ref="R1527">_xlfn.TEXTJOIN("、",TRUE,IF('學員資料-新北高中'!$B$2:$B$583=$F1527,'學員資料-新北高中'!$G$2:$G$583,""))</f>
        <v>0953554707</v>
      </c>
      <c r="S1527" t="str" cm="1">
        <f t="array" ref="S1527">_xlfn.TEXTJOIN("、",TRUE,IF('學員資料-三重商工'!$B$2:$B$472=$F1527,'學員資料-三重商工'!$G$2:$G$472,""))</f>
        <v/>
      </c>
      <c r="T1527">
        <f t="shared" si="23"/>
        <v>1</v>
      </c>
    </row>
    <row r="1528" spans="1:20" ht="57.75" hidden="1" customHeight="1">
      <c r="A1528" s="15">
        <v>1527</v>
      </c>
      <c r="B1528" s="16" t="s">
        <v>4773</v>
      </c>
      <c r="C1528" s="17">
        <v>45729</v>
      </c>
      <c r="D1528" s="15" t="s">
        <v>4774</v>
      </c>
      <c r="E1528" s="18" t="s">
        <v>954</v>
      </c>
      <c r="F1528" s="19" t="s">
        <v>4275</v>
      </c>
      <c r="G1528" s="18" t="s">
        <v>4276</v>
      </c>
      <c r="H1528" s="20" t="s">
        <v>4775</v>
      </c>
      <c r="I1528" s="15">
        <v>4</v>
      </c>
      <c r="J1528" s="15" t="s">
        <v>24</v>
      </c>
      <c r="K1528" s="15"/>
      <c r="L1528" s="21" t="s">
        <v>16</v>
      </c>
      <c r="M1528" s="22">
        <v>0</v>
      </c>
      <c r="N1528" s="22">
        <v>-3600</v>
      </c>
      <c r="O1528" s="22">
        <v>32400</v>
      </c>
      <c r="P1528" s="22">
        <v>32400</v>
      </c>
      <c r="Q1528" t="str" cm="1">
        <f t="array" ref="Q1528">_xlfn.TEXTJOIN("、",TRUE,IF('學員資料-三民高中'!$B$2:$B$454=$F1528,'學員資料-三民高中'!$G$2:$G$454,""))</f>
        <v/>
      </c>
      <c r="R1528" t="str" cm="1">
        <f t="array" ref="R1528">_xlfn.TEXTJOIN("、",TRUE,IF('學員資料-新北高中'!$B$2:$B$583=$F1528,'學員資料-新北高中'!$G$2:$G$583,""))</f>
        <v/>
      </c>
      <c r="S1528" t="str" cm="1">
        <f t="array" ref="S1528">_xlfn.TEXTJOIN("、",TRUE,IF('學員資料-三重商工'!$B$2:$B$472=$F1528,'學員資料-三重商工'!$G$2:$G$472,""))</f>
        <v>0920588290</v>
      </c>
      <c r="T1528">
        <f t="shared" si="23"/>
        <v>1</v>
      </c>
    </row>
    <row r="1529" spans="1:20" ht="14.25" hidden="1" customHeight="1">
      <c r="A1529" s="15">
        <v>1528</v>
      </c>
      <c r="B1529" s="16" t="s">
        <v>4776</v>
      </c>
      <c r="C1529" s="17">
        <v>45729</v>
      </c>
      <c r="D1529" s="15" t="s">
        <v>4777</v>
      </c>
      <c r="E1529" s="18" t="s">
        <v>3862</v>
      </c>
      <c r="F1529" s="19" t="s">
        <v>1035</v>
      </c>
      <c r="G1529" s="18" t="s">
        <v>4778</v>
      </c>
      <c r="H1529" s="20" t="s">
        <v>52</v>
      </c>
      <c r="I1529" s="15">
        <v>1</v>
      </c>
      <c r="J1529" s="15" t="s">
        <v>24</v>
      </c>
      <c r="K1529" s="15"/>
      <c r="L1529" s="21" t="s">
        <v>16</v>
      </c>
      <c r="M1529" s="22">
        <v>0</v>
      </c>
      <c r="N1529" s="22">
        <v>-750</v>
      </c>
      <c r="O1529" s="22">
        <v>6750</v>
      </c>
      <c r="P1529" s="22">
        <v>6750</v>
      </c>
      <c r="Q1529" t="str" cm="1">
        <f t="array" ref="Q1529">_xlfn.TEXTJOIN("、",TRUE,IF('學員資料-三民高中'!$B$2:$B$454=$F1529,'學員資料-三民高中'!$G$2:$G$454,""))</f>
        <v/>
      </c>
      <c r="R1529" t="str" cm="1">
        <f t="array" ref="R1529">_xlfn.TEXTJOIN("、",TRUE,IF('學員資料-新北高中'!$B$2:$B$583=$F1529,'學員資料-新北高中'!$G$2:$G$583,""))</f>
        <v/>
      </c>
      <c r="S1529" t="str" cm="1">
        <f t="array" ref="S1529">_xlfn.TEXTJOIN("、",TRUE,IF('學員資料-三重商工'!$B$2:$B$472=$F1529,'學員資料-三重商工'!$G$2:$G$472,""))</f>
        <v>0926550630</v>
      </c>
      <c r="T1529">
        <f t="shared" si="23"/>
        <v>1</v>
      </c>
    </row>
    <row r="1530" spans="1:20" ht="14.25" customHeight="1">
      <c r="A1530" s="15">
        <v>1529</v>
      </c>
      <c r="B1530" s="16" t="s">
        <v>4779</v>
      </c>
      <c r="C1530" s="17">
        <v>45729</v>
      </c>
      <c r="D1530" s="15" t="s">
        <v>4780</v>
      </c>
      <c r="E1530" s="18" t="s">
        <v>954</v>
      </c>
      <c r="F1530" s="19" t="s">
        <v>581</v>
      </c>
      <c r="G1530" s="18" t="s">
        <v>582</v>
      </c>
      <c r="H1530" s="20" t="s">
        <v>130</v>
      </c>
      <c r="I1530" s="15">
        <v>1</v>
      </c>
      <c r="J1530" s="15" t="s">
        <v>25</v>
      </c>
      <c r="K1530" s="15"/>
      <c r="L1530" s="21" t="s">
        <v>16</v>
      </c>
      <c r="M1530" s="22">
        <v>0</v>
      </c>
      <c r="N1530" s="22">
        <v>-2970</v>
      </c>
      <c r="O1530" s="22">
        <v>6930</v>
      </c>
      <c r="P1530" s="22">
        <v>6930</v>
      </c>
      <c r="Q1530" t="str" cm="1">
        <f t="array" ref="Q1530">_xlfn.TEXTJOIN("、",TRUE,IF('學員資料-三民高中'!$B$2:$B$454=$F1530,'學員資料-三民高中'!$G$2:$G$454,""))</f>
        <v/>
      </c>
      <c r="R1530" t="str" cm="1">
        <f t="array" ref="R1530">_xlfn.TEXTJOIN("、",TRUE,IF('學員資料-新北高中'!$B$2:$B$583=$F1530,'學員資料-新北高中'!$G$2:$G$583,""))</f>
        <v/>
      </c>
      <c r="S1530" t="str" cm="1">
        <f t="array" ref="S1530">_xlfn.TEXTJOIN("、",TRUE,IF('學員資料-三重商工'!$B$2:$B$472=$F1530,'學員資料-三重商工'!$G$2:$G$472,""))</f>
        <v/>
      </c>
      <c r="T1530">
        <f t="shared" si="23"/>
        <v>0</v>
      </c>
    </row>
    <row r="1531" spans="1:20" ht="28.5" hidden="1" customHeight="1">
      <c r="A1531" s="15">
        <v>1530</v>
      </c>
      <c r="B1531" s="16" t="s">
        <v>4781</v>
      </c>
      <c r="C1531" s="17">
        <v>45728</v>
      </c>
      <c r="D1531" s="15" t="s">
        <v>4782</v>
      </c>
      <c r="E1531" s="18" t="s">
        <v>954</v>
      </c>
      <c r="F1531" s="19" t="s">
        <v>842</v>
      </c>
      <c r="G1531" s="18" t="s">
        <v>843</v>
      </c>
      <c r="H1531" s="20" t="s">
        <v>726</v>
      </c>
      <c r="I1531" s="15">
        <v>2</v>
      </c>
      <c r="J1531" s="15" t="s">
        <v>24</v>
      </c>
      <c r="K1531" s="15"/>
      <c r="L1531" s="21" t="s">
        <v>16</v>
      </c>
      <c r="M1531" s="22">
        <v>0</v>
      </c>
      <c r="N1531" s="22">
        <v>-1800</v>
      </c>
      <c r="O1531" s="22">
        <v>16200</v>
      </c>
      <c r="P1531" s="22">
        <v>16200</v>
      </c>
      <c r="Q1531" t="str" cm="1">
        <f t="array" ref="Q1531">_xlfn.TEXTJOIN("、",TRUE,IF('學員資料-三民高中'!$B$2:$B$454=$F1531,'學員資料-三民高中'!$G$2:$G$454,""))</f>
        <v/>
      </c>
      <c r="R1531" t="str" cm="1">
        <f t="array" ref="R1531">_xlfn.TEXTJOIN("、",TRUE,IF('學員資料-新北高中'!$B$2:$B$583=$F1531,'學員資料-新北高中'!$G$2:$G$583,""))</f>
        <v/>
      </c>
      <c r="S1531" t="str" cm="1">
        <f t="array" ref="S1531">_xlfn.TEXTJOIN("、",TRUE,IF('學員資料-三重商工'!$B$2:$B$472=$F1531,'學員資料-三重商工'!$G$2:$G$472,""))</f>
        <v>0988760735</v>
      </c>
      <c r="T1531">
        <f t="shared" si="23"/>
        <v>1</v>
      </c>
    </row>
    <row r="1532" spans="1:20" ht="28.5" hidden="1" customHeight="1">
      <c r="A1532" s="15">
        <v>1531</v>
      </c>
      <c r="B1532" s="16" t="s">
        <v>4783</v>
      </c>
      <c r="C1532" s="17">
        <v>45728</v>
      </c>
      <c r="D1532" s="15" t="s">
        <v>4784</v>
      </c>
      <c r="E1532" s="18" t="s">
        <v>954</v>
      </c>
      <c r="F1532" s="19" t="s">
        <v>1795</v>
      </c>
      <c r="G1532" s="18" t="s">
        <v>1796</v>
      </c>
      <c r="H1532" s="20" t="s">
        <v>99</v>
      </c>
      <c r="I1532" s="15">
        <v>2</v>
      </c>
      <c r="J1532" s="15" t="s">
        <v>24</v>
      </c>
      <c r="K1532" s="15"/>
      <c r="L1532" s="21" t="s">
        <v>16</v>
      </c>
      <c r="M1532" s="22">
        <v>0</v>
      </c>
      <c r="N1532" s="22">
        <v>-1500</v>
      </c>
      <c r="O1532" s="22">
        <v>13500</v>
      </c>
      <c r="P1532" s="22">
        <v>13500</v>
      </c>
      <c r="Q1532" t="str" cm="1">
        <f t="array" ref="Q1532">_xlfn.TEXTJOIN("、",TRUE,IF('學員資料-三民高中'!$B$2:$B$454=$F1532,'學員資料-三民高中'!$G$2:$G$454,""))</f>
        <v>0935242518</v>
      </c>
      <c r="R1532" t="str" cm="1">
        <f t="array" ref="R1532">_xlfn.TEXTJOIN("、",TRUE,IF('學員資料-新北高中'!$B$2:$B$583=$F1532,'學員資料-新北高中'!$G$2:$G$583,""))</f>
        <v/>
      </c>
      <c r="S1532" t="str" cm="1">
        <f t="array" ref="S1532">_xlfn.TEXTJOIN("、",TRUE,IF('學員資料-三重商工'!$B$2:$B$472=$F1532,'學員資料-三重商工'!$G$2:$G$472,""))</f>
        <v/>
      </c>
      <c r="T1532">
        <f t="shared" si="23"/>
        <v>1</v>
      </c>
    </row>
    <row r="1533" spans="1:20" ht="14.25" hidden="1" customHeight="1">
      <c r="A1533" s="15">
        <v>1532</v>
      </c>
      <c r="B1533" s="16" t="s">
        <v>4785</v>
      </c>
      <c r="C1533" s="17">
        <v>45728</v>
      </c>
      <c r="D1533" s="15" t="s">
        <v>4786</v>
      </c>
      <c r="E1533" s="18" t="s">
        <v>954</v>
      </c>
      <c r="F1533" s="19" t="s">
        <v>4207</v>
      </c>
      <c r="G1533" s="18" t="s">
        <v>4208</v>
      </c>
      <c r="H1533" s="20" t="s">
        <v>52</v>
      </c>
      <c r="I1533" s="15">
        <v>1</v>
      </c>
      <c r="J1533" s="15" t="s">
        <v>24</v>
      </c>
      <c r="K1533" s="15"/>
      <c r="L1533" s="21" t="s">
        <v>16</v>
      </c>
      <c r="M1533" s="22">
        <v>0</v>
      </c>
      <c r="N1533" s="22">
        <v>-750</v>
      </c>
      <c r="O1533" s="22">
        <v>6750</v>
      </c>
      <c r="P1533" s="22">
        <v>6750</v>
      </c>
      <c r="Q1533" t="str" cm="1">
        <f t="array" ref="Q1533">_xlfn.TEXTJOIN("、",TRUE,IF('學員資料-三民高中'!$B$2:$B$454=$F1533,'學員資料-三民高中'!$G$2:$G$454,""))</f>
        <v/>
      </c>
      <c r="R1533" t="str" cm="1">
        <f t="array" ref="R1533">_xlfn.TEXTJOIN("、",TRUE,IF('學員資料-新北高中'!$B$2:$B$583=$F1533,'學員資料-新北高中'!$G$2:$G$583,""))</f>
        <v>0988922836</v>
      </c>
      <c r="S1533" t="str" cm="1">
        <f t="array" ref="S1533">_xlfn.TEXTJOIN("、",TRUE,IF('學員資料-三重商工'!$B$2:$B$472=$F1533,'學員資料-三重商工'!$G$2:$G$472,""))</f>
        <v/>
      </c>
      <c r="T1533">
        <f t="shared" si="23"/>
        <v>1</v>
      </c>
    </row>
    <row r="1534" spans="1:20" ht="14.25" hidden="1" customHeight="1">
      <c r="A1534" s="15">
        <v>1533</v>
      </c>
      <c r="B1534" s="16" t="s">
        <v>4787</v>
      </c>
      <c r="C1534" s="17">
        <v>45728</v>
      </c>
      <c r="D1534" s="15" t="s">
        <v>4788</v>
      </c>
      <c r="E1534" s="18" t="s">
        <v>954</v>
      </c>
      <c r="F1534" s="19" t="s">
        <v>4789</v>
      </c>
      <c r="G1534" s="18" t="s">
        <v>4790</v>
      </c>
      <c r="H1534" s="20" t="s">
        <v>112</v>
      </c>
      <c r="I1534" s="15">
        <v>1</v>
      </c>
      <c r="J1534" s="15" t="s">
        <v>23</v>
      </c>
      <c r="K1534" s="15"/>
      <c r="L1534" s="21" t="s">
        <v>16</v>
      </c>
      <c r="M1534" s="22">
        <v>0</v>
      </c>
      <c r="N1534" s="22">
        <v>0</v>
      </c>
      <c r="O1534" s="22">
        <v>8280</v>
      </c>
      <c r="P1534" s="22">
        <v>8280</v>
      </c>
      <c r="Q1534" t="str" cm="1">
        <f t="array" ref="Q1534">_xlfn.TEXTJOIN("、",TRUE,IF('學員資料-三民高中'!$B$2:$B$454=$F1534,'學員資料-三民高中'!$G$2:$G$454,""))</f>
        <v/>
      </c>
      <c r="R1534" t="str" cm="1">
        <f t="array" ref="R1534">_xlfn.TEXTJOIN("、",TRUE,IF('學員資料-新北高中'!$B$2:$B$583=$F1534,'學員資料-新北高中'!$G$2:$G$583,""))</f>
        <v/>
      </c>
      <c r="S1534" t="str" cm="1">
        <f t="array" ref="S1534">_xlfn.TEXTJOIN("、",TRUE,IF('學員資料-三重商工'!$B$2:$B$472=$F1534,'學員資料-三重商工'!$G$2:$G$472,""))</f>
        <v>0912499456</v>
      </c>
      <c r="T1534">
        <f t="shared" si="23"/>
        <v>1</v>
      </c>
    </row>
    <row r="1535" spans="1:20" ht="28.5" hidden="1" customHeight="1">
      <c r="A1535" s="15">
        <v>1534</v>
      </c>
      <c r="B1535" s="16" t="s">
        <v>4791</v>
      </c>
      <c r="C1535" s="17">
        <v>45728</v>
      </c>
      <c r="D1535" s="15" t="s">
        <v>4792</v>
      </c>
      <c r="E1535" s="18" t="s">
        <v>954</v>
      </c>
      <c r="F1535" s="19" t="s">
        <v>4793</v>
      </c>
      <c r="G1535" s="18" t="s">
        <v>4794</v>
      </c>
      <c r="H1535" s="20" t="s">
        <v>726</v>
      </c>
      <c r="I1535" s="15">
        <v>2</v>
      </c>
      <c r="J1535" s="15" t="s">
        <v>24</v>
      </c>
      <c r="K1535" s="15"/>
      <c r="L1535" s="21" t="s">
        <v>16</v>
      </c>
      <c r="M1535" s="22">
        <v>0</v>
      </c>
      <c r="N1535" s="22">
        <v>-1800</v>
      </c>
      <c r="O1535" s="22">
        <v>16200</v>
      </c>
      <c r="P1535" s="22">
        <v>16200</v>
      </c>
      <c r="Q1535" t="str" cm="1">
        <f t="array" ref="Q1535">_xlfn.TEXTJOIN("、",TRUE,IF('學員資料-三民高中'!$B$2:$B$454=$F1535,'學員資料-三民高中'!$G$2:$G$454,""))</f>
        <v/>
      </c>
      <c r="R1535" t="str" cm="1">
        <f t="array" ref="R1535">_xlfn.TEXTJOIN("、",TRUE,IF('學員資料-新北高中'!$B$2:$B$583=$F1535,'學員資料-新北高中'!$G$2:$G$583,""))</f>
        <v/>
      </c>
      <c r="S1535" t="str" cm="1">
        <f t="array" ref="S1535">_xlfn.TEXTJOIN("、",TRUE,IF('學員資料-三重商工'!$B$2:$B$472=$F1535,'學員資料-三重商工'!$G$2:$G$472,""))</f>
        <v>0918309882.1</v>
      </c>
      <c r="T1535">
        <f t="shared" si="23"/>
        <v>1</v>
      </c>
    </row>
    <row r="1536" spans="1:20" ht="14.25" hidden="1" customHeight="1">
      <c r="A1536" s="15">
        <v>1535</v>
      </c>
      <c r="B1536" s="16" t="s">
        <v>4795</v>
      </c>
      <c r="C1536" s="17">
        <v>45728</v>
      </c>
      <c r="D1536" s="15" t="s">
        <v>4796</v>
      </c>
      <c r="E1536" s="18" t="s">
        <v>954</v>
      </c>
      <c r="F1536" s="19" t="s">
        <v>4797</v>
      </c>
      <c r="G1536" s="18" t="s">
        <v>4798</v>
      </c>
      <c r="H1536" s="20" t="s">
        <v>52</v>
      </c>
      <c r="I1536" s="15">
        <v>1</v>
      </c>
      <c r="J1536" s="15" t="s">
        <v>24</v>
      </c>
      <c r="K1536" s="15"/>
      <c r="L1536" s="21" t="s">
        <v>16</v>
      </c>
      <c r="M1536" s="22">
        <v>0</v>
      </c>
      <c r="N1536" s="22">
        <v>-750</v>
      </c>
      <c r="O1536" s="22">
        <v>6750</v>
      </c>
      <c r="P1536" s="22">
        <v>6750</v>
      </c>
      <c r="Q1536" t="str" cm="1">
        <f t="array" ref="Q1536">_xlfn.TEXTJOIN("、",TRUE,IF('學員資料-三民高中'!$B$2:$B$454=$F1536,'學員資料-三民高中'!$G$2:$G$454,""))</f>
        <v/>
      </c>
      <c r="R1536" t="str" cm="1">
        <f t="array" ref="R1536">_xlfn.TEXTJOIN("、",TRUE,IF('學員資料-新北高中'!$B$2:$B$583=$F1536,'學員資料-新北高中'!$G$2:$G$583,""))</f>
        <v>0926939361</v>
      </c>
      <c r="S1536" t="str" cm="1">
        <f t="array" ref="S1536">_xlfn.TEXTJOIN("、",TRUE,IF('學員資料-三重商工'!$B$2:$B$472=$F1536,'學員資料-三重商工'!$G$2:$G$472,""))</f>
        <v/>
      </c>
      <c r="T1536">
        <f t="shared" si="23"/>
        <v>1</v>
      </c>
    </row>
    <row r="1537" spans="1:20" ht="43.5" hidden="1" customHeight="1">
      <c r="A1537" s="15">
        <v>1536</v>
      </c>
      <c r="B1537" s="16" t="s">
        <v>4799</v>
      </c>
      <c r="C1537" s="17">
        <v>45727</v>
      </c>
      <c r="D1537" s="15" t="s">
        <v>4800</v>
      </c>
      <c r="E1537" s="18" t="s">
        <v>954</v>
      </c>
      <c r="F1537" s="19" t="s">
        <v>2104</v>
      </c>
      <c r="G1537" s="18" t="s">
        <v>2105</v>
      </c>
      <c r="H1537" s="20" t="s">
        <v>4391</v>
      </c>
      <c r="I1537" s="15">
        <v>3</v>
      </c>
      <c r="J1537" s="15" t="s">
        <v>23</v>
      </c>
      <c r="K1537" s="15"/>
      <c r="L1537" s="21" t="s">
        <v>16</v>
      </c>
      <c r="M1537" s="22">
        <v>0</v>
      </c>
      <c r="N1537" s="22">
        <v>-1350</v>
      </c>
      <c r="O1537" s="22">
        <v>25650</v>
      </c>
      <c r="P1537" s="22">
        <v>25650</v>
      </c>
      <c r="Q1537" t="str" cm="1">
        <f t="array" ref="Q1537">_xlfn.TEXTJOIN("、",TRUE,IF('學員資料-三民高中'!$B$2:$B$454=$F1537,'學員資料-三民高中'!$G$2:$G$454,""))</f>
        <v/>
      </c>
      <c r="R1537" t="str" cm="1">
        <f t="array" ref="R1537">_xlfn.TEXTJOIN("、",TRUE,IF('學員資料-新北高中'!$B$2:$B$583=$F1537,'學員資料-新北高中'!$G$2:$G$583,""))</f>
        <v>0916333432</v>
      </c>
      <c r="S1537" t="str" cm="1">
        <f t="array" ref="S1537">_xlfn.TEXTJOIN("、",TRUE,IF('學員資料-三重商工'!$B$2:$B$472=$F1537,'學員資料-三重商工'!$G$2:$G$472,""))</f>
        <v/>
      </c>
      <c r="T1537">
        <f t="shared" si="23"/>
        <v>1</v>
      </c>
    </row>
    <row r="1538" spans="1:20" ht="28.5" hidden="1" customHeight="1">
      <c r="A1538" s="15">
        <v>1537</v>
      </c>
      <c r="B1538" s="16" t="s">
        <v>4801</v>
      </c>
      <c r="C1538" s="17">
        <v>45727</v>
      </c>
      <c r="D1538" s="15" t="s">
        <v>4802</v>
      </c>
      <c r="E1538" s="18" t="s">
        <v>954</v>
      </c>
      <c r="F1538" s="19" t="s">
        <v>542</v>
      </c>
      <c r="G1538" s="18" t="s">
        <v>543</v>
      </c>
      <c r="H1538" s="20" t="s">
        <v>75</v>
      </c>
      <c r="I1538" s="15">
        <v>2</v>
      </c>
      <c r="J1538" s="15" t="s">
        <v>23</v>
      </c>
      <c r="K1538" s="15"/>
      <c r="L1538" s="21" t="s">
        <v>16</v>
      </c>
      <c r="M1538" s="22">
        <v>0</v>
      </c>
      <c r="N1538" s="22">
        <v>-690</v>
      </c>
      <c r="O1538" s="22">
        <v>13110</v>
      </c>
      <c r="P1538" s="22">
        <v>13110</v>
      </c>
      <c r="Q1538" t="str" cm="1">
        <f t="array" ref="Q1538">_xlfn.TEXTJOIN("、",TRUE,IF('學員資料-三民高中'!$B$2:$B$454=$F1538,'學員資料-三民高中'!$G$2:$G$454,""))</f>
        <v/>
      </c>
      <c r="R1538" t="str" cm="1">
        <f t="array" ref="R1538">_xlfn.TEXTJOIN("、",TRUE,IF('學員資料-新北高中'!$B$2:$B$583=$F1538,'學員資料-新北高中'!$G$2:$G$583,""))</f>
        <v>0918068640</v>
      </c>
      <c r="S1538" t="str" cm="1">
        <f t="array" ref="S1538">_xlfn.TEXTJOIN("、",TRUE,IF('學員資料-三重商工'!$B$2:$B$472=$F1538,'學員資料-三重商工'!$G$2:$G$472,""))</f>
        <v/>
      </c>
      <c r="T1538">
        <f t="shared" si="23"/>
        <v>1</v>
      </c>
    </row>
    <row r="1539" spans="1:20" ht="14.25" hidden="1" customHeight="1">
      <c r="A1539" s="15">
        <v>1538</v>
      </c>
      <c r="B1539" s="16" t="s">
        <v>4803</v>
      </c>
      <c r="C1539" s="17">
        <v>45727</v>
      </c>
      <c r="D1539" s="15" t="s">
        <v>4804</v>
      </c>
      <c r="E1539" s="18" t="s">
        <v>954</v>
      </c>
      <c r="F1539" s="19" t="s">
        <v>4805</v>
      </c>
      <c r="G1539" s="18" t="s">
        <v>4806</v>
      </c>
      <c r="H1539" s="20" t="s">
        <v>66</v>
      </c>
      <c r="I1539" s="15">
        <v>1</v>
      </c>
      <c r="J1539" s="15" t="s">
        <v>23</v>
      </c>
      <c r="K1539" s="15"/>
      <c r="L1539" s="21" t="s">
        <v>16</v>
      </c>
      <c r="M1539" s="22">
        <v>0</v>
      </c>
      <c r="N1539" s="22">
        <v>-345</v>
      </c>
      <c r="O1539" s="22">
        <v>6555</v>
      </c>
      <c r="P1539" s="22">
        <v>6555</v>
      </c>
      <c r="Q1539" t="str" cm="1">
        <f t="array" ref="Q1539">_xlfn.TEXTJOIN("、",TRUE,IF('學員資料-三民高中'!$B$2:$B$454=$F1539,'學員資料-三民高中'!$G$2:$G$454,""))</f>
        <v/>
      </c>
      <c r="R1539" t="str" cm="1">
        <f t="array" ref="R1539">_xlfn.TEXTJOIN("、",TRUE,IF('學員資料-新北高中'!$B$2:$B$583=$F1539,'學員資料-新北高中'!$G$2:$G$583,""))</f>
        <v>0939985581</v>
      </c>
      <c r="S1539" t="str" cm="1">
        <f t="array" ref="S1539">_xlfn.TEXTJOIN("、",TRUE,IF('學員資料-三重商工'!$B$2:$B$472=$F1539,'學員資料-三重商工'!$G$2:$G$472,""))</f>
        <v/>
      </c>
      <c r="T1539">
        <f t="shared" ref="T1539:T1602" si="24">3-COUNTBLANK(Q1539:S1539)</f>
        <v>1</v>
      </c>
    </row>
    <row r="1540" spans="1:20" ht="43.5" hidden="1" customHeight="1">
      <c r="A1540" s="15">
        <v>1539</v>
      </c>
      <c r="B1540" s="16" t="s">
        <v>4807</v>
      </c>
      <c r="C1540" s="17">
        <v>45727</v>
      </c>
      <c r="D1540" s="15" t="s">
        <v>4808</v>
      </c>
      <c r="E1540" s="18" t="s">
        <v>954</v>
      </c>
      <c r="F1540" s="19" t="s">
        <v>458</v>
      </c>
      <c r="G1540" s="18" t="s">
        <v>459</v>
      </c>
      <c r="H1540" s="20" t="s">
        <v>436</v>
      </c>
      <c r="I1540" s="15">
        <v>3</v>
      </c>
      <c r="J1540" s="15" t="s">
        <v>24</v>
      </c>
      <c r="K1540" s="15"/>
      <c r="L1540" s="21" t="s">
        <v>16</v>
      </c>
      <c r="M1540" s="22">
        <v>0</v>
      </c>
      <c r="N1540" s="22">
        <v>-2250</v>
      </c>
      <c r="O1540" s="22">
        <v>20250</v>
      </c>
      <c r="P1540" s="22">
        <v>20250</v>
      </c>
      <c r="Q1540" t="str" cm="1">
        <f t="array" ref="Q1540">_xlfn.TEXTJOIN("、",TRUE,IF('學員資料-三民高中'!$B$2:$B$454=$F1540,'學員資料-三民高中'!$G$2:$G$454,""))</f>
        <v>0930901313</v>
      </c>
      <c r="R1540" t="str" cm="1">
        <f t="array" ref="R1540">_xlfn.TEXTJOIN("、",TRUE,IF('學員資料-新北高中'!$B$2:$B$583=$F1540,'學員資料-新北高中'!$G$2:$G$583,""))</f>
        <v/>
      </c>
      <c r="S1540" t="str" cm="1">
        <f t="array" ref="S1540">_xlfn.TEXTJOIN("、",TRUE,IF('學員資料-三重商工'!$B$2:$B$472=$F1540,'學員資料-三重商工'!$G$2:$G$472,""))</f>
        <v/>
      </c>
      <c r="T1540">
        <f t="shared" si="24"/>
        <v>1</v>
      </c>
    </row>
    <row r="1541" spans="1:20" ht="43.5" hidden="1" customHeight="1">
      <c r="A1541" s="15">
        <v>1540</v>
      </c>
      <c r="B1541" s="16" t="s">
        <v>4809</v>
      </c>
      <c r="C1541" s="17">
        <v>45727</v>
      </c>
      <c r="D1541" s="15" t="s">
        <v>4810</v>
      </c>
      <c r="E1541" s="18" t="s">
        <v>954</v>
      </c>
      <c r="F1541" s="19" t="s">
        <v>1159</v>
      </c>
      <c r="G1541" s="18" t="s">
        <v>1160</v>
      </c>
      <c r="H1541" s="20" t="s">
        <v>436</v>
      </c>
      <c r="I1541" s="15">
        <v>3</v>
      </c>
      <c r="J1541" s="15" t="s">
        <v>24</v>
      </c>
      <c r="K1541" s="15"/>
      <c r="L1541" s="21" t="s">
        <v>16</v>
      </c>
      <c r="M1541" s="22">
        <v>0</v>
      </c>
      <c r="N1541" s="22">
        <v>-2250</v>
      </c>
      <c r="O1541" s="22">
        <v>20250</v>
      </c>
      <c r="P1541" s="22">
        <v>20250</v>
      </c>
      <c r="Q1541" t="str" cm="1">
        <f t="array" ref="Q1541">_xlfn.TEXTJOIN("、",TRUE,IF('學員資料-三民高中'!$B$2:$B$454=$F1541,'學員資料-三民高中'!$G$2:$G$454,""))</f>
        <v>0912567346</v>
      </c>
      <c r="R1541" t="str" cm="1">
        <f t="array" ref="R1541">_xlfn.TEXTJOIN("、",TRUE,IF('學員資料-新北高中'!$B$2:$B$583=$F1541,'學員資料-新北高中'!$G$2:$G$583,""))</f>
        <v/>
      </c>
      <c r="S1541" t="str" cm="1">
        <f t="array" ref="S1541">_xlfn.TEXTJOIN("、",TRUE,IF('學員資料-三重商工'!$B$2:$B$472=$F1541,'學員資料-三重商工'!$G$2:$G$472,""))</f>
        <v/>
      </c>
      <c r="T1541">
        <f t="shared" si="24"/>
        <v>1</v>
      </c>
    </row>
    <row r="1542" spans="1:20" ht="14.25" hidden="1" customHeight="1">
      <c r="A1542" s="15">
        <v>1541</v>
      </c>
      <c r="B1542" s="16" t="s">
        <v>4811</v>
      </c>
      <c r="C1542" s="17">
        <v>45727</v>
      </c>
      <c r="D1542" s="15" t="s">
        <v>4812</v>
      </c>
      <c r="E1542" s="18" t="s">
        <v>954</v>
      </c>
      <c r="F1542" s="19" t="s">
        <v>4813</v>
      </c>
      <c r="G1542" s="18" t="s">
        <v>4814</v>
      </c>
      <c r="H1542" s="20" t="s">
        <v>66</v>
      </c>
      <c r="I1542" s="15">
        <v>1</v>
      </c>
      <c r="J1542" s="15" t="s">
        <v>23</v>
      </c>
      <c r="K1542" s="15"/>
      <c r="L1542" s="21" t="s">
        <v>16</v>
      </c>
      <c r="M1542" s="22">
        <v>0</v>
      </c>
      <c r="N1542" s="22">
        <v>-345</v>
      </c>
      <c r="O1542" s="22">
        <v>6555</v>
      </c>
      <c r="P1542" s="22">
        <v>6555</v>
      </c>
      <c r="Q1542" t="str" cm="1">
        <f t="array" ref="Q1542">_xlfn.TEXTJOIN("、",TRUE,IF('學員資料-三民高中'!$B$2:$B$454=$F1542,'學員資料-三民高中'!$G$2:$G$454,""))</f>
        <v>0926712731</v>
      </c>
      <c r="R1542" t="str" cm="1">
        <f t="array" ref="R1542">_xlfn.TEXTJOIN("、",TRUE,IF('學員資料-新北高中'!$B$2:$B$583=$F1542,'學員資料-新北高中'!$G$2:$G$583,""))</f>
        <v/>
      </c>
      <c r="S1542" t="str" cm="1">
        <f t="array" ref="S1542">_xlfn.TEXTJOIN("、",TRUE,IF('學員資料-三重商工'!$B$2:$B$472=$F1542,'學員資料-三重商工'!$G$2:$G$472,""))</f>
        <v/>
      </c>
      <c r="T1542">
        <f t="shared" si="24"/>
        <v>1</v>
      </c>
    </row>
    <row r="1543" spans="1:20" ht="14.25" hidden="1" customHeight="1">
      <c r="A1543" s="15">
        <v>1542</v>
      </c>
      <c r="B1543" s="16" t="s">
        <v>4815</v>
      </c>
      <c r="C1543" s="17">
        <v>45727</v>
      </c>
      <c r="D1543" s="15" t="s">
        <v>4816</v>
      </c>
      <c r="E1543" s="18" t="s">
        <v>954</v>
      </c>
      <c r="F1543" s="19" t="s">
        <v>4817</v>
      </c>
      <c r="G1543" s="18" t="s">
        <v>4818</v>
      </c>
      <c r="H1543" s="20" t="s">
        <v>66</v>
      </c>
      <c r="I1543" s="15">
        <v>1</v>
      </c>
      <c r="J1543" s="15" t="s">
        <v>23</v>
      </c>
      <c r="K1543" s="15"/>
      <c r="L1543" s="21" t="s">
        <v>16</v>
      </c>
      <c r="M1543" s="22">
        <v>0</v>
      </c>
      <c r="N1543" s="22">
        <v>-345</v>
      </c>
      <c r="O1543" s="22">
        <v>6555</v>
      </c>
      <c r="P1543" s="22">
        <v>6555</v>
      </c>
      <c r="Q1543" t="str" cm="1">
        <f t="array" ref="Q1543">_xlfn.TEXTJOIN("、",TRUE,IF('學員資料-三民高中'!$B$2:$B$454=$F1543,'學員資料-三民高中'!$G$2:$G$454,""))</f>
        <v>0905580274</v>
      </c>
      <c r="R1543" t="str" cm="1">
        <f t="array" ref="R1543">_xlfn.TEXTJOIN("、",TRUE,IF('學員資料-新北高中'!$B$2:$B$583=$F1543,'學員資料-新北高中'!$G$2:$G$583,""))</f>
        <v/>
      </c>
      <c r="S1543" t="str" cm="1">
        <f t="array" ref="S1543">_xlfn.TEXTJOIN("、",TRUE,IF('學員資料-三重商工'!$B$2:$B$472=$F1543,'學員資料-三重商工'!$G$2:$G$472,""))</f>
        <v/>
      </c>
      <c r="T1543">
        <f t="shared" si="24"/>
        <v>1</v>
      </c>
    </row>
    <row r="1544" spans="1:20" ht="43.5" hidden="1" customHeight="1">
      <c r="A1544" s="15">
        <v>1543</v>
      </c>
      <c r="B1544" s="16" t="s">
        <v>4819</v>
      </c>
      <c r="C1544" s="17">
        <v>45727</v>
      </c>
      <c r="D1544" s="15" t="s">
        <v>4820</v>
      </c>
      <c r="E1544" s="18" t="s">
        <v>954</v>
      </c>
      <c r="F1544" s="19" t="s">
        <v>1891</v>
      </c>
      <c r="G1544" s="18" t="s">
        <v>1892</v>
      </c>
      <c r="H1544" s="20" t="s">
        <v>436</v>
      </c>
      <c r="I1544" s="15">
        <v>3</v>
      </c>
      <c r="J1544" s="15" t="s">
        <v>24</v>
      </c>
      <c r="K1544" s="15"/>
      <c r="L1544" s="21" t="s">
        <v>16</v>
      </c>
      <c r="M1544" s="22">
        <v>0</v>
      </c>
      <c r="N1544" s="22">
        <v>-2250</v>
      </c>
      <c r="O1544" s="22">
        <v>20250</v>
      </c>
      <c r="P1544" s="22">
        <v>20250</v>
      </c>
      <c r="Q1544" t="str" cm="1">
        <f t="array" ref="Q1544">_xlfn.TEXTJOIN("、",TRUE,IF('學員資料-三民高中'!$B$2:$B$454=$F1544,'學員資料-三民高中'!$G$2:$G$454,""))</f>
        <v>0921856822</v>
      </c>
      <c r="R1544" t="str" cm="1">
        <f t="array" ref="R1544">_xlfn.TEXTJOIN("、",TRUE,IF('學員資料-新北高中'!$B$2:$B$583=$F1544,'學員資料-新北高中'!$G$2:$G$583,""))</f>
        <v/>
      </c>
      <c r="S1544" t="str" cm="1">
        <f t="array" ref="S1544">_xlfn.TEXTJOIN("、",TRUE,IF('學員資料-三重商工'!$B$2:$B$472=$F1544,'學員資料-三重商工'!$G$2:$G$472,""))</f>
        <v/>
      </c>
      <c r="T1544">
        <f t="shared" si="24"/>
        <v>1</v>
      </c>
    </row>
    <row r="1545" spans="1:20" ht="14.25" hidden="1" customHeight="1">
      <c r="A1545" s="15">
        <v>1544</v>
      </c>
      <c r="B1545" s="16" t="s">
        <v>4821</v>
      </c>
      <c r="C1545" s="17">
        <v>45727</v>
      </c>
      <c r="D1545" s="15" t="s">
        <v>4822</v>
      </c>
      <c r="E1545" s="18" t="s">
        <v>954</v>
      </c>
      <c r="F1545" s="19" t="s">
        <v>1887</v>
      </c>
      <c r="G1545" s="18" t="s">
        <v>1888</v>
      </c>
      <c r="H1545" s="20" t="s">
        <v>66</v>
      </c>
      <c r="I1545" s="15">
        <v>1</v>
      </c>
      <c r="J1545" s="15" t="s">
        <v>23</v>
      </c>
      <c r="K1545" s="15"/>
      <c r="L1545" s="21" t="s">
        <v>16</v>
      </c>
      <c r="M1545" s="22">
        <v>0</v>
      </c>
      <c r="N1545" s="22">
        <v>-345</v>
      </c>
      <c r="O1545" s="22">
        <v>6555</v>
      </c>
      <c r="P1545" s="22">
        <v>6555</v>
      </c>
      <c r="Q1545" t="str" cm="1">
        <f t="array" ref="Q1545">_xlfn.TEXTJOIN("、",TRUE,IF('學員資料-三民高中'!$B$2:$B$454=$F1545,'學員資料-三民高中'!$G$2:$G$454,""))</f>
        <v>0935716123</v>
      </c>
      <c r="R1545" t="str" cm="1">
        <f t="array" ref="R1545">_xlfn.TEXTJOIN("、",TRUE,IF('學員資料-新北高中'!$B$2:$B$583=$F1545,'學員資料-新北高中'!$G$2:$G$583,""))</f>
        <v/>
      </c>
      <c r="S1545" t="str" cm="1">
        <f t="array" ref="S1545">_xlfn.TEXTJOIN("、",TRUE,IF('學員資料-三重商工'!$B$2:$B$472=$F1545,'學員資料-三重商工'!$G$2:$G$472,""))</f>
        <v/>
      </c>
      <c r="T1545">
        <f t="shared" si="24"/>
        <v>1</v>
      </c>
    </row>
    <row r="1546" spans="1:20" ht="14.25" hidden="1" customHeight="1">
      <c r="A1546" s="15">
        <v>1545</v>
      </c>
      <c r="B1546" s="16" t="s">
        <v>4823</v>
      </c>
      <c r="C1546" s="17">
        <v>45727</v>
      </c>
      <c r="D1546" s="15" t="s">
        <v>4824</v>
      </c>
      <c r="E1546" s="18" t="s">
        <v>954</v>
      </c>
      <c r="F1546" s="19" t="s">
        <v>4825</v>
      </c>
      <c r="G1546" s="18" t="s">
        <v>4826</v>
      </c>
      <c r="H1546" s="20" t="s">
        <v>52</v>
      </c>
      <c r="I1546" s="15">
        <v>1</v>
      </c>
      <c r="J1546" s="15" t="s">
        <v>24</v>
      </c>
      <c r="K1546" s="15"/>
      <c r="L1546" s="21" t="s">
        <v>16</v>
      </c>
      <c r="M1546" s="22">
        <v>0</v>
      </c>
      <c r="N1546" s="22">
        <v>-750</v>
      </c>
      <c r="O1546" s="22">
        <v>6750</v>
      </c>
      <c r="P1546" s="22">
        <v>6750</v>
      </c>
      <c r="Q1546" t="str" cm="1">
        <f t="array" ref="Q1546">_xlfn.TEXTJOIN("、",TRUE,IF('學員資料-三民高中'!$B$2:$B$454=$F1546,'學員資料-三民高中'!$G$2:$G$454,""))</f>
        <v/>
      </c>
      <c r="R1546" t="str" cm="1">
        <f t="array" ref="R1546">_xlfn.TEXTJOIN("、",TRUE,IF('學員資料-新北高中'!$B$2:$B$583=$F1546,'學員資料-新北高中'!$G$2:$G$583,""))</f>
        <v/>
      </c>
      <c r="S1546" t="str" cm="1">
        <f t="array" ref="S1546">_xlfn.TEXTJOIN("、",TRUE,IF('學員資料-三重商工'!$B$2:$B$472=$F1546,'學員資料-三重商工'!$G$2:$G$472,""))</f>
        <v>0936285475</v>
      </c>
      <c r="T1546">
        <f t="shared" si="24"/>
        <v>1</v>
      </c>
    </row>
    <row r="1547" spans="1:20" ht="28.5" hidden="1" customHeight="1">
      <c r="A1547" s="15">
        <v>1546</v>
      </c>
      <c r="B1547" s="16" t="s">
        <v>4827</v>
      </c>
      <c r="C1547" s="17">
        <v>45727</v>
      </c>
      <c r="D1547" s="15" t="s">
        <v>4828</v>
      </c>
      <c r="E1547" s="18" t="s">
        <v>954</v>
      </c>
      <c r="F1547" s="19" t="s">
        <v>4618</v>
      </c>
      <c r="G1547" s="18" t="s">
        <v>4619</v>
      </c>
      <c r="H1547" s="20" t="s">
        <v>244</v>
      </c>
      <c r="I1547" s="15">
        <v>2</v>
      </c>
      <c r="J1547" s="15" t="s">
        <v>23</v>
      </c>
      <c r="K1547" s="15"/>
      <c r="L1547" s="21" t="s">
        <v>16</v>
      </c>
      <c r="M1547" s="22">
        <v>0</v>
      </c>
      <c r="N1547" s="22">
        <v>-828</v>
      </c>
      <c r="O1547" s="22">
        <v>15732</v>
      </c>
      <c r="P1547" s="22">
        <v>15732</v>
      </c>
      <c r="Q1547" t="str" cm="1">
        <f t="array" ref="Q1547">_xlfn.TEXTJOIN("、",TRUE,IF('學員資料-三民高中'!$B$2:$B$454=$F1547,'學員資料-三民高中'!$G$2:$G$454,""))</f>
        <v/>
      </c>
      <c r="R1547" t="str" cm="1">
        <f t="array" ref="R1547">_xlfn.TEXTJOIN("、",TRUE,IF('學員資料-新北高中'!$B$2:$B$583=$F1547,'學員資料-新北高中'!$G$2:$G$583,""))</f>
        <v/>
      </c>
      <c r="S1547" t="str" cm="1">
        <f t="array" ref="S1547">_xlfn.TEXTJOIN("、",TRUE,IF('學員資料-三重商工'!$B$2:$B$472=$F1547,'學員資料-三重商工'!$G$2:$G$472,""))</f>
        <v>0988305820</v>
      </c>
      <c r="T1547">
        <f t="shared" si="24"/>
        <v>1</v>
      </c>
    </row>
    <row r="1548" spans="1:20" ht="14.25" hidden="1" customHeight="1">
      <c r="A1548" s="15">
        <v>1547</v>
      </c>
      <c r="B1548" s="16" t="s">
        <v>4829</v>
      </c>
      <c r="C1548" s="17">
        <v>45727</v>
      </c>
      <c r="D1548" s="15" t="s">
        <v>4830</v>
      </c>
      <c r="E1548" s="18" t="s">
        <v>954</v>
      </c>
      <c r="F1548" s="19" t="s">
        <v>3249</v>
      </c>
      <c r="G1548" s="18" t="s">
        <v>3250</v>
      </c>
      <c r="H1548" s="20" t="s">
        <v>66</v>
      </c>
      <c r="I1548" s="15">
        <v>1</v>
      </c>
      <c r="J1548" s="15" t="s">
        <v>23</v>
      </c>
      <c r="K1548" s="15"/>
      <c r="L1548" s="21" t="s">
        <v>16</v>
      </c>
      <c r="M1548" s="22">
        <v>0</v>
      </c>
      <c r="N1548" s="22">
        <v>-345</v>
      </c>
      <c r="O1548" s="22">
        <v>6555</v>
      </c>
      <c r="P1548" s="22">
        <v>6555</v>
      </c>
      <c r="Q1548" t="str" cm="1">
        <f t="array" ref="Q1548">_xlfn.TEXTJOIN("、",TRUE,IF('學員資料-三民高中'!$B$2:$B$454=$F1548,'學員資料-三民高中'!$G$2:$G$454,""))</f>
        <v>0972878118</v>
      </c>
      <c r="R1548" t="str" cm="1">
        <f t="array" ref="R1548">_xlfn.TEXTJOIN("、",TRUE,IF('學員資料-新北高中'!$B$2:$B$583=$F1548,'學員資料-新北高中'!$G$2:$G$583,""))</f>
        <v/>
      </c>
      <c r="S1548" t="str" cm="1">
        <f t="array" ref="S1548">_xlfn.TEXTJOIN("、",TRUE,IF('學員資料-三重商工'!$B$2:$B$472=$F1548,'學員資料-三重商工'!$G$2:$G$472,""))</f>
        <v/>
      </c>
      <c r="T1548">
        <f t="shared" si="24"/>
        <v>1</v>
      </c>
    </row>
    <row r="1549" spans="1:20" ht="28.5" hidden="1" customHeight="1">
      <c r="A1549" s="15">
        <v>1548</v>
      </c>
      <c r="B1549" s="16" t="s">
        <v>4831</v>
      </c>
      <c r="C1549" s="17">
        <v>45727</v>
      </c>
      <c r="D1549" s="15" t="s">
        <v>4832</v>
      </c>
      <c r="E1549" s="18" t="s">
        <v>954</v>
      </c>
      <c r="F1549" s="19" t="s">
        <v>4833</v>
      </c>
      <c r="G1549" s="18" t="s">
        <v>4834</v>
      </c>
      <c r="H1549" s="20" t="s">
        <v>219</v>
      </c>
      <c r="I1549" s="15">
        <v>2</v>
      </c>
      <c r="J1549" s="15" t="s">
        <v>25</v>
      </c>
      <c r="K1549" s="15"/>
      <c r="L1549" s="21" t="s">
        <v>16</v>
      </c>
      <c r="M1549" s="22">
        <v>0</v>
      </c>
      <c r="N1549" s="22">
        <v>-1980</v>
      </c>
      <c r="O1549" s="22">
        <v>17820</v>
      </c>
      <c r="P1549" s="22">
        <v>17820</v>
      </c>
      <c r="Q1549" t="str" cm="1">
        <f t="array" ref="Q1549">_xlfn.TEXTJOIN("、",TRUE,IF('學員資料-三民高中'!$B$2:$B$454=$F1549,'學員資料-三民高中'!$G$2:$G$454,""))</f>
        <v>0937458420-1</v>
      </c>
      <c r="R1549" t="str" cm="1">
        <f t="array" ref="R1549">_xlfn.TEXTJOIN("、",TRUE,IF('學員資料-新北高中'!$B$2:$B$583=$F1549,'學員資料-新北高中'!$G$2:$G$583,""))</f>
        <v/>
      </c>
      <c r="S1549" t="str" cm="1">
        <f t="array" ref="S1549">_xlfn.TEXTJOIN("、",TRUE,IF('學員資料-三重商工'!$B$2:$B$472=$F1549,'學員資料-三重商工'!$G$2:$G$472,""))</f>
        <v/>
      </c>
      <c r="T1549">
        <f t="shared" si="24"/>
        <v>1</v>
      </c>
    </row>
    <row r="1550" spans="1:20" ht="28.5" hidden="1" customHeight="1">
      <c r="A1550" s="15">
        <v>1549</v>
      </c>
      <c r="B1550" s="16" t="s">
        <v>4835</v>
      </c>
      <c r="C1550" s="17">
        <v>45727</v>
      </c>
      <c r="D1550" s="15" t="s">
        <v>4836</v>
      </c>
      <c r="E1550" s="18" t="s">
        <v>954</v>
      </c>
      <c r="F1550" s="19" t="s">
        <v>4837</v>
      </c>
      <c r="G1550" s="18" t="s">
        <v>4838</v>
      </c>
      <c r="H1550" s="20" t="s">
        <v>99</v>
      </c>
      <c r="I1550" s="15">
        <v>2</v>
      </c>
      <c r="J1550" s="15" t="s">
        <v>24</v>
      </c>
      <c r="K1550" s="15"/>
      <c r="L1550" s="21" t="s">
        <v>16</v>
      </c>
      <c r="M1550" s="22">
        <v>0</v>
      </c>
      <c r="N1550" s="22">
        <v>-1500</v>
      </c>
      <c r="O1550" s="22">
        <v>13500</v>
      </c>
      <c r="P1550" s="22">
        <v>13500</v>
      </c>
      <c r="Q1550" t="str" cm="1">
        <f t="array" ref="Q1550">_xlfn.TEXTJOIN("、",TRUE,IF('學員資料-三民高中'!$B$2:$B$454=$F1550,'學員資料-三民高中'!$G$2:$G$454,""))</f>
        <v>0937458420</v>
      </c>
      <c r="R1550" t="str" cm="1">
        <f t="array" ref="R1550">_xlfn.TEXTJOIN("、",TRUE,IF('學員資料-新北高中'!$B$2:$B$583=$F1550,'學員資料-新北高中'!$G$2:$G$583,""))</f>
        <v/>
      </c>
      <c r="S1550" t="str" cm="1">
        <f t="array" ref="S1550">_xlfn.TEXTJOIN("、",TRUE,IF('學員資料-三重商工'!$B$2:$B$472=$F1550,'學員資料-三重商工'!$G$2:$G$472,""))</f>
        <v/>
      </c>
      <c r="T1550">
        <f t="shared" si="24"/>
        <v>1</v>
      </c>
    </row>
    <row r="1551" spans="1:20" ht="14.25" hidden="1" customHeight="1">
      <c r="A1551" s="15">
        <v>1550</v>
      </c>
      <c r="B1551" s="16" t="s">
        <v>4839</v>
      </c>
      <c r="C1551" s="17">
        <v>45727</v>
      </c>
      <c r="D1551" s="15" t="s">
        <v>4840</v>
      </c>
      <c r="E1551" s="18" t="s">
        <v>954</v>
      </c>
      <c r="F1551" s="19" t="s">
        <v>1450</v>
      </c>
      <c r="G1551" s="18" t="s">
        <v>1451</v>
      </c>
      <c r="H1551" s="20" t="s">
        <v>66</v>
      </c>
      <c r="I1551" s="15">
        <v>1</v>
      </c>
      <c r="J1551" s="15" t="s">
        <v>23</v>
      </c>
      <c r="K1551" s="15"/>
      <c r="L1551" s="21" t="s">
        <v>16</v>
      </c>
      <c r="M1551" s="22">
        <v>0</v>
      </c>
      <c r="N1551" s="22">
        <v>-345</v>
      </c>
      <c r="O1551" s="22">
        <v>6555</v>
      </c>
      <c r="P1551" s="22">
        <v>6555</v>
      </c>
      <c r="Q1551" t="str" cm="1">
        <f t="array" ref="Q1551">_xlfn.TEXTJOIN("、",TRUE,IF('學員資料-三民高中'!$B$2:$B$454=$F1551,'學員資料-三民高中'!$G$2:$G$454,""))</f>
        <v>0930941302</v>
      </c>
      <c r="R1551" t="str" cm="1">
        <f t="array" ref="R1551">_xlfn.TEXTJOIN("、",TRUE,IF('學員資料-新北高中'!$B$2:$B$583=$F1551,'學員資料-新北高中'!$G$2:$G$583,""))</f>
        <v/>
      </c>
      <c r="S1551" t="str" cm="1">
        <f t="array" ref="S1551">_xlfn.TEXTJOIN("、",TRUE,IF('學員資料-三重商工'!$B$2:$B$472=$F1551,'學員資料-三重商工'!$G$2:$G$472,""))</f>
        <v/>
      </c>
      <c r="T1551">
        <f t="shared" si="24"/>
        <v>1</v>
      </c>
    </row>
    <row r="1552" spans="1:20" ht="14.25" hidden="1" customHeight="1">
      <c r="A1552" s="15">
        <v>1551</v>
      </c>
      <c r="B1552" s="16" t="s">
        <v>4841</v>
      </c>
      <c r="C1552" s="17">
        <v>45727</v>
      </c>
      <c r="D1552" s="15" t="s">
        <v>4842</v>
      </c>
      <c r="E1552" s="18" t="s">
        <v>954</v>
      </c>
      <c r="F1552" s="19" t="s">
        <v>4843</v>
      </c>
      <c r="G1552" s="18" t="s">
        <v>4844</v>
      </c>
      <c r="H1552" s="20" t="s">
        <v>52</v>
      </c>
      <c r="I1552" s="15">
        <v>1</v>
      </c>
      <c r="J1552" s="15" t="s">
        <v>24</v>
      </c>
      <c r="K1552" s="15"/>
      <c r="L1552" s="21" t="s">
        <v>16</v>
      </c>
      <c r="M1552" s="22">
        <v>0</v>
      </c>
      <c r="N1552" s="22">
        <v>-750</v>
      </c>
      <c r="O1552" s="22">
        <v>6750</v>
      </c>
      <c r="P1552" s="22">
        <v>6750</v>
      </c>
      <c r="Q1552" t="str" cm="1">
        <f t="array" ref="Q1552">_xlfn.TEXTJOIN("、",TRUE,IF('學員資料-三民高中'!$B$2:$B$454=$F1552,'學員資料-三民高中'!$G$2:$G$454,""))</f>
        <v/>
      </c>
      <c r="R1552" t="str" cm="1">
        <f t="array" ref="R1552">_xlfn.TEXTJOIN("、",TRUE,IF('學員資料-新北高中'!$B$2:$B$583=$F1552,'學員資料-新北高中'!$G$2:$G$583,""))</f>
        <v>0981145800</v>
      </c>
      <c r="S1552" t="str" cm="1">
        <f t="array" ref="S1552">_xlfn.TEXTJOIN("、",TRUE,IF('學員資料-三重商工'!$B$2:$B$472=$F1552,'學員資料-三重商工'!$G$2:$G$472,""))</f>
        <v/>
      </c>
      <c r="T1552">
        <f t="shared" si="24"/>
        <v>1</v>
      </c>
    </row>
    <row r="1553" spans="1:20" ht="43.5" hidden="1" customHeight="1">
      <c r="A1553" s="15">
        <v>1552</v>
      </c>
      <c r="B1553" s="16" t="s">
        <v>4845</v>
      </c>
      <c r="C1553" s="17">
        <v>45727</v>
      </c>
      <c r="D1553" s="15" t="s">
        <v>4846</v>
      </c>
      <c r="E1553" s="18" t="s">
        <v>954</v>
      </c>
      <c r="F1553" s="19" t="s">
        <v>1629</v>
      </c>
      <c r="G1553" s="18" t="s">
        <v>1630</v>
      </c>
      <c r="H1553" s="20" t="s">
        <v>405</v>
      </c>
      <c r="I1553" s="15">
        <v>3</v>
      </c>
      <c r="J1553" s="15" t="s">
        <v>25</v>
      </c>
      <c r="K1553" s="15"/>
      <c r="L1553" s="21" t="s">
        <v>16</v>
      </c>
      <c r="M1553" s="22">
        <v>0</v>
      </c>
      <c r="N1553" s="22">
        <v>-2970</v>
      </c>
      <c r="O1553" s="22">
        <v>26730</v>
      </c>
      <c r="P1553" s="22">
        <v>26730</v>
      </c>
      <c r="Q1553" t="str" cm="1">
        <f t="array" ref="Q1553">_xlfn.TEXTJOIN("、",TRUE,IF('學員資料-三民高中'!$B$2:$B$454=$F1553,'學員資料-三民高中'!$G$2:$G$454,""))</f>
        <v>0933137895</v>
      </c>
      <c r="R1553" t="str" cm="1">
        <f t="array" ref="R1553">_xlfn.TEXTJOIN("、",TRUE,IF('學員資料-新北高中'!$B$2:$B$583=$F1553,'學員資料-新北高中'!$G$2:$G$583,""))</f>
        <v/>
      </c>
      <c r="S1553" t="str" cm="1">
        <f t="array" ref="S1553">_xlfn.TEXTJOIN("、",TRUE,IF('學員資料-三重商工'!$B$2:$B$472=$F1553,'學員資料-三重商工'!$G$2:$G$472,""))</f>
        <v/>
      </c>
      <c r="T1553">
        <f t="shared" si="24"/>
        <v>1</v>
      </c>
    </row>
    <row r="1554" spans="1:20" ht="14.25" customHeight="1">
      <c r="A1554" s="15">
        <v>1553</v>
      </c>
      <c r="B1554" s="16" t="s">
        <v>4847</v>
      </c>
      <c r="C1554" s="17">
        <v>45720</v>
      </c>
      <c r="D1554" s="15" t="s">
        <v>4848</v>
      </c>
      <c r="E1554" s="18" t="s">
        <v>954</v>
      </c>
      <c r="F1554" s="19" t="s">
        <v>4849</v>
      </c>
      <c r="G1554" s="23"/>
      <c r="H1554" s="20" t="s">
        <v>52</v>
      </c>
      <c r="I1554" s="15">
        <v>1</v>
      </c>
      <c r="J1554" s="15" t="s">
        <v>24</v>
      </c>
      <c r="K1554" s="15"/>
      <c r="L1554" s="21" t="s">
        <v>16</v>
      </c>
      <c r="M1554" s="22">
        <v>0</v>
      </c>
      <c r="N1554" s="22">
        <v>-750</v>
      </c>
      <c r="O1554" s="22">
        <v>6750</v>
      </c>
      <c r="P1554" s="22">
        <v>6750</v>
      </c>
      <c r="Q1554" t="str" cm="1">
        <f t="array" ref="Q1554">_xlfn.TEXTJOIN("、",TRUE,IF('學員資料-三民高中'!$B$2:$B$454=$F1554,'學員資料-三民高中'!$G$2:$G$454,""))</f>
        <v/>
      </c>
      <c r="R1554" t="str" cm="1">
        <f t="array" ref="R1554">_xlfn.TEXTJOIN("、",TRUE,IF('學員資料-新北高中'!$B$2:$B$583=$F1554,'學員資料-新北高中'!$G$2:$G$583,""))</f>
        <v/>
      </c>
      <c r="S1554" t="str" cm="1">
        <f t="array" ref="S1554">_xlfn.TEXTJOIN("、",TRUE,IF('學員資料-三重商工'!$B$2:$B$472=$F1554,'學員資料-三重商工'!$G$2:$G$472,""))</f>
        <v/>
      </c>
      <c r="T1554">
        <f t="shared" si="24"/>
        <v>0</v>
      </c>
    </row>
    <row r="1555" spans="1:20" ht="14.25" hidden="1" customHeight="1">
      <c r="A1555" s="15">
        <v>1554</v>
      </c>
      <c r="B1555" s="16" t="s">
        <v>4850</v>
      </c>
      <c r="C1555" s="17">
        <v>45717</v>
      </c>
      <c r="D1555" s="15" t="s">
        <v>4851</v>
      </c>
      <c r="E1555" s="18" t="s">
        <v>954</v>
      </c>
      <c r="F1555" s="19" t="s">
        <v>681</v>
      </c>
      <c r="G1555" s="18" t="s">
        <v>682</v>
      </c>
      <c r="H1555" s="20" t="s">
        <v>683</v>
      </c>
      <c r="I1555" s="15">
        <v>1</v>
      </c>
      <c r="J1555" s="15" t="s">
        <v>23</v>
      </c>
      <c r="K1555" s="15"/>
      <c r="L1555" s="21" t="s">
        <v>16</v>
      </c>
      <c r="M1555" s="22">
        <v>0</v>
      </c>
      <c r="N1555" s="22">
        <v>-3600</v>
      </c>
      <c r="O1555" s="22">
        <v>5400</v>
      </c>
      <c r="P1555" s="22">
        <v>5400</v>
      </c>
      <c r="Q1555" t="str" cm="1">
        <f t="array" ref="Q1555">_xlfn.TEXTJOIN("、",TRUE,IF('學員資料-三民高中'!$B$2:$B$454=$F1555,'學員資料-三民高中'!$G$2:$G$454,""))</f>
        <v/>
      </c>
      <c r="R1555" t="str" cm="1">
        <f t="array" ref="R1555">_xlfn.TEXTJOIN("、",TRUE,IF('學員資料-新北高中'!$B$2:$B$583=$F1555,'學員資料-新北高中'!$G$2:$G$583,""))</f>
        <v>0956888791</v>
      </c>
      <c r="S1555" t="str" cm="1">
        <f t="array" ref="S1555">_xlfn.TEXTJOIN("、",TRUE,IF('學員資料-三重商工'!$B$2:$B$472=$F1555,'學員資料-三重商工'!$G$2:$G$472,""))</f>
        <v/>
      </c>
      <c r="T1555">
        <f t="shared" si="24"/>
        <v>1</v>
      </c>
    </row>
    <row r="1556" spans="1:20" ht="14.25" hidden="1" customHeight="1">
      <c r="A1556" s="15">
        <v>1555</v>
      </c>
      <c r="B1556" s="16" t="s">
        <v>4852</v>
      </c>
      <c r="C1556" s="17">
        <v>45715</v>
      </c>
      <c r="D1556" s="15" t="s">
        <v>4853</v>
      </c>
      <c r="E1556" s="18" t="s">
        <v>954</v>
      </c>
      <c r="F1556" s="19" t="s">
        <v>4854</v>
      </c>
      <c r="G1556" s="18" t="s">
        <v>4855</v>
      </c>
      <c r="H1556" s="20" t="s">
        <v>3811</v>
      </c>
      <c r="I1556" s="15">
        <v>1</v>
      </c>
      <c r="J1556" s="15" t="s">
        <v>24</v>
      </c>
      <c r="K1556" s="21" t="s">
        <v>116</v>
      </c>
      <c r="L1556" s="21" t="s">
        <v>16</v>
      </c>
      <c r="M1556" s="22">
        <v>0</v>
      </c>
      <c r="N1556" s="22">
        <v>0</v>
      </c>
      <c r="O1556" s="22">
        <v>1200</v>
      </c>
      <c r="P1556" s="22">
        <v>1200</v>
      </c>
      <c r="Q1556" t="str" cm="1">
        <f t="array" ref="Q1556">_xlfn.TEXTJOIN("、",TRUE,IF('學員資料-三民高中'!$B$2:$B$454=$F1556,'學員資料-三民高中'!$G$2:$G$454,""))</f>
        <v/>
      </c>
      <c r="R1556" t="str" cm="1">
        <f t="array" ref="R1556">_xlfn.TEXTJOIN("、",TRUE,IF('學員資料-新北高中'!$B$2:$B$583=$F1556,'學員資料-新北高中'!$G$2:$G$583,""))</f>
        <v>0910895622</v>
      </c>
      <c r="S1556" t="str" cm="1">
        <f t="array" ref="S1556">_xlfn.TEXTJOIN("、",TRUE,IF('學員資料-三重商工'!$B$2:$B$472=$F1556,'學員資料-三重商工'!$G$2:$G$472,""))</f>
        <v/>
      </c>
      <c r="T1556">
        <f t="shared" si="24"/>
        <v>1</v>
      </c>
    </row>
    <row r="1557" spans="1:20" ht="28.5" customHeight="1">
      <c r="A1557" s="15">
        <v>1556</v>
      </c>
      <c r="B1557" s="16" t="s">
        <v>4856</v>
      </c>
      <c r="C1557" s="17">
        <v>45713</v>
      </c>
      <c r="D1557" s="15" t="s">
        <v>4857</v>
      </c>
      <c r="E1557" s="18" t="s">
        <v>954</v>
      </c>
      <c r="F1557" s="19" t="s">
        <v>4858</v>
      </c>
      <c r="G1557" s="18" t="s">
        <v>4859</v>
      </c>
      <c r="H1557" s="20" t="s">
        <v>1985</v>
      </c>
      <c r="I1557" s="15">
        <v>2</v>
      </c>
      <c r="J1557" s="15" t="s">
        <v>23</v>
      </c>
      <c r="K1557" s="15"/>
      <c r="L1557" s="21" t="s">
        <v>16</v>
      </c>
      <c r="M1557" s="22">
        <v>0</v>
      </c>
      <c r="N1557" s="22">
        <v>-900</v>
      </c>
      <c r="O1557" s="22">
        <v>17100</v>
      </c>
      <c r="P1557" s="22">
        <v>17100</v>
      </c>
      <c r="Q1557" t="str" cm="1">
        <f t="array" ref="Q1557">_xlfn.TEXTJOIN("、",TRUE,IF('學員資料-三民高中'!$B$2:$B$454=$F1557,'學員資料-三民高中'!$G$2:$G$454,""))</f>
        <v/>
      </c>
      <c r="R1557" t="str" cm="1">
        <f t="array" ref="R1557">_xlfn.TEXTJOIN("、",TRUE,IF('學員資料-新北高中'!$B$2:$B$583=$F1557,'學員資料-新北高中'!$G$2:$G$583,""))</f>
        <v/>
      </c>
      <c r="S1557" t="str" cm="1">
        <f t="array" ref="S1557">_xlfn.TEXTJOIN("、",TRUE,IF('學員資料-三重商工'!$B$2:$B$472=$F1557,'學員資料-三重商工'!$G$2:$G$472,""))</f>
        <v/>
      </c>
      <c r="T1557">
        <f t="shared" si="24"/>
        <v>0</v>
      </c>
    </row>
    <row r="1558" spans="1:20" ht="14.25" hidden="1" customHeight="1">
      <c r="A1558" s="15">
        <v>1557</v>
      </c>
      <c r="B1558" s="16" t="s">
        <v>4860</v>
      </c>
      <c r="C1558" s="17">
        <v>45712</v>
      </c>
      <c r="D1558" s="15" t="s">
        <v>4861</v>
      </c>
      <c r="E1558" s="18" t="s">
        <v>954</v>
      </c>
      <c r="F1558" s="19" t="s">
        <v>4360</v>
      </c>
      <c r="G1558" s="18" t="s">
        <v>4361</v>
      </c>
      <c r="H1558" s="20" t="s">
        <v>112</v>
      </c>
      <c r="I1558" s="15">
        <v>1</v>
      </c>
      <c r="J1558" s="15" t="s">
        <v>23</v>
      </c>
      <c r="K1558" s="15"/>
      <c r="L1558" s="21" t="s">
        <v>16</v>
      </c>
      <c r="M1558" s="22">
        <v>0</v>
      </c>
      <c r="N1558" s="22">
        <v>-414</v>
      </c>
      <c r="O1558" s="22">
        <v>7866</v>
      </c>
      <c r="P1558" s="22">
        <v>7866</v>
      </c>
      <c r="Q1558" t="str" cm="1">
        <f t="array" ref="Q1558">_xlfn.TEXTJOIN("、",TRUE,IF('學員資料-三民高中'!$B$2:$B$454=$F1558,'學員資料-三民高中'!$G$2:$G$454,""))</f>
        <v/>
      </c>
      <c r="R1558" t="str" cm="1">
        <f t="array" ref="R1558">_xlfn.TEXTJOIN("、",TRUE,IF('學員資料-新北高中'!$B$2:$B$583=$F1558,'學員資料-新北高中'!$G$2:$G$583,""))</f>
        <v/>
      </c>
      <c r="S1558" t="str" cm="1">
        <f t="array" ref="S1558">_xlfn.TEXTJOIN("、",TRUE,IF('學員資料-三重商工'!$B$2:$B$472=$F1558,'學員資料-三重商工'!$G$2:$G$472,""))</f>
        <v>0903170826</v>
      </c>
      <c r="T1558">
        <f t="shared" si="24"/>
        <v>1</v>
      </c>
    </row>
    <row r="1559" spans="1:20" ht="14.25" hidden="1" customHeight="1">
      <c r="A1559" s="15">
        <v>1558</v>
      </c>
      <c r="B1559" s="16" t="s">
        <v>4862</v>
      </c>
      <c r="C1559" s="17">
        <v>45712</v>
      </c>
      <c r="D1559" s="15" t="s">
        <v>4863</v>
      </c>
      <c r="E1559" s="18" t="s">
        <v>954</v>
      </c>
      <c r="F1559" s="19" t="s">
        <v>4864</v>
      </c>
      <c r="G1559" s="18" t="s">
        <v>4865</v>
      </c>
      <c r="H1559" s="20" t="s">
        <v>66</v>
      </c>
      <c r="I1559" s="15">
        <v>1</v>
      </c>
      <c r="J1559" s="15" t="s">
        <v>23</v>
      </c>
      <c r="K1559" s="15"/>
      <c r="L1559" s="21" t="s">
        <v>16</v>
      </c>
      <c r="M1559" s="22">
        <v>0</v>
      </c>
      <c r="N1559" s="22">
        <v>-345</v>
      </c>
      <c r="O1559" s="22">
        <v>6555</v>
      </c>
      <c r="P1559" s="22">
        <v>6555</v>
      </c>
      <c r="Q1559" t="str" cm="1">
        <f t="array" ref="Q1559">_xlfn.TEXTJOIN("、",TRUE,IF('學員資料-三民高中'!$B$2:$B$454=$F1559,'學員資料-三民高中'!$G$2:$G$454,""))</f>
        <v/>
      </c>
      <c r="R1559" t="str" cm="1">
        <f t="array" ref="R1559">_xlfn.TEXTJOIN("、",TRUE,IF('學員資料-新北高中'!$B$2:$B$583=$F1559,'學員資料-新北高中'!$G$2:$G$583,""))</f>
        <v>0987308814</v>
      </c>
      <c r="S1559" t="str" cm="1">
        <f t="array" ref="S1559">_xlfn.TEXTJOIN("、",TRUE,IF('學員資料-三重商工'!$B$2:$B$472=$F1559,'學員資料-三重商工'!$G$2:$G$472,""))</f>
        <v/>
      </c>
      <c r="T1559">
        <f t="shared" si="24"/>
        <v>1</v>
      </c>
    </row>
    <row r="1560" spans="1:20" ht="14.25" hidden="1" customHeight="1">
      <c r="A1560" s="15">
        <v>1559</v>
      </c>
      <c r="B1560" s="16" t="s">
        <v>4866</v>
      </c>
      <c r="C1560" s="17">
        <v>45712</v>
      </c>
      <c r="D1560" s="15" t="s">
        <v>4867</v>
      </c>
      <c r="E1560" s="18" t="s">
        <v>954</v>
      </c>
      <c r="F1560" s="19" t="s">
        <v>4868</v>
      </c>
      <c r="G1560" s="18" t="s">
        <v>4869</v>
      </c>
      <c r="H1560" s="20" t="s">
        <v>52</v>
      </c>
      <c r="I1560" s="15">
        <v>1</v>
      </c>
      <c r="J1560" s="15" t="s">
        <v>24</v>
      </c>
      <c r="K1560" s="15"/>
      <c r="L1560" s="21" t="s">
        <v>16</v>
      </c>
      <c r="M1560" s="22">
        <v>0</v>
      </c>
      <c r="N1560" s="22">
        <v>-750</v>
      </c>
      <c r="O1560" s="22">
        <v>6750</v>
      </c>
      <c r="P1560" s="22">
        <v>6750</v>
      </c>
      <c r="Q1560" t="str" cm="1">
        <f t="array" ref="Q1560">_xlfn.TEXTJOIN("、",TRUE,IF('學員資料-三民高中'!$B$2:$B$454=$F1560,'學員資料-三民高中'!$G$2:$G$454,""))</f>
        <v/>
      </c>
      <c r="R1560" t="str" cm="1">
        <f t="array" ref="R1560">_xlfn.TEXTJOIN("、",TRUE,IF('學員資料-新北高中'!$B$2:$B$583=$F1560,'學員資料-新北高中'!$G$2:$G$583,""))</f>
        <v>0955621258</v>
      </c>
      <c r="S1560" t="str" cm="1">
        <f t="array" ref="S1560">_xlfn.TEXTJOIN("、",TRUE,IF('學員資料-三重商工'!$B$2:$B$472=$F1560,'學員資料-三重商工'!$G$2:$G$472,""))</f>
        <v/>
      </c>
      <c r="T1560">
        <f t="shared" si="24"/>
        <v>1</v>
      </c>
    </row>
    <row r="1561" spans="1:20" ht="14.25" hidden="1" customHeight="1">
      <c r="A1561" s="15">
        <v>1560</v>
      </c>
      <c r="B1561" s="16" t="s">
        <v>4870</v>
      </c>
      <c r="C1561" s="17">
        <v>45712</v>
      </c>
      <c r="D1561" s="15" t="s">
        <v>4871</v>
      </c>
      <c r="E1561" s="18" t="s">
        <v>954</v>
      </c>
      <c r="F1561" s="19" t="s">
        <v>4304</v>
      </c>
      <c r="G1561" s="18" t="s">
        <v>4305</v>
      </c>
      <c r="H1561" s="20" t="s">
        <v>66</v>
      </c>
      <c r="I1561" s="15">
        <v>1</v>
      </c>
      <c r="J1561" s="15" t="s">
        <v>23</v>
      </c>
      <c r="K1561" s="15"/>
      <c r="L1561" s="21" t="s">
        <v>16</v>
      </c>
      <c r="M1561" s="22">
        <v>0</v>
      </c>
      <c r="N1561" s="22">
        <v>-345</v>
      </c>
      <c r="O1561" s="22">
        <v>6555</v>
      </c>
      <c r="P1561" s="22">
        <v>6555</v>
      </c>
      <c r="Q1561" t="str" cm="1">
        <f t="array" ref="Q1561">_xlfn.TEXTJOIN("、",TRUE,IF('學員資料-三民高中'!$B$2:$B$454=$F1561,'學員資料-三民高中'!$G$2:$G$454,""))</f>
        <v/>
      </c>
      <c r="R1561" t="str" cm="1">
        <f t="array" ref="R1561">_xlfn.TEXTJOIN("、",TRUE,IF('學員資料-新北高中'!$B$2:$B$583=$F1561,'學員資料-新北高中'!$G$2:$G$583,""))</f>
        <v>0960625945</v>
      </c>
      <c r="S1561" t="str" cm="1">
        <f t="array" ref="S1561">_xlfn.TEXTJOIN("、",TRUE,IF('學員資料-三重商工'!$B$2:$B$472=$F1561,'學員資料-三重商工'!$G$2:$G$472,""))</f>
        <v/>
      </c>
      <c r="T1561">
        <f t="shared" si="24"/>
        <v>1</v>
      </c>
    </row>
    <row r="1562" spans="1:20" ht="43.5" hidden="1" customHeight="1">
      <c r="A1562" s="15">
        <v>1561</v>
      </c>
      <c r="B1562" s="16" t="s">
        <v>4872</v>
      </c>
      <c r="C1562" s="17">
        <v>45712</v>
      </c>
      <c r="D1562" s="15" t="s">
        <v>4873</v>
      </c>
      <c r="E1562" s="18" t="s">
        <v>954</v>
      </c>
      <c r="F1562" s="19" t="s">
        <v>2104</v>
      </c>
      <c r="G1562" s="18" t="s">
        <v>2105</v>
      </c>
      <c r="H1562" s="20" t="s">
        <v>4391</v>
      </c>
      <c r="I1562" s="15">
        <v>3</v>
      </c>
      <c r="J1562" s="15" t="s">
        <v>23</v>
      </c>
      <c r="K1562" s="15"/>
      <c r="L1562" s="21" t="s">
        <v>16</v>
      </c>
      <c r="M1562" s="22">
        <v>0</v>
      </c>
      <c r="N1562" s="22">
        <v>-1350</v>
      </c>
      <c r="O1562" s="22">
        <v>25650</v>
      </c>
      <c r="P1562" s="22">
        <v>25650</v>
      </c>
      <c r="Q1562" t="str" cm="1">
        <f t="array" ref="Q1562">_xlfn.TEXTJOIN("、",TRUE,IF('學員資料-三民高中'!$B$2:$B$454=$F1562,'學員資料-三民高中'!$G$2:$G$454,""))</f>
        <v/>
      </c>
      <c r="R1562" t="str" cm="1">
        <f t="array" ref="R1562">_xlfn.TEXTJOIN("、",TRUE,IF('學員資料-新北高中'!$B$2:$B$583=$F1562,'學員資料-新北高中'!$G$2:$G$583,""))</f>
        <v>0916333432</v>
      </c>
      <c r="S1562" t="str" cm="1">
        <f t="array" ref="S1562">_xlfn.TEXTJOIN("、",TRUE,IF('學員資料-三重商工'!$B$2:$B$472=$F1562,'學員資料-三重商工'!$G$2:$G$472,""))</f>
        <v/>
      </c>
      <c r="T1562">
        <f t="shared" si="24"/>
        <v>1</v>
      </c>
    </row>
    <row r="1563" spans="1:20" ht="14.25" hidden="1" customHeight="1">
      <c r="A1563" s="15">
        <v>1562</v>
      </c>
      <c r="B1563" s="16" t="s">
        <v>4874</v>
      </c>
      <c r="C1563" s="17">
        <v>45712</v>
      </c>
      <c r="D1563" s="15" t="s">
        <v>4875</v>
      </c>
      <c r="E1563" s="18" t="s">
        <v>954</v>
      </c>
      <c r="F1563" s="19" t="s">
        <v>4876</v>
      </c>
      <c r="G1563" s="18" t="s">
        <v>4877</v>
      </c>
      <c r="H1563" s="20" t="s">
        <v>52</v>
      </c>
      <c r="I1563" s="15">
        <v>1</v>
      </c>
      <c r="J1563" s="15" t="s">
        <v>24</v>
      </c>
      <c r="K1563" s="15"/>
      <c r="L1563" s="21" t="s">
        <v>16</v>
      </c>
      <c r="M1563" s="22">
        <v>0</v>
      </c>
      <c r="N1563" s="22">
        <v>-750</v>
      </c>
      <c r="O1563" s="22">
        <v>6750</v>
      </c>
      <c r="P1563" s="22">
        <v>6750</v>
      </c>
      <c r="Q1563" t="str" cm="1">
        <f t="array" ref="Q1563">_xlfn.TEXTJOIN("、",TRUE,IF('學員資料-三民高中'!$B$2:$B$454=$F1563,'學員資料-三民高中'!$G$2:$G$454,""))</f>
        <v/>
      </c>
      <c r="R1563" t="str" cm="1">
        <f t="array" ref="R1563">_xlfn.TEXTJOIN("、",TRUE,IF('學員資料-新北高中'!$B$2:$B$583=$F1563,'學員資料-新北高中'!$G$2:$G$583,""))</f>
        <v/>
      </c>
      <c r="S1563" t="str" cm="1">
        <f t="array" ref="S1563">_xlfn.TEXTJOIN("、",TRUE,IF('學員資料-三重商工'!$B$2:$B$472=$F1563,'學員資料-三重商工'!$G$2:$G$472,""))</f>
        <v>0933237828</v>
      </c>
      <c r="T1563">
        <f t="shared" si="24"/>
        <v>1</v>
      </c>
    </row>
    <row r="1564" spans="1:20" ht="43.5" hidden="1" customHeight="1">
      <c r="A1564" s="15">
        <v>1563</v>
      </c>
      <c r="B1564" s="16" t="s">
        <v>4878</v>
      </c>
      <c r="C1564" s="17">
        <v>45712</v>
      </c>
      <c r="D1564" s="15" t="s">
        <v>4879</v>
      </c>
      <c r="E1564" s="18" t="s">
        <v>954</v>
      </c>
      <c r="F1564" s="19" t="s">
        <v>4880</v>
      </c>
      <c r="G1564" s="18" t="s">
        <v>4881</v>
      </c>
      <c r="H1564" s="20" t="s">
        <v>436</v>
      </c>
      <c r="I1564" s="15">
        <v>3</v>
      </c>
      <c r="J1564" s="15" t="s">
        <v>24</v>
      </c>
      <c r="K1564" s="15"/>
      <c r="L1564" s="21" t="s">
        <v>16</v>
      </c>
      <c r="M1564" s="22">
        <v>0</v>
      </c>
      <c r="N1564" s="22">
        <v>-2250</v>
      </c>
      <c r="O1564" s="22">
        <v>20250</v>
      </c>
      <c r="P1564" s="22">
        <v>20250</v>
      </c>
      <c r="Q1564" t="str" cm="1">
        <f t="array" ref="Q1564">_xlfn.TEXTJOIN("、",TRUE,IF('學員資料-三民高中'!$B$2:$B$454=$F1564,'學員資料-三民高中'!$G$2:$G$454,""))</f>
        <v>0972285171</v>
      </c>
      <c r="R1564" t="str" cm="1">
        <f t="array" ref="R1564">_xlfn.TEXTJOIN("、",TRUE,IF('學員資料-新北高中'!$B$2:$B$583=$F1564,'學員資料-新北高中'!$G$2:$G$583,""))</f>
        <v/>
      </c>
      <c r="S1564" t="str" cm="1">
        <f t="array" ref="S1564">_xlfn.TEXTJOIN("、",TRUE,IF('學員資料-三重商工'!$B$2:$B$472=$F1564,'學員資料-三重商工'!$G$2:$G$472,""))</f>
        <v/>
      </c>
      <c r="T1564">
        <f t="shared" si="24"/>
        <v>1</v>
      </c>
    </row>
    <row r="1565" spans="1:20" ht="14.25" hidden="1" customHeight="1">
      <c r="A1565" s="15">
        <v>1564</v>
      </c>
      <c r="B1565" s="16" t="s">
        <v>4882</v>
      </c>
      <c r="C1565" s="17">
        <v>45712</v>
      </c>
      <c r="D1565" s="15" t="s">
        <v>4883</v>
      </c>
      <c r="E1565" s="18" t="s">
        <v>954</v>
      </c>
      <c r="F1565" s="19" t="s">
        <v>4275</v>
      </c>
      <c r="G1565" s="18" t="s">
        <v>4276</v>
      </c>
      <c r="H1565" s="20" t="s">
        <v>52</v>
      </c>
      <c r="I1565" s="15">
        <v>1</v>
      </c>
      <c r="J1565" s="15" t="s">
        <v>24</v>
      </c>
      <c r="K1565" s="15"/>
      <c r="L1565" s="21" t="s">
        <v>16</v>
      </c>
      <c r="M1565" s="22">
        <v>0</v>
      </c>
      <c r="N1565" s="22">
        <v>-750</v>
      </c>
      <c r="O1565" s="22">
        <v>6750</v>
      </c>
      <c r="P1565" s="22">
        <v>6750</v>
      </c>
      <c r="Q1565" t="str" cm="1">
        <f t="array" ref="Q1565">_xlfn.TEXTJOIN("、",TRUE,IF('學員資料-三民高中'!$B$2:$B$454=$F1565,'學員資料-三民高中'!$G$2:$G$454,""))</f>
        <v/>
      </c>
      <c r="R1565" t="str" cm="1">
        <f t="array" ref="R1565">_xlfn.TEXTJOIN("、",TRUE,IF('學員資料-新北高中'!$B$2:$B$583=$F1565,'學員資料-新北高中'!$G$2:$G$583,""))</f>
        <v/>
      </c>
      <c r="S1565" t="str" cm="1">
        <f t="array" ref="S1565">_xlfn.TEXTJOIN("、",TRUE,IF('學員資料-三重商工'!$B$2:$B$472=$F1565,'學員資料-三重商工'!$G$2:$G$472,""))</f>
        <v>0920588290</v>
      </c>
      <c r="T1565">
        <f t="shared" si="24"/>
        <v>1</v>
      </c>
    </row>
    <row r="1566" spans="1:20" ht="28.5" hidden="1" customHeight="1">
      <c r="A1566" s="15">
        <v>1565</v>
      </c>
      <c r="B1566" s="16" t="s">
        <v>4884</v>
      </c>
      <c r="C1566" s="17">
        <v>45712</v>
      </c>
      <c r="D1566" s="15" t="s">
        <v>4885</v>
      </c>
      <c r="E1566" s="18" t="s">
        <v>954</v>
      </c>
      <c r="F1566" s="19" t="s">
        <v>4886</v>
      </c>
      <c r="G1566" s="18" t="s">
        <v>4887</v>
      </c>
      <c r="H1566" s="20" t="s">
        <v>99</v>
      </c>
      <c r="I1566" s="15">
        <v>2</v>
      </c>
      <c r="J1566" s="15" t="s">
        <v>24</v>
      </c>
      <c r="K1566" s="15"/>
      <c r="L1566" s="21" t="s">
        <v>16</v>
      </c>
      <c r="M1566" s="22">
        <v>0</v>
      </c>
      <c r="N1566" s="22">
        <v>-1500</v>
      </c>
      <c r="O1566" s="22">
        <v>13500</v>
      </c>
      <c r="P1566" s="22">
        <v>13500</v>
      </c>
      <c r="Q1566" t="str" cm="1">
        <f t="array" ref="Q1566">_xlfn.TEXTJOIN("、",TRUE,IF('學員資料-三民高中'!$B$2:$B$454=$F1566,'學員資料-三民高中'!$G$2:$G$454,""))</f>
        <v>0989266364</v>
      </c>
      <c r="R1566" t="str" cm="1">
        <f t="array" ref="R1566">_xlfn.TEXTJOIN("、",TRUE,IF('學員資料-新北高中'!$B$2:$B$583=$F1566,'學員資料-新北高中'!$G$2:$G$583,""))</f>
        <v/>
      </c>
      <c r="S1566" t="str" cm="1">
        <f t="array" ref="S1566">_xlfn.TEXTJOIN("、",TRUE,IF('學員資料-三重商工'!$B$2:$B$472=$F1566,'學員資料-三重商工'!$G$2:$G$472,""))</f>
        <v/>
      </c>
      <c r="T1566">
        <f t="shared" si="24"/>
        <v>1</v>
      </c>
    </row>
    <row r="1567" spans="1:20" ht="14.25" hidden="1" customHeight="1">
      <c r="A1567" s="15">
        <v>1566</v>
      </c>
      <c r="B1567" s="16" t="s">
        <v>4888</v>
      </c>
      <c r="C1567" s="17">
        <v>45712</v>
      </c>
      <c r="D1567" s="15" t="s">
        <v>4889</v>
      </c>
      <c r="E1567" s="18" t="s">
        <v>954</v>
      </c>
      <c r="F1567" s="19" t="s">
        <v>4890</v>
      </c>
      <c r="G1567" s="18" t="s">
        <v>4891</v>
      </c>
      <c r="H1567" s="20" t="s">
        <v>1087</v>
      </c>
      <c r="I1567" s="15">
        <v>1</v>
      </c>
      <c r="J1567" s="15" t="s">
        <v>27</v>
      </c>
      <c r="K1567" s="15"/>
      <c r="L1567" s="21" t="s">
        <v>16</v>
      </c>
      <c r="M1567" s="22">
        <v>0</v>
      </c>
      <c r="N1567" s="22">
        <v>-2250</v>
      </c>
      <c r="O1567" s="22">
        <v>12750</v>
      </c>
      <c r="P1567" s="22">
        <v>12750</v>
      </c>
      <c r="Q1567" t="str" cm="1">
        <f t="array" ref="Q1567">_xlfn.TEXTJOIN("、",TRUE,IF('學員資料-三民高中'!$B$2:$B$454=$F1567,'學員資料-三民高中'!$G$2:$G$454,""))</f>
        <v/>
      </c>
      <c r="R1567" t="str" cm="1">
        <f t="array" ref="R1567">_xlfn.TEXTJOIN("、",TRUE,IF('學員資料-新北高中'!$B$2:$B$583=$F1567,'學員資料-新北高中'!$G$2:$G$583,""))</f>
        <v>0910817610</v>
      </c>
      <c r="S1567" t="str" cm="1">
        <f t="array" ref="S1567">_xlfn.TEXTJOIN("、",TRUE,IF('學員資料-三重商工'!$B$2:$B$472=$F1567,'學員資料-三重商工'!$G$2:$G$472,""))</f>
        <v/>
      </c>
      <c r="T1567">
        <f t="shared" si="24"/>
        <v>1</v>
      </c>
    </row>
    <row r="1568" spans="1:20" ht="14.25" hidden="1" customHeight="1">
      <c r="A1568" s="15">
        <v>1567</v>
      </c>
      <c r="B1568" s="16" t="s">
        <v>4892</v>
      </c>
      <c r="C1568" s="17">
        <v>45712</v>
      </c>
      <c r="D1568" s="15" t="s">
        <v>4893</v>
      </c>
      <c r="E1568" s="18" t="s">
        <v>954</v>
      </c>
      <c r="F1568" s="19" t="s">
        <v>4890</v>
      </c>
      <c r="G1568" s="18" t="s">
        <v>4891</v>
      </c>
      <c r="H1568" s="20" t="s">
        <v>1087</v>
      </c>
      <c r="I1568" s="15">
        <v>1</v>
      </c>
      <c r="J1568" s="15" t="s">
        <v>27</v>
      </c>
      <c r="K1568" s="15"/>
      <c r="L1568" s="21" t="s">
        <v>16</v>
      </c>
      <c r="M1568" s="22">
        <v>0</v>
      </c>
      <c r="N1568" s="22">
        <v>-2250</v>
      </c>
      <c r="O1568" s="22">
        <v>12750</v>
      </c>
      <c r="P1568" s="22">
        <v>12750</v>
      </c>
      <c r="Q1568" t="str" cm="1">
        <f t="array" ref="Q1568">_xlfn.TEXTJOIN("、",TRUE,IF('學員資料-三民高中'!$B$2:$B$454=$F1568,'學員資料-三民高中'!$G$2:$G$454,""))</f>
        <v/>
      </c>
      <c r="R1568" t="str" cm="1">
        <f t="array" ref="R1568">_xlfn.TEXTJOIN("、",TRUE,IF('學員資料-新北高中'!$B$2:$B$583=$F1568,'學員資料-新北高中'!$G$2:$G$583,""))</f>
        <v>0910817610</v>
      </c>
      <c r="S1568" t="str" cm="1">
        <f t="array" ref="S1568">_xlfn.TEXTJOIN("、",TRUE,IF('學員資料-三重商工'!$B$2:$B$472=$F1568,'學員資料-三重商工'!$G$2:$G$472,""))</f>
        <v/>
      </c>
      <c r="T1568">
        <f t="shared" si="24"/>
        <v>1</v>
      </c>
    </row>
    <row r="1569" spans="1:20" ht="14.25" hidden="1" customHeight="1">
      <c r="A1569" s="15">
        <v>1568</v>
      </c>
      <c r="B1569" s="16" t="s">
        <v>4894</v>
      </c>
      <c r="C1569" s="17">
        <v>45712</v>
      </c>
      <c r="D1569" s="15" t="s">
        <v>4895</v>
      </c>
      <c r="E1569" s="18" t="s">
        <v>954</v>
      </c>
      <c r="F1569" s="19" t="s">
        <v>2596</v>
      </c>
      <c r="G1569" s="18" t="s">
        <v>2597</v>
      </c>
      <c r="H1569" s="20" t="s">
        <v>52</v>
      </c>
      <c r="I1569" s="15">
        <v>1</v>
      </c>
      <c r="J1569" s="15" t="s">
        <v>24</v>
      </c>
      <c r="K1569" s="15"/>
      <c r="L1569" s="21" t="s">
        <v>16</v>
      </c>
      <c r="M1569" s="22">
        <v>0</v>
      </c>
      <c r="N1569" s="22">
        <v>-750</v>
      </c>
      <c r="O1569" s="22">
        <v>6750</v>
      </c>
      <c r="P1569" s="22">
        <v>6750</v>
      </c>
      <c r="Q1569" t="str" cm="1">
        <f t="array" ref="Q1569">_xlfn.TEXTJOIN("、",TRUE,IF('學員資料-三民高中'!$B$2:$B$454=$F1569,'學員資料-三民高中'!$G$2:$G$454,""))</f>
        <v/>
      </c>
      <c r="R1569" t="str" cm="1">
        <f t="array" ref="R1569">_xlfn.TEXTJOIN("、",TRUE,IF('學員資料-新北高中'!$B$2:$B$583=$F1569,'學員資料-新北高中'!$G$2:$G$583,""))</f>
        <v/>
      </c>
      <c r="S1569" t="str" cm="1">
        <f t="array" ref="S1569">_xlfn.TEXTJOIN("、",TRUE,IF('學員資料-三重商工'!$B$2:$B$472=$F1569,'學員資料-三重商工'!$G$2:$G$472,""))</f>
        <v>0939332750</v>
      </c>
      <c r="T1569">
        <f t="shared" si="24"/>
        <v>1</v>
      </c>
    </row>
    <row r="1570" spans="1:20" ht="14.25" hidden="1" customHeight="1">
      <c r="A1570" s="15">
        <v>1569</v>
      </c>
      <c r="B1570" s="16" t="s">
        <v>4896</v>
      </c>
      <c r="C1570" s="17">
        <v>45710</v>
      </c>
      <c r="D1570" s="15" t="s">
        <v>4897</v>
      </c>
      <c r="E1570" s="18" t="s">
        <v>954</v>
      </c>
      <c r="F1570" s="19" t="s">
        <v>4729</v>
      </c>
      <c r="G1570" s="18" t="s">
        <v>4730</v>
      </c>
      <c r="H1570" s="20" t="s">
        <v>2989</v>
      </c>
      <c r="I1570" s="15">
        <v>1</v>
      </c>
      <c r="J1570" s="15" t="s">
        <v>23</v>
      </c>
      <c r="K1570" s="21" t="s">
        <v>116</v>
      </c>
      <c r="L1570" s="21" t="s">
        <v>16</v>
      </c>
      <c r="M1570" s="22">
        <v>0</v>
      </c>
      <c r="N1570" s="22">
        <v>0</v>
      </c>
      <c r="O1570" s="22">
        <v>1200</v>
      </c>
      <c r="P1570" s="22">
        <v>1200</v>
      </c>
      <c r="Q1570" t="str" cm="1">
        <f t="array" ref="Q1570">_xlfn.TEXTJOIN("、",TRUE,IF('學員資料-三民高中'!$B$2:$B$454=$F1570,'學員資料-三民高中'!$G$2:$G$454,""))</f>
        <v>0955948981</v>
      </c>
      <c r="R1570" t="str" cm="1">
        <f t="array" ref="R1570">_xlfn.TEXTJOIN("、",TRUE,IF('學員資料-新北高中'!$B$2:$B$583=$F1570,'學員資料-新北高中'!$G$2:$G$583,""))</f>
        <v/>
      </c>
      <c r="S1570" t="str" cm="1">
        <f t="array" ref="S1570">_xlfn.TEXTJOIN("、",TRUE,IF('學員資料-三重商工'!$B$2:$B$472=$F1570,'學員資料-三重商工'!$G$2:$G$472,""))</f>
        <v/>
      </c>
      <c r="T1570">
        <f t="shared" si="24"/>
        <v>1</v>
      </c>
    </row>
    <row r="1571" spans="1:20" ht="14.25" hidden="1" customHeight="1">
      <c r="A1571" s="15">
        <v>1570</v>
      </c>
      <c r="B1571" s="16" t="s">
        <v>4898</v>
      </c>
      <c r="C1571" s="17">
        <v>45710</v>
      </c>
      <c r="D1571" s="15" t="s">
        <v>4899</v>
      </c>
      <c r="E1571" s="18" t="s">
        <v>954</v>
      </c>
      <c r="F1571" s="19" t="s">
        <v>1426</v>
      </c>
      <c r="G1571" s="18" t="s">
        <v>1427</v>
      </c>
      <c r="H1571" s="20" t="s">
        <v>3766</v>
      </c>
      <c r="I1571" s="15">
        <v>1</v>
      </c>
      <c r="J1571" s="15" t="s">
        <v>24</v>
      </c>
      <c r="K1571" s="21" t="s">
        <v>116</v>
      </c>
      <c r="L1571" s="21" t="s">
        <v>16</v>
      </c>
      <c r="M1571" s="22">
        <v>0</v>
      </c>
      <c r="N1571" s="22">
        <v>0</v>
      </c>
      <c r="O1571" s="22">
        <v>1300</v>
      </c>
      <c r="P1571" s="22">
        <v>1300</v>
      </c>
      <c r="Q1571" t="str" cm="1">
        <f t="array" ref="Q1571">_xlfn.TEXTJOIN("、",TRUE,IF('學員資料-三民高中'!$B$2:$B$454=$F1571,'學員資料-三民高中'!$G$2:$G$454,""))</f>
        <v/>
      </c>
      <c r="R1571" t="str" cm="1">
        <f t="array" ref="R1571">_xlfn.TEXTJOIN("、",TRUE,IF('學員資料-新北高中'!$B$2:$B$583=$F1571,'學員資料-新北高中'!$G$2:$G$583,""))</f>
        <v>0961212771</v>
      </c>
      <c r="S1571" t="str" cm="1">
        <f t="array" ref="S1571">_xlfn.TEXTJOIN("、",TRUE,IF('學員資料-三重商工'!$B$2:$B$472=$F1571,'學員資料-三重商工'!$G$2:$G$472,""))</f>
        <v/>
      </c>
      <c r="T1571">
        <f t="shared" si="24"/>
        <v>1</v>
      </c>
    </row>
    <row r="1572" spans="1:20" ht="28.5" hidden="1" customHeight="1">
      <c r="A1572" s="15">
        <v>1571</v>
      </c>
      <c r="B1572" s="16" t="s">
        <v>4900</v>
      </c>
      <c r="C1572" s="17">
        <v>45708</v>
      </c>
      <c r="D1572" s="15" t="s">
        <v>4901</v>
      </c>
      <c r="E1572" s="18" t="s">
        <v>3862</v>
      </c>
      <c r="F1572" s="19" t="s">
        <v>1335</v>
      </c>
      <c r="G1572" s="18" t="s">
        <v>1336</v>
      </c>
      <c r="H1572" s="20" t="s">
        <v>75</v>
      </c>
      <c r="I1572" s="15">
        <v>2</v>
      </c>
      <c r="J1572" s="15" t="s">
        <v>23</v>
      </c>
      <c r="K1572" s="15"/>
      <c r="L1572" s="21" t="s">
        <v>16</v>
      </c>
      <c r="M1572" s="22">
        <v>0</v>
      </c>
      <c r="N1572" s="22">
        <v>-1035</v>
      </c>
      <c r="O1572" s="22">
        <v>19665</v>
      </c>
      <c r="P1572" s="22">
        <v>19665</v>
      </c>
      <c r="Q1572" t="str" cm="1">
        <f t="array" ref="Q1572">_xlfn.TEXTJOIN("、",TRUE,IF('學員資料-三民高中'!$B$2:$B$454=$F1572,'學員資料-三民高中'!$G$2:$G$454,""))</f>
        <v/>
      </c>
      <c r="R1572" t="str" cm="1">
        <f t="array" ref="R1572">_xlfn.TEXTJOIN("、",TRUE,IF('學員資料-新北高中'!$B$2:$B$583=$F1572,'學員資料-新北高中'!$G$2:$G$583,""))</f>
        <v/>
      </c>
      <c r="S1572" t="str" cm="1">
        <f t="array" ref="S1572">_xlfn.TEXTJOIN("、",TRUE,IF('學員資料-三重商工'!$B$2:$B$472=$F1572,'學員資料-三重商工'!$G$2:$G$472,""))</f>
        <v>0932625033</v>
      </c>
      <c r="T1572">
        <f t="shared" si="24"/>
        <v>1</v>
      </c>
    </row>
    <row r="1573" spans="1:20" ht="28.5" hidden="1" customHeight="1">
      <c r="A1573" s="15">
        <v>1572</v>
      </c>
      <c r="B1573" s="16" t="s">
        <v>4902</v>
      </c>
      <c r="C1573" s="17">
        <v>45708</v>
      </c>
      <c r="D1573" s="15" t="s">
        <v>4903</v>
      </c>
      <c r="E1573" s="18" t="s">
        <v>954</v>
      </c>
      <c r="F1573" s="19" t="s">
        <v>4904</v>
      </c>
      <c r="G1573" s="18" t="s">
        <v>4905</v>
      </c>
      <c r="H1573" s="20" t="s">
        <v>821</v>
      </c>
      <c r="I1573" s="15">
        <v>2</v>
      </c>
      <c r="J1573" s="15" t="s">
        <v>26</v>
      </c>
      <c r="K1573" s="15"/>
      <c r="L1573" s="21" t="s">
        <v>16</v>
      </c>
      <c r="M1573" s="22">
        <v>0</v>
      </c>
      <c r="N1573" s="22">
        <v>-3600</v>
      </c>
      <c r="O1573" s="22">
        <v>20400</v>
      </c>
      <c r="P1573" s="22">
        <v>20400</v>
      </c>
      <c r="Q1573" t="str" cm="1">
        <f t="array" ref="Q1573">_xlfn.TEXTJOIN("、",TRUE,IF('學員資料-三民高中'!$B$2:$B$454=$F1573,'學員資料-三民高中'!$G$2:$G$454,""))</f>
        <v>0988423486</v>
      </c>
      <c r="R1573" t="str" cm="1">
        <f t="array" ref="R1573">_xlfn.TEXTJOIN("、",TRUE,IF('學員資料-新北高中'!$B$2:$B$583=$F1573,'學員資料-新北高中'!$G$2:$G$583,""))</f>
        <v/>
      </c>
      <c r="S1573" t="str" cm="1">
        <f t="array" ref="S1573">_xlfn.TEXTJOIN("、",TRUE,IF('學員資料-三重商工'!$B$2:$B$472=$F1573,'學員資料-三重商工'!$G$2:$G$472,""))</f>
        <v/>
      </c>
      <c r="T1573">
        <f t="shared" si="24"/>
        <v>1</v>
      </c>
    </row>
    <row r="1574" spans="1:20" ht="28.5" hidden="1" customHeight="1">
      <c r="A1574" s="15">
        <v>1573</v>
      </c>
      <c r="B1574" s="16" t="s">
        <v>4906</v>
      </c>
      <c r="C1574" s="17">
        <v>45708</v>
      </c>
      <c r="D1574" s="15" t="s">
        <v>1390</v>
      </c>
      <c r="E1574" s="18" t="s">
        <v>954</v>
      </c>
      <c r="F1574" s="19" t="s">
        <v>1169</v>
      </c>
      <c r="G1574" s="18" t="s">
        <v>1170</v>
      </c>
      <c r="H1574" s="20" t="s">
        <v>244</v>
      </c>
      <c r="I1574" s="15">
        <v>2</v>
      </c>
      <c r="J1574" s="15" t="s">
        <v>23</v>
      </c>
      <c r="K1574" s="15"/>
      <c r="L1574" s="21" t="s">
        <v>16</v>
      </c>
      <c r="M1574" s="22">
        <v>0</v>
      </c>
      <c r="N1574" s="22">
        <v>-828</v>
      </c>
      <c r="O1574" s="22">
        <v>15732</v>
      </c>
      <c r="P1574" s="22">
        <v>15732</v>
      </c>
      <c r="Q1574" t="str" cm="1">
        <f t="array" ref="Q1574">_xlfn.TEXTJOIN("、",TRUE,IF('學員資料-三民高中'!$B$2:$B$454=$F1574,'學員資料-三民高中'!$G$2:$G$454,""))</f>
        <v/>
      </c>
      <c r="R1574" t="str" cm="1">
        <f t="array" ref="R1574">_xlfn.TEXTJOIN("、",TRUE,IF('學員資料-新北高中'!$B$2:$B$583=$F1574,'學員資料-新北高中'!$G$2:$G$583,""))</f>
        <v/>
      </c>
      <c r="S1574" t="str" cm="1">
        <f t="array" ref="S1574">_xlfn.TEXTJOIN("、",TRUE,IF('學員資料-三重商工'!$B$2:$B$472=$F1574,'學員資料-三重商工'!$G$2:$G$472,""))</f>
        <v>0916803354</v>
      </c>
      <c r="T1574">
        <f t="shared" si="24"/>
        <v>1</v>
      </c>
    </row>
    <row r="1575" spans="1:20" ht="28.5" hidden="1" customHeight="1">
      <c r="A1575" s="15">
        <v>1574</v>
      </c>
      <c r="B1575" s="16" t="s">
        <v>4907</v>
      </c>
      <c r="C1575" s="17">
        <v>45708</v>
      </c>
      <c r="D1575" s="15" t="s">
        <v>4908</v>
      </c>
      <c r="E1575" s="18" t="s">
        <v>954</v>
      </c>
      <c r="F1575" s="19" t="s">
        <v>1547</v>
      </c>
      <c r="G1575" s="18" t="s">
        <v>1548</v>
      </c>
      <c r="H1575" s="20" t="s">
        <v>821</v>
      </c>
      <c r="I1575" s="15">
        <v>2</v>
      </c>
      <c r="J1575" s="15" t="s">
        <v>26</v>
      </c>
      <c r="K1575" s="15"/>
      <c r="L1575" s="21" t="s">
        <v>16</v>
      </c>
      <c r="M1575" s="22">
        <v>0</v>
      </c>
      <c r="N1575" s="22">
        <v>-3600</v>
      </c>
      <c r="O1575" s="22">
        <v>20400</v>
      </c>
      <c r="P1575" s="22">
        <v>20400</v>
      </c>
      <c r="Q1575" t="str" cm="1">
        <f t="array" ref="Q1575">_xlfn.TEXTJOIN("、",TRUE,IF('學員資料-三民高中'!$B$2:$B$454=$F1575,'學員資料-三民高中'!$G$2:$G$454,""))</f>
        <v>0916710620-3</v>
      </c>
      <c r="R1575" t="str" cm="1">
        <f t="array" ref="R1575">_xlfn.TEXTJOIN("、",TRUE,IF('學員資料-新北高中'!$B$2:$B$583=$F1575,'學員資料-新北高中'!$G$2:$G$583,""))</f>
        <v/>
      </c>
      <c r="S1575" t="str" cm="1">
        <f t="array" ref="S1575">_xlfn.TEXTJOIN("、",TRUE,IF('學員資料-三重商工'!$B$2:$B$472=$F1575,'學員資料-三重商工'!$G$2:$G$472,""))</f>
        <v/>
      </c>
      <c r="T1575">
        <f t="shared" si="24"/>
        <v>1</v>
      </c>
    </row>
    <row r="1576" spans="1:20" ht="28.5" hidden="1" customHeight="1">
      <c r="A1576" s="15">
        <v>1575</v>
      </c>
      <c r="B1576" s="16" t="s">
        <v>4909</v>
      </c>
      <c r="C1576" s="17">
        <v>45708</v>
      </c>
      <c r="D1576" s="15" t="s">
        <v>4910</v>
      </c>
      <c r="E1576" s="18" t="s">
        <v>954</v>
      </c>
      <c r="F1576" s="19" t="s">
        <v>4911</v>
      </c>
      <c r="G1576" s="18" t="s">
        <v>4912</v>
      </c>
      <c r="H1576" s="20" t="s">
        <v>4913</v>
      </c>
      <c r="I1576" s="15">
        <v>2</v>
      </c>
      <c r="J1576" s="15" t="s">
        <v>27</v>
      </c>
      <c r="K1576" s="15"/>
      <c r="L1576" s="21" t="s">
        <v>16</v>
      </c>
      <c r="M1576" s="22">
        <v>0</v>
      </c>
      <c r="N1576" s="22">
        <v>-4500</v>
      </c>
      <c r="O1576" s="22">
        <v>25500</v>
      </c>
      <c r="P1576" s="22">
        <v>25500</v>
      </c>
      <c r="Q1576" t="str" cm="1">
        <f t="array" ref="Q1576">_xlfn.TEXTJOIN("、",TRUE,IF('學員資料-三民高中'!$B$2:$B$454=$F1576,'學員資料-三民高中'!$G$2:$G$454,""))</f>
        <v>0916710620-2</v>
      </c>
      <c r="R1576" t="str" cm="1">
        <f t="array" ref="R1576">_xlfn.TEXTJOIN("、",TRUE,IF('學員資料-新北高中'!$B$2:$B$583=$F1576,'學員資料-新北高中'!$G$2:$G$583,""))</f>
        <v/>
      </c>
      <c r="S1576" t="str" cm="1">
        <f t="array" ref="S1576">_xlfn.TEXTJOIN("、",TRUE,IF('學員資料-三重商工'!$B$2:$B$472=$F1576,'學員資料-三重商工'!$G$2:$G$472,""))</f>
        <v/>
      </c>
      <c r="T1576">
        <f t="shared" si="24"/>
        <v>1</v>
      </c>
    </row>
    <row r="1577" spans="1:20" ht="28.5" hidden="1" customHeight="1">
      <c r="A1577" s="15">
        <v>1576</v>
      </c>
      <c r="B1577" s="16" t="s">
        <v>4914</v>
      </c>
      <c r="C1577" s="17">
        <v>45707</v>
      </c>
      <c r="D1577" s="15" t="s">
        <v>4915</v>
      </c>
      <c r="E1577" s="18" t="s">
        <v>954</v>
      </c>
      <c r="F1577" s="19" t="s">
        <v>2343</v>
      </c>
      <c r="G1577" s="18" t="s">
        <v>2344</v>
      </c>
      <c r="H1577" s="20" t="s">
        <v>99</v>
      </c>
      <c r="I1577" s="15">
        <v>2</v>
      </c>
      <c r="J1577" s="15" t="s">
        <v>24</v>
      </c>
      <c r="K1577" s="15"/>
      <c r="L1577" s="21" t="s">
        <v>16</v>
      </c>
      <c r="M1577" s="22">
        <v>0</v>
      </c>
      <c r="N1577" s="22">
        <v>-1500</v>
      </c>
      <c r="O1577" s="22">
        <v>13500</v>
      </c>
      <c r="P1577" s="22">
        <v>13500</v>
      </c>
      <c r="Q1577" t="str" cm="1">
        <f t="array" ref="Q1577">_xlfn.TEXTJOIN("、",TRUE,IF('學員資料-三民高中'!$B$2:$B$454=$F1577,'學員資料-三民高中'!$G$2:$G$454,""))</f>
        <v>0916704002</v>
      </c>
      <c r="R1577" t="str" cm="1">
        <f t="array" ref="R1577">_xlfn.TEXTJOIN("、",TRUE,IF('學員資料-新北高中'!$B$2:$B$583=$F1577,'學員資料-新北高中'!$G$2:$G$583,""))</f>
        <v/>
      </c>
      <c r="S1577" t="str" cm="1">
        <f t="array" ref="S1577">_xlfn.TEXTJOIN("、",TRUE,IF('學員資料-三重商工'!$B$2:$B$472=$F1577,'學員資料-三重商工'!$G$2:$G$472,""))</f>
        <v/>
      </c>
      <c r="T1577">
        <f t="shared" si="24"/>
        <v>1</v>
      </c>
    </row>
    <row r="1578" spans="1:20" ht="43.5" hidden="1" customHeight="1">
      <c r="A1578" s="15">
        <v>1577</v>
      </c>
      <c r="B1578" s="16" t="s">
        <v>4916</v>
      </c>
      <c r="C1578" s="17">
        <v>45707</v>
      </c>
      <c r="D1578" s="15" t="s">
        <v>4917</v>
      </c>
      <c r="E1578" s="18" t="s">
        <v>954</v>
      </c>
      <c r="F1578" s="19" t="s">
        <v>4918</v>
      </c>
      <c r="G1578" s="18" t="s">
        <v>4919</v>
      </c>
      <c r="H1578" s="20" t="s">
        <v>405</v>
      </c>
      <c r="I1578" s="15">
        <v>3</v>
      </c>
      <c r="J1578" s="15" t="s">
        <v>25</v>
      </c>
      <c r="K1578" s="15"/>
      <c r="L1578" s="21" t="s">
        <v>16</v>
      </c>
      <c r="M1578" s="22">
        <v>0</v>
      </c>
      <c r="N1578" s="22">
        <v>-2970</v>
      </c>
      <c r="O1578" s="22">
        <v>26730</v>
      </c>
      <c r="P1578" s="22">
        <v>26730</v>
      </c>
      <c r="Q1578" t="str" cm="1">
        <f t="array" ref="Q1578">_xlfn.TEXTJOIN("、",TRUE,IF('學員資料-三民高中'!$B$2:$B$454=$F1578,'學員資料-三民高中'!$G$2:$G$454,""))</f>
        <v>0955883271</v>
      </c>
      <c r="R1578" t="str" cm="1">
        <f t="array" ref="R1578">_xlfn.TEXTJOIN("、",TRUE,IF('學員資料-新北高中'!$B$2:$B$583=$F1578,'學員資料-新北高中'!$G$2:$G$583,""))</f>
        <v/>
      </c>
      <c r="S1578" t="str" cm="1">
        <f t="array" ref="S1578">_xlfn.TEXTJOIN("、",TRUE,IF('學員資料-三重商工'!$B$2:$B$472=$F1578,'學員資料-三重商工'!$G$2:$G$472,""))</f>
        <v/>
      </c>
      <c r="T1578">
        <f t="shared" si="24"/>
        <v>1</v>
      </c>
    </row>
    <row r="1579" spans="1:20" ht="43.5" hidden="1" customHeight="1">
      <c r="A1579" s="15">
        <v>1578</v>
      </c>
      <c r="B1579" s="16" t="s">
        <v>4920</v>
      </c>
      <c r="C1579" s="17">
        <v>45707</v>
      </c>
      <c r="D1579" s="15" t="s">
        <v>4921</v>
      </c>
      <c r="E1579" s="18" t="s">
        <v>954</v>
      </c>
      <c r="F1579" s="19" t="s">
        <v>4922</v>
      </c>
      <c r="G1579" s="18" t="s">
        <v>4923</v>
      </c>
      <c r="H1579" s="20" t="s">
        <v>1536</v>
      </c>
      <c r="I1579" s="15">
        <v>3</v>
      </c>
      <c r="J1579" s="15" t="s">
        <v>26</v>
      </c>
      <c r="K1579" s="15"/>
      <c r="L1579" s="21" t="s">
        <v>16</v>
      </c>
      <c r="M1579" s="22">
        <v>0</v>
      </c>
      <c r="N1579" s="22">
        <v>-5400</v>
      </c>
      <c r="O1579" s="22">
        <v>30600</v>
      </c>
      <c r="P1579" s="22">
        <v>30600</v>
      </c>
      <c r="Q1579" t="str" cm="1">
        <f t="array" ref="Q1579">_xlfn.TEXTJOIN("、",TRUE,IF('學員資料-三民高中'!$B$2:$B$454=$F1579,'學員資料-三民高中'!$G$2:$G$454,""))</f>
        <v>0930557661</v>
      </c>
      <c r="R1579" t="str" cm="1">
        <f t="array" ref="R1579">_xlfn.TEXTJOIN("、",TRUE,IF('學員資料-新北高中'!$B$2:$B$583=$F1579,'學員資料-新北高中'!$G$2:$G$583,""))</f>
        <v/>
      </c>
      <c r="S1579" t="str" cm="1">
        <f t="array" ref="S1579">_xlfn.TEXTJOIN("、",TRUE,IF('學員資料-三重商工'!$B$2:$B$472=$F1579,'學員資料-三重商工'!$G$2:$G$472,""))</f>
        <v/>
      </c>
      <c r="T1579">
        <f t="shared" si="24"/>
        <v>1</v>
      </c>
    </row>
    <row r="1580" spans="1:20" ht="28.5" hidden="1" customHeight="1">
      <c r="A1580" s="15">
        <v>1579</v>
      </c>
      <c r="B1580" s="16" t="s">
        <v>4924</v>
      </c>
      <c r="C1580" s="17">
        <v>45707</v>
      </c>
      <c r="D1580" s="15" t="s">
        <v>4925</v>
      </c>
      <c r="E1580" s="18" t="s">
        <v>954</v>
      </c>
      <c r="F1580" s="19" t="s">
        <v>4926</v>
      </c>
      <c r="G1580" s="18" t="s">
        <v>4927</v>
      </c>
      <c r="H1580" s="20" t="s">
        <v>75</v>
      </c>
      <c r="I1580" s="15">
        <v>2</v>
      </c>
      <c r="J1580" s="15" t="s">
        <v>23</v>
      </c>
      <c r="K1580" s="15"/>
      <c r="L1580" s="21" t="s">
        <v>16</v>
      </c>
      <c r="M1580" s="22">
        <v>0</v>
      </c>
      <c r="N1580" s="22">
        <v>-690</v>
      </c>
      <c r="O1580" s="22">
        <v>13110</v>
      </c>
      <c r="P1580" s="22">
        <v>13110</v>
      </c>
      <c r="Q1580" t="str" cm="1">
        <f t="array" ref="Q1580">_xlfn.TEXTJOIN("、",TRUE,IF('學員資料-三民高中'!$B$2:$B$454=$F1580,'學員資料-三民高中'!$G$2:$G$454,""))</f>
        <v>0933855454</v>
      </c>
      <c r="R1580" t="str" cm="1">
        <f t="array" ref="R1580">_xlfn.TEXTJOIN("、",TRUE,IF('學員資料-新北高中'!$B$2:$B$583=$F1580,'學員資料-新北高中'!$G$2:$G$583,""))</f>
        <v/>
      </c>
      <c r="S1580" t="str" cm="1">
        <f t="array" ref="S1580">_xlfn.TEXTJOIN("、",TRUE,IF('學員資料-三重商工'!$B$2:$B$472=$F1580,'學員資料-三重商工'!$G$2:$G$472,""))</f>
        <v/>
      </c>
      <c r="T1580">
        <f t="shared" si="24"/>
        <v>1</v>
      </c>
    </row>
    <row r="1581" spans="1:20" ht="28.5" hidden="1" customHeight="1">
      <c r="A1581" s="15">
        <v>1580</v>
      </c>
      <c r="B1581" s="16" t="s">
        <v>4928</v>
      </c>
      <c r="C1581" s="17">
        <v>45706</v>
      </c>
      <c r="D1581" s="15" t="s">
        <v>4929</v>
      </c>
      <c r="E1581" s="18" t="s">
        <v>954</v>
      </c>
      <c r="F1581" s="19" t="s">
        <v>4930</v>
      </c>
      <c r="G1581" s="18" t="s">
        <v>4931</v>
      </c>
      <c r="H1581" s="20" t="s">
        <v>726</v>
      </c>
      <c r="I1581" s="15">
        <v>2</v>
      </c>
      <c r="J1581" s="15" t="s">
        <v>24</v>
      </c>
      <c r="K1581" s="15"/>
      <c r="L1581" s="21" t="s">
        <v>16</v>
      </c>
      <c r="M1581" s="22">
        <v>0</v>
      </c>
      <c r="N1581" s="22">
        <v>-1800</v>
      </c>
      <c r="O1581" s="22">
        <v>16200</v>
      </c>
      <c r="P1581" s="22">
        <v>16200</v>
      </c>
      <c r="Q1581" t="str" cm="1">
        <f t="array" ref="Q1581">_xlfn.TEXTJOIN("、",TRUE,IF('學員資料-三民高中'!$B$2:$B$454=$F1581,'學員資料-三民高中'!$G$2:$G$454,""))</f>
        <v/>
      </c>
      <c r="R1581" t="str" cm="1">
        <f t="array" ref="R1581">_xlfn.TEXTJOIN("、",TRUE,IF('學員資料-新北高中'!$B$2:$B$583=$F1581,'學員資料-新北高中'!$G$2:$G$583,""))</f>
        <v/>
      </c>
      <c r="S1581" t="str" cm="1">
        <f t="array" ref="S1581">_xlfn.TEXTJOIN("、",TRUE,IF('學員資料-三重商工'!$B$2:$B$472=$F1581,'學員資料-三重商工'!$G$2:$G$472,""))</f>
        <v>0922303925</v>
      </c>
      <c r="T1581">
        <f t="shared" si="24"/>
        <v>1</v>
      </c>
    </row>
    <row r="1582" spans="1:20" ht="28.5" hidden="1" customHeight="1">
      <c r="A1582" s="15">
        <v>1581</v>
      </c>
      <c r="B1582" s="16" t="s">
        <v>4932</v>
      </c>
      <c r="C1582" s="17">
        <v>45706</v>
      </c>
      <c r="D1582" s="15" t="s">
        <v>4933</v>
      </c>
      <c r="E1582" s="18" t="s">
        <v>954</v>
      </c>
      <c r="F1582" s="19" t="s">
        <v>4934</v>
      </c>
      <c r="G1582" s="18" t="s">
        <v>4935</v>
      </c>
      <c r="H1582" s="20" t="s">
        <v>75</v>
      </c>
      <c r="I1582" s="15">
        <v>2</v>
      </c>
      <c r="J1582" s="15" t="s">
        <v>23</v>
      </c>
      <c r="K1582" s="15"/>
      <c r="L1582" s="21" t="s">
        <v>16</v>
      </c>
      <c r="M1582" s="22">
        <v>0</v>
      </c>
      <c r="N1582" s="22">
        <v>-690</v>
      </c>
      <c r="O1582" s="22">
        <v>13110</v>
      </c>
      <c r="P1582" s="22">
        <v>13110</v>
      </c>
      <c r="Q1582" t="str" cm="1">
        <f t="array" ref="Q1582">_xlfn.TEXTJOIN("、",TRUE,IF('學員資料-三民高中'!$B$2:$B$454=$F1582,'學員資料-三民高中'!$G$2:$G$454,""))</f>
        <v>0920866680</v>
      </c>
      <c r="R1582" t="str" cm="1">
        <f t="array" ref="R1582">_xlfn.TEXTJOIN("、",TRUE,IF('學員資料-新北高中'!$B$2:$B$583=$F1582,'學員資料-新北高中'!$G$2:$G$583,""))</f>
        <v/>
      </c>
      <c r="S1582" t="str" cm="1">
        <f t="array" ref="S1582">_xlfn.TEXTJOIN("、",TRUE,IF('學員資料-三重商工'!$B$2:$B$472=$F1582,'學員資料-三重商工'!$G$2:$G$472,""))</f>
        <v/>
      </c>
      <c r="T1582">
        <f t="shared" si="24"/>
        <v>1</v>
      </c>
    </row>
    <row r="1583" spans="1:20" ht="28.5" hidden="1" customHeight="1">
      <c r="A1583" s="15">
        <v>1582</v>
      </c>
      <c r="B1583" s="16" t="s">
        <v>4936</v>
      </c>
      <c r="C1583" s="17">
        <v>45706</v>
      </c>
      <c r="D1583" s="15" t="s">
        <v>4937</v>
      </c>
      <c r="E1583" s="18" t="s">
        <v>954</v>
      </c>
      <c r="F1583" s="19" t="s">
        <v>462</v>
      </c>
      <c r="G1583" s="18" t="s">
        <v>463</v>
      </c>
      <c r="H1583" s="20" t="s">
        <v>99</v>
      </c>
      <c r="I1583" s="15">
        <v>2</v>
      </c>
      <c r="J1583" s="15" t="s">
        <v>24</v>
      </c>
      <c r="K1583" s="15"/>
      <c r="L1583" s="21" t="s">
        <v>16</v>
      </c>
      <c r="M1583" s="22">
        <v>0</v>
      </c>
      <c r="N1583" s="22">
        <v>-1500</v>
      </c>
      <c r="O1583" s="22">
        <v>13500</v>
      </c>
      <c r="P1583" s="22">
        <v>13500</v>
      </c>
      <c r="Q1583" t="str" cm="1">
        <f t="array" ref="Q1583">_xlfn.TEXTJOIN("、",TRUE,IF('學員資料-三民高中'!$B$2:$B$454=$F1583,'學員資料-三民高中'!$G$2:$G$454,""))</f>
        <v/>
      </c>
      <c r="R1583" t="str" cm="1">
        <f t="array" ref="R1583">_xlfn.TEXTJOIN("、",TRUE,IF('學員資料-新北高中'!$B$2:$B$583=$F1583,'學員資料-新北高中'!$G$2:$G$583,""))</f>
        <v>0938275670</v>
      </c>
      <c r="S1583" t="str" cm="1">
        <f t="array" ref="S1583">_xlfn.TEXTJOIN("、",TRUE,IF('學員資料-三重商工'!$B$2:$B$472=$F1583,'學員資料-三重商工'!$G$2:$G$472,""))</f>
        <v/>
      </c>
      <c r="T1583">
        <f t="shared" si="24"/>
        <v>1</v>
      </c>
    </row>
    <row r="1584" spans="1:20" ht="14.25" hidden="1" customHeight="1">
      <c r="A1584" s="15">
        <v>1583</v>
      </c>
      <c r="B1584" s="16" t="s">
        <v>4938</v>
      </c>
      <c r="C1584" s="17">
        <v>45706</v>
      </c>
      <c r="D1584" s="15" t="s">
        <v>4939</v>
      </c>
      <c r="E1584" s="18" t="s">
        <v>954</v>
      </c>
      <c r="F1584" s="19" t="s">
        <v>4379</v>
      </c>
      <c r="G1584" s="18" t="s">
        <v>4380</v>
      </c>
      <c r="H1584" s="20" t="s">
        <v>66</v>
      </c>
      <c r="I1584" s="15">
        <v>1</v>
      </c>
      <c r="J1584" s="15" t="s">
        <v>23</v>
      </c>
      <c r="K1584" s="15"/>
      <c r="L1584" s="21" t="s">
        <v>16</v>
      </c>
      <c r="M1584" s="22">
        <v>0</v>
      </c>
      <c r="N1584" s="22">
        <v>-345</v>
      </c>
      <c r="O1584" s="22">
        <v>6555</v>
      </c>
      <c r="P1584" s="22">
        <v>6555</v>
      </c>
      <c r="Q1584" t="str" cm="1">
        <f t="array" ref="Q1584">_xlfn.TEXTJOIN("、",TRUE,IF('學員資料-三民高中'!$B$2:$B$454=$F1584,'學員資料-三民高中'!$G$2:$G$454,""))</f>
        <v/>
      </c>
      <c r="R1584" t="str" cm="1">
        <f t="array" ref="R1584">_xlfn.TEXTJOIN("、",TRUE,IF('學員資料-新北高中'!$B$2:$B$583=$F1584,'學員資料-新北高中'!$G$2:$G$583,""))</f>
        <v>0933777240</v>
      </c>
      <c r="S1584" t="str" cm="1">
        <f t="array" ref="S1584">_xlfn.TEXTJOIN("、",TRUE,IF('學員資料-三重商工'!$B$2:$B$472=$F1584,'學員資料-三重商工'!$G$2:$G$472,""))</f>
        <v/>
      </c>
      <c r="T1584">
        <f t="shared" si="24"/>
        <v>1</v>
      </c>
    </row>
    <row r="1585" spans="1:20" ht="28.5" hidden="1" customHeight="1">
      <c r="A1585" s="15">
        <v>1584</v>
      </c>
      <c r="B1585" s="16" t="s">
        <v>4940</v>
      </c>
      <c r="C1585" s="17">
        <v>45705</v>
      </c>
      <c r="D1585" s="15" t="s">
        <v>4941</v>
      </c>
      <c r="E1585" s="18" t="s">
        <v>954</v>
      </c>
      <c r="F1585" s="19" t="s">
        <v>4942</v>
      </c>
      <c r="G1585" s="18" t="s">
        <v>4943</v>
      </c>
      <c r="H1585" s="20" t="s">
        <v>219</v>
      </c>
      <c r="I1585" s="15">
        <v>2</v>
      </c>
      <c r="J1585" s="15" t="s">
        <v>25</v>
      </c>
      <c r="K1585" s="15"/>
      <c r="L1585" s="21" t="s">
        <v>16</v>
      </c>
      <c r="M1585" s="22">
        <v>0</v>
      </c>
      <c r="N1585" s="22">
        <v>-1980</v>
      </c>
      <c r="O1585" s="22">
        <v>17820</v>
      </c>
      <c r="P1585" s="22">
        <v>17820</v>
      </c>
      <c r="Q1585" t="str" cm="1">
        <f t="array" ref="Q1585">_xlfn.TEXTJOIN("、",TRUE,IF('學員資料-三民高中'!$B$2:$B$454=$F1585,'學員資料-三民高中'!$G$2:$G$454,""))</f>
        <v/>
      </c>
      <c r="R1585" t="str" cm="1">
        <f t="array" ref="R1585">_xlfn.TEXTJOIN("、",TRUE,IF('學員資料-新北高中'!$B$2:$B$583=$F1585,'學員資料-新北高中'!$G$2:$G$583,""))</f>
        <v>0918081552</v>
      </c>
      <c r="S1585" t="str" cm="1">
        <f t="array" ref="S1585">_xlfn.TEXTJOIN("、",TRUE,IF('學員資料-三重商工'!$B$2:$B$472=$F1585,'學員資料-三重商工'!$G$2:$G$472,""))</f>
        <v/>
      </c>
      <c r="T1585">
        <f t="shared" si="24"/>
        <v>1</v>
      </c>
    </row>
    <row r="1586" spans="1:20" ht="28.5" hidden="1" customHeight="1">
      <c r="A1586" s="15">
        <v>1585</v>
      </c>
      <c r="B1586" s="16" t="s">
        <v>4944</v>
      </c>
      <c r="C1586" s="17">
        <v>45705</v>
      </c>
      <c r="D1586" s="15" t="s">
        <v>4945</v>
      </c>
      <c r="E1586" s="18" t="s">
        <v>954</v>
      </c>
      <c r="F1586" s="19" t="s">
        <v>4946</v>
      </c>
      <c r="G1586" s="18" t="s">
        <v>4947</v>
      </c>
      <c r="H1586" s="20" t="s">
        <v>99</v>
      </c>
      <c r="I1586" s="15">
        <v>2</v>
      </c>
      <c r="J1586" s="15" t="s">
        <v>24</v>
      </c>
      <c r="K1586" s="15"/>
      <c r="L1586" s="21" t="s">
        <v>16</v>
      </c>
      <c r="M1586" s="22">
        <v>0</v>
      </c>
      <c r="N1586" s="22">
        <v>-1500</v>
      </c>
      <c r="O1586" s="22">
        <v>13500</v>
      </c>
      <c r="P1586" s="22">
        <v>13500</v>
      </c>
      <c r="Q1586" t="str" cm="1">
        <f t="array" ref="Q1586">_xlfn.TEXTJOIN("、",TRUE,IF('學員資料-三民高中'!$B$2:$B$454=$F1586,'學員資料-三民高中'!$G$2:$G$454,""))</f>
        <v/>
      </c>
      <c r="R1586" t="str" cm="1">
        <f t="array" ref="R1586">_xlfn.TEXTJOIN("、",TRUE,IF('學員資料-新北高中'!$B$2:$B$583=$F1586,'學員資料-新北高中'!$G$2:$G$583,""))</f>
        <v>0922590258</v>
      </c>
      <c r="S1586" t="str" cm="1">
        <f t="array" ref="S1586">_xlfn.TEXTJOIN("、",TRUE,IF('學員資料-三重商工'!$B$2:$B$472=$F1586,'學員資料-三重商工'!$G$2:$G$472,""))</f>
        <v/>
      </c>
      <c r="T1586">
        <f t="shared" si="24"/>
        <v>1</v>
      </c>
    </row>
    <row r="1587" spans="1:20" ht="14.25" hidden="1" customHeight="1">
      <c r="A1587" s="15">
        <v>1586</v>
      </c>
      <c r="B1587" s="16" t="s">
        <v>4948</v>
      </c>
      <c r="C1587" s="17">
        <v>45705</v>
      </c>
      <c r="D1587" s="15" t="s">
        <v>4949</v>
      </c>
      <c r="E1587" s="18" t="s">
        <v>954</v>
      </c>
      <c r="F1587" s="19" t="s">
        <v>1320</v>
      </c>
      <c r="G1587" s="18" t="s">
        <v>1321</v>
      </c>
      <c r="H1587" s="20" t="s">
        <v>52</v>
      </c>
      <c r="I1587" s="15">
        <v>1</v>
      </c>
      <c r="J1587" s="15" t="s">
        <v>24</v>
      </c>
      <c r="K1587" s="15"/>
      <c r="L1587" s="21" t="s">
        <v>16</v>
      </c>
      <c r="M1587" s="22">
        <v>0</v>
      </c>
      <c r="N1587" s="22">
        <v>-750</v>
      </c>
      <c r="O1587" s="22">
        <v>6750</v>
      </c>
      <c r="P1587" s="22">
        <v>6750</v>
      </c>
      <c r="Q1587" t="str" cm="1">
        <f t="array" ref="Q1587">_xlfn.TEXTJOIN("、",TRUE,IF('學員資料-三民高中'!$B$2:$B$454=$F1587,'學員資料-三民高中'!$G$2:$G$454,""))</f>
        <v>0963394102</v>
      </c>
      <c r="R1587" t="str" cm="1">
        <f t="array" ref="R1587">_xlfn.TEXTJOIN("、",TRUE,IF('學員資料-新北高中'!$B$2:$B$583=$F1587,'學員資料-新北高中'!$G$2:$G$583,""))</f>
        <v/>
      </c>
      <c r="S1587" t="str" cm="1">
        <f t="array" ref="S1587">_xlfn.TEXTJOIN("、",TRUE,IF('學員資料-三重商工'!$B$2:$B$472=$F1587,'學員資料-三重商工'!$G$2:$G$472,""))</f>
        <v/>
      </c>
      <c r="T1587">
        <f t="shared" si="24"/>
        <v>1</v>
      </c>
    </row>
    <row r="1588" spans="1:20" ht="28.5" hidden="1" customHeight="1">
      <c r="A1588" s="15">
        <v>1587</v>
      </c>
      <c r="B1588" s="16" t="s">
        <v>4950</v>
      </c>
      <c r="C1588" s="17">
        <v>45705</v>
      </c>
      <c r="D1588" s="15" t="s">
        <v>4951</v>
      </c>
      <c r="E1588" s="18" t="s">
        <v>954</v>
      </c>
      <c r="F1588" s="19" t="s">
        <v>4952</v>
      </c>
      <c r="G1588" s="18" t="s">
        <v>4953</v>
      </c>
      <c r="H1588" s="20" t="s">
        <v>99</v>
      </c>
      <c r="I1588" s="15">
        <v>2</v>
      </c>
      <c r="J1588" s="15" t="s">
        <v>24</v>
      </c>
      <c r="K1588" s="15"/>
      <c r="L1588" s="21" t="s">
        <v>16</v>
      </c>
      <c r="M1588" s="22">
        <v>0</v>
      </c>
      <c r="N1588" s="22">
        <v>-1500</v>
      </c>
      <c r="O1588" s="22">
        <v>13500</v>
      </c>
      <c r="P1588" s="22">
        <v>13500</v>
      </c>
      <c r="Q1588" t="str" cm="1">
        <f t="array" ref="Q1588">_xlfn.TEXTJOIN("、",TRUE,IF('學員資料-三民高中'!$B$2:$B$454=$F1588,'學員資料-三民高中'!$G$2:$G$454,""))</f>
        <v/>
      </c>
      <c r="R1588" t="str" cm="1">
        <f t="array" ref="R1588">_xlfn.TEXTJOIN("、",TRUE,IF('學員資料-新北高中'!$B$2:$B$583=$F1588,'學員資料-新北高中'!$G$2:$G$583,""))</f>
        <v>0978071701</v>
      </c>
      <c r="S1588" t="str" cm="1">
        <f t="array" ref="S1588">_xlfn.TEXTJOIN("、",TRUE,IF('學員資料-三重商工'!$B$2:$B$472=$F1588,'學員資料-三重商工'!$G$2:$G$472,""))</f>
        <v/>
      </c>
      <c r="T1588">
        <f t="shared" si="24"/>
        <v>1</v>
      </c>
    </row>
    <row r="1589" spans="1:20" ht="57.75" hidden="1" customHeight="1">
      <c r="A1589" s="15">
        <v>1588</v>
      </c>
      <c r="B1589" s="16" t="s">
        <v>4954</v>
      </c>
      <c r="C1589" s="17">
        <v>45705</v>
      </c>
      <c r="D1589" s="15" t="s">
        <v>4955</v>
      </c>
      <c r="E1589" s="18" t="s">
        <v>954</v>
      </c>
      <c r="F1589" s="19" t="s">
        <v>4956</v>
      </c>
      <c r="G1589" s="18" t="s">
        <v>4957</v>
      </c>
      <c r="H1589" s="20" t="s">
        <v>989</v>
      </c>
      <c r="I1589" s="15">
        <v>4</v>
      </c>
      <c r="J1589" s="15" t="s">
        <v>24</v>
      </c>
      <c r="K1589" s="15"/>
      <c r="L1589" s="21" t="s">
        <v>16</v>
      </c>
      <c r="M1589" s="22">
        <v>0</v>
      </c>
      <c r="N1589" s="22">
        <v>-3000</v>
      </c>
      <c r="O1589" s="22">
        <v>27000</v>
      </c>
      <c r="P1589" s="22">
        <v>27000</v>
      </c>
      <c r="Q1589" t="str" cm="1">
        <f t="array" ref="Q1589">_xlfn.TEXTJOIN("、",TRUE,IF('學員資料-三民高中'!$B$2:$B$454=$F1589,'學員資料-三民高中'!$G$2:$G$454,""))</f>
        <v/>
      </c>
      <c r="R1589" t="str" cm="1">
        <f t="array" ref="R1589">_xlfn.TEXTJOIN("、",TRUE,IF('學員資料-新北高中'!$B$2:$B$583=$F1589,'學員資料-新北高中'!$G$2:$G$583,""))</f>
        <v/>
      </c>
      <c r="S1589" t="str" cm="1">
        <f t="array" ref="S1589">_xlfn.TEXTJOIN("、",TRUE,IF('學員資料-三重商工'!$B$2:$B$472=$F1589,'學員資料-三重商工'!$G$2:$G$472,""))</f>
        <v>0913635907</v>
      </c>
      <c r="T1589">
        <f t="shared" si="24"/>
        <v>1</v>
      </c>
    </row>
    <row r="1590" spans="1:20" ht="43.5" hidden="1" customHeight="1">
      <c r="A1590" s="15">
        <v>1589</v>
      </c>
      <c r="B1590" s="16" t="s">
        <v>4958</v>
      </c>
      <c r="C1590" s="17">
        <v>45705</v>
      </c>
      <c r="D1590" s="15" t="s">
        <v>4959</v>
      </c>
      <c r="E1590" s="18" t="s">
        <v>954</v>
      </c>
      <c r="F1590" s="19" t="s">
        <v>4960</v>
      </c>
      <c r="G1590" s="18" t="s">
        <v>4961</v>
      </c>
      <c r="H1590" s="20" t="s">
        <v>436</v>
      </c>
      <c r="I1590" s="15">
        <v>3</v>
      </c>
      <c r="J1590" s="15" t="s">
        <v>24</v>
      </c>
      <c r="K1590" s="15"/>
      <c r="L1590" s="21" t="s">
        <v>16</v>
      </c>
      <c r="M1590" s="22">
        <v>0</v>
      </c>
      <c r="N1590" s="22">
        <v>-2250</v>
      </c>
      <c r="O1590" s="22">
        <v>20250</v>
      </c>
      <c r="P1590" s="22">
        <v>20250</v>
      </c>
      <c r="Q1590" t="str" cm="1">
        <f t="array" ref="Q1590">_xlfn.TEXTJOIN("、",TRUE,IF('學員資料-三民高中'!$B$2:$B$454=$F1590,'學員資料-三民高中'!$G$2:$G$454,""))</f>
        <v/>
      </c>
      <c r="R1590" t="str" cm="1">
        <f t="array" ref="R1590">_xlfn.TEXTJOIN("、",TRUE,IF('學員資料-新北高中'!$B$2:$B$583=$F1590,'學員資料-新北高中'!$G$2:$G$583,""))</f>
        <v>0931143094</v>
      </c>
      <c r="S1590" t="str" cm="1">
        <f t="array" ref="S1590">_xlfn.TEXTJOIN("、",TRUE,IF('學員資料-三重商工'!$B$2:$B$472=$F1590,'學員資料-三重商工'!$G$2:$G$472,""))</f>
        <v/>
      </c>
      <c r="T1590">
        <f t="shared" si="24"/>
        <v>1</v>
      </c>
    </row>
    <row r="1591" spans="1:20" ht="28.5" hidden="1" customHeight="1">
      <c r="A1591" s="15">
        <v>1590</v>
      </c>
      <c r="B1591" s="16" t="s">
        <v>4962</v>
      </c>
      <c r="C1591" s="17">
        <v>45705</v>
      </c>
      <c r="D1591" s="15" t="s">
        <v>4963</v>
      </c>
      <c r="E1591" s="18" t="s">
        <v>954</v>
      </c>
      <c r="F1591" s="19" t="s">
        <v>4964</v>
      </c>
      <c r="G1591" s="18" t="s">
        <v>4965</v>
      </c>
      <c r="H1591" s="20" t="s">
        <v>219</v>
      </c>
      <c r="I1591" s="15">
        <v>2</v>
      </c>
      <c r="J1591" s="15" t="s">
        <v>25</v>
      </c>
      <c r="K1591" s="15"/>
      <c r="L1591" s="21" t="s">
        <v>16</v>
      </c>
      <c r="M1591" s="22">
        <v>0</v>
      </c>
      <c r="N1591" s="22">
        <v>-1980</v>
      </c>
      <c r="O1591" s="22">
        <v>17820</v>
      </c>
      <c r="P1591" s="22">
        <v>17820</v>
      </c>
      <c r="Q1591" t="str" cm="1">
        <f t="array" ref="Q1591">_xlfn.TEXTJOIN("、",TRUE,IF('學員資料-三民高中'!$B$2:$B$454=$F1591,'學員資料-三民高中'!$G$2:$G$454,""))</f>
        <v/>
      </c>
      <c r="R1591" t="str" cm="1">
        <f t="array" ref="R1591">_xlfn.TEXTJOIN("、",TRUE,IF('學員資料-新北高中'!$B$2:$B$583=$F1591,'學員資料-新北高中'!$G$2:$G$583,""))</f>
        <v/>
      </c>
      <c r="S1591" t="str" cm="1">
        <f t="array" ref="S1591">_xlfn.TEXTJOIN("、",TRUE,IF('學員資料-三重商工'!$B$2:$B$472=$F1591,'學員資料-三重商工'!$G$2:$G$472,""))</f>
        <v>0916167142.1</v>
      </c>
      <c r="T1591">
        <f t="shared" si="24"/>
        <v>1</v>
      </c>
    </row>
    <row r="1592" spans="1:20" ht="28.5" hidden="1" customHeight="1">
      <c r="A1592" s="15">
        <v>1591</v>
      </c>
      <c r="B1592" s="16" t="s">
        <v>4966</v>
      </c>
      <c r="C1592" s="17">
        <v>45705</v>
      </c>
      <c r="D1592" s="15" t="s">
        <v>4967</v>
      </c>
      <c r="E1592" s="18" t="s">
        <v>954</v>
      </c>
      <c r="F1592" s="19" t="s">
        <v>908</v>
      </c>
      <c r="G1592" s="18" t="s">
        <v>909</v>
      </c>
      <c r="H1592" s="20" t="s">
        <v>219</v>
      </c>
      <c r="I1592" s="15">
        <v>2</v>
      </c>
      <c r="J1592" s="15" t="s">
        <v>25</v>
      </c>
      <c r="K1592" s="15"/>
      <c r="L1592" s="21" t="s">
        <v>16</v>
      </c>
      <c r="M1592" s="22">
        <v>0</v>
      </c>
      <c r="N1592" s="22">
        <v>-1980</v>
      </c>
      <c r="O1592" s="22">
        <v>17820</v>
      </c>
      <c r="P1592" s="22">
        <v>17820</v>
      </c>
      <c r="Q1592" t="str" cm="1">
        <f t="array" ref="Q1592">_xlfn.TEXTJOIN("、",TRUE,IF('學員資料-三民高中'!$B$2:$B$454=$F1592,'學員資料-三民高中'!$G$2:$G$454,""))</f>
        <v>0952978038</v>
      </c>
      <c r="R1592" t="str" cm="1">
        <f t="array" ref="R1592">_xlfn.TEXTJOIN("、",TRUE,IF('學員資料-新北高中'!$B$2:$B$583=$F1592,'學員資料-新北高中'!$G$2:$G$583,""))</f>
        <v/>
      </c>
      <c r="S1592" t="str" cm="1">
        <f t="array" ref="S1592">_xlfn.TEXTJOIN("、",TRUE,IF('學員資料-三重商工'!$B$2:$B$472=$F1592,'學員資料-三重商工'!$G$2:$G$472,""))</f>
        <v/>
      </c>
      <c r="T1592">
        <f t="shared" si="24"/>
        <v>1</v>
      </c>
    </row>
    <row r="1593" spans="1:20" ht="28.5" hidden="1" customHeight="1">
      <c r="A1593" s="15">
        <v>1592</v>
      </c>
      <c r="B1593" s="16" t="s">
        <v>4968</v>
      </c>
      <c r="C1593" s="17">
        <v>45705</v>
      </c>
      <c r="D1593" s="15" t="s">
        <v>4969</v>
      </c>
      <c r="E1593" s="18" t="s">
        <v>954</v>
      </c>
      <c r="F1593" s="19" t="s">
        <v>1596</v>
      </c>
      <c r="G1593" s="18" t="s">
        <v>1597</v>
      </c>
      <c r="H1593" s="20" t="s">
        <v>821</v>
      </c>
      <c r="I1593" s="15">
        <v>2</v>
      </c>
      <c r="J1593" s="15" t="s">
        <v>26</v>
      </c>
      <c r="K1593" s="15"/>
      <c r="L1593" s="21" t="s">
        <v>16</v>
      </c>
      <c r="M1593" s="22">
        <v>0</v>
      </c>
      <c r="N1593" s="22">
        <v>-2400</v>
      </c>
      <c r="O1593" s="22">
        <v>21600</v>
      </c>
      <c r="P1593" s="22">
        <v>21600</v>
      </c>
      <c r="Q1593" t="str" cm="1">
        <f t="array" ref="Q1593">_xlfn.TEXTJOIN("、",TRUE,IF('學員資料-三民高中'!$B$2:$B$454=$F1593,'學員資料-三民高中'!$G$2:$G$454,""))</f>
        <v>0927959290</v>
      </c>
      <c r="R1593" t="str" cm="1">
        <f t="array" ref="R1593">_xlfn.TEXTJOIN("、",TRUE,IF('學員資料-新北高中'!$B$2:$B$583=$F1593,'學員資料-新北高中'!$G$2:$G$583,""))</f>
        <v/>
      </c>
      <c r="S1593" t="str" cm="1">
        <f t="array" ref="S1593">_xlfn.TEXTJOIN("、",TRUE,IF('學員資料-三重商工'!$B$2:$B$472=$F1593,'學員資料-三重商工'!$G$2:$G$472,""))</f>
        <v/>
      </c>
      <c r="T1593">
        <f t="shared" si="24"/>
        <v>1</v>
      </c>
    </row>
    <row r="1594" spans="1:20" ht="28.5" hidden="1" customHeight="1">
      <c r="A1594" s="15">
        <v>1593</v>
      </c>
      <c r="B1594" s="16" t="s">
        <v>4970</v>
      </c>
      <c r="C1594" s="17">
        <v>45705</v>
      </c>
      <c r="D1594" s="15" t="s">
        <v>4971</v>
      </c>
      <c r="E1594" s="18" t="s">
        <v>954</v>
      </c>
      <c r="F1594" s="19" t="s">
        <v>1603</v>
      </c>
      <c r="G1594" s="18" t="s">
        <v>1604</v>
      </c>
      <c r="H1594" s="20" t="s">
        <v>99</v>
      </c>
      <c r="I1594" s="15">
        <v>2</v>
      </c>
      <c r="J1594" s="15" t="s">
        <v>24</v>
      </c>
      <c r="K1594" s="15"/>
      <c r="L1594" s="21" t="s">
        <v>16</v>
      </c>
      <c r="M1594" s="22">
        <v>0</v>
      </c>
      <c r="N1594" s="22">
        <v>-1500</v>
      </c>
      <c r="O1594" s="22">
        <v>13500</v>
      </c>
      <c r="P1594" s="22">
        <v>13500</v>
      </c>
      <c r="Q1594" t="str" cm="1">
        <f t="array" ref="Q1594">_xlfn.TEXTJOIN("、",TRUE,IF('學員資料-三民高中'!$B$2:$B$454=$F1594,'學員資料-三民高中'!$G$2:$G$454,""))</f>
        <v>0915172967-1</v>
      </c>
      <c r="R1594" t="str" cm="1">
        <f t="array" ref="R1594">_xlfn.TEXTJOIN("、",TRUE,IF('學員資料-新北高中'!$B$2:$B$583=$F1594,'學員資料-新北高中'!$G$2:$G$583,""))</f>
        <v/>
      </c>
      <c r="S1594" t="str" cm="1">
        <f t="array" ref="S1594">_xlfn.TEXTJOIN("、",TRUE,IF('學員資料-三重商工'!$B$2:$B$472=$F1594,'學員資料-三重商工'!$G$2:$G$472,""))</f>
        <v/>
      </c>
      <c r="T1594">
        <f t="shared" si="24"/>
        <v>1</v>
      </c>
    </row>
    <row r="1595" spans="1:20" ht="14.25" hidden="1" customHeight="1">
      <c r="A1595" s="15">
        <v>1594</v>
      </c>
      <c r="B1595" s="16" t="s">
        <v>4972</v>
      </c>
      <c r="C1595" s="17">
        <v>45705</v>
      </c>
      <c r="D1595" s="15" t="s">
        <v>4973</v>
      </c>
      <c r="E1595" s="18" t="s">
        <v>954</v>
      </c>
      <c r="F1595" s="19" t="s">
        <v>1458</v>
      </c>
      <c r="G1595" s="18" t="s">
        <v>1459</v>
      </c>
      <c r="H1595" s="20" t="s">
        <v>66</v>
      </c>
      <c r="I1595" s="15">
        <v>1</v>
      </c>
      <c r="J1595" s="15" t="s">
        <v>23</v>
      </c>
      <c r="K1595" s="15"/>
      <c r="L1595" s="21" t="s">
        <v>16</v>
      </c>
      <c r="M1595" s="22">
        <v>0</v>
      </c>
      <c r="N1595" s="22">
        <v>-690</v>
      </c>
      <c r="O1595" s="22">
        <v>6210</v>
      </c>
      <c r="P1595" s="22">
        <v>6210</v>
      </c>
      <c r="Q1595" t="str" cm="1">
        <f t="array" ref="Q1595">_xlfn.TEXTJOIN("、",TRUE,IF('學員資料-三民高中'!$B$2:$B$454=$F1595,'學員資料-三民高中'!$G$2:$G$454,""))</f>
        <v>0917535173</v>
      </c>
      <c r="R1595" t="str" cm="1">
        <f t="array" ref="R1595">_xlfn.TEXTJOIN("、",TRUE,IF('學員資料-新北高中'!$B$2:$B$583=$F1595,'學員資料-新北高中'!$G$2:$G$583,""))</f>
        <v/>
      </c>
      <c r="S1595" t="str" cm="1">
        <f t="array" ref="S1595">_xlfn.TEXTJOIN("、",TRUE,IF('學員資料-三重商工'!$B$2:$B$472=$F1595,'學員資料-三重商工'!$G$2:$G$472,""))</f>
        <v/>
      </c>
      <c r="T1595">
        <f t="shared" si="24"/>
        <v>1</v>
      </c>
    </row>
    <row r="1596" spans="1:20" ht="43.5" hidden="1" customHeight="1">
      <c r="A1596" s="15">
        <v>1595</v>
      </c>
      <c r="B1596" s="16" t="s">
        <v>4974</v>
      </c>
      <c r="C1596" s="17">
        <v>45705</v>
      </c>
      <c r="D1596" s="15" t="s">
        <v>4975</v>
      </c>
      <c r="E1596" s="18" t="s">
        <v>954</v>
      </c>
      <c r="F1596" s="19" t="s">
        <v>4976</v>
      </c>
      <c r="G1596" s="18" t="s">
        <v>4977</v>
      </c>
      <c r="H1596" s="20" t="s">
        <v>436</v>
      </c>
      <c r="I1596" s="15">
        <v>3</v>
      </c>
      <c r="J1596" s="15" t="s">
        <v>24</v>
      </c>
      <c r="K1596" s="15"/>
      <c r="L1596" s="21" t="s">
        <v>16</v>
      </c>
      <c r="M1596" s="22">
        <v>0</v>
      </c>
      <c r="N1596" s="22">
        <v>-2250</v>
      </c>
      <c r="O1596" s="22">
        <v>20250</v>
      </c>
      <c r="P1596" s="22">
        <v>20250</v>
      </c>
      <c r="Q1596" t="str" cm="1">
        <f t="array" ref="Q1596">_xlfn.TEXTJOIN("、",TRUE,IF('學員資料-三民高中'!$B$2:$B$454=$F1596,'學員資料-三民高中'!$G$2:$G$454,""))</f>
        <v/>
      </c>
      <c r="R1596" t="str" cm="1">
        <f t="array" ref="R1596">_xlfn.TEXTJOIN("、",TRUE,IF('學員資料-新北高中'!$B$2:$B$583=$F1596,'學員資料-新北高中'!$G$2:$G$583,""))</f>
        <v/>
      </c>
      <c r="S1596" t="str" cm="1">
        <f t="array" ref="S1596">_xlfn.TEXTJOIN("、",TRUE,IF('學員資料-三重商工'!$B$2:$B$472=$F1596,'學員資料-三重商工'!$G$2:$G$472,""))</f>
        <v>0918903203</v>
      </c>
      <c r="T1596">
        <f t="shared" si="24"/>
        <v>1</v>
      </c>
    </row>
    <row r="1597" spans="1:20" ht="101.25" hidden="1" customHeight="1">
      <c r="A1597" s="15">
        <v>1596</v>
      </c>
      <c r="B1597" s="16" t="s">
        <v>4978</v>
      </c>
      <c r="C1597" s="17">
        <v>45705</v>
      </c>
      <c r="D1597" s="15" t="s">
        <v>4979</v>
      </c>
      <c r="E1597" s="18" t="s">
        <v>954</v>
      </c>
      <c r="F1597" s="19" t="s">
        <v>4980</v>
      </c>
      <c r="G1597" s="18" t="s">
        <v>4981</v>
      </c>
      <c r="H1597" s="20" t="s">
        <v>4982</v>
      </c>
      <c r="I1597" s="15">
        <v>7</v>
      </c>
      <c r="J1597" s="15" t="s">
        <v>24</v>
      </c>
      <c r="K1597" s="15"/>
      <c r="L1597" s="21" t="s">
        <v>16</v>
      </c>
      <c r="M1597" s="22">
        <v>0</v>
      </c>
      <c r="N1597" s="22">
        <v>-5250</v>
      </c>
      <c r="O1597" s="22">
        <v>47250</v>
      </c>
      <c r="P1597" s="22">
        <v>47250</v>
      </c>
      <c r="Q1597" t="str" cm="1">
        <f t="array" ref="Q1597">_xlfn.TEXTJOIN("、",TRUE,IF('學員資料-三民高中'!$B$2:$B$454=$F1597,'學員資料-三民高中'!$G$2:$G$454,""))</f>
        <v>0920016796</v>
      </c>
      <c r="R1597" t="str" cm="1">
        <f t="array" ref="R1597">_xlfn.TEXTJOIN("、",TRUE,IF('學員資料-新北高中'!$B$2:$B$583=$F1597,'學員資料-新北高中'!$G$2:$G$583,""))</f>
        <v/>
      </c>
      <c r="S1597" t="str" cm="1">
        <f t="array" ref="S1597">_xlfn.TEXTJOIN("、",TRUE,IF('學員資料-三重商工'!$B$2:$B$472=$F1597,'學員資料-三重商工'!$G$2:$G$472,""))</f>
        <v/>
      </c>
      <c r="T1597">
        <f t="shared" si="24"/>
        <v>1</v>
      </c>
    </row>
    <row r="1598" spans="1:20" ht="14.25" hidden="1" customHeight="1">
      <c r="A1598" s="15">
        <v>1597</v>
      </c>
      <c r="B1598" s="16" t="s">
        <v>4983</v>
      </c>
      <c r="C1598" s="17">
        <v>45705</v>
      </c>
      <c r="D1598" s="15" t="s">
        <v>4984</v>
      </c>
      <c r="E1598" s="18" t="s">
        <v>954</v>
      </c>
      <c r="F1598" s="19" t="s">
        <v>2195</v>
      </c>
      <c r="G1598" s="18" t="s">
        <v>2196</v>
      </c>
      <c r="H1598" s="20" t="s">
        <v>52</v>
      </c>
      <c r="I1598" s="15">
        <v>1</v>
      </c>
      <c r="J1598" s="15" t="s">
        <v>24</v>
      </c>
      <c r="K1598" s="15"/>
      <c r="L1598" s="21" t="s">
        <v>16</v>
      </c>
      <c r="M1598" s="22">
        <v>0</v>
      </c>
      <c r="N1598" s="22">
        <v>-750</v>
      </c>
      <c r="O1598" s="22">
        <v>6750</v>
      </c>
      <c r="P1598" s="22">
        <v>6750</v>
      </c>
      <c r="Q1598" t="str" cm="1">
        <f t="array" ref="Q1598">_xlfn.TEXTJOIN("、",TRUE,IF('學員資料-三民高中'!$B$2:$B$454=$F1598,'學員資料-三民高中'!$G$2:$G$454,""))</f>
        <v>0987870773</v>
      </c>
      <c r="R1598" t="str" cm="1">
        <f t="array" ref="R1598">_xlfn.TEXTJOIN("、",TRUE,IF('學員資料-新北高中'!$B$2:$B$583=$F1598,'學員資料-新北高中'!$G$2:$G$583,""))</f>
        <v/>
      </c>
      <c r="S1598" t="str" cm="1">
        <f t="array" ref="S1598">_xlfn.TEXTJOIN("、",TRUE,IF('學員資料-三重商工'!$B$2:$B$472=$F1598,'學員資料-三重商工'!$G$2:$G$472,""))</f>
        <v/>
      </c>
      <c r="T1598">
        <f t="shared" si="24"/>
        <v>1</v>
      </c>
    </row>
    <row r="1599" spans="1:20" ht="14.25" hidden="1" customHeight="1">
      <c r="A1599" s="15">
        <v>1598</v>
      </c>
      <c r="B1599" s="16" t="s">
        <v>4985</v>
      </c>
      <c r="C1599" s="17">
        <v>45705</v>
      </c>
      <c r="D1599" s="15" t="s">
        <v>4986</v>
      </c>
      <c r="E1599" s="18" t="s">
        <v>954</v>
      </c>
      <c r="F1599" s="19" t="s">
        <v>675</v>
      </c>
      <c r="G1599" s="18" t="s">
        <v>676</v>
      </c>
      <c r="H1599" s="20" t="s">
        <v>66</v>
      </c>
      <c r="I1599" s="15">
        <v>1</v>
      </c>
      <c r="J1599" s="15" t="s">
        <v>23</v>
      </c>
      <c r="K1599" s="15"/>
      <c r="L1599" s="21" t="s">
        <v>16</v>
      </c>
      <c r="M1599" s="22">
        <v>0</v>
      </c>
      <c r="N1599" s="22">
        <v>-345</v>
      </c>
      <c r="O1599" s="22">
        <v>6555</v>
      </c>
      <c r="P1599" s="22">
        <v>6555</v>
      </c>
      <c r="Q1599" t="str" cm="1">
        <f t="array" ref="Q1599">_xlfn.TEXTJOIN("、",TRUE,IF('學員資料-三民高中'!$B$2:$B$454=$F1599,'學員資料-三民高中'!$G$2:$G$454,""))</f>
        <v/>
      </c>
      <c r="R1599" t="str" cm="1">
        <f t="array" ref="R1599">_xlfn.TEXTJOIN("、",TRUE,IF('學員資料-新北高中'!$B$2:$B$583=$F1599,'學員資料-新北高中'!$G$2:$G$583,""))</f>
        <v>0953272736</v>
      </c>
      <c r="S1599" t="str" cm="1">
        <f t="array" ref="S1599">_xlfn.TEXTJOIN("、",TRUE,IF('學員資料-三重商工'!$B$2:$B$472=$F1599,'學員資料-三重商工'!$G$2:$G$472,""))</f>
        <v/>
      </c>
      <c r="T1599">
        <f t="shared" si="24"/>
        <v>1</v>
      </c>
    </row>
    <row r="1600" spans="1:20" ht="14.25" hidden="1" customHeight="1">
      <c r="A1600" s="15">
        <v>1599</v>
      </c>
      <c r="B1600" s="16" t="s">
        <v>4987</v>
      </c>
      <c r="C1600" s="17">
        <v>45702</v>
      </c>
      <c r="D1600" s="15" t="s">
        <v>4988</v>
      </c>
      <c r="E1600" s="18" t="s">
        <v>954</v>
      </c>
      <c r="F1600" s="19" t="s">
        <v>4956</v>
      </c>
      <c r="G1600" s="18" t="s">
        <v>4957</v>
      </c>
      <c r="H1600" s="20" t="s">
        <v>52</v>
      </c>
      <c r="I1600" s="15">
        <v>1</v>
      </c>
      <c r="J1600" s="15" t="s">
        <v>24</v>
      </c>
      <c r="K1600" s="15"/>
      <c r="L1600" s="21" t="s">
        <v>16</v>
      </c>
      <c r="M1600" s="22">
        <v>0</v>
      </c>
      <c r="N1600" s="22">
        <v>0</v>
      </c>
      <c r="O1600" s="22">
        <v>7500</v>
      </c>
      <c r="P1600" s="22">
        <v>7500</v>
      </c>
      <c r="Q1600" t="str" cm="1">
        <f t="array" ref="Q1600">_xlfn.TEXTJOIN("、",TRUE,IF('學員資料-三民高中'!$B$2:$B$454=$F1600,'學員資料-三民高中'!$G$2:$G$454,""))</f>
        <v/>
      </c>
      <c r="R1600" t="str" cm="1">
        <f t="array" ref="R1600">_xlfn.TEXTJOIN("、",TRUE,IF('學員資料-新北高中'!$B$2:$B$583=$F1600,'學員資料-新北高中'!$G$2:$G$583,""))</f>
        <v/>
      </c>
      <c r="S1600" t="str" cm="1">
        <f t="array" ref="S1600">_xlfn.TEXTJOIN("、",TRUE,IF('學員資料-三重商工'!$B$2:$B$472=$F1600,'學員資料-三重商工'!$G$2:$G$472,""))</f>
        <v>0913635907</v>
      </c>
      <c r="T1600">
        <f t="shared" si="24"/>
        <v>1</v>
      </c>
    </row>
    <row r="1601" spans="1:20" ht="28.5" hidden="1" customHeight="1">
      <c r="A1601" s="15">
        <v>1600</v>
      </c>
      <c r="B1601" s="16" t="s">
        <v>4989</v>
      </c>
      <c r="C1601" s="17">
        <v>45702</v>
      </c>
      <c r="D1601" s="15" t="s">
        <v>4990</v>
      </c>
      <c r="E1601" s="18" t="s">
        <v>954</v>
      </c>
      <c r="F1601" s="19" t="s">
        <v>1373</v>
      </c>
      <c r="G1601" s="18" t="s">
        <v>1374</v>
      </c>
      <c r="H1601" s="20" t="s">
        <v>1985</v>
      </c>
      <c r="I1601" s="15">
        <v>2</v>
      </c>
      <c r="J1601" s="15" t="s">
        <v>23</v>
      </c>
      <c r="K1601" s="15"/>
      <c r="L1601" s="21" t="s">
        <v>16</v>
      </c>
      <c r="M1601" s="22">
        <v>0</v>
      </c>
      <c r="N1601" s="22">
        <v>-900</v>
      </c>
      <c r="O1601" s="22">
        <v>17100</v>
      </c>
      <c r="P1601" s="22">
        <v>17100</v>
      </c>
      <c r="Q1601" t="str" cm="1">
        <f t="array" ref="Q1601">_xlfn.TEXTJOIN("、",TRUE,IF('學員資料-三民高中'!$B$2:$B$454=$F1601,'學員資料-三民高中'!$G$2:$G$454,""))</f>
        <v/>
      </c>
      <c r="R1601" t="str" cm="1">
        <f t="array" ref="R1601">_xlfn.TEXTJOIN("、",TRUE,IF('學員資料-新北高中'!$B$2:$B$583=$F1601,'學員資料-新北高中'!$G$2:$G$583,""))</f>
        <v>0973665687</v>
      </c>
      <c r="S1601" t="str" cm="1">
        <f t="array" ref="S1601">_xlfn.TEXTJOIN("、",TRUE,IF('學員資料-三重商工'!$B$2:$B$472=$F1601,'學員資料-三重商工'!$G$2:$G$472,""))</f>
        <v/>
      </c>
      <c r="T1601">
        <f t="shared" si="24"/>
        <v>1</v>
      </c>
    </row>
    <row r="1602" spans="1:20" ht="28.5" hidden="1" customHeight="1">
      <c r="A1602" s="15">
        <v>1601</v>
      </c>
      <c r="B1602" s="16" t="s">
        <v>4991</v>
      </c>
      <c r="C1602" s="17">
        <v>45702</v>
      </c>
      <c r="D1602" s="15" t="s">
        <v>4992</v>
      </c>
      <c r="E1602" s="18" t="s">
        <v>954</v>
      </c>
      <c r="F1602" s="19" t="s">
        <v>1339</v>
      </c>
      <c r="G1602" s="18" t="s">
        <v>1340</v>
      </c>
      <c r="H1602" s="20" t="s">
        <v>99</v>
      </c>
      <c r="I1602" s="15">
        <v>2</v>
      </c>
      <c r="J1602" s="15" t="s">
        <v>24</v>
      </c>
      <c r="K1602" s="15"/>
      <c r="L1602" s="21" t="s">
        <v>16</v>
      </c>
      <c r="M1602" s="22">
        <v>0</v>
      </c>
      <c r="N1602" s="22">
        <v>-1500</v>
      </c>
      <c r="O1602" s="22">
        <v>13500</v>
      </c>
      <c r="P1602" s="22">
        <v>13500</v>
      </c>
      <c r="Q1602" t="str" cm="1">
        <f t="array" ref="Q1602">_xlfn.TEXTJOIN("、",TRUE,IF('學員資料-三民高中'!$B$2:$B$454=$F1602,'學員資料-三民高中'!$G$2:$G$454,""))</f>
        <v/>
      </c>
      <c r="R1602" t="str" cm="1">
        <f t="array" ref="R1602">_xlfn.TEXTJOIN("、",TRUE,IF('學員資料-新北高中'!$B$2:$B$583=$F1602,'學員資料-新北高中'!$G$2:$G$583,""))</f>
        <v>0918352996</v>
      </c>
      <c r="S1602" t="str" cm="1">
        <f t="array" ref="S1602">_xlfn.TEXTJOIN("、",TRUE,IF('學員資料-三重商工'!$B$2:$B$472=$F1602,'學員資料-三重商工'!$G$2:$G$472,""))</f>
        <v/>
      </c>
      <c r="T1602">
        <f t="shared" si="24"/>
        <v>1</v>
      </c>
    </row>
    <row r="1603" spans="1:20" ht="28.5" hidden="1" customHeight="1">
      <c r="A1603" s="15">
        <v>1602</v>
      </c>
      <c r="B1603" s="16" t="s">
        <v>4993</v>
      </c>
      <c r="C1603" s="17">
        <v>45702</v>
      </c>
      <c r="D1603" s="15" t="s">
        <v>4994</v>
      </c>
      <c r="E1603" s="18" t="s">
        <v>954</v>
      </c>
      <c r="F1603" s="19" t="s">
        <v>4995</v>
      </c>
      <c r="G1603" s="18" t="s">
        <v>4996</v>
      </c>
      <c r="H1603" s="20" t="s">
        <v>3283</v>
      </c>
      <c r="I1603" s="15">
        <v>2</v>
      </c>
      <c r="J1603" s="15" t="s">
        <v>25</v>
      </c>
      <c r="K1603" s="15"/>
      <c r="L1603" s="21" t="s">
        <v>16</v>
      </c>
      <c r="M1603" s="22">
        <v>0</v>
      </c>
      <c r="N1603" s="22">
        <v>-2970</v>
      </c>
      <c r="O1603" s="22">
        <v>26730</v>
      </c>
      <c r="P1603" s="22">
        <v>26730</v>
      </c>
      <c r="Q1603" t="str" cm="1">
        <f t="array" ref="Q1603">_xlfn.TEXTJOIN("、",TRUE,IF('學員資料-三民高中'!$B$2:$B$454=$F1603,'學員資料-三民高中'!$G$2:$G$454,""))</f>
        <v/>
      </c>
      <c r="R1603" t="str" cm="1">
        <f t="array" ref="R1603">_xlfn.TEXTJOIN("、",TRUE,IF('學員資料-新北高中'!$B$2:$B$583=$F1603,'學員資料-新北高中'!$G$2:$G$583,""))</f>
        <v>0935546212</v>
      </c>
      <c r="S1603" t="str" cm="1">
        <f t="array" ref="S1603">_xlfn.TEXTJOIN("、",TRUE,IF('學員資料-三重商工'!$B$2:$B$472=$F1603,'學員資料-三重商工'!$G$2:$G$472,""))</f>
        <v/>
      </c>
      <c r="T1603">
        <f t="shared" ref="T1603:T1666" si="25">3-COUNTBLANK(Q1603:S1603)</f>
        <v>1</v>
      </c>
    </row>
    <row r="1604" spans="1:20" ht="43.5" hidden="1" customHeight="1">
      <c r="A1604" s="15">
        <v>1603</v>
      </c>
      <c r="B1604" s="16" t="s">
        <v>4997</v>
      </c>
      <c r="C1604" s="17">
        <v>45702</v>
      </c>
      <c r="D1604" s="15" t="s">
        <v>4998</v>
      </c>
      <c r="E1604" s="18" t="s">
        <v>954</v>
      </c>
      <c r="F1604" s="19" t="s">
        <v>3191</v>
      </c>
      <c r="G1604" s="18" t="s">
        <v>3192</v>
      </c>
      <c r="H1604" s="20" t="s">
        <v>436</v>
      </c>
      <c r="I1604" s="15">
        <v>3</v>
      </c>
      <c r="J1604" s="15" t="s">
        <v>24</v>
      </c>
      <c r="K1604" s="15"/>
      <c r="L1604" s="21" t="s">
        <v>16</v>
      </c>
      <c r="M1604" s="22">
        <v>0</v>
      </c>
      <c r="N1604" s="22">
        <v>-2250</v>
      </c>
      <c r="O1604" s="22">
        <v>20250</v>
      </c>
      <c r="P1604" s="22">
        <v>20250</v>
      </c>
      <c r="Q1604" t="str" cm="1">
        <f t="array" ref="Q1604">_xlfn.TEXTJOIN("、",TRUE,IF('學員資料-三民高中'!$B$2:$B$454=$F1604,'學員資料-三民高中'!$G$2:$G$454,""))</f>
        <v/>
      </c>
      <c r="R1604" t="str" cm="1">
        <f t="array" ref="R1604">_xlfn.TEXTJOIN("、",TRUE,IF('學員資料-新北高中'!$B$2:$B$583=$F1604,'學員資料-新北高中'!$G$2:$G$583,""))</f>
        <v/>
      </c>
      <c r="S1604" t="str" cm="1">
        <f t="array" ref="S1604">_xlfn.TEXTJOIN("、",TRUE,IF('學員資料-三重商工'!$B$2:$B$472=$F1604,'學員資料-三重商工'!$G$2:$G$472,""))</f>
        <v>0926368926</v>
      </c>
      <c r="T1604">
        <f t="shared" si="25"/>
        <v>1</v>
      </c>
    </row>
    <row r="1605" spans="1:20" ht="43.5" hidden="1" customHeight="1">
      <c r="A1605" s="15">
        <v>1604</v>
      </c>
      <c r="B1605" s="16" t="s">
        <v>4999</v>
      </c>
      <c r="C1605" s="17">
        <v>45702</v>
      </c>
      <c r="D1605" s="15" t="s">
        <v>5000</v>
      </c>
      <c r="E1605" s="18" t="s">
        <v>954</v>
      </c>
      <c r="F1605" s="19" t="s">
        <v>1516</v>
      </c>
      <c r="G1605" s="18" t="s">
        <v>1517</v>
      </c>
      <c r="H1605" s="20" t="s">
        <v>436</v>
      </c>
      <c r="I1605" s="15">
        <v>3</v>
      </c>
      <c r="J1605" s="15" t="s">
        <v>24</v>
      </c>
      <c r="K1605" s="15"/>
      <c r="L1605" s="21" t="s">
        <v>16</v>
      </c>
      <c r="M1605" s="22">
        <v>0</v>
      </c>
      <c r="N1605" s="22">
        <v>-2250</v>
      </c>
      <c r="O1605" s="22">
        <v>20250</v>
      </c>
      <c r="P1605" s="22">
        <v>20250</v>
      </c>
      <c r="Q1605" t="str" cm="1">
        <f t="array" ref="Q1605">_xlfn.TEXTJOIN("、",TRUE,IF('學員資料-三民高中'!$B$2:$B$454=$F1605,'學員資料-三民高中'!$G$2:$G$454,""))</f>
        <v/>
      </c>
      <c r="R1605" t="str" cm="1">
        <f t="array" ref="R1605">_xlfn.TEXTJOIN("、",TRUE,IF('學員資料-新北高中'!$B$2:$B$583=$F1605,'學員資料-新北高中'!$G$2:$G$583,""))</f>
        <v/>
      </c>
      <c r="S1605" t="str" cm="1">
        <f t="array" ref="S1605">_xlfn.TEXTJOIN("、",TRUE,IF('學員資料-三重商工'!$B$2:$B$472=$F1605,'學員資料-三重商工'!$G$2:$G$472,""))</f>
        <v>0933701726</v>
      </c>
      <c r="T1605">
        <f t="shared" si="25"/>
        <v>1</v>
      </c>
    </row>
    <row r="1606" spans="1:20" ht="28.5" hidden="1" customHeight="1">
      <c r="A1606" s="15">
        <v>1605</v>
      </c>
      <c r="B1606" s="16" t="s">
        <v>5001</v>
      </c>
      <c r="C1606" s="17">
        <v>45702</v>
      </c>
      <c r="D1606" s="15" t="s">
        <v>5002</v>
      </c>
      <c r="E1606" s="18" t="s">
        <v>954</v>
      </c>
      <c r="F1606" s="19" t="s">
        <v>5003</v>
      </c>
      <c r="G1606" s="18" t="s">
        <v>5004</v>
      </c>
      <c r="H1606" s="20" t="s">
        <v>99</v>
      </c>
      <c r="I1606" s="15">
        <v>2</v>
      </c>
      <c r="J1606" s="15" t="s">
        <v>24</v>
      </c>
      <c r="K1606" s="15"/>
      <c r="L1606" s="21" t="s">
        <v>16</v>
      </c>
      <c r="M1606" s="22">
        <v>0</v>
      </c>
      <c r="N1606" s="22">
        <v>-1500</v>
      </c>
      <c r="O1606" s="22">
        <v>13500</v>
      </c>
      <c r="P1606" s="22">
        <v>13500</v>
      </c>
      <c r="Q1606" t="str" cm="1">
        <f t="array" ref="Q1606">_xlfn.TEXTJOIN("、",TRUE,IF('學員資料-三民高中'!$B$2:$B$454=$F1606,'學員資料-三民高中'!$G$2:$G$454,""))</f>
        <v>0915092265</v>
      </c>
      <c r="R1606" t="str" cm="1">
        <f t="array" ref="R1606">_xlfn.TEXTJOIN("、",TRUE,IF('學員資料-新北高中'!$B$2:$B$583=$F1606,'學員資料-新北高中'!$G$2:$G$583,""))</f>
        <v/>
      </c>
      <c r="S1606" t="str" cm="1">
        <f t="array" ref="S1606">_xlfn.TEXTJOIN("、",TRUE,IF('學員資料-三重商工'!$B$2:$B$472=$F1606,'學員資料-三重商工'!$G$2:$G$472,""))</f>
        <v/>
      </c>
      <c r="T1606">
        <f t="shared" si="25"/>
        <v>1</v>
      </c>
    </row>
    <row r="1607" spans="1:20" ht="14.25" hidden="1" customHeight="1">
      <c r="A1607" s="15">
        <v>1606</v>
      </c>
      <c r="B1607" s="16" t="s">
        <v>5005</v>
      </c>
      <c r="C1607" s="17">
        <v>45702</v>
      </c>
      <c r="D1607" s="15" t="s">
        <v>5006</v>
      </c>
      <c r="E1607" s="18" t="s">
        <v>954</v>
      </c>
      <c r="F1607" s="19" t="s">
        <v>5007</v>
      </c>
      <c r="G1607" s="18" t="s">
        <v>5008</v>
      </c>
      <c r="H1607" s="20" t="s">
        <v>52</v>
      </c>
      <c r="I1607" s="15">
        <v>1</v>
      </c>
      <c r="J1607" s="15" t="s">
        <v>24</v>
      </c>
      <c r="K1607" s="15"/>
      <c r="L1607" s="21" t="s">
        <v>16</v>
      </c>
      <c r="M1607" s="22">
        <v>0</v>
      </c>
      <c r="N1607" s="22">
        <v>-750</v>
      </c>
      <c r="O1607" s="22">
        <v>6750</v>
      </c>
      <c r="P1607" s="22">
        <v>6750</v>
      </c>
      <c r="Q1607" t="str" cm="1">
        <f t="array" ref="Q1607">_xlfn.TEXTJOIN("、",TRUE,IF('學員資料-三民高中'!$B$2:$B$454=$F1607,'學員資料-三民高中'!$G$2:$G$454,""))</f>
        <v>0918530532</v>
      </c>
      <c r="R1607" t="str" cm="1">
        <f t="array" ref="R1607">_xlfn.TEXTJOIN("、",TRUE,IF('學員資料-新北高中'!$B$2:$B$583=$F1607,'學員資料-新北高中'!$G$2:$G$583,""))</f>
        <v/>
      </c>
      <c r="S1607" t="str" cm="1">
        <f t="array" ref="S1607">_xlfn.TEXTJOIN("、",TRUE,IF('學員資料-三重商工'!$B$2:$B$472=$F1607,'學員資料-三重商工'!$G$2:$G$472,""))</f>
        <v/>
      </c>
      <c r="T1607">
        <f t="shared" si="25"/>
        <v>1</v>
      </c>
    </row>
    <row r="1608" spans="1:20" ht="28.5" hidden="1" customHeight="1">
      <c r="A1608" s="15">
        <v>1607</v>
      </c>
      <c r="B1608" s="16" t="s">
        <v>5009</v>
      </c>
      <c r="C1608" s="17">
        <v>45702</v>
      </c>
      <c r="D1608" s="15" t="s">
        <v>5010</v>
      </c>
      <c r="E1608" s="18" t="s">
        <v>954</v>
      </c>
      <c r="F1608" s="19" t="s">
        <v>639</v>
      </c>
      <c r="G1608" s="18" t="s">
        <v>640</v>
      </c>
      <c r="H1608" s="20" t="s">
        <v>99</v>
      </c>
      <c r="I1608" s="15">
        <v>2</v>
      </c>
      <c r="J1608" s="15" t="s">
        <v>24</v>
      </c>
      <c r="K1608" s="15"/>
      <c r="L1608" s="21" t="s">
        <v>16</v>
      </c>
      <c r="M1608" s="22">
        <v>0</v>
      </c>
      <c r="N1608" s="22">
        <v>-1500</v>
      </c>
      <c r="O1608" s="22">
        <v>13500</v>
      </c>
      <c r="P1608" s="22">
        <v>13500</v>
      </c>
      <c r="Q1608" t="str" cm="1">
        <f t="array" ref="Q1608">_xlfn.TEXTJOIN("、",TRUE,IF('學員資料-三民高中'!$B$2:$B$454=$F1608,'學員資料-三民高中'!$G$2:$G$454,""))</f>
        <v>0937504107</v>
      </c>
      <c r="R1608" t="str" cm="1">
        <f t="array" ref="R1608">_xlfn.TEXTJOIN("、",TRUE,IF('學員資料-新北高中'!$B$2:$B$583=$F1608,'學員資料-新北高中'!$G$2:$G$583,""))</f>
        <v/>
      </c>
      <c r="S1608" t="str" cm="1">
        <f t="array" ref="S1608">_xlfn.TEXTJOIN("、",TRUE,IF('學員資料-三重商工'!$B$2:$B$472=$F1608,'學員資料-三重商工'!$G$2:$G$472,""))</f>
        <v/>
      </c>
      <c r="T1608">
        <f t="shared" si="25"/>
        <v>1</v>
      </c>
    </row>
    <row r="1609" spans="1:20" ht="28.5" hidden="1" customHeight="1">
      <c r="A1609" s="15">
        <v>1608</v>
      </c>
      <c r="B1609" s="16" t="s">
        <v>5011</v>
      </c>
      <c r="C1609" s="17">
        <v>45701</v>
      </c>
      <c r="D1609" s="15" t="s">
        <v>5012</v>
      </c>
      <c r="E1609" s="18" t="s">
        <v>954</v>
      </c>
      <c r="F1609" s="19" t="s">
        <v>1442</v>
      </c>
      <c r="G1609" s="18" t="s">
        <v>1443</v>
      </c>
      <c r="H1609" s="20" t="s">
        <v>99</v>
      </c>
      <c r="I1609" s="15">
        <v>2</v>
      </c>
      <c r="J1609" s="15" t="s">
        <v>24</v>
      </c>
      <c r="K1609" s="15"/>
      <c r="L1609" s="21" t="s">
        <v>16</v>
      </c>
      <c r="M1609" s="22">
        <v>0</v>
      </c>
      <c r="N1609" s="22">
        <v>-1500</v>
      </c>
      <c r="O1609" s="22">
        <v>13500</v>
      </c>
      <c r="P1609" s="22">
        <v>13500</v>
      </c>
      <c r="Q1609" t="str" cm="1">
        <f t="array" ref="Q1609">_xlfn.TEXTJOIN("、",TRUE,IF('學員資料-三民高中'!$B$2:$B$454=$F1609,'學員資料-三民高中'!$G$2:$G$454,""))</f>
        <v>0956454870-1</v>
      </c>
      <c r="R1609" t="str" cm="1">
        <f t="array" ref="R1609">_xlfn.TEXTJOIN("、",TRUE,IF('學員資料-新北高中'!$B$2:$B$583=$F1609,'學員資料-新北高中'!$G$2:$G$583,""))</f>
        <v/>
      </c>
      <c r="S1609" t="str" cm="1">
        <f t="array" ref="S1609">_xlfn.TEXTJOIN("、",TRUE,IF('學員資料-三重商工'!$B$2:$B$472=$F1609,'學員資料-三重商工'!$G$2:$G$472,""))</f>
        <v/>
      </c>
      <c r="T1609">
        <f t="shared" si="25"/>
        <v>1</v>
      </c>
    </row>
    <row r="1610" spans="1:20" ht="57.75" hidden="1" customHeight="1">
      <c r="A1610" s="15">
        <v>1609</v>
      </c>
      <c r="B1610" s="16" t="s">
        <v>5013</v>
      </c>
      <c r="C1610" s="17">
        <v>45701</v>
      </c>
      <c r="D1610" s="15" t="s">
        <v>5014</v>
      </c>
      <c r="E1610" s="18" t="s">
        <v>954</v>
      </c>
      <c r="F1610" s="19" t="s">
        <v>1694</v>
      </c>
      <c r="G1610" s="18" t="s">
        <v>1695</v>
      </c>
      <c r="H1610" s="20" t="s">
        <v>989</v>
      </c>
      <c r="I1610" s="15">
        <v>4</v>
      </c>
      <c r="J1610" s="15" t="s">
        <v>24</v>
      </c>
      <c r="K1610" s="15"/>
      <c r="L1610" s="21" t="s">
        <v>16</v>
      </c>
      <c r="M1610" s="22">
        <v>0</v>
      </c>
      <c r="N1610" s="22">
        <v>-3000</v>
      </c>
      <c r="O1610" s="22">
        <v>27000</v>
      </c>
      <c r="P1610" s="22">
        <v>27000</v>
      </c>
      <c r="Q1610" t="str" cm="1">
        <f t="array" ref="Q1610">_xlfn.TEXTJOIN("、",TRUE,IF('學員資料-三民高中'!$B$2:$B$454=$F1610,'學員資料-三民高中'!$G$2:$G$454,""))</f>
        <v/>
      </c>
      <c r="R1610" t="str" cm="1">
        <f t="array" ref="R1610">_xlfn.TEXTJOIN("、",TRUE,IF('學員資料-新北高中'!$B$2:$B$583=$F1610,'學員資料-新北高中'!$G$2:$G$583,""))</f>
        <v/>
      </c>
      <c r="S1610" t="str" cm="1">
        <f t="array" ref="S1610">_xlfn.TEXTJOIN("、",TRUE,IF('學員資料-三重商工'!$B$2:$B$472=$F1610,'學員資料-三重商工'!$G$2:$G$472,""))</f>
        <v>0928787516</v>
      </c>
      <c r="T1610">
        <f t="shared" si="25"/>
        <v>1</v>
      </c>
    </row>
    <row r="1611" spans="1:20" ht="28.5" hidden="1" customHeight="1">
      <c r="A1611" s="15">
        <v>1610</v>
      </c>
      <c r="B1611" s="16" t="s">
        <v>5015</v>
      </c>
      <c r="C1611" s="17">
        <v>45701</v>
      </c>
      <c r="D1611" s="15" t="s">
        <v>5016</v>
      </c>
      <c r="E1611" s="18" t="s">
        <v>954</v>
      </c>
      <c r="F1611" s="19" t="s">
        <v>5017</v>
      </c>
      <c r="G1611" s="18" t="s">
        <v>5018</v>
      </c>
      <c r="H1611" s="20" t="s">
        <v>99</v>
      </c>
      <c r="I1611" s="15">
        <v>2</v>
      </c>
      <c r="J1611" s="15" t="s">
        <v>24</v>
      </c>
      <c r="K1611" s="15"/>
      <c r="L1611" s="21" t="s">
        <v>16</v>
      </c>
      <c r="M1611" s="22">
        <v>0</v>
      </c>
      <c r="N1611" s="22">
        <v>-1500</v>
      </c>
      <c r="O1611" s="22">
        <v>13500</v>
      </c>
      <c r="P1611" s="22">
        <v>13500</v>
      </c>
      <c r="Q1611" t="str" cm="1">
        <f t="array" ref="Q1611">_xlfn.TEXTJOIN("、",TRUE,IF('學員資料-三民高中'!$B$2:$B$454=$F1611,'學員資料-三民高中'!$G$2:$G$454,""))</f>
        <v>0963151177</v>
      </c>
      <c r="R1611" t="str" cm="1">
        <f t="array" ref="R1611">_xlfn.TEXTJOIN("、",TRUE,IF('學員資料-新北高中'!$B$2:$B$583=$F1611,'學員資料-新北高中'!$G$2:$G$583,""))</f>
        <v/>
      </c>
      <c r="S1611" t="str" cm="1">
        <f t="array" ref="S1611">_xlfn.TEXTJOIN("、",TRUE,IF('學員資料-三重商工'!$B$2:$B$472=$F1611,'學員資料-三重商工'!$G$2:$G$472,""))</f>
        <v/>
      </c>
      <c r="T1611">
        <f t="shared" si="25"/>
        <v>1</v>
      </c>
    </row>
    <row r="1612" spans="1:20" ht="28.5" hidden="1" customHeight="1">
      <c r="A1612" s="15">
        <v>1611</v>
      </c>
      <c r="B1612" s="16" t="s">
        <v>5019</v>
      </c>
      <c r="C1612" s="17">
        <v>45701</v>
      </c>
      <c r="D1612" s="15" t="s">
        <v>5020</v>
      </c>
      <c r="E1612" s="18" t="s">
        <v>954</v>
      </c>
      <c r="F1612" s="19" t="s">
        <v>5021</v>
      </c>
      <c r="G1612" s="18" t="s">
        <v>5022</v>
      </c>
      <c r="H1612" s="20" t="s">
        <v>99</v>
      </c>
      <c r="I1612" s="15">
        <v>2</v>
      </c>
      <c r="J1612" s="15" t="s">
        <v>24</v>
      </c>
      <c r="K1612" s="15"/>
      <c r="L1612" s="21" t="s">
        <v>16</v>
      </c>
      <c r="M1612" s="22">
        <v>0</v>
      </c>
      <c r="N1612" s="22">
        <v>-1500</v>
      </c>
      <c r="O1612" s="22">
        <v>13500</v>
      </c>
      <c r="P1612" s="22">
        <v>13500</v>
      </c>
      <c r="Q1612" t="str" cm="1">
        <f t="array" ref="Q1612">_xlfn.TEXTJOIN("、",TRUE,IF('學員資料-三民高中'!$B$2:$B$454=$F1612,'學員資料-三民高中'!$G$2:$G$454,""))</f>
        <v/>
      </c>
      <c r="R1612" t="str" cm="1">
        <f t="array" ref="R1612">_xlfn.TEXTJOIN("、",TRUE,IF('學員資料-新北高中'!$B$2:$B$583=$F1612,'學員資料-新北高中'!$G$2:$G$583,""))</f>
        <v>0911221010</v>
      </c>
      <c r="S1612" t="str" cm="1">
        <f t="array" ref="S1612">_xlfn.TEXTJOIN("、",TRUE,IF('學員資料-三重商工'!$B$2:$B$472=$F1612,'學員資料-三重商工'!$G$2:$G$472,""))</f>
        <v/>
      </c>
      <c r="T1612">
        <f t="shared" si="25"/>
        <v>1</v>
      </c>
    </row>
    <row r="1613" spans="1:20" ht="28.5" hidden="1" customHeight="1">
      <c r="A1613" s="15">
        <v>1612</v>
      </c>
      <c r="B1613" s="16" t="s">
        <v>5023</v>
      </c>
      <c r="C1613" s="17">
        <v>45701</v>
      </c>
      <c r="D1613" s="15" t="s">
        <v>5024</v>
      </c>
      <c r="E1613" s="18" t="s">
        <v>954</v>
      </c>
      <c r="F1613" s="19" t="s">
        <v>5025</v>
      </c>
      <c r="G1613" s="18" t="s">
        <v>5026</v>
      </c>
      <c r="H1613" s="20" t="s">
        <v>821</v>
      </c>
      <c r="I1613" s="15">
        <v>2</v>
      </c>
      <c r="J1613" s="15" t="s">
        <v>26</v>
      </c>
      <c r="K1613" s="15"/>
      <c r="L1613" s="21" t="s">
        <v>16</v>
      </c>
      <c r="M1613" s="22">
        <v>0</v>
      </c>
      <c r="N1613" s="22">
        <v>-3600</v>
      </c>
      <c r="O1613" s="22">
        <v>20400</v>
      </c>
      <c r="P1613" s="22">
        <v>20400</v>
      </c>
      <c r="Q1613" t="str" cm="1">
        <f t="array" ref="Q1613">_xlfn.TEXTJOIN("、",TRUE,IF('學員資料-三民高中'!$B$2:$B$454=$F1613,'學員資料-三民高中'!$G$2:$G$454,""))</f>
        <v/>
      </c>
      <c r="R1613" t="str" cm="1">
        <f t="array" ref="R1613">_xlfn.TEXTJOIN("、",TRUE,IF('學員資料-新北高中'!$B$2:$B$583=$F1613,'學員資料-新北高中'!$G$2:$G$583,""))</f>
        <v>0918078738-1</v>
      </c>
      <c r="S1613" t="str" cm="1">
        <f t="array" ref="S1613">_xlfn.TEXTJOIN("、",TRUE,IF('學員資料-三重商工'!$B$2:$B$472=$F1613,'學員資料-三重商工'!$G$2:$G$472,""))</f>
        <v/>
      </c>
      <c r="T1613">
        <f t="shared" si="25"/>
        <v>1</v>
      </c>
    </row>
    <row r="1614" spans="1:20" ht="14.25" hidden="1" customHeight="1">
      <c r="A1614" s="15">
        <v>1613</v>
      </c>
      <c r="B1614" s="16" t="s">
        <v>5027</v>
      </c>
      <c r="C1614" s="17">
        <v>45701</v>
      </c>
      <c r="D1614" s="15" t="s">
        <v>5028</v>
      </c>
      <c r="E1614" s="18" t="s">
        <v>3862</v>
      </c>
      <c r="F1614" s="19" t="s">
        <v>5007</v>
      </c>
      <c r="G1614" s="18" t="s">
        <v>5008</v>
      </c>
      <c r="H1614" s="20" t="s">
        <v>52</v>
      </c>
      <c r="I1614" s="15">
        <v>1</v>
      </c>
      <c r="J1614" s="15" t="s">
        <v>24</v>
      </c>
      <c r="K1614" s="15"/>
      <c r="L1614" s="21" t="s">
        <v>16</v>
      </c>
      <c r="M1614" s="22">
        <v>0</v>
      </c>
      <c r="N1614" s="22">
        <v>-750</v>
      </c>
      <c r="O1614" s="22">
        <v>6750</v>
      </c>
      <c r="P1614" s="22">
        <v>6750</v>
      </c>
      <c r="Q1614" t="str" cm="1">
        <f t="array" ref="Q1614">_xlfn.TEXTJOIN("、",TRUE,IF('學員資料-三民高中'!$B$2:$B$454=$F1614,'學員資料-三民高中'!$G$2:$G$454,""))</f>
        <v>0918530532</v>
      </c>
      <c r="R1614" t="str" cm="1">
        <f t="array" ref="R1614">_xlfn.TEXTJOIN("、",TRUE,IF('學員資料-新北高中'!$B$2:$B$583=$F1614,'學員資料-新北高中'!$G$2:$G$583,""))</f>
        <v/>
      </c>
      <c r="S1614" t="str" cm="1">
        <f t="array" ref="S1614">_xlfn.TEXTJOIN("、",TRUE,IF('學員資料-三重商工'!$B$2:$B$472=$F1614,'學員資料-三重商工'!$G$2:$G$472,""))</f>
        <v/>
      </c>
      <c r="T1614">
        <f t="shared" si="25"/>
        <v>1</v>
      </c>
    </row>
    <row r="1615" spans="1:20" ht="72" customHeight="1">
      <c r="A1615" s="15">
        <v>1614</v>
      </c>
      <c r="B1615" s="16" t="s">
        <v>5029</v>
      </c>
      <c r="C1615" s="17">
        <v>45701</v>
      </c>
      <c r="D1615" s="15" t="s">
        <v>5030</v>
      </c>
      <c r="E1615" s="18" t="s">
        <v>954</v>
      </c>
      <c r="F1615" s="19" t="s">
        <v>2002</v>
      </c>
      <c r="G1615" s="18" t="s">
        <v>2003</v>
      </c>
      <c r="H1615" s="20" t="s">
        <v>419</v>
      </c>
      <c r="I1615" s="15">
        <v>5</v>
      </c>
      <c r="J1615" s="15" t="s">
        <v>23</v>
      </c>
      <c r="K1615" s="15"/>
      <c r="L1615" s="21" t="s">
        <v>16</v>
      </c>
      <c r="M1615" s="22">
        <v>0</v>
      </c>
      <c r="N1615" s="22">
        <v>-1725</v>
      </c>
      <c r="O1615" s="22">
        <v>32775</v>
      </c>
      <c r="P1615" s="22">
        <v>32775</v>
      </c>
      <c r="Q1615" t="str" cm="1">
        <f t="array" ref="Q1615">_xlfn.TEXTJOIN("、",TRUE,IF('學員資料-三民高中'!$B$2:$B$454=$F1615,'學員資料-三民高中'!$G$2:$G$454,""))</f>
        <v/>
      </c>
      <c r="R1615" t="str" cm="1">
        <f t="array" ref="R1615">_xlfn.TEXTJOIN("、",TRUE,IF('學員資料-新北高中'!$B$2:$B$583=$F1615,'學員資料-新北高中'!$G$2:$G$583,""))</f>
        <v/>
      </c>
      <c r="S1615" t="str" cm="1">
        <f t="array" ref="S1615">_xlfn.TEXTJOIN("、",TRUE,IF('學員資料-三重商工'!$B$2:$B$472=$F1615,'學員資料-三重商工'!$G$2:$G$472,""))</f>
        <v/>
      </c>
      <c r="T1615">
        <f t="shared" si="25"/>
        <v>0</v>
      </c>
    </row>
    <row r="1616" spans="1:20" ht="14.25" hidden="1" customHeight="1">
      <c r="A1616" s="15">
        <v>1615</v>
      </c>
      <c r="B1616" s="16" t="s">
        <v>5031</v>
      </c>
      <c r="C1616" s="17">
        <v>45701</v>
      </c>
      <c r="D1616" s="15" t="s">
        <v>5032</v>
      </c>
      <c r="E1616" s="18" t="s">
        <v>954</v>
      </c>
      <c r="F1616" s="19" t="s">
        <v>2402</v>
      </c>
      <c r="G1616" s="18" t="s">
        <v>2403</v>
      </c>
      <c r="H1616" s="20" t="s">
        <v>52</v>
      </c>
      <c r="I1616" s="15">
        <v>1</v>
      </c>
      <c r="J1616" s="15" t="s">
        <v>24</v>
      </c>
      <c r="K1616" s="15"/>
      <c r="L1616" s="21" t="s">
        <v>16</v>
      </c>
      <c r="M1616" s="22">
        <v>0</v>
      </c>
      <c r="N1616" s="22">
        <v>-750</v>
      </c>
      <c r="O1616" s="22">
        <v>6750</v>
      </c>
      <c r="P1616" s="22">
        <v>6750</v>
      </c>
      <c r="Q1616" t="str" cm="1">
        <f t="array" ref="Q1616">_xlfn.TEXTJOIN("、",TRUE,IF('學員資料-三民高中'!$B$2:$B$454=$F1616,'學員資料-三民高中'!$G$2:$G$454,""))</f>
        <v/>
      </c>
      <c r="R1616" t="str" cm="1">
        <f t="array" ref="R1616">_xlfn.TEXTJOIN("、",TRUE,IF('學員資料-新北高中'!$B$2:$B$583=$F1616,'學員資料-新北高中'!$G$2:$G$583,""))</f>
        <v>0922639775</v>
      </c>
      <c r="S1616" t="str" cm="1">
        <f t="array" ref="S1616">_xlfn.TEXTJOIN("、",TRUE,IF('學員資料-三重商工'!$B$2:$B$472=$F1616,'學員資料-三重商工'!$G$2:$G$472,""))</f>
        <v/>
      </c>
      <c r="T1616">
        <f t="shared" si="25"/>
        <v>1</v>
      </c>
    </row>
    <row r="1617" spans="1:20" ht="14.25" hidden="1" customHeight="1">
      <c r="A1617" s="15">
        <v>1616</v>
      </c>
      <c r="B1617" s="16" t="s">
        <v>5033</v>
      </c>
      <c r="C1617" s="17">
        <v>45701</v>
      </c>
      <c r="D1617" s="15" t="s">
        <v>5034</v>
      </c>
      <c r="E1617" s="18" t="s">
        <v>954</v>
      </c>
      <c r="F1617" s="19" t="s">
        <v>550</v>
      </c>
      <c r="G1617" s="18" t="s">
        <v>551</v>
      </c>
      <c r="H1617" s="20" t="s">
        <v>66</v>
      </c>
      <c r="I1617" s="15">
        <v>1</v>
      </c>
      <c r="J1617" s="15" t="s">
        <v>23</v>
      </c>
      <c r="K1617" s="15"/>
      <c r="L1617" s="21" t="s">
        <v>16</v>
      </c>
      <c r="M1617" s="22">
        <v>0</v>
      </c>
      <c r="N1617" s="22">
        <v>-345</v>
      </c>
      <c r="O1617" s="22">
        <v>6555</v>
      </c>
      <c r="P1617" s="22">
        <v>6555</v>
      </c>
      <c r="Q1617" t="str" cm="1">
        <f t="array" ref="Q1617">_xlfn.TEXTJOIN("、",TRUE,IF('學員資料-三民高中'!$B$2:$B$454=$F1617,'學員資料-三民高中'!$G$2:$G$454,""))</f>
        <v/>
      </c>
      <c r="R1617" t="str" cm="1">
        <f t="array" ref="R1617">_xlfn.TEXTJOIN("、",TRUE,IF('學員資料-新北高中'!$B$2:$B$583=$F1617,'學員資料-新北高中'!$G$2:$G$583,""))</f>
        <v/>
      </c>
      <c r="S1617" t="str" cm="1">
        <f t="array" ref="S1617">_xlfn.TEXTJOIN("、",TRUE,IF('學員資料-三重商工'!$B$2:$B$472=$F1617,'學員資料-三重商工'!$G$2:$G$472,""))</f>
        <v>0933037462</v>
      </c>
      <c r="T1617">
        <f t="shared" si="25"/>
        <v>1</v>
      </c>
    </row>
    <row r="1618" spans="1:20" ht="43.5" hidden="1" customHeight="1">
      <c r="A1618" s="15">
        <v>1617</v>
      </c>
      <c r="B1618" s="16" t="s">
        <v>5035</v>
      </c>
      <c r="C1618" s="17">
        <v>45701</v>
      </c>
      <c r="D1618" s="15" t="s">
        <v>5036</v>
      </c>
      <c r="E1618" s="18" t="s">
        <v>954</v>
      </c>
      <c r="F1618" s="19" t="s">
        <v>5037</v>
      </c>
      <c r="G1618" s="18" t="s">
        <v>5038</v>
      </c>
      <c r="H1618" s="20" t="s">
        <v>436</v>
      </c>
      <c r="I1618" s="15">
        <v>3</v>
      </c>
      <c r="J1618" s="15" t="s">
        <v>24</v>
      </c>
      <c r="K1618" s="15"/>
      <c r="L1618" s="21" t="s">
        <v>16</v>
      </c>
      <c r="M1618" s="22">
        <v>0</v>
      </c>
      <c r="N1618" s="22">
        <v>-2250</v>
      </c>
      <c r="O1618" s="22">
        <v>20250</v>
      </c>
      <c r="P1618" s="22">
        <v>20250</v>
      </c>
      <c r="Q1618" t="str" cm="1">
        <f t="array" ref="Q1618">_xlfn.TEXTJOIN("、",TRUE,IF('學員資料-三民高中'!$B$2:$B$454=$F1618,'學員資料-三民高中'!$G$2:$G$454,""))</f>
        <v/>
      </c>
      <c r="R1618" t="str" cm="1">
        <f t="array" ref="R1618">_xlfn.TEXTJOIN("、",TRUE,IF('學員資料-新北高中'!$B$2:$B$583=$F1618,'學員資料-新北高中'!$G$2:$G$583,""))</f>
        <v>0910369779</v>
      </c>
      <c r="S1618" t="str" cm="1">
        <f t="array" ref="S1618">_xlfn.TEXTJOIN("、",TRUE,IF('學員資料-三重商工'!$B$2:$B$472=$F1618,'學員資料-三重商工'!$G$2:$G$472,""))</f>
        <v/>
      </c>
      <c r="T1618">
        <f t="shared" si="25"/>
        <v>1</v>
      </c>
    </row>
    <row r="1619" spans="1:20" ht="28.5" hidden="1" customHeight="1">
      <c r="A1619" s="15">
        <v>1618</v>
      </c>
      <c r="B1619" s="16" t="s">
        <v>5039</v>
      </c>
      <c r="C1619" s="17">
        <v>45701</v>
      </c>
      <c r="D1619" s="15" t="s">
        <v>5040</v>
      </c>
      <c r="E1619" s="18" t="s">
        <v>954</v>
      </c>
      <c r="F1619" s="19" t="s">
        <v>1001</v>
      </c>
      <c r="G1619" s="18" t="s">
        <v>1002</v>
      </c>
      <c r="H1619" s="20" t="s">
        <v>99</v>
      </c>
      <c r="I1619" s="15">
        <v>2</v>
      </c>
      <c r="J1619" s="15" t="s">
        <v>24</v>
      </c>
      <c r="K1619" s="15"/>
      <c r="L1619" s="21" t="s">
        <v>16</v>
      </c>
      <c r="M1619" s="22">
        <v>0</v>
      </c>
      <c r="N1619" s="22">
        <v>-1500</v>
      </c>
      <c r="O1619" s="22">
        <v>13500</v>
      </c>
      <c r="P1619" s="22">
        <v>13500</v>
      </c>
      <c r="Q1619" t="str" cm="1">
        <f t="array" ref="Q1619">_xlfn.TEXTJOIN("、",TRUE,IF('學員資料-三民高中'!$B$2:$B$454=$F1619,'學員資料-三民高中'!$G$2:$G$454,""))</f>
        <v>0955554989</v>
      </c>
      <c r="R1619" t="str" cm="1">
        <f t="array" ref="R1619">_xlfn.TEXTJOIN("、",TRUE,IF('學員資料-新北高中'!$B$2:$B$583=$F1619,'學員資料-新北高中'!$G$2:$G$583,""))</f>
        <v/>
      </c>
      <c r="S1619" t="str" cm="1">
        <f t="array" ref="S1619">_xlfn.TEXTJOIN("、",TRUE,IF('學員資料-三重商工'!$B$2:$B$472=$F1619,'學員資料-三重商工'!$G$2:$G$472,""))</f>
        <v/>
      </c>
      <c r="T1619">
        <f t="shared" si="25"/>
        <v>1</v>
      </c>
    </row>
    <row r="1620" spans="1:20" ht="101.25" hidden="1" customHeight="1">
      <c r="A1620" s="15">
        <v>1619</v>
      </c>
      <c r="B1620" s="16" t="s">
        <v>5041</v>
      </c>
      <c r="C1620" s="17">
        <v>45701</v>
      </c>
      <c r="D1620" s="15" t="s">
        <v>5042</v>
      </c>
      <c r="E1620" s="18" t="s">
        <v>954</v>
      </c>
      <c r="F1620" s="19" t="s">
        <v>5043</v>
      </c>
      <c r="G1620" s="18" t="s">
        <v>5044</v>
      </c>
      <c r="H1620" s="20" t="s">
        <v>4982</v>
      </c>
      <c r="I1620" s="15">
        <v>7</v>
      </c>
      <c r="J1620" s="15" t="s">
        <v>24</v>
      </c>
      <c r="K1620" s="15"/>
      <c r="L1620" s="21" t="s">
        <v>16</v>
      </c>
      <c r="M1620" s="22">
        <v>0</v>
      </c>
      <c r="N1620" s="22">
        <v>-5250</v>
      </c>
      <c r="O1620" s="22">
        <v>47250</v>
      </c>
      <c r="P1620" s="22">
        <v>47250</v>
      </c>
      <c r="Q1620" t="str" cm="1">
        <f t="array" ref="Q1620">_xlfn.TEXTJOIN("、",TRUE,IF('學員資料-三民高中'!$B$2:$B$454=$F1620,'學員資料-三民高中'!$G$2:$G$454,""))</f>
        <v>0906917211</v>
      </c>
      <c r="R1620" t="str" cm="1">
        <f t="array" ref="R1620">_xlfn.TEXTJOIN("、",TRUE,IF('學員資料-新北高中'!$B$2:$B$583=$F1620,'學員資料-新北高中'!$G$2:$G$583,""))</f>
        <v/>
      </c>
      <c r="S1620" t="str" cm="1">
        <f t="array" ref="S1620">_xlfn.TEXTJOIN("、",TRUE,IF('學員資料-三重商工'!$B$2:$B$472=$F1620,'學員資料-三重商工'!$G$2:$G$472,""))</f>
        <v/>
      </c>
      <c r="T1620">
        <f t="shared" si="25"/>
        <v>1</v>
      </c>
    </row>
    <row r="1621" spans="1:20" ht="14.25" hidden="1" customHeight="1">
      <c r="A1621" s="15">
        <v>1620</v>
      </c>
      <c r="B1621" s="16" t="s">
        <v>5045</v>
      </c>
      <c r="C1621" s="17">
        <v>45701</v>
      </c>
      <c r="D1621" s="15" t="s">
        <v>5046</v>
      </c>
      <c r="E1621" s="18" t="s">
        <v>954</v>
      </c>
      <c r="F1621" s="19" t="s">
        <v>4037</v>
      </c>
      <c r="G1621" s="18" t="s">
        <v>4038</v>
      </c>
      <c r="H1621" s="20" t="s">
        <v>52</v>
      </c>
      <c r="I1621" s="15">
        <v>1</v>
      </c>
      <c r="J1621" s="15" t="s">
        <v>24</v>
      </c>
      <c r="K1621" s="15"/>
      <c r="L1621" s="21" t="s">
        <v>16</v>
      </c>
      <c r="M1621" s="22">
        <v>0</v>
      </c>
      <c r="N1621" s="22">
        <v>-750</v>
      </c>
      <c r="O1621" s="22">
        <v>6750</v>
      </c>
      <c r="P1621" s="22">
        <v>6750</v>
      </c>
      <c r="Q1621" t="str" cm="1">
        <f t="array" ref="Q1621">_xlfn.TEXTJOIN("、",TRUE,IF('學員資料-三民高中'!$B$2:$B$454=$F1621,'學員資料-三民高中'!$G$2:$G$454,""))</f>
        <v>0952317917</v>
      </c>
      <c r="R1621" t="str" cm="1">
        <f t="array" ref="R1621">_xlfn.TEXTJOIN("、",TRUE,IF('學員資料-新北高中'!$B$2:$B$583=$F1621,'學員資料-新北高中'!$G$2:$G$583,""))</f>
        <v/>
      </c>
      <c r="S1621" t="str" cm="1">
        <f t="array" ref="S1621">_xlfn.TEXTJOIN("、",TRUE,IF('學員資料-三重商工'!$B$2:$B$472=$F1621,'學員資料-三重商工'!$G$2:$G$472,""))</f>
        <v/>
      </c>
      <c r="T1621">
        <f t="shared" si="25"/>
        <v>1</v>
      </c>
    </row>
    <row r="1622" spans="1:20" ht="14.25" hidden="1" customHeight="1">
      <c r="A1622" s="15">
        <v>1621</v>
      </c>
      <c r="B1622" s="16" t="s">
        <v>5047</v>
      </c>
      <c r="C1622" s="17">
        <v>45701</v>
      </c>
      <c r="D1622" s="15" t="s">
        <v>5048</v>
      </c>
      <c r="E1622" s="18" t="s">
        <v>954</v>
      </c>
      <c r="F1622" s="19" t="s">
        <v>394</v>
      </c>
      <c r="G1622" s="18" t="s">
        <v>395</v>
      </c>
      <c r="H1622" s="20" t="s">
        <v>112</v>
      </c>
      <c r="I1622" s="15">
        <v>1</v>
      </c>
      <c r="J1622" s="15" t="s">
        <v>23</v>
      </c>
      <c r="K1622" s="15"/>
      <c r="L1622" s="21" t="s">
        <v>16</v>
      </c>
      <c r="M1622" s="22">
        <v>0</v>
      </c>
      <c r="N1622" s="22">
        <v>-414</v>
      </c>
      <c r="O1622" s="22">
        <v>7866</v>
      </c>
      <c r="P1622" s="22">
        <v>7866</v>
      </c>
      <c r="Q1622" t="str" cm="1">
        <f t="array" ref="Q1622">_xlfn.TEXTJOIN("、",TRUE,IF('學員資料-三民高中'!$B$2:$B$454=$F1622,'學員資料-三民高中'!$G$2:$G$454,""))</f>
        <v/>
      </c>
      <c r="R1622" t="str" cm="1">
        <f t="array" ref="R1622">_xlfn.TEXTJOIN("、",TRUE,IF('學員資料-新北高中'!$B$2:$B$583=$F1622,'學員資料-新北高中'!$G$2:$G$583,""))</f>
        <v/>
      </c>
      <c r="S1622" t="str" cm="1">
        <f t="array" ref="S1622">_xlfn.TEXTJOIN("、",TRUE,IF('學員資料-三重商工'!$B$2:$B$472=$F1622,'學員資料-三重商工'!$G$2:$G$472,""))</f>
        <v>0920215407</v>
      </c>
      <c r="T1622">
        <f t="shared" si="25"/>
        <v>1</v>
      </c>
    </row>
    <row r="1623" spans="1:20" ht="43.5" hidden="1" customHeight="1">
      <c r="A1623" s="15">
        <v>1622</v>
      </c>
      <c r="B1623" s="16" t="s">
        <v>5049</v>
      </c>
      <c r="C1623" s="17">
        <v>45701</v>
      </c>
      <c r="D1623" s="15" t="s">
        <v>5050</v>
      </c>
      <c r="E1623" s="18" t="s">
        <v>954</v>
      </c>
      <c r="F1623" s="19" t="s">
        <v>3126</v>
      </c>
      <c r="G1623" s="18" t="s">
        <v>3127</v>
      </c>
      <c r="H1623" s="20" t="s">
        <v>1531</v>
      </c>
      <c r="I1623" s="15">
        <v>3</v>
      </c>
      <c r="J1623" s="15" t="s">
        <v>24</v>
      </c>
      <c r="K1623" s="15"/>
      <c r="L1623" s="21" t="s">
        <v>16</v>
      </c>
      <c r="M1623" s="22">
        <v>0</v>
      </c>
      <c r="N1623" s="22">
        <v>-5400</v>
      </c>
      <c r="O1623" s="22">
        <v>48600</v>
      </c>
      <c r="P1623" s="22">
        <v>48600</v>
      </c>
      <c r="Q1623" t="str" cm="1">
        <f t="array" ref="Q1623">_xlfn.TEXTJOIN("、",TRUE,IF('學員資料-三民高中'!$B$2:$B$454=$F1623,'學員資料-三民高中'!$G$2:$G$454,""))</f>
        <v/>
      </c>
      <c r="R1623" t="str" cm="1">
        <f t="array" ref="R1623">_xlfn.TEXTJOIN("、",TRUE,IF('學員資料-新北高中'!$B$2:$B$583=$F1623,'學員資料-新北高中'!$G$2:$G$583,""))</f>
        <v>0913666118</v>
      </c>
      <c r="S1623" t="str" cm="1">
        <f t="array" ref="S1623">_xlfn.TEXTJOIN("、",TRUE,IF('學員資料-三重商工'!$B$2:$B$472=$F1623,'學員資料-三重商工'!$G$2:$G$472,""))</f>
        <v/>
      </c>
      <c r="T1623">
        <f t="shared" si="25"/>
        <v>1</v>
      </c>
    </row>
    <row r="1624" spans="1:20" ht="14.25" hidden="1" customHeight="1">
      <c r="A1624" s="15">
        <v>1623</v>
      </c>
      <c r="B1624" s="16" t="s">
        <v>5051</v>
      </c>
      <c r="C1624" s="17">
        <v>45701</v>
      </c>
      <c r="D1624" s="15" t="s">
        <v>4411</v>
      </c>
      <c r="E1624" s="18" t="s">
        <v>954</v>
      </c>
      <c r="F1624" s="19" t="s">
        <v>4886</v>
      </c>
      <c r="G1624" s="18" t="s">
        <v>4887</v>
      </c>
      <c r="H1624" s="20" t="s">
        <v>52</v>
      </c>
      <c r="I1624" s="15">
        <v>1</v>
      </c>
      <c r="J1624" s="15" t="s">
        <v>24</v>
      </c>
      <c r="K1624" s="15"/>
      <c r="L1624" s="21" t="s">
        <v>16</v>
      </c>
      <c r="M1624" s="22">
        <v>0</v>
      </c>
      <c r="N1624" s="22">
        <v>-750</v>
      </c>
      <c r="O1624" s="22">
        <v>6750</v>
      </c>
      <c r="P1624" s="22">
        <v>6750</v>
      </c>
      <c r="Q1624" t="str" cm="1">
        <f t="array" ref="Q1624">_xlfn.TEXTJOIN("、",TRUE,IF('學員資料-三民高中'!$B$2:$B$454=$F1624,'學員資料-三民高中'!$G$2:$G$454,""))</f>
        <v>0989266364</v>
      </c>
      <c r="R1624" t="str" cm="1">
        <f t="array" ref="R1624">_xlfn.TEXTJOIN("、",TRUE,IF('學員資料-新北高中'!$B$2:$B$583=$F1624,'學員資料-新北高中'!$G$2:$G$583,""))</f>
        <v/>
      </c>
      <c r="S1624" t="str" cm="1">
        <f t="array" ref="S1624">_xlfn.TEXTJOIN("、",TRUE,IF('學員資料-三重商工'!$B$2:$B$472=$F1624,'學員資料-三重商工'!$G$2:$G$472,""))</f>
        <v/>
      </c>
      <c r="T1624">
        <f t="shared" si="25"/>
        <v>1</v>
      </c>
    </row>
    <row r="1625" spans="1:20" ht="43.5" hidden="1" customHeight="1">
      <c r="A1625" s="15">
        <v>1624</v>
      </c>
      <c r="B1625" s="16" t="s">
        <v>5052</v>
      </c>
      <c r="C1625" s="17">
        <v>45701</v>
      </c>
      <c r="D1625" s="15" t="s">
        <v>5053</v>
      </c>
      <c r="E1625" s="18" t="s">
        <v>954</v>
      </c>
      <c r="F1625" s="19" t="s">
        <v>1702</v>
      </c>
      <c r="G1625" s="18" t="s">
        <v>1703</v>
      </c>
      <c r="H1625" s="20" t="s">
        <v>1531</v>
      </c>
      <c r="I1625" s="15">
        <v>3</v>
      </c>
      <c r="J1625" s="15" t="s">
        <v>24</v>
      </c>
      <c r="K1625" s="15"/>
      <c r="L1625" s="21" t="s">
        <v>16</v>
      </c>
      <c r="M1625" s="22">
        <v>0</v>
      </c>
      <c r="N1625" s="22">
        <v>-3240</v>
      </c>
      <c r="O1625" s="22">
        <v>29160</v>
      </c>
      <c r="P1625" s="22">
        <v>29160</v>
      </c>
      <c r="Q1625" t="str" cm="1">
        <f t="array" ref="Q1625">_xlfn.TEXTJOIN("、",TRUE,IF('學員資料-三民高中'!$B$2:$B$454=$F1625,'學員資料-三民高中'!$G$2:$G$454,""))</f>
        <v/>
      </c>
      <c r="R1625" t="str" cm="1">
        <f t="array" ref="R1625">_xlfn.TEXTJOIN("、",TRUE,IF('學員資料-新北高中'!$B$2:$B$583=$F1625,'學員資料-新北高中'!$G$2:$G$583,""))</f>
        <v>0933075099</v>
      </c>
      <c r="S1625" t="str" cm="1">
        <f t="array" ref="S1625">_xlfn.TEXTJOIN("、",TRUE,IF('學員資料-三重商工'!$B$2:$B$472=$F1625,'學員資料-三重商工'!$G$2:$G$472,""))</f>
        <v/>
      </c>
      <c r="T1625">
        <f t="shared" si="25"/>
        <v>1</v>
      </c>
    </row>
    <row r="1626" spans="1:20" ht="14.25" customHeight="1">
      <c r="A1626" s="15">
        <v>1625</v>
      </c>
      <c r="B1626" s="16" t="s">
        <v>5054</v>
      </c>
      <c r="C1626" s="17">
        <v>45701</v>
      </c>
      <c r="D1626" s="15" t="s">
        <v>5055</v>
      </c>
      <c r="E1626" s="18" t="s">
        <v>954</v>
      </c>
      <c r="F1626" s="19" t="s">
        <v>5056</v>
      </c>
      <c r="G1626" s="18" t="s">
        <v>5057</v>
      </c>
      <c r="H1626" s="20" t="s">
        <v>66</v>
      </c>
      <c r="I1626" s="15">
        <v>1</v>
      </c>
      <c r="J1626" s="15" t="s">
        <v>23</v>
      </c>
      <c r="K1626" s="15"/>
      <c r="L1626" s="21" t="s">
        <v>16</v>
      </c>
      <c r="M1626" s="22">
        <v>0</v>
      </c>
      <c r="N1626" s="22">
        <v>-345</v>
      </c>
      <c r="O1626" s="22">
        <v>6555</v>
      </c>
      <c r="P1626" s="22">
        <v>6555</v>
      </c>
      <c r="Q1626" t="str" cm="1">
        <f t="array" ref="Q1626">_xlfn.TEXTJOIN("、",TRUE,IF('學員資料-三民高中'!$B$2:$B$454=$F1626,'學員資料-三民高中'!$G$2:$G$454,""))</f>
        <v/>
      </c>
      <c r="R1626" t="str" cm="1">
        <f t="array" ref="R1626">_xlfn.TEXTJOIN("、",TRUE,IF('學員資料-新北高中'!$B$2:$B$583=$F1626,'學員資料-新北高中'!$G$2:$G$583,""))</f>
        <v/>
      </c>
      <c r="S1626" t="str" cm="1">
        <f t="array" ref="S1626">_xlfn.TEXTJOIN("、",TRUE,IF('學員資料-三重商工'!$B$2:$B$472=$F1626,'學員資料-三重商工'!$G$2:$G$472,""))</f>
        <v/>
      </c>
      <c r="T1626">
        <f t="shared" si="25"/>
        <v>0</v>
      </c>
    </row>
    <row r="1627" spans="1:20" ht="14.25" hidden="1" customHeight="1">
      <c r="A1627" s="15">
        <v>1626</v>
      </c>
      <c r="B1627" s="16" t="s">
        <v>5058</v>
      </c>
      <c r="C1627" s="17">
        <v>45701</v>
      </c>
      <c r="D1627" s="15" t="s">
        <v>5059</v>
      </c>
      <c r="E1627" s="18" t="s">
        <v>954</v>
      </c>
      <c r="F1627" s="19" t="s">
        <v>304</v>
      </c>
      <c r="G1627" s="18" t="s">
        <v>305</v>
      </c>
      <c r="H1627" s="20" t="s">
        <v>52</v>
      </c>
      <c r="I1627" s="15">
        <v>1</v>
      </c>
      <c r="J1627" s="15" t="s">
        <v>24</v>
      </c>
      <c r="K1627" s="15"/>
      <c r="L1627" s="21" t="s">
        <v>16</v>
      </c>
      <c r="M1627" s="22">
        <v>0</v>
      </c>
      <c r="N1627" s="22">
        <v>-750</v>
      </c>
      <c r="O1627" s="22">
        <v>6750</v>
      </c>
      <c r="P1627" s="22">
        <v>6750</v>
      </c>
      <c r="Q1627" t="str" cm="1">
        <f t="array" ref="Q1627">_xlfn.TEXTJOIN("、",TRUE,IF('學員資料-三民高中'!$B$2:$B$454=$F1627,'學員資料-三民高中'!$G$2:$G$454,""))</f>
        <v>0956558987</v>
      </c>
      <c r="R1627" t="str" cm="1">
        <f t="array" ref="R1627">_xlfn.TEXTJOIN("、",TRUE,IF('學員資料-新北高中'!$B$2:$B$583=$F1627,'學員資料-新北高中'!$G$2:$G$583,""))</f>
        <v/>
      </c>
      <c r="S1627" t="str" cm="1">
        <f t="array" ref="S1627">_xlfn.TEXTJOIN("、",TRUE,IF('學員資料-三重商工'!$B$2:$B$472=$F1627,'學員資料-三重商工'!$G$2:$G$472,""))</f>
        <v/>
      </c>
      <c r="T1627">
        <f t="shared" si="25"/>
        <v>1</v>
      </c>
    </row>
    <row r="1628" spans="1:20" ht="43.5" hidden="1" customHeight="1">
      <c r="A1628" s="15">
        <v>1627</v>
      </c>
      <c r="B1628" s="16" t="s">
        <v>5060</v>
      </c>
      <c r="C1628" s="17">
        <v>45701</v>
      </c>
      <c r="D1628" s="15" t="s">
        <v>5061</v>
      </c>
      <c r="E1628" s="18" t="s">
        <v>954</v>
      </c>
      <c r="F1628" s="19" t="s">
        <v>4675</v>
      </c>
      <c r="G1628" s="18" t="s">
        <v>4676</v>
      </c>
      <c r="H1628" s="20" t="s">
        <v>436</v>
      </c>
      <c r="I1628" s="15">
        <v>3</v>
      </c>
      <c r="J1628" s="15" t="s">
        <v>24</v>
      </c>
      <c r="K1628" s="15"/>
      <c r="L1628" s="21" t="s">
        <v>16</v>
      </c>
      <c r="M1628" s="22">
        <v>0</v>
      </c>
      <c r="N1628" s="22">
        <v>-2250</v>
      </c>
      <c r="O1628" s="22">
        <v>20250</v>
      </c>
      <c r="P1628" s="22">
        <v>20250</v>
      </c>
      <c r="Q1628" t="str" cm="1">
        <f t="array" ref="Q1628">_xlfn.TEXTJOIN("、",TRUE,IF('學員資料-三民高中'!$B$2:$B$454=$F1628,'學員資料-三民高中'!$G$2:$G$454,""))</f>
        <v>0954087043</v>
      </c>
      <c r="R1628" t="str" cm="1">
        <f t="array" ref="R1628">_xlfn.TEXTJOIN("、",TRUE,IF('學員資料-新北高中'!$B$2:$B$583=$F1628,'學員資料-新北高中'!$G$2:$G$583,""))</f>
        <v/>
      </c>
      <c r="S1628" t="str" cm="1">
        <f t="array" ref="S1628">_xlfn.TEXTJOIN("、",TRUE,IF('學員資料-三重商工'!$B$2:$B$472=$F1628,'學員資料-三重商工'!$G$2:$G$472,""))</f>
        <v/>
      </c>
      <c r="T1628">
        <f t="shared" si="25"/>
        <v>1</v>
      </c>
    </row>
    <row r="1629" spans="1:20" ht="28.5" hidden="1" customHeight="1">
      <c r="A1629" s="15">
        <v>1628</v>
      </c>
      <c r="B1629" s="16" t="s">
        <v>5062</v>
      </c>
      <c r="C1629" s="17">
        <v>45701</v>
      </c>
      <c r="D1629" s="15" t="s">
        <v>5063</v>
      </c>
      <c r="E1629" s="18" t="s">
        <v>954</v>
      </c>
      <c r="F1629" s="19" t="s">
        <v>1529</v>
      </c>
      <c r="G1629" s="18" t="s">
        <v>1530</v>
      </c>
      <c r="H1629" s="20" t="s">
        <v>1838</v>
      </c>
      <c r="I1629" s="15">
        <v>2</v>
      </c>
      <c r="J1629" s="15" t="s">
        <v>24</v>
      </c>
      <c r="K1629" s="15"/>
      <c r="L1629" s="21" t="s">
        <v>16</v>
      </c>
      <c r="M1629" s="22">
        <v>0</v>
      </c>
      <c r="N1629" s="22">
        <v>-2160</v>
      </c>
      <c r="O1629" s="22">
        <v>19440</v>
      </c>
      <c r="P1629" s="22">
        <v>19440</v>
      </c>
      <c r="Q1629" t="str" cm="1">
        <f t="array" ref="Q1629">_xlfn.TEXTJOIN("、",TRUE,IF('學員資料-三民高中'!$B$2:$B$454=$F1629,'學員資料-三民高中'!$G$2:$G$454,""))</f>
        <v>0970081031</v>
      </c>
      <c r="R1629" t="str" cm="1">
        <f t="array" ref="R1629">_xlfn.TEXTJOIN("、",TRUE,IF('學員資料-新北高中'!$B$2:$B$583=$F1629,'學員資料-新北高中'!$G$2:$G$583,""))</f>
        <v/>
      </c>
      <c r="S1629" t="str" cm="1">
        <f t="array" ref="S1629">_xlfn.TEXTJOIN("、",TRUE,IF('學員資料-三重商工'!$B$2:$B$472=$F1629,'學員資料-三重商工'!$G$2:$G$472,""))</f>
        <v/>
      </c>
      <c r="T1629">
        <f t="shared" si="25"/>
        <v>1</v>
      </c>
    </row>
    <row r="1630" spans="1:20" ht="28.5" hidden="1" customHeight="1">
      <c r="A1630" s="15">
        <v>1629</v>
      </c>
      <c r="B1630" s="16" t="s">
        <v>5064</v>
      </c>
      <c r="C1630" s="17">
        <v>45701</v>
      </c>
      <c r="D1630" s="15" t="s">
        <v>5065</v>
      </c>
      <c r="E1630" s="18" t="s">
        <v>954</v>
      </c>
      <c r="F1630" s="19" t="s">
        <v>5066</v>
      </c>
      <c r="G1630" s="18" t="s">
        <v>5067</v>
      </c>
      <c r="H1630" s="20" t="s">
        <v>99</v>
      </c>
      <c r="I1630" s="15">
        <v>2</v>
      </c>
      <c r="J1630" s="15" t="s">
        <v>24</v>
      </c>
      <c r="K1630" s="15"/>
      <c r="L1630" s="21" t="s">
        <v>16</v>
      </c>
      <c r="M1630" s="22">
        <v>0</v>
      </c>
      <c r="N1630" s="22">
        <v>-1500</v>
      </c>
      <c r="O1630" s="22">
        <v>13500</v>
      </c>
      <c r="P1630" s="22">
        <v>13500</v>
      </c>
      <c r="Q1630" t="str" cm="1">
        <f t="array" ref="Q1630">_xlfn.TEXTJOIN("、",TRUE,IF('學員資料-三民高中'!$B$2:$B$454=$F1630,'學員資料-三民高中'!$G$2:$G$454,""))</f>
        <v/>
      </c>
      <c r="R1630" t="str" cm="1">
        <f t="array" ref="R1630">_xlfn.TEXTJOIN("、",TRUE,IF('學員資料-新北高中'!$B$2:$B$583=$F1630,'學員資料-新北高中'!$G$2:$G$583,""))</f>
        <v>0933872983</v>
      </c>
      <c r="S1630" t="str" cm="1">
        <f t="array" ref="S1630">_xlfn.TEXTJOIN("、",TRUE,IF('學員資料-三重商工'!$B$2:$B$472=$F1630,'學員資料-三重商工'!$G$2:$G$472,""))</f>
        <v/>
      </c>
      <c r="T1630">
        <f t="shared" si="25"/>
        <v>1</v>
      </c>
    </row>
    <row r="1631" spans="1:20" ht="14.25" hidden="1" customHeight="1">
      <c r="A1631" s="15">
        <v>1630</v>
      </c>
      <c r="B1631" s="16" t="s">
        <v>5068</v>
      </c>
      <c r="C1631" s="17">
        <v>45701</v>
      </c>
      <c r="D1631" s="15" t="s">
        <v>5069</v>
      </c>
      <c r="E1631" s="18" t="s">
        <v>954</v>
      </c>
      <c r="F1631" s="19" t="s">
        <v>4167</v>
      </c>
      <c r="G1631" s="18" t="s">
        <v>4168</v>
      </c>
      <c r="H1631" s="20" t="s">
        <v>66</v>
      </c>
      <c r="I1631" s="15">
        <v>1</v>
      </c>
      <c r="J1631" s="15" t="s">
        <v>23</v>
      </c>
      <c r="K1631" s="15"/>
      <c r="L1631" s="21" t="s">
        <v>16</v>
      </c>
      <c r="M1631" s="22">
        <v>0</v>
      </c>
      <c r="N1631" s="22">
        <v>-345</v>
      </c>
      <c r="O1631" s="22">
        <v>6555</v>
      </c>
      <c r="P1631" s="22">
        <v>6555</v>
      </c>
      <c r="Q1631" t="str" cm="1">
        <f t="array" ref="Q1631">_xlfn.TEXTJOIN("、",TRUE,IF('學員資料-三民高中'!$B$2:$B$454=$F1631,'學員資料-三民高中'!$G$2:$G$454,""))</f>
        <v>0922355333</v>
      </c>
      <c r="R1631" t="str" cm="1">
        <f t="array" ref="R1631">_xlfn.TEXTJOIN("、",TRUE,IF('學員資料-新北高中'!$B$2:$B$583=$F1631,'學員資料-新北高中'!$G$2:$G$583,""))</f>
        <v/>
      </c>
      <c r="S1631" t="str" cm="1">
        <f t="array" ref="S1631">_xlfn.TEXTJOIN("、",TRUE,IF('學員資料-三重商工'!$B$2:$B$472=$F1631,'學員資料-三重商工'!$G$2:$G$472,""))</f>
        <v/>
      </c>
      <c r="T1631">
        <f t="shared" si="25"/>
        <v>1</v>
      </c>
    </row>
    <row r="1632" spans="1:20" ht="28.5" hidden="1" customHeight="1">
      <c r="A1632" s="15">
        <v>1631</v>
      </c>
      <c r="B1632" s="16" t="s">
        <v>5070</v>
      </c>
      <c r="C1632" s="17">
        <v>45701</v>
      </c>
      <c r="D1632" s="15" t="s">
        <v>5071</v>
      </c>
      <c r="E1632" s="18" t="s">
        <v>954</v>
      </c>
      <c r="F1632" s="19" t="s">
        <v>5072</v>
      </c>
      <c r="G1632" s="18" t="s">
        <v>5073</v>
      </c>
      <c r="H1632" s="20" t="s">
        <v>219</v>
      </c>
      <c r="I1632" s="15">
        <v>2</v>
      </c>
      <c r="J1632" s="15" t="s">
        <v>25</v>
      </c>
      <c r="K1632" s="15"/>
      <c r="L1632" s="21" t="s">
        <v>16</v>
      </c>
      <c r="M1632" s="22">
        <v>0</v>
      </c>
      <c r="N1632" s="22">
        <v>-1980</v>
      </c>
      <c r="O1632" s="22">
        <v>17820</v>
      </c>
      <c r="P1632" s="22">
        <v>17820</v>
      </c>
      <c r="Q1632" t="str" cm="1">
        <f t="array" ref="Q1632">_xlfn.TEXTJOIN("、",TRUE,IF('學員資料-三民高中'!$B$2:$B$454=$F1632,'學員資料-三民高中'!$G$2:$G$454,""))</f>
        <v>0939237152</v>
      </c>
      <c r="R1632" t="str" cm="1">
        <f t="array" ref="R1632">_xlfn.TEXTJOIN("、",TRUE,IF('學員資料-新北高中'!$B$2:$B$583=$F1632,'學員資料-新北高中'!$G$2:$G$583,""))</f>
        <v/>
      </c>
      <c r="S1632" t="str" cm="1">
        <f t="array" ref="S1632">_xlfn.TEXTJOIN("、",TRUE,IF('學員資料-三重商工'!$B$2:$B$472=$F1632,'學員資料-三重商工'!$G$2:$G$472,""))</f>
        <v/>
      </c>
      <c r="T1632">
        <f t="shared" si="25"/>
        <v>1</v>
      </c>
    </row>
    <row r="1633" spans="1:20" ht="57.75" hidden="1" customHeight="1">
      <c r="A1633" s="15">
        <v>1632</v>
      </c>
      <c r="B1633" s="16" t="s">
        <v>5074</v>
      </c>
      <c r="C1633" s="17">
        <v>45701</v>
      </c>
      <c r="D1633" s="15" t="s">
        <v>5075</v>
      </c>
      <c r="E1633" s="18" t="s">
        <v>954</v>
      </c>
      <c r="F1633" s="19" t="s">
        <v>1836</v>
      </c>
      <c r="G1633" s="18" t="s">
        <v>1837</v>
      </c>
      <c r="H1633" s="20" t="s">
        <v>3288</v>
      </c>
      <c r="I1633" s="15">
        <v>4</v>
      </c>
      <c r="J1633" s="15" t="s">
        <v>24</v>
      </c>
      <c r="K1633" s="15"/>
      <c r="L1633" s="21" t="s">
        <v>16</v>
      </c>
      <c r="M1633" s="22">
        <v>0</v>
      </c>
      <c r="N1633" s="22">
        <v>-4320</v>
      </c>
      <c r="O1633" s="22">
        <v>38880</v>
      </c>
      <c r="P1633" s="22">
        <v>38880</v>
      </c>
      <c r="Q1633" t="str" cm="1">
        <f t="array" ref="Q1633">_xlfn.TEXTJOIN("、",TRUE,IF('學員資料-三民高中'!$B$2:$B$454=$F1633,'學員資料-三民高中'!$G$2:$G$454,""))</f>
        <v/>
      </c>
      <c r="R1633" t="str" cm="1">
        <f t="array" ref="R1633">_xlfn.TEXTJOIN("、",TRUE,IF('學員資料-新北高中'!$B$2:$B$583=$F1633,'學員資料-新北高中'!$G$2:$G$583,""))</f>
        <v>0919982200</v>
      </c>
      <c r="S1633" t="str" cm="1">
        <f t="array" ref="S1633">_xlfn.TEXTJOIN("、",TRUE,IF('學員資料-三重商工'!$B$2:$B$472=$F1633,'學員資料-三重商工'!$G$2:$G$472,""))</f>
        <v/>
      </c>
      <c r="T1633">
        <f t="shared" si="25"/>
        <v>1</v>
      </c>
    </row>
    <row r="1634" spans="1:20" ht="57.75" hidden="1" customHeight="1">
      <c r="A1634" s="15">
        <v>1633</v>
      </c>
      <c r="B1634" s="16" t="s">
        <v>5076</v>
      </c>
      <c r="C1634" s="17">
        <v>45699</v>
      </c>
      <c r="D1634" s="15" t="s">
        <v>5077</v>
      </c>
      <c r="E1634" s="18" t="s">
        <v>954</v>
      </c>
      <c r="F1634" s="19" t="s">
        <v>5078</v>
      </c>
      <c r="G1634" s="18" t="s">
        <v>5079</v>
      </c>
      <c r="H1634" s="20" t="s">
        <v>5080</v>
      </c>
      <c r="I1634" s="15">
        <v>4</v>
      </c>
      <c r="J1634" s="15" t="s">
        <v>24</v>
      </c>
      <c r="K1634" s="21" t="s">
        <v>116</v>
      </c>
      <c r="L1634" s="21" t="s">
        <v>16</v>
      </c>
      <c r="M1634" s="22">
        <v>0</v>
      </c>
      <c r="N1634" s="22">
        <v>0</v>
      </c>
      <c r="O1634" s="22">
        <v>11400</v>
      </c>
      <c r="P1634" s="22">
        <v>11400</v>
      </c>
      <c r="Q1634" t="str" cm="1">
        <f t="array" ref="Q1634">_xlfn.TEXTJOIN("、",TRUE,IF('學員資料-三民高中'!$B$2:$B$454=$F1634,'學員資料-三民高中'!$G$2:$G$454,""))</f>
        <v/>
      </c>
      <c r="R1634" t="str" cm="1">
        <f t="array" ref="R1634">_xlfn.TEXTJOIN("、",TRUE,IF('學員資料-新北高中'!$B$2:$B$583=$F1634,'學員資料-新北高中'!$G$2:$G$583,""))</f>
        <v/>
      </c>
      <c r="S1634" t="str" cm="1">
        <f t="array" ref="S1634">_xlfn.TEXTJOIN("、",TRUE,IF('學員資料-三重商工'!$B$2:$B$472=$F1634,'學員資料-三重商工'!$G$2:$G$472,""))</f>
        <v>0919917502</v>
      </c>
      <c r="T1634">
        <f t="shared" si="25"/>
        <v>1</v>
      </c>
    </row>
    <row r="1635" spans="1:20" ht="14.25" customHeight="1">
      <c r="A1635" s="15">
        <v>1634</v>
      </c>
      <c r="B1635" s="16" t="s">
        <v>5081</v>
      </c>
      <c r="C1635" s="17">
        <v>45692</v>
      </c>
      <c r="D1635" s="15" t="s">
        <v>5082</v>
      </c>
      <c r="E1635" s="18" t="s">
        <v>954</v>
      </c>
      <c r="F1635" s="19" t="s">
        <v>2002</v>
      </c>
      <c r="G1635" s="18" t="s">
        <v>2003</v>
      </c>
      <c r="H1635" s="20" t="s">
        <v>66</v>
      </c>
      <c r="I1635" s="15">
        <v>1</v>
      </c>
      <c r="J1635" s="15" t="s">
        <v>23</v>
      </c>
      <c r="K1635" s="15"/>
      <c r="L1635" s="21" t="s">
        <v>16</v>
      </c>
      <c r="M1635" s="22">
        <v>0</v>
      </c>
      <c r="N1635" s="22">
        <v>0</v>
      </c>
      <c r="O1635" s="22">
        <v>6900</v>
      </c>
      <c r="P1635" s="22">
        <v>6900</v>
      </c>
      <c r="Q1635" t="str" cm="1">
        <f t="array" ref="Q1635">_xlfn.TEXTJOIN("、",TRUE,IF('學員資料-三民高中'!$B$2:$B$454=$F1635,'學員資料-三民高中'!$G$2:$G$454,""))</f>
        <v/>
      </c>
      <c r="R1635" t="str" cm="1">
        <f t="array" ref="R1635">_xlfn.TEXTJOIN("、",TRUE,IF('學員資料-新北高中'!$B$2:$B$583=$F1635,'學員資料-新北高中'!$G$2:$G$583,""))</f>
        <v/>
      </c>
      <c r="S1635" t="str" cm="1">
        <f t="array" ref="S1635">_xlfn.TEXTJOIN("、",TRUE,IF('學員資料-三重商工'!$B$2:$B$472=$F1635,'學員資料-三重商工'!$G$2:$G$472,""))</f>
        <v/>
      </c>
      <c r="T1635">
        <f t="shared" si="25"/>
        <v>0</v>
      </c>
    </row>
    <row r="1636" spans="1:20" ht="14.25" hidden="1" customHeight="1">
      <c r="A1636" s="15">
        <v>1635</v>
      </c>
      <c r="B1636" s="16" t="s">
        <v>5083</v>
      </c>
      <c r="C1636" s="17">
        <v>45692</v>
      </c>
      <c r="D1636" s="15" t="s">
        <v>5084</v>
      </c>
      <c r="E1636" s="18" t="s">
        <v>954</v>
      </c>
      <c r="F1636" s="19" t="s">
        <v>4360</v>
      </c>
      <c r="G1636" s="18" t="s">
        <v>4361</v>
      </c>
      <c r="H1636" s="20" t="s">
        <v>112</v>
      </c>
      <c r="I1636" s="15">
        <v>1</v>
      </c>
      <c r="J1636" s="15" t="s">
        <v>23</v>
      </c>
      <c r="K1636" s="15"/>
      <c r="L1636" s="21" t="s">
        <v>16</v>
      </c>
      <c r="M1636" s="22">
        <v>0</v>
      </c>
      <c r="N1636" s="22">
        <v>0</v>
      </c>
      <c r="O1636" s="22">
        <v>8280</v>
      </c>
      <c r="P1636" s="22">
        <v>8280</v>
      </c>
      <c r="Q1636" t="str" cm="1">
        <f t="array" ref="Q1636">_xlfn.TEXTJOIN("、",TRUE,IF('學員資料-三民高中'!$B$2:$B$454=$F1636,'學員資料-三民高中'!$G$2:$G$454,""))</f>
        <v/>
      </c>
      <c r="R1636" t="str" cm="1">
        <f t="array" ref="R1636">_xlfn.TEXTJOIN("、",TRUE,IF('學員資料-新北高中'!$B$2:$B$583=$F1636,'學員資料-新北高中'!$G$2:$G$583,""))</f>
        <v/>
      </c>
      <c r="S1636" t="str" cm="1">
        <f t="array" ref="S1636">_xlfn.TEXTJOIN("、",TRUE,IF('學員資料-三重商工'!$B$2:$B$472=$F1636,'學員資料-三重商工'!$G$2:$G$472,""))</f>
        <v>0903170826</v>
      </c>
      <c r="T1636">
        <f t="shared" si="25"/>
        <v>1</v>
      </c>
    </row>
    <row r="1637" spans="1:20" ht="14.25" hidden="1" customHeight="1">
      <c r="A1637" s="15">
        <v>1636</v>
      </c>
      <c r="B1637" s="16" t="s">
        <v>5085</v>
      </c>
      <c r="C1637" s="17">
        <v>45683</v>
      </c>
      <c r="D1637" s="15" t="s">
        <v>5086</v>
      </c>
      <c r="E1637" s="18" t="s">
        <v>954</v>
      </c>
      <c r="F1637" s="19" t="s">
        <v>4304</v>
      </c>
      <c r="G1637" s="18" t="s">
        <v>4305</v>
      </c>
      <c r="H1637" s="20" t="s">
        <v>66</v>
      </c>
      <c r="I1637" s="15">
        <v>1</v>
      </c>
      <c r="J1637" s="15" t="s">
        <v>23</v>
      </c>
      <c r="K1637" s="15"/>
      <c r="L1637" s="21" t="s">
        <v>16</v>
      </c>
      <c r="M1637" s="22">
        <v>0</v>
      </c>
      <c r="N1637" s="22">
        <v>0</v>
      </c>
      <c r="O1637" s="22">
        <v>6900</v>
      </c>
      <c r="P1637" s="22">
        <v>6900</v>
      </c>
      <c r="Q1637" t="str" cm="1">
        <f t="array" ref="Q1637">_xlfn.TEXTJOIN("、",TRUE,IF('學員資料-三民高中'!$B$2:$B$454=$F1637,'學員資料-三民高中'!$G$2:$G$454,""))</f>
        <v/>
      </c>
      <c r="R1637" t="str" cm="1">
        <f t="array" ref="R1637">_xlfn.TEXTJOIN("、",TRUE,IF('學員資料-新北高中'!$B$2:$B$583=$F1637,'學員資料-新北高中'!$G$2:$G$583,""))</f>
        <v>0960625945</v>
      </c>
      <c r="S1637" t="str" cm="1">
        <f t="array" ref="S1637">_xlfn.TEXTJOIN("、",TRUE,IF('學員資料-三重商工'!$B$2:$B$472=$F1637,'學員資料-三重商工'!$G$2:$G$472,""))</f>
        <v/>
      </c>
      <c r="T1637">
        <f t="shared" si="25"/>
        <v>1</v>
      </c>
    </row>
    <row r="1638" spans="1:20" ht="14.25" hidden="1" customHeight="1">
      <c r="A1638" s="15">
        <v>1637</v>
      </c>
      <c r="B1638" s="16" t="s">
        <v>5087</v>
      </c>
      <c r="C1638" s="17">
        <v>45683</v>
      </c>
      <c r="D1638" s="15" t="s">
        <v>5088</v>
      </c>
      <c r="E1638" s="18" t="s">
        <v>954</v>
      </c>
      <c r="F1638" s="19" t="s">
        <v>5089</v>
      </c>
      <c r="G1638" s="18" t="s">
        <v>5090</v>
      </c>
      <c r="H1638" s="20" t="s">
        <v>47</v>
      </c>
      <c r="I1638" s="15">
        <v>1</v>
      </c>
      <c r="J1638" s="15" t="s">
        <v>24</v>
      </c>
      <c r="K1638" s="15"/>
      <c r="L1638" s="21" t="s">
        <v>16</v>
      </c>
      <c r="M1638" s="22">
        <v>0</v>
      </c>
      <c r="N1638" s="22">
        <v>0</v>
      </c>
      <c r="O1638" s="22">
        <v>9000</v>
      </c>
      <c r="P1638" s="22">
        <v>9000</v>
      </c>
      <c r="Q1638" t="str" cm="1">
        <f t="array" ref="Q1638">_xlfn.TEXTJOIN("、",TRUE,IF('學員資料-三民高中'!$B$2:$B$454=$F1638,'學員資料-三民高中'!$G$2:$G$454,""))</f>
        <v/>
      </c>
      <c r="R1638" t="str" cm="1">
        <f t="array" ref="R1638">_xlfn.TEXTJOIN("、",TRUE,IF('學員資料-新北高中'!$B$2:$B$583=$F1638,'學員資料-新北高中'!$G$2:$G$583,""))</f>
        <v/>
      </c>
      <c r="S1638" t="str" cm="1">
        <f t="array" ref="S1638">_xlfn.TEXTJOIN("、",TRUE,IF('學員資料-三重商工'!$B$2:$B$472=$F1638,'學員資料-三重商工'!$G$2:$G$472,""))</f>
        <v>0953660386</v>
      </c>
      <c r="T1638">
        <f t="shared" si="25"/>
        <v>1</v>
      </c>
    </row>
    <row r="1639" spans="1:20" ht="14.25" customHeight="1">
      <c r="A1639" s="15">
        <v>1638</v>
      </c>
      <c r="B1639" s="16" t="s">
        <v>5091</v>
      </c>
      <c r="C1639" s="17">
        <v>45682</v>
      </c>
      <c r="D1639" s="15" t="s">
        <v>5092</v>
      </c>
      <c r="E1639" s="18" t="s">
        <v>954</v>
      </c>
      <c r="F1639" s="19" t="s">
        <v>5056</v>
      </c>
      <c r="G1639" s="18" t="s">
        <v>5057</v>
      </c>
      <c r="H1639" s="20" t="s">
        <v>66</v>
      </c>
      <c r="I1639" s="15">
        <v>1</v>
      </c>
      <c r="J1639" s="15" t="s">
        <v>23</v>
      </c>
      <c r="K1639" s="15"/>
      <c r="L1639" s="21" t="s">
        <v>16</v>
      </c>
      <c r="M1639" s="22">
        <v>0</v>
      </c>
      <c r="N1639" s="22">
        <v>0</v>
      </c>
      <c r="O1639" s="22">
        <v>6900</v>
      </c>
      <c r="P1639" s="22">
        <v>6900</v>
      </c>
      <c r="Q1639" t="str" cm="1">
        <f t="array" ref="Q1639">_xlfn.TEXTJOIN("、",TRUE,IF('學員資料-三民高中'!$B$2:$B$454=$F1639,'學員資料-三民高中'!$G$2:$G$454,""))</f>
        <v/>
      </c>
      <c r="R1639" t="str" cm="1">
        <f t="array" ref="R1639">_xlfn.TEXTJOIN("、",TRUE,IF('學員資料-新北高中'!$B$2:$B$583=$F1639,'學員資料-新北高中'!$G$2:$G$583,""))</f>
        <v/>
      </c>
      <c r="S1639" t="str" cm="1">
        <f t="array" ref="S1639">_xlfn.TEXTJOIN("、",TRUE,IF('學員資料-三重商工'!$B$2:$B$472=$F1639,'學員資料-三重商工'!$G$2:$G$472,""))</f>
        <v/>
      </c>
      <c r="T1639">
        <f t="shared" si="25"/>
        <v>0</v>
      </c>
    </row>
    <row r="1640" spans="1:20" ht="14.25" hidden="1" customHeight="1">
      <c r="A1640" s="15">
        <v>1639</v>
      </c>
      <c r="B1640" s="16" t="s">
        <v>5093</v>
      </c>
      <c r="C1640" s="17">
        <v>45675</v>
      </c>
      <c r="D1640" s="15" t="s">
        <v>5094</v>
      </c>
      <c r="E1640" s="18" t="s">
        <v>954</v>
      </c>
      <c r="F1640" s="19" t="s">
        <v>1458</v>
      </c>
      <c r="G1640" s="18" t="s">
        <v>1459</v>
      </c>
      <c r="H1640" s="20" t="s">
        <v>66</v>
      </c>
      <c r="I1640" s="15">
        <v>1</v>
      </c>
      <c r="J1640" s="15" t="s">
        <v>23</v>
      </c>
      <c r="K1640" s="15"/>
      <c r="L1640" s="21" t="s">
        <v>16</v>
      </c>
      <c r="M1640" s="22">
        <v>0</v>
      </c>
      <c r="N1640" s="22">
        <v>0</v>
      </c>
      <c r="O1640" s="22">
        <v>6900</v>
      </c>
      <c r="P1640" s="22">
        <v>6900</v>
      </c>
      <c r="Q1640" t="str" cm="1">
        <f t="array" ref="Q1640">_xlfn.TEXTJOIN("、",TRUE,IF('學員資料-三民高中'!$B$2:$B$454=$F1640,'學員資料-三民高中'!$G$2:$G$454,""))</f>
        <v>0917535173</v>
      </c>
      <c r="R1640" t="str" cm="1">
        <f t="array" ref="R1640">_xlfn.TEXTJOIN("、",TRUE,IF('學員資料-新北高中'!$B$2:$B$583=$F1640,'學員資料-新北高中'!$G$2:$G$583,""))</f>
        <v/>
      </c>
      <c r="S1640" t="str" cm="1">
        <f t="array" ref="S1640">_xlfn.TEXTJOIN("、",TRUE,IF('學員資料-三重商工'!$B$2:$B$472=$F1640,'學員資料-三重商工'!$G$2:$G$472,""))</f>
        <v/>
      </c>
      <c r="T1640">
        <f t="shared" si="25"/>
        <v>1</v>
      </c>
    </row>
    <row r="1641" spans="1:20" ht="14.25" hidden="1" customHeight="1">
      <c r="A1641" s="15">
        <v>1640</v>
      </c>
      <c r="B1641" s="16" t="s">
        <v>5095</v>
      </c>
      <c r="C1641" s="17">
        <v>45675</v>
      </c>
      <c r="D1641" s="15" t="s">
        <v>5096</v>
      </c>
      <c r="E1641" s="18" t="s">
        <v>954</v>
      </c>
      <c r="F1641" s="19" t="s">
        <v>5097</v>
      </c>
      <c r="G1641" s="18" t="s">
        <v>5098</v>
      </c>
      <c r="H1641" s="20" t="s">
        <v>1087</v>
      </c>
      <c r="I1641" s="15">
        <v>1</v>
      </c>
      <c r="J1641" s="15" t="s">
        <v>27</v>
      </c>
      <c r="K1641" s="15"/>
      <c r="L1641" s="21" t="s">
        <v>16</v>
      </c>
      <c r="M1641" s="22">
        <v>0</v>
      </c>
      <c r="N1641" s="22">
        <v>0</v>
      </c>
      <c r="O1641" s="22">
        <v>15000</v>
      </c>
      <c r="P1641" s="22">
        <v>15000</v>
      </c>
      <c r="Q1641" t="str" cm="1">
        <f t="array" ref="Q1641">_xlfn.TEXTJOIN("、",TRUE,IF('學員資料-三民高中'!$B$2:$B$454=$F1641,'學員資料-三民高中'!$G$2:$G$454,""))</f>
        <v>0914000808</v>
      </c>
      <c r="R1641" t="str" cm="1">
        <f t="array" ref="R1641">_xlfn.TEXTJOIN("、",TRUE,IF('學員資料-新北高中'!$B$2:$B$583=$F1641,'學員資料-新北高中'!$G$2:$G$583,""))</f>
        <v/>
      </c>
      <c r="S1641" t="str" cm="1">
        <f t="array" ref="S1641">_xlfn.TEXTJOIN("、",TRUE,IF('學員資料-三重商工'!$B$2:$B$472=$F1641,'學員資料-三重商工'!$G$2:$G$472,""))</f>
        <v/>
      </c>
      <c r="T1641">
        <f t="shared" si="25"/>
        <v>1</v>
      </c>
    </row>
    <row r="1642" spans="1:20" ht="57.75" hidden="1" customHeight="1">
      <c r="A1642" s="15">
        <v>1641</v>
      </c>
      <c r="B1642" s="16" t="s">
        <v>5099</v>
      </c>
      <c r="C1642" s="17">
        <v>45670</v>
      </c>
      <c r="D1642" s="15" t="s">
        <v>5100</v>
      </c>
      <c r="E1642" s="18" t="s">
        <v>954</v>
      </c>
      <c r="F1642" s="19" t="s">
        <v>5101</v>
      </c>
      <c r="G1642" s="18" t="s">
        <v>5102</v>
      </c>
      <c r="H1642" s="20" t="s">
        <v>989</v>
      </c>
      <c r="I1642" s="15">
        <v>4</v>
      </c>
      <c r="J1642" s="15" t="s">
        <v>24</v>
      </c>
      <c r="K1642" s="15"/>
      <c r="L1642" s="21" t="s">
        <v>16</v>
      </c>
      <c r="M1642" s="22">
        <v>0</v>
      </c>
      <c r="N1642" s="22">
        <v>-1200</v>
      </c>
      <c r="O1642" s="22">
        <v>28800</v>
      </c>
      <c r="P1642" s="22">
        <v>28800</v>
      </c>
      <c r="Q1642" t="str" cm="1">
        <f t="array" ref="Q1642">_xlfn.TEXTJOIN("、",TRUE,IF('學員資料-三民高中'!$B$2:$B$454=$F1642,'學員資料-三民高中'!$G$2:$G$454,""))</f>
        <v/>
      </c>
      <c r="R1642" t="str" cm="1">
        <f t="array" ref="R1642">_xlfn.TEXTJOIN("、",TRUE,IF('學員資料-新北高中'!$B$2:$B$583=$F1642,'學員資料-新北高中'!$G$2:$G$583,""))</f>
        <v>0972288989</v>
      </c>
      <c r="S1642" t="str" cm="1">
        <f t="array" ref="S1642">_xlfn.TEXTJOIN("、",TRUE,IF('學員資料-三重商工'!$B$2:$B$472=$F1642,'學員資料-三重商工'!$G$2:$G$472,""))</f>
        <v/>
      </c>
      <c r="T1642">
        <f t="shared" si="25"/>
        <v>1</v>
      </c>
    </row>
    <row r="1643" spans="1:20" ht="14.25" customHeight="1">
      <c r="A1643" s="15">
        <v>1642</v>
      </c>
      <c r="B1643" s="16" t="s">
        <v>5103</v>
      </c>
      <c r="C1643" s="17">
        <v>45670</v>
      </c>
      <c r="D1643" s="15" t="s">
        <v>5104</v>
      </c>
      <c r="E1643" s="18" t="s">
        <v>954</v>
      </c>
      <c r="F1643" s="19"/>
      <c r="G1643" s="23" t="s">
        <v>439</v>
      </c>
      <c r="H1643" s="20" t="s">
        <v>66</v>
      </c>
      <c r="I1643" s="15">
        <v>1</v>
      </c>
      <c r="J1643" s="15" t="s">
        <v>23</v>
      </c>
      <c r="K1643" s="15"/>
      <c r="L1643" s="21" t="s">
        <v>16</v>
      </c>
      <c r="M1643" s="22">
        <v>0</v>
      </c>
      <c r="N1643" s="22">
        <v>-300</v>
      </c>
      <c r="O1643" s="22">
        <v>6600</v>
      </c>
      <c r="P1643" s="22">
        <v>6600</v>
      </c>
      <c r="Q1643" t="str" cm="1">
        <f t="array" ref="Q1643">_xlfn.TEXTJOIN("、",TRUE,IF('學員資料-三民高中'!$B$2:$B$454=$F1643,'學員資料-三民高中'!$G$2:$G$454,""))</f>
        <v/>
      </c>
      <c r="R1643" t="str" cm="1">
        <f t="array" ref="R1643">_xlfn.TEXTJOIN("、",TRUE,IF('學員資料-新北高中'!$B$2:$B$583=$F1643,'學員資料-新北高中'!$G$2:$G$583,""))</f>
        <v/>
      </c>
      <c r="S1643" t="str" cm="1">
        <f t="array" ref="S1643">_xlfn.TEXTJOIN("、",TRUE,IF('學員資料-三重商工'!$B$2:$B$472=$F1643,'學員資料-三重商工'!$G$2:$G$472,""))</f>
        <v/>
      </c>
      <c r="T1643">
        <f t="shared" si="25"/>
        <v>0</v>
      </c>
    </row>
    <row r="1644" spans="1:20" ht="14.25" customHeight="1">
      <c r="A1644" s="15">
        <v>1643</v>
      </c>
      <c r="B1644" s="16" t="s">
        <v>5105</v>
      </c>
      <c r="C1644" s="17">
        <v>45670</v>
      </c>
      <c r="D1644" s="15" t="s">
        <v>5106</v>
      </c>
      <c r="E1644" s="18" t="s">
        <v>954</v>
      </c>
      <c r="F1644" s="19"/>
      <c r="G1644" s="23" t="s">
        <v>439</v>
      </c>
      <c r="H1644" s="20" t="s">
        <v>66</v>
      </c>
      <c r="I1644" s="15">
        <v>1</v>
      </c>
      <c r="J1644" s="15" t="s">
        <v>23</v>
      </c>
      <c r="K1644" s="15"/>
      <c r="L1644" s="21" t="s">
        <v>16</v>
      </c>
      <c r="M1644" s="22">
        <v>0</v>
      </c>
      <c r="N1644" s="22">
        <v>-300</v>
      </c>
      <c r="O1644" s="22">
        <v>6600</v>
      </c>
      <c r="P1644" s="22">
        <v>6600</v>
      </c>
      <c r="Q1644" t="str" cm="1">
        <f t="array" ref="Q1644">_xlfn.TEXTJOIN("、",TRUE,IF('學員資料-三民高中'!$B$2:$B$454=$F1644,'學員資料-三民高中'!$G$2:$G$454,""))</f>
        <v/>
      </c>
      <c r="R1644" t="str" cm="1">
        <f t="array" ref="R1644">_xlfn.TEXTJOIN("、",TRUE,IF('學員資料-新北高中'!$B$2:$B$583=$F1644,'學員資料-新北高中'!$G$2:$G$583,""))</f>
        <v/>
      </c>
      <c r="S1644" t="str" cm="1">
        <f t="array" ref="S1644">_xlfn.TEXTJOIN("、",TRUE,IF('學員資料-三重商工'!$B$2:$B$472=$F1644,'學員資料-三重商工'!$G$2:$G$472,""))</f>
        <v/>
      </c>
      <c r="T1644">
        <f t="shared" si="25"/>
        <v>0</v>
      </c>
    </row>
    <row r="1645" spans="1:20" ht="14.25" hidden="1" customHeight="1">
      <c r="A1645" s="15">
        <v>1644</v>
      </c>
      <c r="B1645" s="16" t="s">
        <v>5107</v>
      </c>
      <c r="C1645" s="17">
        <v>45670</v>
      </c>
      <c r="D1645" s="15" t="s">
        <v>5108</v>
      </c>
      <c r="E1645" s="18" t="s">
        <v>954</v>
      </c>
      <c r="F1645" s="19" t="s">
        <v>5109</v>
      </c>
      <c r="G1645" s="18" t="s">
        <v>5110</v>
      </c>
      <c r="H1645" s="20" t="s">
        <v>66</v>
      </c>
      <c r="I1645" s="15">
        <v>1</v>
      </c>
      <c r="J1645" s="15" t="s">
        <v>23</v>
      </c>
      <c r="K1645" s="15"/>
      <c r="L1645" s="21" t="s">
        <v>16</v>
      </c>
      <c r="M1645" s="22">
        <v>0</v>
      </c>
      <c r="N1645" s="22">
        <v>0</v>
      </c>
      <c r="O1645" s="22">
        <v>6900</v>
      </c>
      <c r="P1645" s="22">
        <v>6900</v>
      </c>
      <c r="Q1645" t="str" cm="1">
        <f t="array" ref="Q1645">_xlfn.TEXTJOIN("、",TRUE,IF('學員資料-三民高中'!$B$2:$B$454=$F1645,'學員資料-三民高中'!$G$2:$G$454,""))</f>
        <v>0933510045</v>
      </c>
      <c r="R1645" t="str" cm="1">
        <f t="array" ref="R1645">_xlfn.TEXTJOIN("、",TRUE,IF('學員資料-新北高中'!$B$2:$B$583=$F1645,'學員資料-新北高中'!$G$2:$G$583,""))</f>
        <v/>
      </c>
      <c r="S1645" t="str" cm="1">
        <f t="array" ref="S1645">_xlfn.TEXTJOIN("、",TRUE,IF('學員資料-三重商工'!$B$2:$B$472=$F1645,'學員資料-三重商工'!$G$2:$G$472,""))</f>
        <v/>
      </c>
      <c r="T1645">
        <f t="shared" si="25"/>
        <v>1</v>
      </c>
    </row>
    <row r="1646" spans="1:20" ht="43.5" hidden="1" customHeight="1">
      <c r="A1646" s="15">
        <v>1645</v>
      </c>
      <c r="B1646" s="16" t="s">
        <v>5111</v>
      </c>
      <c r="C1646" s="17">
        <v>45670</v>
      </c>
      <c r="D1646" s="15" t="s">
        <v>5112</v>
      </c>
      <c r="E1646" s="18" t="s">
        <v>954</v>
      </c>
      <c r="F1646" s="19" t="s">
        <v>1524</v>
      </c>
      <c r="G1646" s="18" t="s">
        <v>1525</v>
      </c>
      <c r="H1646" s="20" t="s">
        <v>261</v>
      </c>
      <c r="I1646" s="15">
        <v>3</v>
      </c>
      <c r="J1646" s="15" t="s">
        <v>23</v>
      </c>
      <c r="K1646" s="15"/>
      <c r="L1646" s="21" t="s">
        <v>16</v>
      </c>
      <c r="M1646" s="22">
        <v>0</v>
      </c>
      <c r="N1646" s="22">
        <v>-900</v>
      </c>
      <c r="O1646" s="22">
        <v>19800</v>
      </c>
      <c r="P1646" s="22">
        <v>19800</v>
      </c>
      <c r="Q1646" t="str" cm="1">
        <f t="array" ref="Q1646">_xlfn.TEXTJOIN("、",TRUE,IF('學員資料-三民高中'!$B$2:$B$454=$F1646,'學員資料-三民高中'!$G$2:$G$454,""))</f>
        <v>0978726876-1</v>
      </c>
      <c r="R1646" t="str" cm="1">
        <f t="array" ref="R1646">_xlfn.TEXTJOIN("、",TRUE,IF('學員資料-新北高中'!$B$2:$B$583=$F1646,'學員資料-新北高中'!$G$2:$G$583,""))</f>
        <v/>
      </c>
      <c r="S1646" t="str" cm="1">
        <f t="array" ref="S1646">_xlfn.TEXTJOIN("、",TRUE,IF('學員資料-三重商工'!$B$2:$B$472=$F1646,'學員資料-三重商工'!$G$2:$G$472,""))</f>
        <v/>
      </c>
      <c r="T1646">
        <f t="shared" si="25"/>
        <v>1</v>
      </c>
    </row>
    <row r="1647" spans="1:20" ht="14.25" hidden="1" customHeight="1">
      <c r="A1647" s="15">
        <v>1646</v>
      </c>
      <c r="B1647" s="16" t="s">
        <v>5113</v>
      </c>
      <c r="C1647" s="17">
        <v>45668</v>
      </c>
      <c r="D1647" s="15" t="s">
        <v>3757</v>
      </c>
      <c r="E1647" s="18" t="s">
        <v>954</v>
      </c>
      <c r="F1647" s="19" t="s">
        <v>4904</v>
      </c>
      <c r="G1647" s="18" t="s">
        <v>4905</v>
      </c>
      <c r="H1647" s="20" t="s">
        <v>210</v>
      </c>
      <c r="I1647" s="15">
        <v>1</v>
      </c>
      <c r="J1647" s="15" t="s">
        <v>26</v>
      </c>
      <c r="K1647" s="15"/>
      <c r="L1647" s="21" t="s">
        <v>16</v>
      </c>
      <c r="M1647" s="22">
        <v>0</v>
      </c>
      <c r="N1647" s="22">
        <v>0</v>
      </c>
      <c r="O1647" s="22">
        <v>12000</v>
      </c>
      <c r="P1647" s="22">
        <v>12000</v>
      </c>
      <c r="Q1647" t="str" cm="1">
        <f t="array" ref="Q1647">_xlfn.TEXTJOIN("、",TRUE,IF('學員資料-三民高中'!$B$2:$B$454=$F1647,'學員資料-三民高中'!$G$2:$G$454,""))</f>
        <v>0988423486</v>
      </c>
      <c r="R1647" t="str" cm="1">
        <f t="array" ref="R1647">_xlfn.TEXTJOIN("、",TRUE,IF('學員資料-新北高中'!$B$2:$B$583=$F1647,'學員資料-新北高中'!$G$2:$G$583,""))</f>
        <v/>
      </c>
      <c r="S1647" t="str" cm="1">
        <f t="array" ref="S1647">_xlfn.TEXTJOIN("、",TRUE,IF('學員資料-三重商工'!$B$2:$B$472=$F1647,'學員資料-三重商工'!$G$2:$G$472,""))</f>
        <v/>
      </c>
      <c r="T1647">
        <f t="shared" si="25"/>
        <v>1</v>
      </c>
    </row>
    <row r="1648" spans="1:20" ht="43.5" hidden="1" customHeight="1">
      <c r="A1648" s="15">
        <v>1647</v>
      </c>
      <c r="B1648" s="16" t="s">
        <v>5114</v>
      </c>
      <c r="C1648" s="17">
        <v>45666</v>
      </c>
      <c r="D1648" s="15" t="s">
        <v>5115</v>
      </c>
      <c r="E1648" s="18" t="s">
        <v>954</v>
      </c>
      <c r="F1648" s="19" t="s">
        <v>5116</v>
      </c>
      <c r="G1648" s="18" t="s">
        <v>5117</v>
      </c>
      <c r="H1648" s="20" t="s">
        <v>405</v>
      </c>
      <c r="I1648" s="15">
        <v>3</v>
      </c>
      <c r="J1648" s="15" t="s">
        <v>25</v>
      </c>
      <c r="K1648" s="15"/>
      <c r="L1648" s="21" t="s">
        <v>16</v>
      </c>
      <c r="M1648" s="22">
        <v>0</v>
      </c>
      <c r="N1648" s="22">
        <v>-5940</v>
      </c>
      <c r="O1648" s="22">
        <v>23760</v>
      </c>
      <c r="P1648" s="22">
        <v>23760</v>
      </c>
      <c r="Q1648" t="str" cm="1">
        <f t="array" ref="Q1648">_xlfn.TEXTJOIN("、",TRUE,IF('學員資料-三民高中'!$B$2:$B$454=$F1648,'學員資料-三民高中'!$G$2:$G$454,""))</f>
        <v>0916710620-1</v>
      </c>
      <c r="R1648" t="str" cm="1">
        <f t="array" ref="R1648">_xlfn.TEXTJOIN("、",TRUE,IF('學員資料-新北高中'!$B$2:$B$583=$F1648,'學員資料-新北高中'!$G$2:$G$583,""))</f>
        <v/>
      </c>
      <c r="S1648" t="str" cm="1">
        <f t="array" ref="S1648">_xlfn.TEXTJOIN("、",TRUE,IF('學員資料-三重商工'!$B$2:$B$472=$F1648,'學員資料-三重商工'!$G$2:$G$472,""))</f>
        <v/>
      </c>
      <c r="T1648">
        <f t="shared" si="25"/>
        <v>1</v>
      </c>
    </row>
    <row r="1649" spans="1:20" ht="14.25" hidden="1" customHeight="1">
      <c r="A1649" s="15">
        <v>1648</v>
      </c>
      <c r="B1649" s="16" t="s">
        <v>5118</v>
      </c>
      <c r="C1649" s="17">
        <v>45666</v>
      </c>
      <c r="D1649" s="15" t="s">
        <v>5119</v>
      </c>
      <c r="E1649" s="18" t="s">
        <v>954</v>
      </c>
      <c r="F1649" s="19" t="s">
        <v>2910</v>
      </c>
      <c r="G1649" s="18" t="s">
        <v>2911</v>
      </c>
      <c r="H1649" s="20" t="s">
        <v>130</v>
      </c>
      <c r="I1649" s="15">
        <v>1</v>
      </c>
      <c r="J1649" s="15" t="s">
        <v>25</v>
      </c>
      <c r="K1649" s="15"/>
      <c r="L1649" s="21" t="s">
        <v>16</v>
      </c>
      <c r="M1649" s="22">
        <v>0</v>
      </c>
      <c r="N1649" s="22">
        <v>-900</v>
      </c>
      <c r="O1649" s="22">
        <v>9000</v>
      </c>
      <c r="P1649" s="22">
        <v>9000</v>
      </c>
      <c r="Q1649" t="str" cm="1">
        <f t="array" ref="Q1649">_xlfn.TEXTJOIN("、",TRUE,IF('學員資料-三民高中'!$B$2:$B$454=$F1649,'學員資料-三民高中'!$G$2:$G$454,""))</f>
        <v>0939918883</v>
      </c>
      <c r="R1649" t="str" cm="1">
        <f t="array" ref="R1649">_xlfn.TEXTJOIN("、",TRUE,IF('學員資料-新北高中'!$B$2:$B$583=$F1649,'學員資料-新北高中'!$G$2:$G$583,""))</f>
        <v/>
      </c>
      <c r="S1649" t="str" cm="1">
        <f t="array" ref="S1649">_xlfn.TEXTJOIN("、",TRUE,IF('學員資料-三重商工'!$B$2:$B$472=$F1649,'學員資料-三重商工'!$G$2:$G$472,""))</f>
        <v/>
      </c>
      <c r="T1649">
        <f t="shared" si="25"/>
        <v>1</v>
      </c>
    </row>
    <row r="1650" spans="1:20" ht="14.25" hidden="1" customHeight="1">
      <c r="A1650" s="15">
        <v>1649</v>
      </c>
      <c r="B1650" s="16" t="s">
        <v>5120</v>
      </c>
      <c r="C1650" s="17">
        <v>45662</v>
      </c>
      <c r="D1650" s="15" t="s">
        <v>5121</v>
      </c>
      <c r="E1650" s="18" t="s">
        <v>954</v>
      </c>
      <c r="F1650" s="19" t="s">
        <v>5122</v>
      </c>
      <c r="G1650" s="18" t="s">
        <v>5123</v>
      </c>
      <c r="H1650" s="20" t="s">
        <v>683</v>
      </c>
      <c r="I1650" s="15">
        <v>1</v>
      </c>
      <c r="J1650" s="15" t="s">
        <v>23</v>
      </c>
      <c r="K1650" s="15"/>
      <c r="L1650" s="21" t="s">
        <v>16</v>
      </c>
      <c r="M1650" s="22">
        <v>0</v>
      </c>
      <c r="N1650" s="22">
        <v>0</v>
      </c>
      <c r="O1650" s="22">
        <v>9000</v>
      </c>
      <c r="P1650" s="22">
        <v>9000</v>
      </c>
      <c r="Q1650" t="str" cm="1">
        <f t="array" ref="Q1650">_xlfn.TEXTJOIN("、",TRUE,IF('學員資料-三民高中'!$B$2:$B$454=$F1650,'學員資料-三民高中'!$G$2:$G$454,""))</f>
        <v/>
      </c>
      <c r="R1650" t="str" cm="1">
        <f t="array" ref="R1650">_xlfn.TEXTJOIN("、",TRUE,IF('學員資料-新北高中'!$B$2:$B$583=$F1650,'學員資料-新北高中'!$G$2:$G$583,""))</f>
        <v/>
      </c>
      <c r="S1650" t="str" cm="1">
        <f t="array" ref="S1650">_xlfn.TEXTJOIN("、",TRUE,IF('學員資料-三重商工'!$B$2:$B$472=$F1650,'學員資料-三重商工'!$G$2:$G$472,""))</f>
        <v>0928817342</v>
      </c>
      <c r="T1650">
        <f t="shared" si="25"/>
        <v>1</v>
      </c>
    </row>
    <row r="1651" spans="1:20" ht="43.5" hidden="1" customHeight="1">
      <c r="A1651" s="15">
        <v>1650</v>
      </c>
      <c r="B1651" s="16" t="s">
        <v>5124</v>
      </c>
      <c r="C1651" s="17">
        <v>45660</v>
      </c>
      <c r="D1651" s="15" t="s">
        <v>5125</v>
      </c>
      <c r="E1651" s="18" t="s">
        <v>954</v>
      </c>
      <c r="F1651" s="19" t="s">
        <v>5126</v>
      </c>
      <c r="G1651" s="18" t="s">
        <v>5127</v>
      </c>
      <c r="H1651" s="20" t="s">
        <v>5128</v>
      </c>
      <c r="I1651" s="15">
        <v>3</v>
      </c>
      <c r="J1651" s="15" t="s">
        <v>25</v>
      </c>
      <c r="K1651" s="15"/>
      <c r="L1651" s="21" t="s">
        <v>16</v>
      </c>
      <c r="M1651" s="22">
        <v>0</v>
      </c>
      <c r="N1651" s="22">
        <v>0</v>
      </c>
      <c r="O1651" s="22">
        <v>27000</v>
      </c>
      <c r="P1651" s="22">
        <v>27000</v>
      </c>
      <c r="Q1651" t="str" cm="1">
        <f t="array" ref="Q1651">_xlfn.TEXTJOIN("、",TRUE,IF('學員資料-三民高中'!$B$2:$B$454=$F1651,'學員資料-三民高中'!$G$2:$G$454,""))</f>
        <v>0916198265</v>
      </c>
      <c r="R1651" t="str" cm="1">
        <f t="array" ref="R1651">_xlfn.TEXTJOIN("、",TRUE,IF('學員資料-新北高中'!$B$2:$B$583=$F1651,'學員資料-新北高中'!$G$2:$G$583,""))</f>
        <v/>
      </c>
      <c r="S1651" t="str" cm="1">
        <f t="array" ref="S1651">_xlfn.TEXTJOIN("、",TRUE,IF('學員資料-三重商工'!$B$2:$B$472=$F1651,'學員資料-三重商工'!$G$2:$G$472,""))</f>
        <v/>
      </c>
      <c r="T1651">
        <f t="shared" si="25"/>
        <v>1</v>
      </c>
    </row>
    <row r="1652" spans="1:20" ht="14.25" hidden="1" customHeight="1">
      <c r="A1652" s="15">
        <v>1651</v>
      </c>
      <c r="B1652" s="16" t="s">
        <v>5129</v>
      </c>
      <c r="C1652" s="17">
        <v>45660</v>
      </c>
      <c r="D1652" s="15" t="s">
        <v>5130</v>
      </c>
      <c r="E1652" s="18" t="s">
        <v>954</v>
      </c>
      <c r="F1652" s="19" t="s">
        <v>4980</v>
      </c>
      <c r="G1652" s="18" t="s">
        <v>4981</v>
      </c>
      <c r="H1652" s="20" t="s">
        <v>5131</v>
      </c>
      <c r="I1652" s="15">
        <v>1</v>
      </c>
      <c r="J1652" s="15" t="s">
        <v>24</v>
      </c>
      <c r="K1652" s="15"/>
      <c r="L1652" s="21" t="s">
        <v>16</v>
      </c>
      <c r="M1652" s="22">
        <v>0</v>
      </c>
      <c r="N1652" s="22">
        <v>-720</v>
      </c>
      <c r="O1652" s="22">
        <v>6480</v>
      </c>
      <c r="P1652" s="22">
        <v>6480</v>
      </c>
      <c r="Q1652" t="str" cm="1">
        <f t="array" ref="Q1652">_xlfn.TEXTJOIN("、",TRUE,IF('學員資料-三民高中'!$B$2:$B$454=$F1652,'學員資料-三民高中'!$G$2:$G$454,""))</f>
        <v>0920016796</v>
      </c>
      <c r="R1652" t="str" cm="1">
        <f t="array" ref="R1652">_xlfn.TEXTJOIN("、",TRUE,IF('學員資料-新北高中'!$B$2:$B$583=$F1652,'學員資料-新北高中'!$G$2:$G$583,""))</f>
        <v/>
      </c>
      <c r="S1652" t="str" cm="1">
        <f t="array" ref="S1652">_xlfn.TEXTJOIN("、",TRUE,IF('學員資料-三重商工'!$B$2:$B$472=$F1652,'學員資料-三重商工'!$G$2:$G$472,""))</f>
        <v/>
      </c>
      <c r="T1652">
        <f t="shared" si="25"/>
        <v>1</v>
      </c>
    </row>
    <row r="1653" spans="1:20" ht="28.5" hidden="1" customHeight="1">
      <c r="A1653" s="15">
        <v>1652</v>
      </c>
      <c r="B1653" s="16" t="s">
        <v>5132</v>
      </c>
      <c r="C1653" s="17">
        <v>45659</v>
      </c>
      <c r="D1653" s="15" t="s">
        <v>5133</v>
      </c>
      <c r="E1653" s="18" t="s">
        <v>954</v>
      </c>
      <c r="F1653" s="19" t="s">
        <v>1836</v>
      </c>
      <c r="G1653" s="18" t="s">
        <v>1837</v>
      </c>
      <c r="H1653" s="20" t="s">
        <v>1838</v>
      </c>
      <c r="I1653" s="15">
        <v>2</v>
      </c>
      <c r="J1653" s="15" t="s">
        <v>24</v>
      </c>
      <c r="K1653" s="15"/>
      <c r="L1653" s="21" t="s">
        <v>16</v>
      </c>
      <c r="M1653" s="22">
        <v>0</v>
      </c>
      <c r="N1653" s="22">
        <v>0</v>
      </c>
      <c r="O1653" s="22">
        <v>21600</v>
      </c>
      <c r="P1653" s="22">
        <v>21600</v>
      </c>
      <c r="Q1653" t="str" cm="1">
        <f t="array" ref="Q1653">_xlfn.TEXTJOIN("、",TRUE,IF('學員資料-三民高中'!$B$2:$B$454=$F1653,'學員資料-三民高中'!$G$2:$G$454,""))</f>
        <v/>
      </c>
      <c r="R1653" t="str" cm="1">
        <f t="array" ref="R1653">_xlfn.TEXTJOIN("、",TRUE,IF('學員資料-新北高中'!$B$2:$B$583=$F1653,'學員資料-新北高中'!$G$2:$G$583,""))</f>
        <v>0919982200</v>
      </c>
      <c r="S1653" t="str" cm="1">
        <f t="array" ref="S1653">_xlfn.TEXTJOIN("、",TRUE,IF('學員資料-三重商工'!$B$2:$B$472=$F1653,'學員資料-三重商工'!$G$2:$G$472,""))</f>
        <v/>
      </c>
      <c r="T1653">
        <f t="shared" si="25"/>
        <v>1</v>
      </c>
    </row>
    <row r="1654" spans="1:20" ht="28.5" hidden="1" customHeight="1">
      <c r="A1654" s="15">
        <v>1653</v>
      </c>
      <c r="B1654" s="16" t="s">
        <v>5134</v>
      </c>
      <c r="C1654" s="17">
        <v>45657</v>
      </c>
      <c r="D1654" s="15" t="s">
        <v>5135</v>
      </c>
      <c r="E1654" s="18" t="s">
        <v>954</v>
      </c>
      <c r="F1654" s="19" t="s">
        <v>5136</v>
      </c>
      <c r="G1654" s="18" t="s">
        <v>5137</v>
      </c>
      <c r="H1654" s="20" t="s">
        <v>5138</v>
      </c>
      <c r="I1654" s="15">
        <v>2</v>
      </c>
      <c r="J1654" s="15" t="s">
        <v>23</v>
      </c>
      <c r="K1654" s="15"/>
      <c r="L1654" s="21" t="s">
        <v>16</v>
      </c>
      <c r="M1654" s="22">
        <v>0</v>
      </c>
      <c r="N1654" s="22">
        <v>0</v>
      </c>
      <c r="O1654" s="22">
        <v>14400</v>
      </c>
      <c r="P1654" s="22">
        <v>14400</v>
      </c>
      <c r="Q1654" t="str" cm="1">
        <f t="array" ref="Q1654">_xlfn.TEXTJOIN("、",TRUE,IF('學員資料-三民高中'!$B$2:$B$454=$F1654,'學員資料-三民高中'!$G$2:$G$454,""))</f>
        <v/>
      </c>
      <c r="R1654" t="str" cm="1">
        <f t="array" ref="R1654">_xlfn.TEXTJOIN("、",TRUE,IF('學員資料-新北高中'!$B$2:$B$583=$F1654,'學員資料-新北高中'!$G$2:$G$583,""))</f>
        <v/>
      </c>
      <c r="S1654" t="str" cm="1">
        <f t="array" ref="S1654">_xlfn.TEXTJOIN("、",TRUE,IF('學員資料-三重商工'!$B$2:$B$472=$F1654,'學員資料-三重商工'!$G$2:$G$472,""))</f>
        <v>0939933382</v>
      </c>
      <c r="T1654">
        <f t="shared" si="25"/>
        <v>1</v>
      </c>
    </row>
    <row r="1655" spans="1:20" ht="57.75" hidden="1" customHeight="1">
      <c r="A1655" s="15">
        <v>1654</v>
      </c>
      <c r="B1655" s="16" t="s">
        <v>5139</v>
      </c>
      <c r="C1655" s="17">
        <v>45657</v>
      </c>
      <c r="D1655" s="15" t="s">
        <v>5140</v>
      </c>
      <c r="E1655" s="18" t="s">
        <v>954</v>
      </c>
      <c r="F1655" s="19" t="s">
        <v>1482</v>
      </c>
      <c r="G1655" s="18" t="s">
        <v>1483</v>
      </c>
      <c r="H1655" s="20" t="s">
        <v>5141</v>
      </c>
      <c r="I1655" s="15">
        <v>4</v>
      </c>
      <c r="J1655" s="15" t="s">
        <v>24</v>
      </c>
      <c r="K1655" s="15"/>
      <c r="L1655" s="21" t="s">
        <v>16</v>
      </c>
      <c r="M1655" s="22">
        <v>0</v>
      </c>
      <c r="N1655" s="22">
        <v>-8640</v>
      </c>
      <c r="O1655" s="22">
        <v>25920</v>
      </c>
      <c r="P1655" s="22">
        <v>25920</v>
      </c>
      <c r="Q1655" t="str" cm="1">
        <f t="array" ref="Q1655">_xlfn.TEXTJOIN("、",TRUE,IF('學員資料-三民高中'!$B$2:$B$454=$F1655,'學員資料-三民高中'!$G$2:$G$454,""))</f>
        <v/>
      </c>
      <c r="R1655" t="str" cm="1">
        <f t="array" ref="R1655">_xlfn.TEXTJOIN("、",TRUE,IF('學員資料-新北高中'!$B$2:$B$583=$F1655,'學員資料-新北高中'!$G$2:$G$583,""))</f>
        <v/>
      </c>
      <c r="S1655" t="str" cm="1">
        <f t="array" ref="S1655">_xlfn.TEXTJOIN("、",TRUE,IF('學員資料-三重商工'!$B$2:$B$472=$F1655,'學員資料-三重商工'!$G$2:$G$472,""))</f>
        <v>0958264081</v>
      </c>
      <c r="T1655">
        <f t="shared" si="25"/>
        <v>1</v>
      </c>
    </row>
    <row r="1656" spans="1:20" ht="28.5" hidden="1" customHeight="1">
      <c r="A1656" s="15">
        <v>1655</v>
      </c>
      <c r="B1656" s="16" t="s">
        <v>5142</v>
      </c>
      <c r="C1656" s="17">
        <v>45657</v>
      </c>
      <c r="D1656" s="15" t="s">
        <v>5143</v>
      </c>
      <c r="E1656" s="18" t="s">
        <v>954</v>
      </c>
      <c r="F1656" s="19" t="s">
        <v>4257</v>
      </c>
      <c r="G1656" s="18" t="s">
        <v>4258</v>
      </c>
      <c r="H1656" s="20" t="s">
        <v>5138</v>
      </c>
      <c r="I1656" s="15">
        <v>2</v>
      </c>
      <c r="J1656" s="15" t="s">
        <v>23</v>
      </c>
      <c r="K1656" s="15"/>
      <c r="L1656" s="21" t="s">
        <v>16</v>
      </c>
      <c r="M1656" s="22">
        <v>0</v>
      </c>
      <c r="N1656" s="22">
        <v>0</v>
      </c>
      <c r="O1656" s="22">
        <v>14400</v>
      </c>
      <c r="P1656" s="22">
        <v>14400</v>
      </c>
      <c r="Q1656" t="str" cm="1">
        <f t="array" ref="Q1656">_xlfn.TEXTJOIN("、",TRUE,IF('學員資料-三民高中'!$B$2:$B$454=$F1656,'學員資料-三民高中'!$G$2:$G$454,""))</f>
        <v/>
      </c>
      <c r="R1656" t="str" cm="1">
        <f t="array" ref="R1656">_xlfn.TEXTJOIN("、",TRUE,IF('學員資料-新北高中'!$B$2:$B$583=$F1656,'學員資料-新北高中'!$G$2:$G$583,""))</f>
        <v/>
      </c>
      <c r="S1656" t="str" cm="1">
        <f t="array" ref="S1656">_xlfn.TEXTJOIN("、",TRUE,IF('學員資料-三重商工'!$B$2:$B$472=$F1656,'學員資料-三重商工'!$G$2:$G$472,""))</f>
        <v>0917151923</v>
      </c>
      <c r="T1656">
        <f t="shared" si="25"/>
        <v>1</v>
      </c>
    </row>
    <row r="1657" spans="1:20" ht="14.25" hidden="1" customHeight="1">
      <c r="A1657" s="15">
        <v>1656</v>
      </c>
      <c r="B1657" s="16" t="s">
        <v>5144</v>
      </c>
      <c r="C1657" s="17">
        <v>45657</v>
      </c>
      <c r="D1657" s="15" t="s">
        <v>5145</v>
      </c>
      <c r="E1657" s="18" t="s">
        <v>954</v>
      </c>
      <c r="F1657" s="19" t="s">
        <v>5146</v>
      </c>
      <c r="G1657" s="18" t="s">
        <v>5147</v>
      </c>
      <c r="H1657" s="20" t="s">
        <v>5148</v>
      </c>
      <c r="I1657" s="15">
        <v>1</v>
      </c>
      <c r="J1657" s="15" t="s">
        <v>25</v>
      </c>
      <c r="K1657" s="15"/>
      <c r="L1657" s="21" t="s">
        <v>16</v>
      </c>
      <c r="M1657" s="22">
        <v>0</v>
      </c>
      <c r="N1657" s="22">
        <v>0</v>
      </c>
      <c r="O1657" s="22">
        <v>9000</v>
      </c>
      <c r="P1657" s="22">
        <v>9000</v>
      </c>
      <c r="Q1657" t="str" cm="1">
        <f t="array" ref="Q1657">_xlfn.TEXTJOIN("、",TRUE,IF('學員資料-三民高中'!$B$2:$B$454=$F1657,'學員資料-三民高中'!$G$2:$G$454,""))</f>
        <v/>
      </c>
      <c r="R1657" t="str" cm="1">
        <f t="array" ref="R1657">_xlfn.TEXTJOIN("、",TRUE,IF('學員資料-新北高中'!$B$2:$B$583=$F1657,'學員資料-新北高中'!$G$2:$G$583,""))</f>
        <v/>
      </c>
      <c r="S1657" t="str" cm="1">
        <f t="array" ref="S1657">_xlfn.TEXTJOIN("、",TRUE,IF('學員資料-三重商工'!$B$2:$B$472=$F1657,'學員資料-三重商工'!$G$2:$G$472,""))</f>
        <v>0910882858</v>
      </c>
      <c r="T1657">
        <f t="shared" si="25"/>
        <v>1</v>
      </c>
    </row>
    <row r="1658" spans="1:20" ht="28.5" hidden="1" customHeight="1">
      <c r="A1658" s="15">
        <v>1657</v>
      </c>
      <c r="B1658" s="16" t="s">
        <v>5149</v>
      </c>
      <c r="C1658" s="17">
        <v>45657</v>
      </c>
      <c r="D1658" s="15" t="s">
        <v>5150</v>
      </c>
      <c r="E1658" s="18" t="s">
        <v>954</v>
      </c>
      <c r="F1658" s="19" t="s">
        <v>4271</v>
      </c>
      <c r="G1658" s="18" t="s">
        <v>4272</v>
      </c>
      <c r="H1658" s="20" t="s">
        <v>5151</v>
      </c>
      <c r="I1658" s="15">
        <v>2</v>
      </c>
      <c r="J1658" s="15" t="s">
        <v>24</v>
      </c>
      <c r="K1658" s="15"/>
      <c r="L1658" s="21" t="s">
        <v>16</v>
      </c>
      <c r="M1658" s="22">
        <v>0</v>
      </c>
      <c r="N1658" s="22">
        <v>0</v>
      </c>
      <c r="O1658" s="22">
        <v>17280</v>
      </c>
      <c r="P1658" s="22">
        <v>17280</v>
      </c>
      <c r="Q1658" t="str" cm="1">
        <f t="array" ref="Q1658">_xlfn.TEXTJOIN("、",TRUE,IF('學員資料-三民高中'!$B$2:$B$454=$F1658,'學員資料-三民高中'!$G$2:$G$454,""))</f>
        <v/>
      </c>
      <c r="R1658" t="str" cm="1">
        <f t="array" ref="R1658">_xlfn.TEXTJOIN("、",TRUE,IF('學員資料-新北高中'!$B$2:$B$583=$F1658,'學員資料-新北高中'!$G$2:$G$583,""))</f>
        <v/>
      </c>
      <c r="S1658" t="str" cm="1">
        <f t="array" ref="S1658">_xlfn.TEXTJOIN("、",TRUE,IF('學員資料-三重商工'!$B$2:$B$472=$F1658,'學員資料-三重商工'!$G$2:$G$472,""))</f>
        <v>0921604248</v>
      </c>
      <c r="T1658">
        <f t="shared" si="25"/>
        <v>1</v>
      </c>
    </row>
    <row r="1659" spans="1:20" ht="28.5" hidden="1" customHeight="1">
      <c r="A1659" s="15">
        <v>1658</v>
      </c>
      <c r="B1659" s="16" t="s">
        <v>5152</v>
      </c>
      <c r="C1659" s="17">
        <v>45657</v>
      </c>
      <c r="D1659" s="15" t="s">
        <v>5153</v>
      </c>
      <c r="E1659" s="18" t="s">
        <v>954</v>
      </c>
      <c r="F1659" s="19" t="s">
        <v>5078</v>
      </c>
      <c r="G1659" s="18" t="s">
        <v>5079</v>
      </c>
      <c r="H1659" s="20" t="s">
        <v>5154</v>
      </c>
      <c r="I1659" s="15">
        <v>2</v>
      </c>
      <c r="J1659" s="15" t="s">
        <v>24</v>
      </c>
      <c r="K1659" s="15"/>
      <c r="L1659" s="21" t="s">
        <v>16</v>
      </c>
      <c r="M1659" s="22">
        <v>0</v>
      </c>
      <c r="N1659" s="22">
        <v>0</v>
      </c>
      <c r="O1659" s="22">
        <v>14400</v>
      </c>
      <c r="P1659" s="22">
        <v>14400</v>
      </c>
      <c r="Q1659" t="str" cm="1">
        <f t="array" ref="Q1659">_xlfn.TEXTJOIN("、",TRUE,IF('學員資料-三民高中'!$B$2:$B$454=$F1659,'學員資料-三民高中'!$G$2:$G$454,""))</f>
        <v/>
      </c>
      <c r="R1659" t="str" cm="1">
        <f t="array" ref="R1659">_xlfn.TEXTJOIN("、",TRUE,IF('學員資料-新北高中'!$B$2:$B$583=$F1659,'學員資料-新北高中'!$G$2:$G$583,""))</f>
        <v/>
      </c>
      <c r="S1659" t="str" cm="1">
        <f t="array" ref="S1659">_xlfn.TEXTJOIN("、",TRUE,IF('學員資料-三重商工'!$B$2:$B$472=$F1659,'學員資料-三重商工'!$G$2:$G$472,""))</f>
        <v>0919917502</v>
      </c>
      <c r="T1659">
        <f t="shared" si="25"/>
        <v>1</v>
      </c>
    </row>
    <row r="1660" spans="1:20" ht="43.5" hidden="1" customHeight="1">
      <c r="A1660" s="15">
        <v>1659</v>
      </c>
      <c r="B1660" s="16" t="s">
        <v>5155</v>
      </c>
      <c r="C1660" s="17">
        <v>45657</v>
      </c>
      <c r="D1660" s="15" t="s">
        <v>5156</v>
      </c>
      <c r="E1660" s="18" t="s">
        <v>954</v>
      </c>
      <c r="F1660" s="19" t="s">
        <v>1756</v>
      </c>
      <c r="G1660" s="18" t="s">
        <v>1757</v>
      </c>
      <c r="H1660" s="20" t="s">
        <v>5157</v>
      </c>
      <c r="I1660" s="15">
        <v>3</v>
      </c>
      <c r="J1660" s="15" t="s">
        <v>23</v>
      </c>
      <c r="K1660" s="15"/>
      <c r="L1660" s="21" t="s">
        <v>16</v>
      </c>
      <c r="M1660" s="22">
        <v>0</v>
      </c>
      <c r="N1660" s="22">
        <v>0</v>
      </c>
      <c r="O1660" s="22">
        <v>19800</v>
      </c>
      <c r="P1660" s="22">
        <v>19800</v>
      </c>
      <c r="Q1660" t="str" cm="1">
        <f t="array" ref="Q1660">_xlfn.TEXTJOIN("、",TRUE,IF('學員資料-三民高中'!$B$2:$B$454=$F1660,'學員資料-三民高中'!$G$2:$G$454,""))</f>
        <v/>
      </c>
      <c r="R1660" t="str" cm="1">
        <f t="array" ref="R1660">_xlfn.TEXTJOIN("、",TRUE,IF('學員資料-新北高中'!$B$2:$B$583=$F1660,'學員資料-新北高中'!$G$2:$G$583,""))</f>
        <v/>
      </c>
      <c r="S1660" t="str" cm="1">
        <f t="array" ref="S1660">_xlfn.TEXTJOIN("、",TRUE,IF('學員資料-三重商工'!$B$2:$B$472=$F1660,'學員資料-三重商工'!$G$2:$G$472,""))</f>
        <v>0975650503</v>
      </c>
      <c r="T1660">
        <f t="shared" si="25"/>
        <v>1</v>
      </c>
    </row>
    <row r="1661" spans="1:20" ht="14.25" hidden="1" customHeight="1">
      <c r="A1661" s="15">
        <v>1660</v>
      </c>
      <c r="B1661" s="16" t="s">
        <v>5158</v>
      </c>
      <c r="C1661" s="17">
        <v>45657</v>
      </c>
      <c r="D1661" s="15" t="s">
        <v>4120</v>
      </c>
      <c r="E1661" s="18" t="s">
        <v>954</v>
      </c>
      <c r="F1661" s="19" t="s">
        <v>569</v>
      </c>
      <c r="G1661" s="18" t="s">
        <v>570</v>
      </c>
      <c r="H1661" s="20" t="s">
        <v>5131</v>
      </c>
      <c r="I1661" s="15">
        <v>1</v>
      </c>
      <c r="J1661" s="15" t="s">
        <v>24</v>
      </c>
      <c r="K1661" s="15"/>
      <c r="L1661" s="21" t="s">
        <v>16</v>
      </c>
      <c r="M1661" s="22">
        <v>0</v>
      </c>
      <c r="N1661" s="22">
        <v>0</v>
      </c>
      <c r="O1661" s="22">
        <v>7200</v>
      </c>
      <c r="P1661" s="22">
        <v>7200</v>
      </c>
      <c r="Q1661" t="str" cm="1">
        <f t="array" ref="Q1661">_xlfn.TEXTJOIN("、",TRUE,IF('學員資料-三民高中'!$B$2:$B$454=$F1661,'學員資料-三民高中'!$G$2:$G$454,""))</f>
        <v/>
      </c>
      <c r="R1661" t="str" cm="1">
        <f t="array" ref="R1661">_xlfn.TEXTJOIN("、",TRUE,IF('學員資料-新北高中'!$B$2:$B$583=$F1661,'學員資料-新北高中'!$G$2:$G$583,""))</f>
        <v>0963296308</v>
      </c>
      <c r="S1661" t="str" cm="1">
        <f t="array" ref="S1661">_xlfn.TEXTJOIN("、",TRUE,IF('學員資料-三重商工'!$B$2:$B$472=$F1661,'學員資料-三重商工'!$G$2:$G$472,""))</f>
        <v/>
      </c>
      <c r="T1661">
        <f t="shared" si="25"/>
        <v>1</v>
      </c>
    </row>
    <row r="1662" spans="1:20" ht="14.25" hidden="1" customHeight="1">
      <c r="A1662" s="15">
        <v>1661</v>
      </c>
      <c r="B1662" s="16" t="s">
        <v>5159</v>
      </c>
      <c r="C1662" s="17">
        <v>45657</v>
      </c>
      <c r="D1662" s="15" t="s">
        <v>5160</v>
      </c>
      <c r="E1662" s="18" t="s">
        <v>954</v>
      </c>
      <c r="F1662" s="19" t="s">
        <v>4328</v>
      </c>
      <c r="G1662" s="18" t="s">
        <v>4329</v>
      </c>
      <c r="H1662" s="20" t="s">
        <v>5131</v>
      </c>
      <c r="I1662" s="15">
        <v>1</v>
      </c>
      <c r="J1662" s="15" t="s">
        <v>24</v>
      </c>
      <c r="K1662" s="15"/>
      <c r="L1662" s="21" t="s">
        <v>16</v>
      </c>
      <c r="M1662" s="22">
        <v>0</v>
      </c>
      <c r="N1662" s="22">
        <v>0</v>
      </c>
      <c r="O1662" s="22">
        <v>7200</v>
      </c>
      <c r="P1662" s="22">
        <v>7200</v>
      </c>
      <c r="Q1662" t="str" cm="1">
        <f t="array" ref="Q1662">_xlfn.TEXTJOIN("、",TRUE,IF('學員資料-三民高中'!$B$2:$B$454=$F1662,'學員資料-三民高中'!$G$2:$G$454,""))</f>
        <v>0934272195</v>
      </c>
      <c r="R1662" t="str" cm="1">
        <f t="array" ref="R1662">_xlfn.TEXTJOIN("、",TRUE,IF('學員資料-新北高中'!$B$2:$B$583=$F1662,'學員資料-新北高中'!$G$2:$G$583,""))</f>
        <v/>
      </c>
      <c r="S1662" t="str" cm="1">
        <f t="array" ref="S1662">_xlfn.TEXTJOIN("、",TRUE,IF('學員資料-三重商工'!$B$2:$B$472=$F1662,'學員資料-三重商工'!$G$2:$G$472,""))</f>
        <v/>
      </c>
      <c r="T1662">
        <f t="shared" si="25"/>
        <v>1</v>
      </c>
    </row>
    <row r="1663" spans="1:20" ht="14.25" hidden="1" customHeight="1">
      <c r="A1663" s="15">
        <v>1662</v>
      </c>
      <c r="B1663" s="16" t="s">
        <v>5161</v>
      </c>
      <c r="C1663" s="17">
        <v>45657</v>
      </c>
      <c r="D1663" s="15" t="s">
        <v>5162</v>
      </c>
      <c r="E1663" s="18" t="s">
        <v>954</v>
      </c>
      <c r="F1663" s="19" t="s">
        <v>1756</v>
      </c>
      <c r="G1663" s="18" t="s">
        <v>1757</v>
      </c>
      <c r="H1663" s="20" t="s">
        <v>5163</v>
      </c>
      <c r="I1663" s="15">
        <v>1</v>
      </c>
      <c r="J1663" s="15" t="s">
        <v>23</v>
      </c>
      <c r="K1663" s="15"/>
      <c r="L1663" s="21" t="s">
        <v>16</v>
      </c>
      <c r="M1663" s="22">
        <v>0</v>
      </c>
      <c r="N1663" s="22">
        <v>0</v>
      </c>
      <c r="O1663" s="22">
        <v>6600</v>
      </c>
      <c r="P1663" s="22">
        <v>6600</v>
      </c>
      <c r="Q1663" t="str" cm="1">
        <f t="array" ref="Q1663">_xlfn.TEXTJOIN("、",TRUE,IF('學員資料-三民高中'!$B$2:$B$454=$F1663,'學員資料-三民高中'!$G$2:$G$454,""))</f>
        <v/>
      </c>
      <c r="R1663" t="str" cm="1">
        <f t="array" ref="R1663">_xlfn.TEXTJOIN("、",TRUE,IF('學員資料-新北高中'!$B$2:$B$583=$F1663,'學員資料-新北高中'!$G$2:$G$583,""))</f>
        <v/>
      </c>
      <c r="S1663" t="str" cm="1">
        <f t="array" ref="S1663">_xlfn.TEXTJOIN("、",TRUE,IF('學員資料-三重商工'!$B$2:$B$472=$F1663,'學員資料-三重商工'!$G$2:$G$472,""))</f>
        <v>0975650503</v>
      </c>
      <c r="T1663">
        <f t="shared" si="25"/>
        <v>1</v>
      </c>
    </row>
    <row r="1664" spans="1:20" ht="28.5" hidden="1" customHeight="1">
      <c r="A1664" s="15">
        <v>1663</v>
      </c>
      <c r="B1664" s="16" t="s">
        <v>5164</v>
      </c>
      <c r="C1664" s="17">
        <v>45657</v>
      </c>
      <c r="D1664" s="15" t="s">
        <v>5165</v>
      </c>
      <c r="E1664" s="18" t="s">
        <v>954</v>
      </c>
      <c r="F1664" s="19" t="s">
        <v>5166</v>
      </c>
      <c r="G1664" s="18" t="s">
        <v>5167</v>
      </c>
      <c r="H1664" s="20" t="s">
        <v>5154</v>
      </c>
      <c r="I1664" s="15">
        <v>2</v>
      </c>
      <c r="J1664" s="15" t="s">
        <v>24</v>
      </c>
      <c r="K1664" s="15"/>
      <c r="L1664" s="21" t="s">
        <v>16</v>
      </c>
      <c r="M1664" s="22">
        <v>0</v>
      </c>
      <c r="N1664" s="22">
        <v>0</v>
      </c>
      <c r="O1664" s="22">
        <v>14400</v>
      </c>
      <c r="P1664" s="22">
        <v>14400</v>
      </c>
      <c r="Q1664" t="str" cm="1">
        <f t="array" ref="Q1664">_xlfn.TEXTJOIN("、",TRUE,IF('學員資料-三民高中'!$B$2:$B$454=$F1664,'學員資料-三民高中'!$G$2:$G$454,""))</f>
        <v>0937399561-1</v>
      </c>
      <c r="R1664" t="str" cm="1">
        <f t="array" ref="R1664">_xlfn.TEXTJOIN("、",TRUE,IF('學員資料-新北高中'!$B$2:$B$583=$F1664,'學員資料-新北高中'!$G$2:$G$583,""))</f>
        <v/>
      </c>
      <c r="S1664" t="str" cm="1">
        <f t="array" ref="S1664">_xlfn.TEXTJOIN("、",TRUE,IF('學員資料-三重商工'!$B$2:$B$472=$F1664,'學員資料-三重商工'!$G$2:$G$472,""))</f>
        <v/>
      </c>
      <c r="T1664">
        <f t="shared" si="25"/>
        <v>1</v>
      </c>
    </row>
    <row r="1665" spans="1:20" ht="14.25" hidden="1" customHeight="1">
      <c r="A1665" s="15">
        <v>1664</v>
      </c>
      <c r="B1665" s="16" t="s">
        <v>5168</v>
      </c>
      <c r="C1665" s="17">
        <v>45657</v>
      </c>
      <c r="D1665" s="15" t="s">
        <v>5169</v>
      </c>
      <c r="E1665" s="18" t="s">
        <v>954</v>
      </c>
      <c r="F1665" s="19" t="s">
        <v>4817</v>
      </c>
      <c r="G1665" s="18" t="s">
        <v>4818</v>
      </c>
      <c r="H1665" s="20" t="s">
        <v>5163</v>
      </c>
      <c r="I1665" s="15">
        <v>1</v>
      </c>
      <c r="J1665" s="15" t="s">
        <v>23</v>
      </c>
      <c r="K1665" s="15"/>
      <c r="L1665" s="21" t="s">
        <v>16</v>
      </c>
      <c r="M1665" s="22">
        <v>0</v>
      </c>
      <c r="N1665" s="22">
        <v>0</v>
      </c>
      <c r="O1665" s="22">
        <v>6600</v>
      </c>
      <c r="P1665" s="22">
        <v>6600</v>
      </c>
      <c r="Q1665" t="str" cm="1">
        <f t="array" ref="Q1665">_xlfn.TEXTJOIN("、",TRUE,IF('學員資料-三民高中'!$B$2:$B$454=$F1665,'學員資料-三民高中'!$G$2:$G$454,""))</f>
        <v>0905580274</v>
      </c>
      <c r="R1665" t="str" cm="1">
        <f t="array" ref="R1665">_xlfn.TEXTJOIN("、",TRUE,IF('學員資料-新北高中'!$B$2:$B$583=$F1665,'學員資料-新北高中'!$G$2:$G$583,""))</f>
        <v/>
      </c>
      <c r="S1665" t="str" cm="1">
        <f t="array" ref="S1665">_xlfn.TEXTJOIN("、",TRUE,IF('學員資料-三重商工'!$B$2:$B$472=$F1665,'學員資料-三重商工'!$G$2:$G$472,""))</f>
        <v/>
      </c>
      <c r="T1665">
        <f t="shared" si="25"/>
        <v>1</v>
      </c>
    </row>
    <row r="1666" spans="1:20" ht="28.5" hidden="1" customHeight="1">
      <c r="A1666" s="15">
        <v>1665</v>
      </c>
      <c r="B1666" s="16" t="s">
        <v>5170</v>
      </c>
      <c r="C1666" s="17">
        <v>45657</v>
      </c>
      <c r="D1666" s="15" t="s">
        <v>5171</v>
      </c>
      <c r="E1666" s="18" t="s">
        <v>954</v>
      </c>
      <c r="F1666" s="19" t="s">
        <v>3161</v>
      </c>
      <c r="G1666" s="18" t="s">
        <v>3162</v>
      </c>
      <c r="H1666" s="20" t="s">
        <v>5154</v>
      </c>
      <c r="I1666" s="15">
        <v>2</v>
      </c>
      <c r="J1666" s="15" t="s">
        <v>24</v>
      </c>
      <c r="K1666" s="15"/>
      <c r="L1666" s="21" t="s">
        <v>16</v>
      </c>
      <c r="M1666" s="22">
        <v>0</v>
      </c>
      <c r="N1666" s="22">
        <v>0</v>
      </c>
      <c r="O1666" s="22">
        <v>14400</v>
      </c>
      <c r="P1666" s="22">
        <v>14400</v>
      </c>
      <c r="Q1666" t="str" cm="1">
        <f t="array" ref="Q1666">_xlfn.TEXTJOIN("、",TRUE,IF('學員資料-三民高中'!$B$2:$B$454=$F1666,'學員資料-三民高中'!$G$2:$G$454,""))</f>
        <v>0911283587</v>
      </c>
      <c r="R1666" t="str" cm="1">
        <f t="array" ref="R1666">_xlfn.TEXTJOIN("、",TRUE,IF('學員資料-新北高中'!$B$2:$B$583=$F1666,'學員資料-新北高中'!$G$2:$G$583,""))</f>
        <v/>
      </c>
      <c r="S1666" t="str" cm="1">
        <f t="array" ref="S1666">_xlfn.TEXTJOIN("、",TRUE,IF('學員資料-三重商工'!$B$2:$B$472=$F1666,'學員資料-三重商工'!$G$2:$G$472,""))</f>
        <v/>
      </c>
      <c r="T1666">
        <f t="shared" si="25"/>
        <v>1</v>
      </c>
    </row>
    <row r="1667" spans="1:20" ht="14.25" hidden="1" customHeight="1">
      <c r="A1667" s="15">
        <v>1666</v>
      </c>
      <c r="B1667" s="16" t="s">
        <v>5172</v>
      </c>
      <c r="C1667" s="17">
        <v>45657</v>
      </c>
      <c r="D1667" s="15" t="s">
        <v>5173</v>
      </c>
      <c r="E1667" s="18" t="s">
        <v>954</v>
      </c>
      <c r="F1667" s="19" t="s">
        <v>5174</v>
      </c>
      <c r="G1667" s="18" t="s">
        <v>5175</v>
      </c>
      <c r="H1667" s="20" t="s">
        <v>5163</v>
      </c>
      <c r="I1667" s="15">
        <v>1</v>
      </c>
      <c r="J1667" s="15" t="s">
        <v>23</v>
      </c>
      <c r="K1667" s="15"/>
      <c r="L1667" s="21" t="s">
        <v>16</v>
      </c>
      <c r="M1667" s="22">
        <v>0</v>
      </c>
      <c r="N1667" s="22">
        <v>0</v>
      </c>
      <c r="O1667" s="22">
        <v>6600</v>
      </c>
      <c r="P1667" s="22">
        <v>6600</v>
      </c>
      <c r="Q1667" t="str" cm="1">
        <f t="array" ref="Q1667">_xlfn.TEXTJOIN("、",TRUE,IF('學員資料-三民高中'!$B$2:$B$454=$F1667,'學員資料-三民高中'!$G$2:$G$454,""))</f>
        <v/>
      </c>
      <c r="R1667" t="str" cm="1">
        <f t="array" ref="R1667">_xlfn.TEXTJOIN("、",TRUE,IF('學員資料-新北高中'!$B$2:$B$583=$F1667,'學員資料-新北高中'!$G$2:$G$583,""))</f>
        <v>0911502818</v>
      </c>
      <c r="S1667" t="str" cm="1">
        <f t="array" ref="S1667">_xlfn.TEXTJOIN("、",TRUE,IF('學員資料-三重商工'!$B$2:$B$472=$F1667,'學員資料-三重商工'!$G$2:$G$472,""))</f>
        <v/>
      </c>
      <c r="T1667">
        <f t="shared" ref="T1667:T1730" si="26">3-COUNTBLANK(Q1667:S1667)</f>
        <v>1</v>
      </c>
    </row>
    <row r="1668" spans="1:20" ht="14.25" hidden="1" customHeight="1">
      <c r="A1668" s="15">
        <v>1667</v>
      </c>
      <c r="B1668" s="16" t="s">
        <v>5176</v>
      </c>
      <c r="C1668" s="17">
        <v>45656</v>
      </c>
      <c r="D1668" s="15" t="s">
        <v>5177</v>
      </c>
      <c r="E1668" s="18" t="s">
        <v>954</v>
      </c>
      <c r="F1668" s="19" t="s">
        <v>5178</v>
      </c>
      <c r="G1668" s="18" t="s">
        <v>5179</v>
      </c>
      <c r="H1668" s="20" t="s">
        <v>5180</v>
      </c>
      <c r="I1668" s="15">
        <v>1</v>
      </c>
      <c r="J1668" s="15" t="s">
        <v>24</v>
      </c>
      <c r="K1668" s="15"/>
      <c r="L1668" s="21" t="s">
        <v>16</v>
      </c>
      <c r="M1668" s="22">
        <v>0</v>
      </c>
      <c r="N1668" s="22">
        <v>0</v>
      </c>
      <c r="O1668" s="22">
        <v>8640</v>
      </c>
      <c r="P1668" s="22">
        <v>8640</v>
      </c>
      <c r="Q1668" t="str" cm="1">
        <f t="array" ref="Q1668">_xlfn.TEXTJOIN("、",TRUE,IF('學員資料-三民高中'!$B$2:$B$454=$F1668,'學員資料-三民高中'!$G$2:$G$454,""))</f>
        <v/>
      </c>
      <c r="R1668" t="str" cm="1">
        <f t="array" ref="R1668">_xlfn.TEXTJOIN("、",TRUE,IF('學員資料-新北高中'!$B$2:$B$583=$F1668,'學員資料-新北高中'!$G$2:$G$583,""))</f>
        <v/>
      </c>
      <c r="S1668" t="str" cm="1">
        <f t="array" ref="S1668">_xlfn.TEXTJOIN("、",TRUE,IF('學員資料-三重商工'!$B$2:$B$472=$F1668,'學員資料-三重商工'!$G$2:$G$472,""))</f>
        <v>0983628635</v>
      </c>
      <c r="T1668">
        <f t="shared" si="26"/>
        <v>1</v>
      </c>
    </row>
    <row r="1669" spans="1:20" ht="14.25" hidden="1" customHeight="1">
      <c r="A1669" s="15">
        <v>1668</v>
      </c>
      <c r="B1669" s="16" t="s">
        <v>5181</v>
      </c>
      <c r="C1669" s="17">
        <v>45656</v>
      </c>
      <c r="D1669" s="15" t="s">
        <v>5182</v>
      </c>
      <c r="E1669" s="18" t="s">
        <v>954</v>
      </c>
      <c r="F1669" s="19" t="s">
        <v>5178</v>
      </c>
      <c r="G1669" s="18" t="s">
        <v>5179</v>
      </c>
      <c r="H1669" s="20" t="s">
        <v>5180</v>
      </c>
      <c r="I1669" s="15">
        <v>1</v>
      </c>
      <c r="J1669" s="15" t="s">
        <v>24</v>
      </c>
      <c r="K1669" s="15"/>
      <c r="L1669" s="21" t="s">
        <v>16</v>
      </c>
      <c r="M1669" s="22">
        <v>0</v>
      </c>
      <c r="N1669" s="22">
        <v>0</v>
      </c>
      <c r="O1669" s="22">
        <v>8640</v>
      </c>
      <c r="P1669" s="22">
        <v>8640</v>
      </c>
      <c r="Q1669" t="str" cm="1">
        <f t="array" ref="Q1669">_xlfn.TEXTJOIN("、",TRUE,IF('學員資料-三民高中'!$B$2:$B$454=$F1669,'學員資料-三民高中'!$G$2:$G$454,""))</f>
        <v/>
      </c>
      <c r="R1669" t="str" cm="1">
        <f t="array" ref="R1669">_xlfn.TEXTJOIN("、",TRUE,IF('學員資料-新北高中'!$B$2:$B$583=$F1669,'學員資料-新北高中'!$G$2:$G$583,""))</f>
        <v/>
      </c>
      <c r="S1669" t="str" cm="1">
        <f t="array" ref="S1669">_xlfn.TEXTJOIN("、",TRUE,IF('學員資料-三重商工'!$B$2:$B$472=$F1669,'學員資料-三重商工'!$G$2:$G$472,""))</f>
        <v>0983628635</v>
      </c>
      <c r="T1669">
        <f t="shared" si="26"/>
        <v>1</v>
      </c>
    </row>
    <row r="1670" spans="1:20" ht="57.75" hidden="1" customHeight="1">
      <c r="A1670" s="15">
        <v>1669</v>
      </c>
      <c r="B1670" s="16" t="s">
        <v>5183</v>
      </c>
      <c r="C1670" s="17">
        <v>45656</v>
      </c>
      <c r="D1670" s="15" t="s">
        <v>5184</v>
      </c>
      <c r="E1670" s="18" t="s">
        <v>954</v>
      </c>
      <c r="F1670" s="19" t="s">
        <v>5185</v>
      </c>
      <c r="G1670" s="18" t="s">
        <v>5186</v>
      </c>
      <c r="H1670" s="20" t="s">
        <v>5187</v>
      </c>
      <c r="I1670" s="15">
        <v>4</v>
      </c>
      <c r="J1670" s="15" t="s">
        <v>23</v>
      </c>
      <c r="K1670" s="15"/>
      <c r="L1670" s="21" t="s">
        <v>16</v>
      </c>
      <c r="M1670" s="22">
        <v>0</v>
      </c>
      <c r="N1670" s="22">
        <v>0</v>
      </c>
      <c r="O1670" s="22">
        <v>28800</v>
      </c>
      <c r="P1670" s="22">
        <v>28800</v>
      </c>
      <c r="Q1670" t="str" cm="1">
        <f t="array" ref="Q1670">_xlfn.TEXTJOIN("、",TRUE,IF('學員資料-三民高中'!$B$2:$B$454=$F1670,'學員資料-三民高中'!$G$2:$G$454,""))</f>
        <v/>
      </c>
      <c r="R1670" t="str" cm="1">
        <f t="array" ref="R1670">_xlfn.TEXTJOIN("、",TRUE,IF('學員資料-新北高中'!$B$2:$B$583=$F1670,'學員資料-新北高中'!$G$2:$G$583,""))</f>
        <v/>
      </c>
      <c r="S1670" t="str" cm="1">
        <f t="array" ref="S1670">_xlfn.TEXTJOIN("、",TRUE,IF('學員資料-三重商工'!$B$2:$B$472=$F1670,'學員資料-三重商工'!$G$2:$G$472,""))</f>
        <v>0939933381</v>
      </c>
      <c r="T1670">
        <f t="shared" si="26"/>
        <v>1</v>
      </c>
    </row>
    <row r="1671" spans="1:20" ht="43.5" hidden="1" customHeight="1">
      <c r="A1671" s="15">
        <v>1670</v>
      </c>
      <c r="B1671" s="16" t="s">
        <v>5188</v>
      </c>
      <c r="C1671" s="17">
        <v>45656</v>
      </c>
      <c r="D1671" s="15" t="s">
        <v>5189</v>
      </c>
      <c r="E1671" s="18" t="s">
        <v>954</v>
      </c>
      <c r="F1671" s="19" t="s">
        <v>5190</v>
      </c>
      <c r="G1671" s="18" t="s">
        <v>5191</v>
      </c>
      <c r="H1671" s="20" t="s">
        <v>5192</v>
      </c>
      <c r="I1671" s="15">
        <v>3</v>
      </c>
      <c r="J1671" s="15" t="s">
        <v>26</v>
      </c>
      <c r="K1671" s="15"/>
      <c r="L1671" s="21" t="s">
        <v>16</v>
      </c>
      <c r="M1671" s="22">
        <v>0</v>
      </c>
      <c r="N1671" s="22">
        <v>0</v>
      </c>
      <c r="O1671" s="22">
        <v>32400</v>
      </c>
      <c r="P1671" s="22">
        <v>32400</v>
      </c>
      <c r="Q1671" t="str" cm="1">
        <f t="array" ref="Q1671">_xlfn.TEXTJOIN("、",TRUE,IF('學員資料-三民高中'!$B$2:$B$454=$F1671,'學員資料-三民高中'!$G$2:$G$454,""))</f>
        <v/>
      </c>
      <c r="R1671" t="str" cm="1">
        <f t="array" ref="R1671">_xlfn.TEXTJOIN("、",TRUE,IF('學員資料-新北高中'!$B$2:$B$583=$F1671,'學員資料-新北高中'!$G$2:$G$583,""))</f>
        <v/>
      </c>
      <c r="S1671" t="str" cm="1">
        <f t="array" ref="S1671">_xlfn.TEXTJOIN("、",TRUE,IF('學員資料-三重商工'!$B$2:$B$472=$F1671,'學員資料-三重商工'!$G$2:$G$472,""))</f>
        <v>0926179323</v>
      </c>
      <c r="T1671">
        <f t="shared" si="26"/>
        <v>1</v>
      </c>
    </row>
    <row r="1672" spans="1:20" ht="14.25" hidden="1" customHeight="1">
      <c r="A1672" s="15">
        <v>1671</v>
      </c>
      <c r="B1672" s="16" t="s">
        <v>5193</v>
      </c>
      <c r="C1672" s="17">
        <v>45656</v>
      </c>
      <c r="D1672" s="15" t="s">
        <v>5194</v>
      </c>
      <c r="E1672" s="18" t="s">
        <v>954</v>
      </c>
      <c r="F1672" s="19" t="s">
        <v>5195</v>
      </c>
      <c r="G1672" s="18" t="s">
        <v>5196</v>
      </c>
      <c r="H1672" s="20" t="s">
        <v>5131</v>
      </c>
      <c r="I1672" s="15">
        <v>1</v>
      </c>
      <c r="J1672" s="15" t="s">
        <v>24</v>
      </c>
      <c r="K1672" s="15"/>
      <c r="L1672" s="21" t="s">
        <v>16</v>
      </c>
      <c r="M1672" s="22">
        <v>0</v>
      </c>
      <c r="N1672" s="22">
        <v>0</v>
      </c>
      <c r="O1672" s="22">
        <v>7200</v>
      </c>
      <c r="P1672" s="22">
        <v>7200</v>
      </c>
      <c r="Q1672" t="str" cm="1">
        <f t="array" ref="Q1672">_xlfn.TEXTJOIN("、",TRUE,IF('學員資料-三民高中'!$B$2:$B$454=$F1672,'學員資料-三民高中'!$G$2:$G$454,""))</f>
        <v/>
      </c>
      <c r="R1672" t="str" cm="1">
        <f t="array" ref="R1672">_xlfn.TEXTJOIN("、",TRUE,IF('學員資料-新北高中'!$B$2:$B$583=$F1672,'學員資料-新北高中'!$G$2:$G$583,""))</f>
        <v/>
      </c>
      <c r="S1672" t="str" cm="1">
        <f t="array" ref="S1672">_xlfn.TEXTJOIN("、",TRUE,IF('學員資料-三重商工'!$B$2:$B$472=$F1672,'學員資料-三重商工'!$G$2:$G$472,""))</f>
        <v>0912771023</v>
      </c>
      <c r="T1672">
        <f t="shared" si="26"/>
        <v>1</v>
      </c>
    </row>
    <row r="1673" spans="1:20" ht="72" hidden="1" customHeight="1">
      <c r="A1673" s="15">
        <v>1672</v>
      </c>
      <c r="B1673" s="16" t="s">
        <v>5197</v>
      </c>
      <c r="C1673" s="17">
        <v>45656</v>
      </c>
      <c r="D1673" s="15" t="s">
        <v>5198</v>
      </c>
      <c r="E1673" s="18" t="s">
        <v>954</v>
      </c>
      <c r="F1673" s="19" t="s">
        <v>1988</v>
      </c>
      <c r="G1673" s="18" t="s">
        <v>1989</v>
      </c>
      <c r="H1673" s="20" t="s">
        <v>5199</v>
      </c>
      <c r="I1673" s="15">
        <v>5</v>
      </c>
      <c r="J1673" s="15" t="s">
        <v>24</v>
      </c>
      <c r="K1673" s="15"/>
      <c r="L1673" s="21" t="s">
        <v>16</v>
      </c>
      <c r="M1673" s="22">
        <v>0</v>
      </c>
      <c r="N1673" s="22">
        <v>0</v>
      </c>
      <c r="O1673" s="22">
        <v>43200</v>
      </c>
      <c r="P1673" s="22">
        <v>43200</v>
      </c>
      <c r="Q1673" t="str" cm="1">
        <f t="array" ref="Q1673">_xlfn.TEXTJOIN("、",TRUE,IF('學員資料-三民高中'!$B$2:$B$454=$F1673,'學員資料-三民高中'!$G$2:$G$454,""))</f>
        <v/>
      </c>
      <c r="R1673" t="str" cm="1">
        <f t="array" ref="R1673">_xlfn.TEXTJOIN("、",TRUE,IF('學員資料-新北高中'!$B$2:$B$583=$F1673,'學員資料-新北高中'!$G$2:$G$583,""))</f>
        <v/>
      </c>
      <c r="S1673" t="str" cm="1">
        <f t="array" ref="S1673">_xlfn.TEXTJOIN("、",TRUE,IF('學員資料-三重商工'!$B$2:$B$472=$F1673,'學員資料-三重商工'!$G$2:$G$472,""))</f>
        <v>0983525968</v>
      </c>
      <c r="T1673">
        <f t="shared" si="26"/>
        <v>1</v>
      </c>
    </row>
    <row r="1674" spans="1:20" ht="28.5" hidden="1" customHeight="1">
      <c r="A1674" s="15">
        <v>1673</v>
      </c>
      <c r="B1674" s="16" t="s">
        <v>5200</v>
      </c>
      <c r="C1674" s="17">
        <v>45655</v>
      </c>
      <c r="D1674" s="15" t="s">
        <v>5201</v>
      </c>
      <c r="E1674" s="18" t="s">
        <v>954</v>
      </c>
      <c r="F1674" s="19" t="s">
        <v>4566</v>
      </c>
      <c r="G1674" s="18" t="s">
        <v>4567</v>
      </c>
      <c r="H1674" s="20" t="s">
        <v>5154</v>
      </c>
      <c r="I1674" s="15">
        <v>2</v>
      </c>
      <c r="J1674" s="15" t="s">
        <v>24</v>
      </c>
      <c r="K1674" s="15"/>
      <c r="L1674" s="21" t="s">
        <v>16</v>
      </c>
      <c r="M1674" s="22">
        <v>0</v>
      </c>
      <c r="N1674" s="22">
        <v>0</v>
      </c>
      <c r="O1674" s="22">
        <v>14400</v>
      </c>
      <c r="P1674" s="22">
        <v>14400</v>
      </c>
      <c r="Q1674" t="str" cm="1">
        <f t="array" ref="Q1674">_xlfn.TEXTJOIN("、",TRUE,IF('學員資料-三民高中'!$B$2:$B$454=$F1674,'學員資料-三民高中'!$G$2:$G$454,""))</f>
        <v/>
      </c>
      <c r="R1674" t="str" cm="1">
        <f t="array" ref="R1674">_xlfn.TEXTJOIN("、",TRUE,IF('學員資料-新北高中'!$B$2:$B$583=$F1674,'學員資料-新北高中'!$G$2:$G$583,""))</f>
        <v/>
      </c>
      <c r="S1674" t="str" cm="1">
        <f t="array" ref="S1674">_xlfn.TEXTJOIN("、",TRUE,IF('學員資料-三重商工'!$B$2:$B$472=$F1674,'學員資料-三重商工'!$G$2:$G$472,""))</f>
        <v>0939287997</v>
      </c>
      <c r="T1674">
        <f t="shared" si="26"/>
        <v>1</v>
      </c>
    </row>
    <row r="1675" spans="1:20" ht="28.5" hidden="1" customHeight="1">
      <c r="A1675" s="15">
        <v>1674</v>
      </c>
      <c r="B1675" s="16" t="s">
        <v>5202</v>
      </c>
      <c r="C1675" s="17">
        <v>45655</v>
      </c>
      <c r="D1675" s="15" t="s">
        <v>5203</v>
      </c>
      <c r="E1675" s="18" t="s">
        <v>954</v>
      </c>
      <c r="F1675" s="19" t="s">
        <v>5204</v>
      </c>
      <c r="G1675" s="18" t="s">
        <v>5205</v>
      </c>
      <c r="H1675" s="20" t="s">
        <v>5206</v>
      </c>
      <c r="I1675" s="15">
        <v>2</v>
      </c>
      <c r="J1675" s="15" t="s">
        <v>23</v>
      </c>
      <c r="K1675" s="15"/>
      <c r="L1675" s="21" t="s">
        <v>16</v>
      </c>
      <c r="M1675" s="22">
        <v>0</v>
      </c>
      <c r="N1675" s="22">
        <v>0</v>
      </c>
      <c r="O1675" s="22">
        <v>13200</v>
      </c>
      <c r="P1675" s="22">
        <v>13200</v>
      </c>
      <c r="Q1675" t="str" cm="1">
        <f t="array" ref="Q1675">_xlfn.TEXTJOIN("、",TRUE,IF('學員資料-三民高中'!$B$2:$B$454=$F1675,'學員資料-三民高中'!$G$2:$G$454,""))</f>
        <v/>
      </c>
      <c r="R1675" t="str" cm="1">
        <f t="array" ref="R1675">_xlfn.TEXTJOIN("、",TRUE,IF('學員資料-新北高中'!$B$2:$B$583=$F1675,'學員資料-新北高中'!$G$2:$G$583,""))</f>
        <v>0919553715</v>
      </c>
      <c r="S1675" t="str" cm="1">
        <f t="array" ref="S1675">_xlfn.TEXTJOIN("、",TRUE,IF('學員資料-三重商工'!$B$2:$B$472=$F1675,'學員資料-三重商工'!$G$2:$G$472,""))</f>
        <v/>
      </c>
      <c r="T1675">
        <f t="shared" si="26"/>
        <v>1</v>
      </c>
    </row>
    <row r="1676" spans="1:20" ht="14.25" hidden="1" customHeight="1">
      <c r="A1676" s="15">
        <v>1675</v>
      </c>
      <c r="B1676" s="16" t="s">
        <v>5207</v>
      </c>
      <c r="C1676" s="17">
        <v>45655</v>
      </c>
      <c r="D1676" s="15" t="s">
        <v>5208</v>
      </c>
      <c r="E1676" s="18" t="s">
        <v>954</v>
      </c>
      <c r="F1676" s="19" t="s">
        <v>5209</v>
      </c>
      <c r="G1676" s="18" t="s">
        <v>5210</v>
      </c>
      <c r="H1676" s="20" t="s">
        <v>5211</v>
      </c>
      <c r="I1676" s="15">
        <v>1</v>
      </c>
      <c r="J1676" s="15" t="s">
        <v>26</v>
      </c>
      <c r="K1676" s="15"/>
      <c r="L1676" s="21" t="s">
        <v>16</v>
      </c>
      <c r="M1676" s="22">
        <v>0</v>
      </c>
      <c r="N1676" s="22">
        <v>0</v>
      </c>
      <c r="O1676" s="22">
        <v>10800</v>
      </c>
      <c r="P1676" s="22">
        <v>10800</v>
      </c>
      <c r="Q1676" t="str" cm="1">
        <f t="array" ref="Q1676">_xlfn.TEXTJOIN("、",TRUE,IF('學員資料-三民高中'!$B$2:$B$454=$F1676,'學員資料-三民高中'!$G$2:$G$454,""))</f>
        <v/>
      </c>
      <c r="R1676" t="str" cm="1">
        <f t="array" ref="R1676">_xlfn.TEXTJOIN("、",TRUE,IF('學員資料-新北高中'!$B$2:$B$583=$F1676,'學員資料-新北高中'!$G$2:$G$583,""))</f>
        <v>0988553161</v>
      </c>
      <c r="S1676" t="str" cm="1">
        <f t="array" ref="S1676">_xlfn.TEXTJOIN("、",TRUE,IF('學員資料-三重商工'!$B$2:$B$472=$F1676,'學員資料-三重商工'!$G$2:$G$472,""))</f>
        <v/>
      </c>
      <c r="T1676">
        <f t="shared" si="26"/>
        <v>1</v>
      </c>
    </row>
    <row r="1677" spans="1:20" ht="28.5" hidden="1" customHeight="1">
      <c r="A1677" s="15">
        <v>1676</v>
      </c>
      <c r="B1677" s="16" t="s">
        <v>5212</v>
      </c>
      <c r="C1677" s="17">
        <v>45654</v>
      </c>
      <c r="D1677" s="15" t="s">
        <v>5213</v>
      </c>
      <c r="E1677" s="18" t="s">
        <v>954</v>
      </c>
      <c r="F1677" s="19" t="s">
        <v>531</v>
      </c>
      <c r="G1677" s="18" t="s">
        <v>532</v>
      </c>
      <c r="H1677" s="20" t="s">
        <v>5138</v>
      </c>
      <c r="I1677" s="15">
        <v>2</v>
      </c>
      <c r="J1677" s="15" t="s">
        <v>23</v>
      </c>
      <c r="K1677" s="15"/>
      <c r="L1677" s="21" t="s">
        <v>16</v>
      </c>
      <c r="M1677" s="22">
        <v>0</v>
      </c>
      <c r="N1677" s="22">
        <v>0</v>
      </c>
      <c r="O1677" s="22">
        <v>14400</v>
      </c>
      <c r="P1677" s="22">
        <v>14400</v>
      </c>
      <c r="Q1677" t="str" cm="1">
        <f t="array" ref="Q1677">_xlfn.TEXTJOIN("、",TRUE,IF('學員資料-三民高中'!$B$2:$B$454=$F1677,'學員資料-三民高中'!$G$2:$G$454,""))</f>
        <v/>
      </c>
      <c r="R1677" t="str" cm="1">
        <f t="array" ref="R1677">_xlfn.TEXTJOIN("、",TRUE,IF('學員資料-新北高中'!$B$2:$B$583=$F1677,'學員資料-新北高中'!$G$2:$G$583,""))</f>
        <v/>
      </c>
      <c r="S1677" t="str" cm="1">
        <f t="array" ref="S1677">_xlfn.TEXTJOIN("、",TRUE,IF('學員資料-三重商工'!$B$2:$B$472=$F1677,'學員資料-三重商工'!$G$2:$G$472,""))</f>
        <v>0983916765-1</v>
      </c>
      <c r="T1677">
        <f t="shared" si="26"/>
        <v>1</v>
      </c>
    </row>
    <row r="1678" spans="1:20" ht="43.5" hidden="1" customHeight="1">
      <c r="A1678" s="15">
        <v>1677</v>
      </c>
      <c r="B1678" s="16" t="s">
        <v>5214</v>
      </c>
      <c r="C1678" s="17">
        <v>45654</v>
      </c>
      <c r="D1678" s="15" t="s">
        <v>5215</v>
      </c>
      <c r="E1678" s="18" t="s">
        <v>954</v>
      </c>
      <c r="F1678" s="19" t="s">
        <v>3094</v>
      </c>
      <c r="G1678" s="18" t="s">
        <v>3095</v>
      </c>
      <c r="H1678" s="20" t="s">
        <v>5128</v>
      </c>
      <c r="I1678" s="15">
        <v>3</v>
      </c>
      <c r="J1678" s="15" t="s">
        <v>25</v>
      </c>
      <c r="K1678" s="15"/>
      <c r="L1678" s="21" t="s">
        <v>16</v>
      </c>
      <c r="M1678" s="22">
        <v>0</v>
      </c>
      <c r="N1678" s="22">
        <v>0</v>
      </c>
      <c r="O1678" s="22">
        <v>27000</v>
      </c>
      <c r="P1678" s="22">
        <v>27000</v>
      </c>
      <c r="Q1678" t="str" cm="1">
        <f t="array" ref="Q1678">_xlfn.TEXTJOIN("、",TRUE,IF('學員資料-三民高中'!$B$2:$B$454=$F1678,'學員資料-三民高中'!$G$2:$G$454,""))</f>
        <v/>
      </c>
      <c r="R1678" t="str" cm="1">
        <f t="array" ref="R1678">_xlfn.TEXTJOIN("、",TRUE,IF('學員資料-新北高中'!$B$2:$B$583=$F1678,'學員資料-新北高中'!$G$2:$G$583,""))</f>
        <v>0975001701</v>
      </c>
      <c r="S1678" t="str" cm="1">
        <f t="array" ref="S1678">_xlfn.TEXTJOIN("、",TRUE,IF('學員資料-三重商工'!$B$2:$B$472=$F1678,'學員資料-三重商工'!$G$2:$G$472,""))</f>
        <v/>
      </c>
      <c r="T1678">
        <f t="shared" si="26"/>
        <v>1</v>
      </c>
    </row>
    <row r="1679" spans="1:20" ht="14.25" hidden="1" customHeight="1">
      <c r="A1679" s="15">
        <v>1678</v>
      </c>
      <c r="B1679" s="16" t="s">
        <v>5216</v>
      </c>
      <c r="C1679" s="17">
        <v>45654</v>
      </c>
      <c r="D1679" s="15" t="s">
        <v>5217</v>
      </c>
      <c r="E1679" s="18" t="s">
        <v>954</v>
      </c>
      <c r="F1679" s="19" t="s">
        <v>5218</v>
      </c>
      <c r="G1679" s="18" t="s">
        <v>5219</v>
      </c>
      <c r="H1679" s="20" t="s">
        <v>5148</v>
      </c>
      <c r="I1679" s="15">
        <v>1</v>
      </c>
      <c r="J1679" s="15" t="s">
        <v>25</v>
      </c>
      <c r="K1679" s="15"/>
      <c r="L1679" s="21" t="s">
        <v>16</v>
      </c>
      <c r="M1679" s="22">
        <v>0</v>
      </c>
      <c r="N1679" s="22">
        <v>0</v>
      </c>
      <c r="O1679" s="22">
        <v>9000</v>
      </c>
      <c r="P1679" s="22">
        <v>9000</v>
      </c>
      <c r="Q1679" t="str" cm="1">
        <f t="array" ref="Q1679">_xlfn.TEXTJOIN("、",TRUE,IF('學員資料-三民高中'!$B$2:$B$454=$F1679,'學員資料-三民高中'!$G$2:$G$454,""))</f>
        <v/>
      </c>
      <c r="R1679" t="str" cm="1">
        <f t="array" ref="R1679">_xlfn.TEXTJOIN("、",TRUE,IF('學員資料-新北高中'!$B$2:$B$583=$F1679,'學員資料-新北高中'!$G$2:$G$583,""))</f>
        <v/>
      </c>
      <c r="S1679" t="str" cm="1">
        <f t="array" ref="S1679">_xlfn.TEXTJOIN("、",TRUE,IF('學員資料-三重商工'!$B$2:$B$472=$F1679,'學員資料-三重商工'!$G$2:$G$472,""))</f>
        <v>0938221247-1</v>
      </c>
      <c r="T1679">
        <f t="shared" si="26"/>
        <v>1</v>
      </c>
    </row>
    <row r="1680" spans="1:20" ht="28.5" hidden="1" customHeight="1">
      <c r="A1680" s="15">
        <v>1679</v>
      </c>
      <c r="B1680" s="16" t="s">
        <v>5220</v>
      </c>
      <c r="C1680" s="17">
        <v>45653</v>
      </c>
      <c r="D1680" s="15" t="s">
        <v>5221</v>
      </c>
      <c r="E1680" s="18" t="s">
        <v>954</v>
      </c>
      <c r="F1680" s="19" t="s">
        <v>5222</v>
      </c>
      <c r="G1680" s="18" t="s">
        <v>5223</v>
      </c>
      <c r="H1680" s="20" t="s">
        <v>5154</v>
      </c>
      <c r="I1680" s="15">
        <v>2</v>
      </c>
      <c r="J1680" s="15" t="s">
        <v>24</v>
      </c>
      <c r="K1680" s="15"/>
      <c r="L1680" s="21" t="s">
        <v>16</v>
      </c>
      <c r="M1680" s="22">
        <v>0</v>
      </c>
      <c r="N1680" s="22">
        <v>-7200</v>
      </c>
      <c r="O1680" s="22">
        <v>7200</v>
      </c>
      <c r="P1680" s="22">
        <v>7200</v>
      </c>
      <c r="Q1680" t="str" cm="1">
        <f t="array" ref="Q1680">_xlfn.TEXTJOIN("、",TRUE,IF('學員資料-三民高中'!$B$2:$B$454=$F1680,'學員資料-三民高中'!$G$2:$G$454,""))</f>
        <v/>
      </c>
      <c r="R1680" t="str" cm="1">
        <f t="array" ref="R1680">_xlfn.TEXTJOIN("、",TRUE,IF('學員資料-新北高中'!$B$2:$B$583=$F1680,'學員資料-新北高中'!$G$2:$G$583,""))</f>
        <v/>
      </c>
      <c r="S1680" t="str" cm="1">
        <f t="array" ref="S1680">_xlfn.TEXTJOIN("、",TRUE,IF('學員資料-三重商工'!$B$2:$B$472=$F1680,'學員資料-三重商工'!$G$2:$G$472,""))</f>
        <v>0919730927</v>
      </c>
      <c r="T1680">
        <f t="shared" si="26"/>
        <v>1</v>
      </c>
    </row>
    <row r="1681" spans="1:20" ht="14.25" hidden="1" customHeight="1">
      <c r="A1681" s="15">
        <v>1680</v>
      </c>
      <c r="B1681" s="16" t="s">
        <v>5224</v>
      </c>
      <c r="C1681" s="17">
        <v>45652</v>
      </c>
      <c r="D1681" s="15" t="s">
        <v>5225</v>
      </c>
      <c r="E1681" s="18" t="s">
        <v>954</v>
      </c>
      <c r="F1681" s="19" t="s">
        <v>5226</v>
      </c>
      <c r="G1681" s="18" t="s">
        <v>5227</v>
      </c>
      <c r="H1681" s="20" t="s">
        <v>5148</v>
      </c>
      <c r="I1681" s="15">
        <v>1</v>
      </c>
      <c r="J1681" s="15" t="s">
        <v>25</v>
      </c>
      <c r="K1681" s="15"/>
      <c r="L1681" s="21" t="s">
        <v>16</v>
      </c>
      <c r="M1681" s="22">
        <v>0</v>
      </c>
      <c r="N1681" s="22">
        <v>0</v>
      </c>
      <c r="O1681" s="22">
        <v>9000</v>
      </c>
      <c r="P1681" s="22">
        <v>9000</v>
      </c>
      <c r="Q1681" t="str" cm="1">
        <f t="array" ref="Q1681">_xlfn.TEXTJOIN("、",TRUE,IF('學員資料-三民高中'!$B$2:$B$454=$F1681,'學員資料-三民高中'!$G$2:$G$454,""))</f>
        <v/>
      </c>
      <c r="R1681" t="str" cm="1">
        <f t="array" ref="R1681">_xlfn.TEXTJOIN("、",TRUE,IF('學員資料-新北高中'!$B$2:$B$583=$F1681,'學員資料-新北高中'!$G$2:$G$583,""))</f>
        <v/>
      </c>
      <c r="S1681" t="str" cm="1">
        <f t="array" ref="S1681">_xlfn.TEXTJOIN("、",TRUE,IF('學員資料-三重商工'!$B$2:$B$472=$F1681,'學員資料-三重商工'!$G$2:$G$472,""))</f>
        <v>0922212041.1</v>
      </c>
      <c r="T1681">
        <f t="shared" si="26"/>
        <v>1</v>
      </c>
    </row>
    <row r="1682" spans="1:20" ht="28.5" hidden="1" customHeight="1">
      <c r="A1682" s="15">
        <v>1681</v>
      </c>
      <c r="B1682" s="16" t="s">
        <v>5228</v>
      </c>
      <c r="C1682" s="17">
        <v>45652</v>
      </c>
      <c r="D1682" s="15" t="s">
        <v>5229</v>
      </c>
      <c r="E1682" s="18" t="s">
        <v>954</v>
      </c>
      <c r="F1682" s="19" t="s">
        <v>4618</v>
      </c>
      <c r="G1682" s="18" t="s">
        <v>4619</v>
      </c>
      <c r="H1682" s="20" t="s">
        <v>5138</v>
      </c>
      <c r="I1682" s="15">
        <v>2</v>
      </c>
      <c r="J1682" s="15" t="s">
        <v>23</v>
      </c>
      <c r="K1682" s="15"/>
      <c r="L1682" s="21" t="s">
        <v>16</v>
      </c>
      <c r="M1682" s="22">
        <v>0</v>
      </c>
      <c r="N1682" s="22">
        <v>0</v>
      </c>
      <c r="O1682" s="22">
        <v>14400</v>
      </c>
      <c r="P1682" s="22">
        <v>14400</v>
      </c>
      <c r="Q1682" t="str" cm="1">
        <f t="array" ref="Q1682">_xlfn.TEXTJOIN("、",TRUE,IF('學員資料-三民高中'!$B$2:$B$454=$F1682,'學員資料-三民高中'!$G$2:$G$454,""))</f>
        <v/>
      </c>
      <c r="R1682" t="str" cm="1">
        <f t="array" ref="R1682">_xlfn.TEXTJOIN("、",TRUE,IF('學員資料-新北高中'!$B$2:$B$583=$F1682,'學員資料-新北高中'!$G$2:$G$583,""))</f>
        <v/>
      </c>
      <c r="S1682" t="str" cm="1">
        <f t="array" ref="S1682">_xlfn.TEXTJOIN("、",TRUE,IF('學員資料-三重商工'!$B$2:$B$472=$F1682,'學員資料-三重商工'!$G$2:$G$472,""))</f>
        <v>0988305820</v>
      </c>
      <c r="T1682">
        <f t="shared" si="26"/>
        <v>1</v>
      </c>
    </row>
    <row r="1683" spans="1:20" ht="28.5" hidden="1" customHeight="1">
      <c r="A1683" s="15">
        <v>1682</v>
      </c>
      <c r="B1683" s="16" t="s">
        <v>5230</v>
      </c>
      <c r="C1683" s="17">
        <v>45648</v>
      </c>
      <c r="D1683" s="15" t="s">
        <v>5231</v>
      </c>
      <c r="E1683" s="18" t="s">
        <v>954</v>
      </c>
      <c r="F1683" s="19" t="s">
        <v>5232</v>
      </c>
      <c r="G1683" s="18" t="s">
        <v>5233</v>
      </c>
      <c r="H1683" s="20" t="s">
        <v>5151</v>
      </c>
      <c r="I1683" s="15">
        <v>2</v>
      </c>
      <c r="J1683" s="15" t="s">
        <v>24</v>
      </c>
      <c r="K1683" s="15"/>
      <c r="L1683" s="21" t="s">
        <v>16</v>
      </c>
      <c r="M1683" s="22">
        <v>0</v>
      </c>
      <c r="N1683" s="22">
        <v>-8640</v>
      </c>
      <c r="O1683" s="22">
        <v>8640</v>
      </c>
      <c r="P1683" s="22">
        <v>8640</v>
      </c>
      <c r="Q1683" t="str" cm="1">
        <f t="array" ref="Q1683">_xlfn.TEXTJOIN("、",TRUE,IF('學員資料-三民高中'!$B$2:$B$454=$F1683,'學員資料-三民高中'!$G$2:$G$454,""))</f>
        <v/>
      </c>
      <c r="R1683" t="str" cm="1">
        <f t="array" ref="R1683">_xlfn.TEXTJOIN("、",TRUE,IF('學員資料-新北高中'!$B$2:$B$583=$F1683,'學員資料-新北高中'!$G$2:$G$583,""))</f>
        <v>0957456713</v>
      </c>
      <c r="S1683" t="str" cm="1">
        <f t="array" ref="S1683">_xlfn.TEXTJOIN("、",TRUE,IF('學員資料-三重商工'!$B$2:$B$472=$F1683,'學員資料-三重商工'!$G$2:$G$472,""))</f>
        <v/>
      </c>
      <c r="T1683">
        <f t="shared" si="26"/>
        <v>1</v>
      </c>
    </row>
    <row r="1684" spans="1:20" ht="14.25" hidden="1" customHeight="1">
      <c r="A1684" s="15">
        <v>1683</v>
      </c>
      <c r="B1684" s="16" t="s">
        <v>5234</v>
      </c>
      <c r="C1684" s="17">
        <v>45648</v>
      </c>
      <c r="D1684" s="15" t="s">
        <v>5235</v>
      </c>
      <c r="E1684" s="18" t="s">
        <v>954</v>
      </c>
      <c r="F1684" s="19" t="s">
        <v>1320</v>
      </c>
      <c r="G1684" s="18" t="s">
        <v>1321</v>
      </c>
      <c r="H1684" s="20" t="s">
        <v>5131</v>
      </c>
      <c r="I1684" s="15">
        <v>1</v>
      </c>
      <c r="J1684" s="15" t="s">
        <v>24</v>
      </c>
      <c r="K1684" s="15"/>
      <c r="L1684" s="21" t="s">
        <v>18</v>
      </c>
      <c r="M1684" s="22">
        <v>0</v>
      </c>
      <c r="N1684" s="22">
        <v>0</v>
      </c>
      <c r="O1684" s="22">
        <v>7200</v>
      </c>
      <c r="P1684" s="22">
        <v>7200</v>
      </c>
      <c r="Q1684" t="str" cm="1">
        <f t="array" ref="Q1684">_xlfn.TEXTJOIN("、",TRUE,IF('學員資料-三民高中'!$B$2:$B$454=$F1684,'學員資料-三民高中'!$G$2:$G$454,""))</f>
        <v>0963394102</v>
      </c>
      <c r="R1684" t="str" cm="1">
        <f t="array" ref="R1684">_xlfn.TEXTJOIN("、",TRUE,IF('學員資料-新北高中'!$B$2:$B$583=$F1684,'學員資料-新北高中'!$G$2:$G$583,""))</f>
        <v/>
      </c>
      <c r="S1684" t="str" cm="1">
        <f t="array" ref="S1684">_xlfn.TEXTJOIN("、",TRUE,IF('學員資料-三重商工'!$B$2:$B$472=$F1684,'學員資料-三重商工'!$G$2:$G$472,""))</f>
        <v/>
      </c>
      <c r="T1684">
        <f t="shared" si="26"/>
        <v>1</v>
      </c>
    </row>
    <row r="1685" spans="1:20" ht="43.5" hidden="1" customHeight="1">
      <c r="A1685" s="15">
        <v>1684</v>
      </c>
      <c r="B1685" s="16" t="s">
        <v>5236</v>
      </c>
      <c r="C1685" s="17">
        <v>45648</v>
      </c>
      <c r="D1685" s="15" t="s">
        <v>5237</v>
      </c>
      <c r="E1685" s="18" t="s">
        <v>954</v>
      </c>
      <c r="F1685" s="19" t="s">
        <v>4167</v>
      </c>
      <c r="G1685" s="18" t="s">
        <v>4168</v>
      </c>
      <c r="H1685" s="20" t="s">
        <v>5157</v>
      </c>
      <c r="I1685" s="15">
        <v>3</v>
      </c>
      <c r="J1685" s="15" t="s">
        <v>23</v>
      </c>
      <c r="K1685" s="15"/>
      <c r="L1685" s="21" t="s">
        <v>16</v>
      </c>
      <c r="M1685" s="22">
        <v>0</v>
      </c>
      <c r="N1685" s="22">
        <v>0</v>
      </c>
      <c r="O1685" s="22">
        <v>19800</v>
      </c>
      <c r="P1685" s="22">
        <v>19800</v>
      </c>
      <c r="Q1685" t="str" cm="1">
        <f t="array" ref="Q1685">_xlfn.TEXTJOIN("、",TRUE,IF('學員資料-三民高中'!$B$2:$B$454=$F1685,'學員資料-三民高中'!$G$2:$G$454,""))</f>
        <v>0922355333</v>
      </c>
      <c r="R1685" t="str" cm="1">
        <f t="array" ref="R1685">_xlfn.TEXTJOIN("、",TRUE,IF('學員資料-新北高中'!$B$2:$B$583=$F1685,'學員資料-新北高中'!$G$2:$G$583,""))</f>
        <v/>
      </c>
      <c r="S1685" t="str" cm="1">
        <f t="array" ref="S1685">_xlfn.TEXTJOIN("、",TRUE,IF('學員資料-三重商工'!$B$2:$B$472=$F1685,'學員資料-三重商工'!$G$2:$G$472,""))</f>
        <v/>
      </c>
      <c r="T1685">
        <f t="shared" si="26"/>
        <v>1</v>
      </c>
    </row>
    <row r="1686" spans="1:20" ht="28.5" hidden="1" customHeight="1">
      <c r="A1686" s="15">
        <v>1685</v>
      </c>
      <c r="B1686" s="16" t="s">
        <v>5238</v>
      </c>
      <c r="C1686" s="17">
        <v>45648</v>
      </c>
      <c r="D1686" s="15" t="s">
        <v>5239</v>
      </c>
      <c r="E1686" s="18" t="s">
        <v>954</v>
      </c>
      <c r="F1686" s="19" t="s">
        <v>1001</v>
      </c>
      <c r="G1686" s="18" t="s">
        <v>1002</v>
      </c>
      <c r="H1686" s="20" t="s">
        <v>5154</v>
      </c>
      <c r="I1686" s="15">
        <v>2</v>
      </c>
      <c r="J1686" s="15" t="s">
        <v>24</v>
      </c>
      <c r="K1686" s="15"/>
      <c r="L1686" s="21" t="s">
        <v>16</v>
      </c>
      <c r="M1686" s="22">
        <v>0</v>
      </c>
      <c r="N1686" s="22">
        <v>0</v>
      </c>
      <c r="O1686" s="22">
        <v>14400</v>
      </c>
      <c r="P1686" s="22">
        <v>14400</v>
      </c>
      <c r="Q1686" t="str" cm="1">
        <f t="array" ref="Q1686">_xlfn.TEXTJOIN("、",TRUE,IF('學員資料-三民高中'!$B$2:$B$454=$F1686,'學員資料-三民高中'!$G$2:$G$454,""))</f>
        <v>0955554989</v>
      </c>
      <c r="R1686" t="str" cm="1">
        <f t="array" ref="R1686">_xlfn.TEXTJOIN("、",TRUE,IF('學員資料-新北高中'!$B$2:$B$583=$F1686,'學員資料-新北高中'!$G$2:$G$583,""))</f>
        <v/>
      </c>
      <c r="S1686" t="str" cm="1">
        <f t="array" ref="S1686">_xlfn.TEXTJOIN("、",TRUE,IF('學員資料-三重商工'!$B$2:$B$472=$F1686,'學員資料-三重商工'!$G$2:$G$472,""))</f>
        <v/>
      </c>
      <c r="T1686">
        <f t="shared" si="26"/>
        <v>1</v>
      </c>
    </row>
    <row r="1687" spans="1:20" ht="14.25" hidden="1" customHeight="1">
      <c r="A1687" s="15">
        <v>1686</v>
      </c>
      <c r="B1687" s="16" t="s">
        <v>5240</v>
      </c>
      <c r="C1687" s="17">
        <v>45647</v>
      </c>
      <c r="D1687" s="15" t="s">
        <v>5241</v>
      </c>
      <c r="E1687" s="18" t="s">
        <v>954</v>
      </c>
      <c r="F1687" s="19" t="s">
        <v>1529</v>
      </c>
      <c r="G1687" s="18" t="s">
        <v>1530</v>
      </c>
      <c r="H1687" s="20" t="s">
        <v>266</v>
      </c>
      <c r="I1687" s="15">
        <v>1</v>
      </c>
      <c r="J1687" s="15" t="s">
        <v>24</v>
      </c>
      <c r="K1687" s="15"/>
      <c r="L1687" s="21" t="s">
        <v>16</v>
      </c>
      <c r="M1687" s="22">
        <v>0</v>
      </c>
      <c r="N1687" s="22">
        <v>0</v>
      </c>
      <c r="O1687" s="22">
        <v>10800</v>
      </c>
      <c r="P1687" s="22">
        <v>10800</v>
      </c>
      <c r="Q1687" t="str" cm="1">
        <f t="array" ref="Q1687">_xlfn.TEXTJOIN("、",TRUE,IF('學員資料-三民高中'!$B$2:$B$454=$F1687,'學員資料-三民高中'!$G$2:$G$454,""))</f>
        <v>0970081031</v>
      </c>
      <c r="R1687" t="str" cm="1">
        <f t="array" ref="R1687">_xlfn.TEXTJOIN("、",TRUE,IF('學員資料-新北高中'!$B$2:$B$583=$F1687,'學員資料-新北高中'!$G$2:$G$583,""))</f>
        <v/>
      </c>
      <c r="S1687" t="str" cm="1">
        <f t="array" ref="S1687">_xlfn.TEXTJOIN("、",TRUE,IF('學員資料-三重商工'!$B$2:$B$472=$F1687,'學員資料-三重商工'!$G$2:$G$472,""))</f>
        <v/>
      </c>
      <c r="T1687">
        <f t="shared" si="26"/>
        <v>1</v>
      </c>
    </row>
    <row r="1688" spans="1:20" ht="14.25" hidden="1" customHeight="1">
      <c r="A1688" s="15">
        <v>1687</v>
      </c>
      <c r="B1688" s="16" t="s">
        <v>5242</v>
      </c>
      <c r="C1688" s="17">
        <v>45643</v>
      </c>
      <c r="D1688" s="15" t="s">
        <v>5243</v>
      </c>
      <c r="E1688" s="18" t="s">
        <v>954</v>
      </c>
      <c r="F1688" s="19" t="s">
        <v>4813</v>
      </c>
      <c r="G1688" s="18" t="s">
        <v>4814</v>
      </c>
      <c r="H1688" s="20" t="s">
        <v>5163</v>
      </c>
      <c r="I1688" s="15">
        <v>1</v>
      </c>
      <c r="J1688" s="15" t="s">
        <v>23</v>
      </c>
      <c r="K1688" s="15"/>
      <c r="L1688" s="21" t="s">
        <v>16</v>
      </c>
      <c r="M1688" s="22">
        <v>0</v>
      </c>
      <c r="N1688" s="22">
        <v>-660</v>
      </c>
      <c r="O1688" s="22">
        <v>5940</v>
      </c>
      <c r="P1688" s="22">
        <v>5940</v>
      </c>
      <c r="Q1688" t="str" cm="1">
        <f t="array" ref="Q1688">_xlfn.TEXTJOIN("、",TRUE,IF('學員資料-三民高中'!$B$2:$B$454=$F1688,'學員資料-三民高中'!$G$2:$G$454,""))</f>
        <v>0926712731</v>
      </c>
      <c r="R1688" t="str" cm="1">
        <f t="array" ref="R1688">_xlfn.TEXTJOIN("、",TRUE,IF('學員資料-新北高中'!$B$2:$B$583=$F1688,'學員資料-新北高中'!$G$2:$G$583,""))</f>
        <v/>
      </c>
      <c r="S1688" t="str" cm="1">
        <f t="array" ref="S1688">_xlfn.TEXTJOIN("、",TRUE,IF('學員資料-三重商工'!$B$2:$B$472=$F1688,'學員資料-三重商工'!$G$2:$G$472,""))</f>
        <v/>
      </c>
      <c r="T1688">
        <f t="shared" si="26"/>
        <v>1</v>
      </c>
    </row>
    <row r="1689" spans="1:20" ht="14.25" hidden="1" customHeight="1">
      <c r="A1689" s="15">
        <v>1688</v>
      </c>
      <c r="B1689" s="16" t="s">
        <v>5244</v>
      </c>
      <c r="C1689" s="17">
        <v>45642</v>
      </c>
      <c r="D1689" s="15" t="s">
        <v>5245</v>
      </c>
      <c r="E1689" s="18" t="s">
        <v>954</v>
      </c>
      <c r="F1689" s="19" t="s">
        <v>4360</v>
      </c>
      <c r="G1689" s="18" t="s">
        <v>4361</v>
      </c>
      <c r="H1689" s="20" t="s">
        <v>5246</v>
      </c>
      <c r="I1689" s="15">
        <v>1</v>
      </c>
      <c r="J1689" s="15" t="s">
        <v>23</v>
      </c>
      <c r="K1689" s="15"/>
      <c r="L1689" s="21" t="s">
        <v>16</v>
      </c>
      <c r="M1689" s="22">
        <v>0</v>
      </c>
      <c r="N1689" s="22">
        <v>0</v>
      </c>
      <c r="O1689" s="22">
        <v>7200</v>
      </c>
      <c r="P1689" s="22">
        <v>7200</v>
      </c>
      <c r="Q1689" t="str" cm="1">
        <f t="array" ref="Q1689">_xlfn.TEXTJOIN("、",TRUE,IF('學員資料-三民高中'!$B$2:$B$454=$F1689,'學員資料-三民高中'!$G$2:$G$454,""))</f>
        <v/>
      </c>
      <c r="R1689" t="str" cm="1">
        <f t="array" ref="R1689">_xlfn.TEXTJOIN("、",TRUE,IF('學員資料-新北高中'!$B$2:$B$583=$F1689,'學員資料-新北高中'!$G$2:$G$583,""))</f>
        <v/>
      </c>
      <c r="S1689" t="str" cm="1">
        <f t="array" ref="S1689">_xlfn.TEXTJOIN("、",TRUE,IF('學員資料-三重商工'!$B$2:$B$472=$F1689,'學員資料-三重商工'!$G$2:$G$472,""))</f>
        <v>0903170826</v>
      </c>
      <c r="T1689">
        <f t="shared" si="26"/>
        <v>1</v>
      </c>
    </row>
    <row r="1690" spans="1:20" ht="14.25" hidden="1" customHeight="1">
      <c r="A1690" s="15">
        <v>1689</v>
      </c>
      <c r="B1690" s="16" t="s">
        <v>5247</v>
      </c>
      <c r="C1690" s="17">
        <v>45641</v>
      </c>
      <c r="D1690" s="15" t="s">
        <v>5248</v>
      </c>
      <c r="E1690" s="18" t="s">
        <v>954</v>
      </c>
      <c r="F1690" s="19" t="s">
        <v>3249</v>
      </c>
      <c r="G1690" s="18" t="s">
        <v>3250</v>
      </c>
      <c r="H1690" s="20" t="s">
        <v>5163</v>
      </c>
      <c r="I1690" s="15">
        <v>1</v>
      </c>
      <c r="J1690" s="15" t="s">
        <v>23</v>
      </c>
      <c r="K1690" s="15"/>
      <c r="L1690" s="21" t="s">
        <v>16</v>
      </c>
      <c r="M1690" s="22">
        <v>0</v>
      </c>
      <c r="N1690" s="22">
        <v>0</v>
      </c>
      <c r="O1690" s="22">
        <v>6600</v>
      </c>
      <c r="P1690" s="22">
        <v>6600</v>
      </c>
      <c r="Q1690" t="str" cm="1">
        <f t="array" ref="Q1690">_xlfn.TEXTJOIN("、",TRUE,IF('學員資料-三民高中'!$B$2:$B$454=$F1690,'學員資料-三民高中'!$G$2:$G$454,""))</f>
        <v>0972878118</v>
      </c>
      <c r="R1690" t="str" cm="1">
        <f t="array" ref="R1690">_xlfn.TEXTJOIN("、",TRUE,IF('學員資料-新北高中'!$B$2:$B$583=$F1690,'學員資料-新北高中'!$G$2:$G$583,""))</f>
        <v/>
      </c>
      <c r="S1690" t="str" cm="1">
        <f t="array" ref="S1690">_xlfn.TEXTJOIN("、",TRUE,IF('學員資料-三重商工'!$B$2:$B$472=$F1690,'學員資料-三重商工'!$G$2:$G$472,""))</f>
        <v/>
      </c>
      <c r="T1690">
        <f t="shared" si="26"/>
        <v>1</v>
      </c>
    </row>
    <row r="1691" spans="1:20" ht="28.5" hidden="1" customHeight="1">
      <c r="A1691" s="15">
        <v>1690</v>
      </c>
      <c r="B1691" s="16" t="s">
        <v>5249</v>
      </c>
      <c r="C1691" s="17">
        <v>45640</v>
      </c>
      <c r="D1691" s="15" t="s">
        <v>5250</v>
      </c>
      <c r="E1691" s="18" t="s">
        <v>954</v>
      </c>
      <c r="F1691" s="19" t="s">
        <v>4443</v>
      </c>
      <c r="G1691" s="18" t="s">
        <v>4444</v>
      </c>
      <c r="H1691" s="20" t="s">
        <v>5154</v>
      </c>
      <c r="I1691" s="15">
        <v>2</v>
      </c>
      <c r="J1691" s="15" t="s">
        <v>24</v>
      </c>
      <c r="K1691" s="15"/>
      <c r="L1691" s="21" t="s">
        <v>16</v>
      </c>
      <c r="M1691" s="22">
        <v>0</v>
      </c>
      <c r="N1691" s="22">
        <v>0</v>
      </c>
      <c r="O1691" s="22">
        <v>14400</v>
      </c>
      <c r="P1691" s="22">
        <v>14400</v>
      </c>
      <c r="Q1691" t="str" cm="1">
        <f t="array" ref="Q1691">_xlfn.TEXTJOIN("、",TRUE,IF('學員資料-三民高中'!$B$2:$B$454=$F1691,'學員資料-三民高中'!$G$2:$G$454,""))</f>
        <v/>
      </c>
      <c r="R1691" t="str" cm="1">
        <f t="array" ref="R1691">_xlfn.TEXTJOIN("、",TRUE,IF('學員資料-新北高中'!$B$2:$B$583=$F1691,'學員資料-新北高中'!$G$2:$G$583,""))</f>
        <v/>
      </c>
      <c r="S1691" t="str" cm="1">
        <f t="array" ref="S1691">_xlfn.TEXTJOIN("、",TRUE,IF('學員資料-三重商工'!$B$2:$B$472=$F1691,'學員資料-三重商工'!$G$2:$G$472,""))</f>
        <v>0935323195</v>
      </c>
      <c r="T1691">
        <f t="shared" si="26"/>
        <v>1</v>
      </c>
    </row>
    <row r="1692" spans="1:20" ht="14.25" hidden="1" customHeight="1">
      <c r="A1692" s="15">
        <v>1691</v>
      </c>
      <c r="B1692" s="16" t="s">
        <v>5251</v>
      </c>
      <c r="C1692" s="17">
        <v>45639</v>
      </c>
      <c r="D1692" s="15" t="s">
        <v>5252</v>
      </c>
      <c r="E1692" s="18" t="s">
        <v>954</v>
      </c>
      <c r="F1692" s="19" t="s">
        <v>5195</v>
      </c>
      <c r="G1692" s="18" t="s">
        <v>5196</v>
      </c>
      <c r="H1692" s="20" t="s">
        <v>5131</v>
      </c>
      <c r="I1692" s="15">
        <v>1</v>
      </c>
      <c r="J1692" s="15" t="s">
        <v>24</v>
      </c>
      <c r="K1692" s="15"/>
      <c r="L1692" s="21" t="s">
        <v>16</v>
      </c>
      <c r="M1692" s="22">
        <v>0</v>
      </c>
      <c r="N1692" s="22">
        <v>0</v>
      </c>
      <c r="O1692" s="22">
        <v>7200</v>
      </c>
      <c r="P1692" s="22">
        <v>7200</v>
      </c>
      <c r="Q1692" t="str" cm="1">
        <f t="array" ref="Q1692">_xlfn.TEXTJOIN("、",TRUE,IF('學員資料-三民高中'!$B$2:$B$454=$F1692,'學員資料-三民高中'!$G$2:$G$454,""))</f>
        <v/>
      </c>
      <c r="R1692" t="str" cm="1">
        <f t="array" ref="R1692">_xlfn.TEXTJOIN("、",TRUE,IF('學員資料-新北高中'!$B$2:$B$583=$F1692,'學員資料-新北高中'!$G$2:$G$583,""))</f>
        <v/>
      </c>
      <c r="S1692" t="str" cm="1">
        <f t="array" ref="S1692">_xlfn.TEXTJOIN("、",TRUE,IF('學員資料-三重商工'!$B$2:$B$472=$F1692,'學員資料-三重商工'!$G$2:$G$472,""))</f>
        <v>0912771023</v>
      </c>
      <c r="T1692">
        <f t="shared" si="26"/>
        <v>1</v>
      </c>
    </row>
    <row r="1693" spans="1:20" ht="14.25" hidden="1" customHeight="1">
      <c r="A1693" s="15">
        <v>1692</v>
      </c>
      <c r="B1693" s="16" t="s">
        <v>5253</v>
      </c>
      <c r="C1693" s="17">
        <v>45637</v>
      </c>
      <c r="D1693" s="15" t="s">
        <v>5254</v>
      </c>
      <c r="E1693" s="18" t="s">
        <v>954</v>
      </c>
      <c r="F1693" s="19" t="s">
        <v>4037</v>
      </c>
      <c r="G1693" s="18" t="s">
        <v>4038</v>
      </c>
      <c r="H1693" s="20" t="s">
        <v>5131</v>
      </c>
      <c r="I1693" s="15">
        <v>1</v>
      </c>
      <c r="J1693" s="15" t="s">
        <v>24</v>
      </c>
      <c r="K1693" s="15"/>
      <c r="L1693" s="21" t="s">
        <v>16</v>
      </c>
      <c r="M1693" s="22">
        <v>0</v>
      </c>
      <c r="N1693" s="22">
        <v>0</v>
      </c>
      <c r="O1693" s="22">
        <v>7200</v>
      </c>
      <c r="P1693" s="22">
        <v>7200</v>
      </c>
      <c r="Q1693" t="str" cm="1">
        <f t="array" ref="Q1693">_xlfn.TEXTJOIN("、",TRUE,IF('學員資料-三民高中'!$B$2:$B$454=$F1693,'學員資料-三民高中'!$G$2:$G$454,""))</f>
        <v>0952317917</v>
      </c>
      <c r="R1693" t="str" cm="1">
        <f t="array" ref="R1693">_xlfn.TEXTJOIN("、",TRUE,IF('學員資料-新北高中'!$B$2:$B$583=$F1693,'學員資料-新北高中'!$G$2:$G$583,""))</f>
        <v/>
      </c>
      <c r="S1693" t="str" cm="1">
        <f t="array" ref="S1693">_xlfn.TEXTJOIN("、",TRUE,IF('學員資料-三重商工'!$B$2:$B$472=$F1693,'學員資料-三重商工'!$G$2:$G$472,""))</f>
        <v/>
      </c>
      <c r="T1693">
        <f t="shared" si="26"/>
        <v>1</v>
      </c>
    </row>
    <row r="1694" spans="1:20" ht="43.5" hidden="1" customHeight="1">
      <c r="A1694" s="15">
        <v>1693</v>
      </c>
      <c r="B1694" s="16" t="s">
        <v>5255</v>
      </c>
      <c r="C1694" s="17">
        <v>45634</v>
      </c>
      <c r="D1694" s="15" t="s">
        <v>5256</v>
      </c>
      <c r="E1694" s="18" t="s">
        <v>954</v>
      </c>
      <c r="F1694" s="19" t="s">
        <v>5257</v>
      </c>
      <c r="G1694" s="18" t="s">
        <v>5258</v>
      </c>
      <c r="H1694" s="20" t="s">
        <v>5128</v>
      </c>
      <c r="I1694" s="15">
        <v>3</v>
      </c>
      <c r="J1694" s="15" t="s">
        <v>25</v>
      </c>
      <c r="K1694" s="15"/>
      <c r="L1694" s="21" t="s">
        <v>16</v>
      </c>
      <c r="M1694" s="22">
        <v>0</v>
      </c>
      <c r="N1694" s="22">
        <v>0</v>
      </c>
      <c r="O1694" s="22">
        <v>27000</v>
      </c>
      <c r="P1694" s="22">
        <v>27000</v>
      </c>
      <c r="Q1694" t="str" cm="1">
        <f t="array" ref="Q1694">_xlfn.TEXTJOIN("、",TRUE,IF('學員資料-三民高中'!$B$2:$B$454=$F1694,'學員資料-三民高中'!$G$2:$G$454,""))</f>
        <v/>
      </c>
      <c r="R1694" t="str" cm="1">
        <f t="array" ref="R1694">_xlfn.TEXTJOIN("、",TRUE,IF('學員資料-新北高中'!$B$2:$B$583=$F1694,'學員資料-新北高中'!$G$2:$G$583,""))</f>
        <v>0973200395</v>
      </c>
      <c r="S1694" t="str" cm="1">
        <f t="array" ref="S1694">_xlfn.TEXTJOIN("、",TRUE,IF('學員資料-三重商工'!$B$2:$B$472=$F1694,'學員資料-三重商工'!$G$2:$G$472,""))</f>
        <v/>
      </c>
      <c r="T1694">
        <f t="shared" si="26"/>
        <v>1</v>
      </c>
    </row>
    <row r="1695" spans="1:20" ht="28.5" hidden="1" customHeight="1">
      <c r="A1695" s="15">
        <v>1694</v>
      </c>
      <c r="B1695" s="16" t="s">
        <v>5259</v>
      </c>
      <c r="C1695" s="17">
        <v>45634</v>
      </c>
      <c r="D1695" s="15" t="s">
        <v>5260</v>
      </c>
      <c r="E1695" s="18" t="s">
        <v>954</v>
      </c>
      <c r="F1695" s="19" t="s">
        <v>5261</v>
      </c>
      <c r="G1695" s="18" t="s">
        <v>5262</v>
      </c>
      <c r="H1695" s="20" t="s">
        <v>5263</v>
      </c>
      <c r="I1695" s="15">
        <v>2</v>
      </c>
      <c r="J1695" s="15" t="s">
        <v>25</v>
      </c>
      <c r="K1695" s="15"/>
      <c r="L1695" s="21" t="s">
        <v>16</v>
      </c>
      <c r="M1695" s="22">
        <v>0</v>
      </c>
      <c r="N1695" s="22">
        <v>0</v>
      </c>
      <c r="O1695" s="22">
        <v>18000</v>
      </c>
      <c r="P1695" s="22">
        <v>18000</v>
      </c>
      <c r="Q1695" t="str" cm="1">
        <f t="array" ref="Q1695">_xlfn.TEXTJOIN("、",TRUE,IF('學員資料-三民高中'!$B$2:$B$454=$F1695,'學員資料-三民高中'!$G$2:$G$454,""))</f>
        <v/>
      </c>
      <c r="R1695" t="str" cm="1">
        <f t="array" ref="R1695">_xlfn.TEXTJOIN("、",TRUE,IF('學員資料-新北高中'!$B$2:$B$583=$F1695,'學員資料-新北高中'!$G$2:$G$583,""))</f>
        <v>0912818552</v>
      </c>
      <c r="S1695" t="str" cm="1">
        <f t="array" ref="S1695">_xlfn.TEXTJOIN("、",TRUE,IF('學員資料-三重商工'!$B$2:$B$472=$F1695,'學員資料-三重商工'!$G$2:$G$472,""))</f>
        <v/>
      </c>
      <c r="T1695">
        <f t="shared" si="26"/>
        <v>1</v>
      </c>
    </row>
    <row r="1696" spans="1:20" ht="14.25" hidden="1" customHeight="1">
      <c r="A1696" s="15">
        <v>1695</v>
      </c>
      <c r="B1696" s="16" t="s">
        <v>5264</v>
      </c>
      <c r="C1696" s="17">
        <v>45634</v>
      </c>
      <c r="D1696" s="15" t="s">
        <v>5265</v>
      </c>
      <c r="E1696" s="18" t="s">
        <v>954</v>
      </c>
      <c r="F1696" s="19" t="s">
        <v>4304</v>
      </c>
      <c r="G1696" s="18" t="s">
        <v>4305</v>
      </c>
      <c r="H1696" s="20" t="s">
        <v>5163</v>
      </c>
      <c r="I1696" s="15">
        <v>1</v>
      </c>
      <c r="J1696" s="15" t="s">
        <v>23</v>
      </c>
      <c r="K1696" s="15"/>
      <c r="L1696" s="21" t="s">
        <v>16</v>
      </c>
      <c r="M1696" s="22">
        <v>0</v>
      </c>
      <c r="N1696" s="22">
        <v>0</v>
      </c>
      <c r="O1696" s="22">
        <v>6600</v>
      </c>
      <c r="P1696" s="22">
        <v>6600</v>
      </c>
      <c r="Q1696" t="str" cm="1">
        <f t="array" ref="Q1696">_xlfn.TEXTJOIN("、",TRUE,IF('學員資料-三民高中'!$B$2:$B$454=$F1696,'學員資料-三民高中'!$G$2:$G$454,""))</f>
        <v/>
      </c>
      <c r="R1696" t="str" cm="1">
        <f t="array" ref="R1696">_xlfn.TEXTJOIN("、",TRUE,IF('學員資料-新北高中'!$B$2:$B$583=$F1696,'學員資料-新北高中'!$G$2:$G$583,""))</f>
        <v>0960625945</v>
      </c>
      <c r="S1696" t="str" cm="1">
        <f t="array" ref="S1696">_xlfn.TEXTJOIN("、",TRUE,IF('學員資料-三重商工'!$B$2:$B$472=$F1696,'學員資料-三重商工'!$G$2:$G$472,""))</f>
        <v/>
      </c>
      <c r="T1696">
        <f t="shared" si="26"/>
        <v>1</v>
      </c>
    </row>
    <row r="1697" spans="1:20" ht="14.25" hidden="1" customHeight="1">
      <c r="A1697" s="15">
        <v>1696</v>
      </c>
      <c r="B1697" s="16" t="s">
        <v>5266</v>
      </c>
      <c r="C1697" s="17">
        <v>45633</v>
      </c>
      <c r="D1697" s="15" t="s">
        <v>5267</v>
      </c>
      <c r="E1697" s="18" t="s">
        <v>954</v>
      </c>
      <c r="F1697" s="19" t="s">
        <v>1169</v>
      </c>
      <c r="G1697" s="18" t="s">
        <v>1170</v>
      </c>
      <c r="H1697" s="20" t="s">
        <v>5246</v>
      </c>
      <c r="I1697" s="15">
        <v>1</v>
      </c>
      <c r="J1697" s="15" t="s">
        <v>23</v>
      </c>
      <c r="K1697" s="15"/>
      <c r="L1697" s="21" t="s">
        <v>16</v>
      </c>
      <c r="M1697" s="22">
        <v>0</v>
      </c>
      <c r="N1697" s="22">
        <v>0</v>
      </c>
      <c r="O1697" s="22">
        <v>7200</v>
      </c>
      <c r="P1697" s="22">
        <v>7200</v>
      </c>
      <c r="Q1697" t="str" cm="1">
        <f t="array" ref="Q1697">_xlfn.TEXTJOIN("、",TRUE,IF('學員資料-三民高中'!$B$2:$B$454=$F1697,'學員資料-三民高中'!$G$2:$G$454,""))</f>
        <v/>
      </c>
      <c r="R1697" t="str" cm="1">
        <f t="array" ref="R1697">_xlfn.TEXTJOIN("、",TRUE,IF('學員資料-新北高中'!$B$2:$B$583=$F1697,'學員資料-新北高中'!$G$2:$G$583,""))</f>
        <v/>
      </c>
      <c r="S1697" t="str" cm="1">
        <f t="array" ref="S1697">_xlfn.TEXTJOIN("、",TRUE,IF('學員資料-三重商工'!$B$2:$B$472=$F1697,'學員資料-三重商工'!$G$2:$G$472,""))</f>
        <v>0916803354</v>
      </c>
      <c r="T1697">
        <f t="shared" si="26"/>
        <v>1</v>
      </c>
    </row>
    <row r="1698" spans="1:20" ht="14.25" hidden="1" customHeight="1">
      <c r="A1698" s="15">
        <v>1697</v>
      </c>
      <c r="B1698" s="16" t="s">
        <v>5268</v>
      </c>
      <c r="C1698" s="17">
        <v>45632</v>
      </c>
      <c r="D1698" s="15" t="s">
        <v>5269</v>
      </c>
      <c r="E1698" s="18" t="s">
        <v>954</v>
      </c>
      <c r="F1698" s="19" t="s">
        <v>5270</v>
      </c>
      <c r="G1698" s="18" t="s">
        <v>5271</v>
      </c>
      <c r="H1698" s="20" t="s">
        <v>5211</v>
      </c>
      <c r="I1698" s="15">
        <v>1</v>
      </c>
      <c r="J1698" s="15" t="s">
        <v>26</v>
      </c>
      <c r="K1698" s="15"/>
      <c r="L1698" s="21" t="s">
        <v>16</v>
      </c>
      <c r="M1698" s="22">
        <v>0</v>
      </c>
      <c r="N1698" s="22">
        <v>0</v>
      </c>
      <c r="O1698" s="22">
        <v>10800</v>
      </c>
      <c r="P1698" s="22">
        <v>10800</v>
      </c>
      <c r="Q1698" t="str" cm="1">
        <f t="array" ref="Q1698">_xlfn.TEXTJOIN("、",TRUE,IF('學員資料-三民高中'!$B$2:$B$454=$F1698,'學員資料-三民高中'!$G$2:$G$454,""))</f>
        <v/>
      </c>
      <c r="R1698" t="str" cm="1">
        <f t="array" ref="R1698">_xlfn.TEXTJOIN("、",TRUE,IF('學員資料-新北高中'!$B$2:$B$583=$F1698,'學員資料-新北高中'!$G$2:$G$583,""))</f>
        <v>0956353765</v>
      </c>
      <c r="S1698" t="str" cm="1">
        <f t="array" ref="S1698">_xlfn.TEXTJOIN("、",TRUE,IF('學員資料-三重商工'!$B$2:$B$472=$F1698,'學員資料-三重商工'!$G$2:$G$472,""))</f>
        <v/>
      </c>
      <c r="T1698">
        <f t="shared" si="26"/>
        <v>1</v>
      </c>
    </row>
    <row r="1699" spans="1:20" ht="14.25" hidden="1" customHeight="1">
      <c r="A1699" s="15">
        <v>1698</v>
      </c>
      <c r="B1699" s="16" t="s">
        <v>5272</v>
      </c>
      <c r="C1699" s="17">
        <v>45630</v>
      </c>
      <c r="D1699" s="15" t="s">
        <v>5273</v>
      </c>
      <c r="E1699" s="18" t="s">
        <v>954</v>
      </c>
      <c r="F1699" s="19" t="s">
        <v>4385</v>
      </c>
      <c r="G1699" s="18" t="s">
        <v>4386</v>
      </c>
      <c r="H1699" s="20" t="s">
        <v>683</v>
      </c>
      <c r="I1699" s="15">
        <v>1</v>
      </c>
      <c r="J1699" s="15" t="s">
        <v>23</v>
      </c>
      <c r="K1699" s="15"/>
      <c r="L1699" s="21" t="s">
        <v>16</v>
      </c>
      <c r="M1699" s="22">
        <v>0</v>
      </c>
      <c r="N1699" s="22">
        <v>-900</v>
      </c>
      <c r="O1699" s="22">
        <v>8100</v>
      </c>
      <c r="P1699" s="22">
        <v>8100</v>
      </c>
      <c r="Q1699" t="str" cm="1">
        <f t="array" ref="Q1699">_xlfn.TEXTJOIN("、",TRUE,IF('學員資料-三民高中'!$B$2:$B$454=$F1699,'學員資料-三民高中'!$G$2:$G$454,""))</f>
        <v/>
      </c>
      <c r="R1699" t="str" cm="1">
        <f t="array" ref="R1699">_xlfn.TEXTJOIN("、",TRUE,IF('學員資料-新北高中'!$B$2:$B$583=$F1699,'學員資料-新北高中'!$G$2:$G$583,""))</f>
        <v>0912896786</v>
      </c>
      <c r="S1699" t="str" cm="1">
        <f t="array" ref="S1699">_xlfn.TEXTJOIN("、",TRUE,IF('學員資料-三重商工'!$B$2:$B$472=$F1699,'學員資料-三重商工'!$G$2:$G$472,""))</f>
        <v/>
      </c>
      <c r="T1699">
        <f t="shared" si="26"/>
        <v>1</v>
      </c>
    </row>
    <row r="1700" spans="1:20" ht="14.25" hidden="1" customHeight="1">
      <c r="A1700" s="15">
        <v>1699</v>
      </c>
      <c r="B1700" s="16" t="s">
        <v>5274</v>
      </c>
      <c r="C1700" s="17">
        <v>45630</v>
      </c>
      <c r="D1700" s="15" t="s">
        <v>5275</v>
      </c>
      <c r="E1700" s="18" t="s">
        <v>954</v>
      </c>
      <c r="F1700" s="19" t="s">
        <v>694</v>
      </c>
      <c r="G1700" s="18" t="s">
        <v>695</v>
      </c>
      <c r="H1700" s="20" t="s">
        <v>683</v>
      </c>
      <c r="I1700" s="15">
        <v>1</v>
      </c>
      <c r="J1700" s="15" t="s">
        <v>23</v>
      </c>
      <c r="K1700" s="15"/>
      <c r="L1700" s="21" t="s">
        <v>16</v>
      </c>
      <c r="M1700" s="22">
        <v>0</v>
      </c>
      <c r="N1700" s="22">
        <v>-900</v>
      </c>
      <c r="O1700" s="22">
        <v>8100</v>
      </c>
      <c r="P1700" s="22">
        <v>8100</v>
      </c>
      <c r="Q1700" t="str" cm="1">
        <f t="array" ref="Q1700">_xlfn.TEXTJOIN("、",TRUE,IF('學員資料-三民高中'!$B$2:$B$454=$F1700,'學員資料-三民高中'!$G$2:$G$454,""))</f>
        <v/>
      </c>
      <c r="R1700" t="str" cm="1">
        <f t="array" ref="R1700">_xlfn.TEXTJOIN("、",TRUE,IF('學員資料-新北高中'!$B$2:$B$583=$F1700,'學員資料-新北高中'!$G$2:$G$583,""))</f>
        <v>0913521852</v>
      </c>
      <c r="S1700" t="str" cm="1">
        <f t="array" ref="S1700">_xlfn.TEXTJOIN("、",TRUE,IF('學員資料-三重商工'!$B$2:$B$472=$F1700,'學員資料-三重商工'!$G$2:$G$472,""))</f>
        <v/>
      </c>
      <c r="T1700">
        <f t="shared" si="26"/>
        <v>1</v>
      </c>
    </row>
    <row r="1701" spans="1:20" ht="14.25" customHeight="1">
      <c r="A1701" s="15">
        <v>1700</v>
      </c>
      <c r="B1701" s="16" t="s">
        <v>5276</v>
      </c>
      <c r="C1701" s="17">
        <v>45629</v>
      </c>
      <c r="D1701" s="15" t="s">
        <v>5277</v>
      </c>
      <c r="E1701" s="18" t="s">
        <v>954</v>
      </c>
      <c r="F1701" s="19"/>
      <c r="G1701" s="23" t="s">
        <v>5278</v>
      </c>
      <c r="H1701" s="20" t="s">
        <v>5163</v>
      </c>
      <c r="I1701" s="15">
        <v>1</v>
      </c>
      <c r="J1701" s="15" t="s">
        <v>23</v>
      </c>
      <c r="K1701" s="15"/>
      <c r="L1701" s="21" t="s">
        <v>16</v>
      </c>
      <c r="M1701" s="22">
        <v>0</v>
      </c>
      <c r="N1701" s="22">
        <v>-660</v>
      </c>
      <c r="O1701" s="22">
        <v>5940</v>
      </c>
      <c r="P1701" s="22">
        <v>5940</v>
      </c>
      <c r="Q1701" t="str" cm="1">
        <f t="array" ref="Q1701">_xlfn.TEXTJOIN("、",TRUE,IF('學員資料-三民高中'!$B$2:$B$454=$F1701,'學員資料-三民高中'!$G$2:$G$454,""))</f>
        <v/>
      </c>
      <c r="R1701" t="str" cm="1">
        <f t="array" ref="R1701">_xlfn.TEXTJOIN("、",TRUE,IF('學員資料-新北高中'!$B$2:$B$583=$F1701,'學員資料-新北高中'!$G$2:$G$583,""))</f>
        <v/>
      </c>
      <c r="S1701" t="str" cm="1">
        <f t="array" ref="S1701">_xlfn.TEXTJOIN("、",TRUE,IF('學員資料-三重商工'!$B$2:$B$472=$F1701,'學員資料-三重商工'!$G$2:$G$472,""))</f>
        <v/>
      </c>
      <c r="T1701">
        <f t="shared" si="26"/>
        <v>0</v>
      </c>
    </row>
    <row r="1702" spans="1:20" ht="14.25" hidden="1" customHeight="1">
      <c r="A1702" s="15">
        <v>1701</v>
      </c>
      <c r="B1702" s="16" t="s">
        <v>5279</v>
      </c>
      <c r="C1702" s="17">
        <v>45621</v>
      </c>
      <c r="D1702" s="15" t="s">
        <v>5280</v>
      </c>
      <c r="E1702" s="18" t="s">
        <v>954</v>
      </c>
      <c r="F1702" s="19" t="s">
        <v>5281</v>
      </c>
      <c r="G1702" s="18" t="s">
        <v>5282</v>
      </c>
      <c r="H1702" s="20" t="s">
        <v>5163</v>
      </c>
      <c r="I1702" s="15">
        <v>1</v>
      </c>
      <c r="J1702" s="15" t="s">
        <v>23</v>
      </c>
      <c r="K1702" s="15"/>
      <c r="L1702" s="21" t="s">
        <v>16</v>
      </c>
      <c r="M1702" s="22">
        <v>0</v>
      </c>
      <c r="N1702" s="22">
        <v>0</v>
      </c>
      <c r="O1702" s="22">
        <v>6600</v>
      </c>
      <c r="P1702" s="22">
        <v>6600</v>
      </c>
      <c r="Q1702" t="str" cm="1">
        <f t="array" ref="Q1702">_xlfn.TEXTJOIN("、",TRUE,IF('學員資料-三民高中'!$B$2:$B$454=$F1702,'學員資料-三民高中'!$G$2:$G$454,""))</f>
        <v/>
      </c>
      <c r="R1702" t="str" cm="1">
        <f t="array" ref="R1702">_xlfn.TEXTJOIN("、",TRUE,IF('學員資料-新北高中'!$B$2:$B$583=$F1702,'學員資料-新北高中'!$G$2:$G$583,""))</f>
        <v/>
      </c>
      <c r="S1702" t="str" cm="1">
        <f t="array" ref="S1702">_xlfn.TEXTJOIN("、",TRUE,IF('學員資料-三重商工'!$B$2:$B$472=$F1702,'學員資料-三重商工'!$G$2:$G$472,""))</f>
        <v>0985554602</v>
      </c>
      <c r="T1702">
        <f t="shared" si="26"/>
        <v>1</v>
      </c>
    </row>
    <row r="1703" spans="1:20" ht="14.25" hidden="1" customHeight="1">
      <c r="A1703" s="15">
        <v>1702</v>
      </c>
      <c r="B1703" s="16" t="s">
        <v>5283</v>
      </c>
      <c r="C1703" s="17">
        <v>45619</v>
      </c>
      <c r="D1703" s="15" t="s">
        <v>5284</v>
      </c>
      <c r="E1703" s="18" t="s">
        <v>954</v>
      </c>
      <c r="F1703" s="19" t="s">
        <v>5285</v>
      </c>
      <c r="G1703" s="18" t="s">
        <v>5286</v>
      </c>
      <c r="H1703" s="20" t="s">
        <v>5180</v>
      </c>
      <c r="I1703" s="15">
        <v>1</v>
      </c>
      <c r="J1703" s="15" t="s">
        <v>24</v>
      </c>
      <c r="K1703" s="15"/>
      <c r="L1703" s="21" t="s">
        <v>16</v>
      </c>
      <c r="M1703" s="22">
        <v>0</v>
      </c>
      <c r="N1703" s="22">
        <v>0</v>
      </c>
      <c r="O1703" s="22">
        <v>8640</v>
      </c>
      <c r="P1703" s="22">
        <v>8640</v>
      </c>
      <c r="Q1703" t="str" cm="1">
        <f t="array" ref="Q1703">_xlfn.TEXTJOIN("、",TRUE,IF('學員資料-三民高中'!$B$2:$B$454=$F1703,'學員資料-三民高中'!$G$2:$G$454,""))</f>
        <v/>
      </c>
      <c r="R1703" t="str" cm="1">
        <f t="array" ref="R1703">_xlfn.TEXTJOIN("、",TRUE,IF('學員資料-新北高中'!$B$2:$B$583=$F1703,'學員資料-新北高中'!$G$2:$G$583,""))</f>
        <v>0920408140</v>
      </c>
      <c r="S1703" t="str" cm="1">
        <f t="array" ref="S1703">_xlfn.TEXTJOIN("、",TRUE,IF('學員資料-三重商工'!$B$2:$B$472=$F1703,'學員資料-三重商工'!$G$2:$G$472,""))</f>
        <v/>
      </c>
      <c r="T1703">
        <f t="shared" si="26"/>
        <v>1</v>
      </c>
    </row>
    <row r="1704" spans="1:20" ht="14.25" hidden="1" customHeight="1">
      <c r="A1704" s="15">
        <v>1703</v>
      </c>
      <c r="B1704" s="16" t="s">
        <v>5287</v>
      </c>
      <c r="C1704" s="17">
        <v>45619</v>
      </c>
      <c r="D1704" s="15" t="s">
        <v>5288</v>
      </c>
      <c r="E1704" s="18" t="s">
        <v>954</v>
      </c>
      <c r="F1704" s="19" t="s">
        <v>2090</v>
      </c>
      <c r="G1704" s="18" t="s">
        <v>2091</v>
      </c>
      <c r="H1704" s="20" t="s">
        <v>5163</v>
      </c>
      <c r="I1704" s="15">
        <v>1</v>
      </c>
      <c r="J1704" s="15" t="s">
        <v>23</v>
      </c>
      <c r="K1704" s="15"/>
      <c r="L1704" s="21" t="s">
        <v>16</v>
      </c>
      <c r="M1704" s="22">
        <v>0</v>
      </c>
      <c r="N1704" s="22">
        <v>0</v>
      </c>
      <c r="O1704" s="22">
        <v>6600</v>
      </c>
      <c r="P1704" s="22">
        <v>6600</v>
      </c>
      <c r="Q1704" t="str" cm="1">
        <f t="array" ref="Q1704">_xlfn.TEXTJOIN("、",TRUE,IF('學員資料-三民高中'!$B$2:$B$454=$F1704,'學員資料-三民高中'!$G$2:$G$454,""))</f>
        <v/>
      </c>
      <c r="R1704" t="str" cm="1">
        <f t="array" ref="R1704">_xlfn.TEXTJOIN("、",TRUE,IF('學員資料-新北高中'!$B$2:$B$583=$F1704,'學員資料-新北高中'!$G$2:$G$583,""))</f>
        <v/>
      </c>
      <c r="S1704" t="str" cm="1">
        <f t="array" ref="S1704">_xlfn.TEXTJOIN("、",TRUE,IF('學員資料-三重商工'!$B$2:$B$472=$F1704,'學員資料-三重商工'!$G$2:$G$472,""))</f>
        <v>0926740107</v>
      </c>
      <c r="T1704">
        <f t="shared" si="26"/>
        <v>1</v>
      </c>
    </row>
    <row r="1705" spans="1:20" ht="28.5" hidden="1" customHeight="1">
      <c r="A1705" s="15">
        <v>1704</v>
      </c>
      <c r="B1705" s="16" t="s">
        <v>5289</v>
      </c>
      <c r="C1705" s="17">
        <v>45619</v>
      </c>
      <c r="D1705" s="15" t="s">
        <v>5290</v>
      </c>
      <c r="E1705" s="18" t="s">
        <v>954</v>
      </c>
      <c r="F1705" s="19" t="s">
        <v>5291</v>
      </c>
      <c r="G1705" s="18" t="s">
        <v>5292</v>
      </c>
      <c r="H1705" s="20" t="s">
        <v>5206</v>
      </c>
      <c r="I1705" s="15">
        <v>2</v>
      </c>
      <c r="J1705" s="15" t="s">
        <v>23</v>
      </c>
      <c r="K1705" s="15"/>
      <c r="L1705" s="21" t="s">
        <v>16</v>
      </c>
      <c r="M1705" s="22">
        <v>0</v>
      </c>
      <c r="N1705" s="22">
        <v>0</v>
      </c>
      <c r="O1705" s="22">
        <v>13200</v>
      </c>
      <c r="P1705" s="22">
        <v>13200</v>
      </c>
      <c r="Q1705" t="str" cm="1">
        <f t="array" ref="Q1705">_xlfn.TEXTJOIN("、",TRUE,IF('學員資料-三民高中'!$B$2:$B$454=$F1705,'學員資料-三民高中'!$G$2:$G$454,""))</f>
        <v/>
      </c>
      <c r="R1705" t="str" cm="1">
        <f t="array" ref="R1705">_xlfn.TEXTJOIN("、",TRUE,IF('學員資料-新北高中'!$B$2:$B$583=$F1705,'學員資料-新北高中'!$G$2:$G$583,""))</f>
        <v/>
      </c>
      <c r="S1705" t="str" cm="1">
        <f t="array" ref="S1705">_xlfn.TEXTJOIN("、",TRUE,IF('學員資料-三重商工'!$B$2:$B$472=$F1705,'學員資料-三重商工'!$G$2:$G$472,""))</f>
        <v>0976613417</v>
      </c>
      <c r="T1705">
        <f t="shared" si="26"/>
        <v>1</v>
      </c>
    </row>
    <row r="1706" spans="1:20" ht="14.25" hidden="1" customHeight="1">
      <c r="A1706" s="15">
        <v>1705</v>
      </c>
      <c r="B1706" s="16" t="s">
        <v>5293</v>
      </c>
      <c r="C1706" s="17">
        <v>45619</v>
      </c>
      <c r="D1706" s="15" t="s">
        <v>5294</v>
      </c>
      <c r="E1706" s="18" t="s">
        <v>954</v>
      </c>
      <c r="F1706" s="19" t="s">
        <v>5066</v>
      </c>
      <c r="G1706" s="18" t="s">
        <v>5067</v>
      </c>
      <c r="H1706" s="20" t="s">
        <v>5131</v>
      </c>
      <c r="I1706" s="15">
        <v>1</v>
      </c>
      <c r="J1706" s="15" t="s">
        <v>24</v>
      </c>
      <c r="K1706" s="15"/>
      <c r="L1706" s="21" t="s">
        <v>16</v>
      </c>
      <c r="M1706" s="22">
        <v>0</v>
      </c>
      <c r="N1706" s="22">
        <v>0</v>
      </c>
      <c r="O1706" s="22">
        <v>7200</v>
      </c>
      <c r="P1706" s="22">
        <v>7200</v>
      </c>
      <c r="Q1706" t="str" cm="1">
        <f t="array" ref="Q1706">_xlfn.TEXTJOIN("、",TRUE,IF('學員資料-三民高中'!$B$2:$B$454=$F1706,'學員資料-三民高中'!$G$2:$G$454,""))</f>
        <v/>
      </c>
      <c r="R1706" t="str" cm="1">
        <f t="array" ref="R1706">_xlfn.TEXTJOIN("、",TRUE,IF('學員資料-新北高中'!$B$2:$B$583=$F1706,'學員資料-新北高中'!$G$2:$G$583,""))</f>
        <v>0933872983</v>
      </c>
      <c r="S1706" t="str" cm="1">
        <f t="array" ref="S1706">_xlfn.TEXTJOIN("、",TRUE,IF('學員資料-三重商工'!$B$2:$B$472=$F1706,'學員資料-三重商工'!$G$2:$G$472,""))</f>
        <v/>
      </c>
      <c r="T1706">
        <f t="shared" si="26"/>
        <v>1</v>
      </c>
    </row>
    <row r="1707" spans="1:20" ht="14.25" hidden="1" customHeight="1">
      <c r="A1707" s="15">
        <v>1706</v>
      </c>
      <c r="B1707" s="16" t="s">
        <v>5295</v>
      </c>
      <c r="C1707" s="17">
        <v>45619</v>
      </c>
      <c r="D1707" s="15" t="s">
        <v>5296</v>
      </c>
      <c r="E1707" s="18" t="s">
        <v>954</v>
      </c>
      <c r="F1707" s="19" t="s">
        <v>4805</v>
      </c>
      <c r="G1707" s="18" t="s">
        <v>4806</v>
      </c>
      <c r="H1707" s="20" t="s">
        <v>5163</v>
      </c>
      <c r="I1707" s="15">
        <v>1</v>
      </c>
      <c r="J1707" s="15" t="s">
        <v>23</v>
      </c>
      <c r="K1707" s="15"/>
      <c r="L1707" s="21" t="s">
        <v>16</v>
      </c>
      <c r="M1707" s="22">
        <v>0</v>
      </c>
      <c r="N1707" s="22">
        <v>0</v>
      </c>
      <c r="O1707" s="22">
        <v>6600</v>
      </c>
      <c r="P1707" s="22">
        <v>6600</v>
      </c>
      <c r="Q1707" t="str" cm="1">
        <f t="array" ref="Q1707">_xlfn.TEXTJOIN("、",TRUE,IF('學員資料-三民高中'!$B$2:$B$454=$F1707,'學員資料-三民高中'!$G$2:$G$454,""))</f>
        <v/>
      </c>
      <c r="R1707" t="str" cm="1">
        <f t="array" ref="R1707">_xlfn.TEXTJOIN("、",TRUE,IF('學員資料-新北高中'!$B$2:$B$583=$F1707,'學員資料-新北高中'!$G$2:$G$583,""))</f>
        <v>0939985581</v>
      </c>
      <c r="S1707" t="str" cm="1">
        <f t="array" ref="S1707">_xlfn.TEXTJOIN("、",TRUE,IF('學員資料-三重商工'!$B$2:$B$472=$F1707,'學員資料-三重商工'!$G$2:$G$472,""))</f>
        <v/>
      </c>
      <c r="T1707">
        <f t="shared" si="26"/>
        <v>1</v>
      </c>
    </row>
    <row r="1708" spans="1:20" ht="28.5" hidden="1" customHeight="1">
      <c r="A1708" s="15">
        <v>1707</v>
      </c>
      <c r="B1708" s="16" t="s">
        <v>5297</v>
      </c>
      <c r="C1708" s="17">
        <v>45618</v>
      </c>
      <c r="D1708" s="15" t="s">
        <v>5298</v>
      </c>
      <c r="E1708" s="18" t="s">
        <v>954</v>
      </c>
      <c r="F1708" s="19" t="s">
        <v>4566</v>
      </c>
      <c r="G1708" s="18" t="s">
        <v>4567</v>
      </c>
      <c r="H1708" s="20" t="s">
        <v>5154</v>
      </c>
      <c r="I1708" s="15">
        <v>2</v>
      </c>
      <c r="J1708" s="15" t="s">
        <v>24</v>
      </c>
      <c r="K1708" s="15"/>
      <c r="L1708" s="21" t="s">
        <v>16</v>
      </c>
      <c r="M1708" s="22">
        <v>0</v>
      </c>
      <c r="N1708" s="22">
        <v>0</v>
      </c>
      <c r="O1708" s="22">
        <v>14400</v>
      </c>
      <c r="P1708" s="22">
        <v>14400</v>
      </c>
      <c r="Q1708" t="str" cm="1">
        <f t="array" ref="Q1708">_xlfn.TEXTJOIN("、",TRUE,IF('學員資料-三民高中'!$B$2:$B$454=$F1708,'學員資料-三民高中'!$G$2:$G$454,""))</f>
        <v/>
      </c>
      <c r="R1708" t="str" cm="1">
        <f t="array" ref="R1708">_xlfn.TEXTJOIN("、",TRUE,IF('學員資料-新北高中'!$B$2:$B$583=$F1708,'學員資料-新北高中'!$G$2:$G$583,""))</f>
        <v/>
      </c>
      <c r="S1708" t="str" cm="1">
        <f t="array" ref="S1708">_xlfn.TEXTJOIN("、",TRUE,IF('學員資料-三重商工'!$B$2:$B$472=$F1708,'學員資料-三重商工'!$G$2:$G$472,""))</f>
        <v>0939287997</v>
      </c>
      <c r="T1708">
        <f t="shared" si="26"/>
        <v>1</v>
      </c>
    </row>
    <row r="1709" spans="1:20" ht="43.5" hidden="1" customHeight="1">
      <c r="A1709" s="15">
        <v>1708</v>
      </c>
      <c r="B1709" s="16" t="s">
        <v>5299</v>
      </c>
      <c r="C1709" s="17">
        <v>45618</v>
      </c>
      <c r="D1709" s="15" t="s">
        <v>5300</v>
      </c>
      <c r="E1709" s="18" t="s">
        <v>954</v>
      </c>
      <c r="F1709" s="19" t="s">
        <v>3712</v>
      </c>
      <c r="G1709" s="18" t="s">
        <v>3713</v>
      </c>
      <c r="H1709" s="20" t="s">
        <v>5301</v>
      </c>
      <c r="I1709" s="15">
        <v>3</v>
      </c>
      <c r="J1709" s="15" t="s">
        <v>24</v>
      </c>
      <c r="K1709" s="15"/>
      <c r="L1709" s="21" t="s">
        <v>16</v>
      </c>
      <c r="M1709" s="22">
        <v>0</v>
      </c>
      <c r="N1709" s="22">
        <v>0</v>
      </c>
      <c r="O1709" s="22">
        <v>25920</v>
      </c>
      <c r="P1709" s="22">
        <v>25920</v>
      </c>
      <c r="Q1709" t="str" cm="1">
        <f t="array" ref="Q1709">_xlfn.TEXTJOIN("、",TRUE,IF('學員資料-三民高中'!$B$2:$B$454=$F1709,'學員資料-三民高中'!$G$2:$G$454,""))</f>
        <v/>
      </c>
      <c r="R1709" t="str" cm="1">
        <f t="array" ref="R1709">_xlfn.TEXTJOIN("、",TRUE,IF('學員資料-新北高中'!$B$2:$B$583=$F1709,'學員資料-新北高中'!$G$2:$G$583,""))</f>
        <v>0919823051</v>
      </c>
      <c r="S1709" t="str" cm="1">
        <f t="array" ref="S1709">_xlfn.TEXTJOIN("、",TRUE,IF('學員資料-三重商工'!$B$2:$B$472=$F1709,'學員資料-三重商工'!$G$2:$G$472,""))</f>
        <v/>
      </c>
      <c r="T1709">
        <f t="shared" si="26"/>
        <v>1</v>
      </c>
    </row>
    <row r="1710" spans="1:20" ht="43.5" hidden="1" customHeight="1">
      <c r="A1710" s="15">
        <v>1709</v>
      </c>
      <c r="B1710" s="16" t="s">
        <v>5302</v>
      </c>
      <c r="C1710" s="17">
        <v>45618</v>
      </c>
      <c r="D1710" s="15" t="s">
        <v>5303</v>
      </c>
      <c r="E1710" s="18" t="s">
        <v>954</v>
      </c>
      <c r="F1710" s="19" t="s">
        <v>5304</v>
      </c>
      <c r="G1710" s="18" t="s">
        <v>5305</v>
      </c>
      <c r="H1710" s="20" t="s">
        <v>5301</v>
      </c>
      <c r="I1710" s="15">
        <v>3</v>
      </c>
      <c r="J1710" s="15" t="s">
        <v>24</v>
      </c>
      <c r="K1710" s="15"/>
      <c r="L1710" s="21" t="s">
        <v>16</v>
      </c>
      <c r="M1710" s="22">
        <v>0</v>
      </c>
      <c r="N1710" s="22">
        <v>0</v>
      </c>
      <c r="O1710" s="22">
        <v>25920</v>
      </c>
      <c r="P1710" s="22">
        <v>25920</v>
      </c>
      <c r="Q1710" t="str" cm="1">
        <f t="array" ref="Q1710">_xlfn.TEXTJOIN("、",TRUE,IF('學員資料-三民高中'!$B$2:$B$454=$F1710,'學員資料-三民高中'!$G$2:$G$454,""))</f>
        <v/>
      </c>
      <c r="R1710" t="str" cm="1">
        <f t="array" ref="R1710">_xlfn.TEXTJOIN("、",TRUE,IF('學員資料-新北高中'!$B$2:$B$583=$F1710,'學員資料-新北高中'!$G$2:$G$583,""))</f>
        <v>0911106558</v>
      </c>
      <c r="S1710" t="str" cm="1">
        <f t="array" ref="S1710">_xlfn.TEXTJOIN("、",TRUE,IF('學員資料-三重商工'!$B$2:$B$472=$F1710,'學員資料-三重商工'!$G$2:$G$472,""))</f>
        <v/>
      </c>
      <c r="T1710">
        <f t="shared" si="26"/>
        <v>1</v>
      </c>
    </row>
    <row r="1711" spans="1:20" ht="43.5" hidden="1" customHeight="1">
      <c r="A1711" s="15">
        <v>1710</v>
      </c>
      <c r="B1711" s="16" t="s">
        <v>5306</v>
      </c>
      <c r="C1711" s="17">
        <v>45618</v>
      </c>
      <c r="D1711" s="15" t="s">
        <v>5307</v>
      </c>
      <c r="E1711" s="18" t="s">
        <v>954</v>
      </c>
      <c r="F1711" s="19" t="s">
        <v>5285</v>
      </c>
      <c r="G1711" s="18" t="s">
        <v>5286</v>
      </c>
      <c r="H1711" s="20" t="s">
        <v>5301</v>
      </c>
      <c r="I1711" s="15">
        <v>3</v>
      </c>
      <c r="J1711" s="15" t="s">
        <v>24</v>
      </c>
      <c r="K1711" s="15"/>
      <c r="L1711" s="21" t="s">
        <v>16</v>
      </c>
      <c r="M1711" s="22">
        <v>0</v>
      </c>
      <c r="N1711" s="22">
        <v>0</v>
      </c>
      <c r="O1711" s="22">
        <v>25920</v>
      </c>
      <c r="P1711" s="22">
        <v>25920</v>
      </c>
      <c r="Q1711" t="str" cm="1">
        <f t="array" ref="Q1711">_xlfn.TEXTJOIN("、",TRUE,IF('學員資料-三民高中'!$B$2:$B$454=$F1711,'學員資料-三民高中'!$G$2:$G$454,""))</f>
        <v/>
      </c>
      <c r="R1711" t="str" cm="1">
        <f t="array" ref="R1711">_xlfn.TEXTJOIN("、",TRUE,IF('學員資料-新北高中'!$B$2:$B$583=$F1711,'學員資料-新北高中'!$G$2:$G$583,""))</f>
        <v>0920408140</v>
      </c>
      <c r="S1711" t="str" cm="1">
        <f t="array" ref="S1711">_xlfn.TEXTJOIN("、",TRUE,IF('學員資料-三重商工'!$B$2:$B$472=$F1711,'學員資料-三重商工'!$G$2:$G$472,""))</f>
        <v/>
      </c>
      <c r="T1711">
        <f t="shared" si="26"/>
        <v>1</v>
      </c>
    </row>
    <row r="1712" spans="1:20" ht="14.25" hidden="1" customHeight="1">
      <c r="A1712" s="15">
        <v>1711</v>
      </c>
      <c r="B1712" s="16" t="s">
        <v>5308</v>
      </c>
      <c r="C1712" s="17">
        <v>45616</v>
      </c>
      <c r="D1712" s="15" t="s">
        <v>5309</v>
      </c>
      <c r="E1712" s="18" t="s">
        <v>954</v>
      </c>
      <c r="F1712" s="19" t="s">
        <v>5310</v>
      </c>
      <c r="G1712" s="18" t="s">
        <v>5311</v>
      </c>
      <c r="H1712" s="20" t="s">
        <v>5131</v>
      </c>
      <c r="I1712" s="15">
        <v>1</v>
      </c>
      <c r="J1712" s="15" t="s">
        <v>24</v>
      </c>
      <c r="K1712" s="15"/>
      <c r="L1712" s="21" t="s">
        <v>16</v>
      </c>
      <c r="M1712" s="22">
        <v>0</v>
      </c>
      <c r="N1712" s="22">
        <v>0</v>
      </c>
      <c r="O1712" s="22">
        <v>7200</v>
      </c>
      <c r="P1712" s="22">
        <v>7200</v>
      </c>
      <c r="Q1712" t="str" cm="1">
        <f t="array" ref="Q1712">_xlfn.TEXTJOIN("、",TRUE,IF('學員資料-三民高中'!$B$2:$B$454=$F1712,'學員資料-三民高中'!$G$2:$G$454,""))</f>
        <v/>
      </c>
      <c r="R1712" t="str" cm="1">
        <f t="array" ref="R1712">_xlfn.TEXTJOIN("、",TRUE,IF('學員資料-新北高中'!$B$2:$B$583=$F1712,'學員資料-新北高中'!$G$2:$G$583,""))</f>
        <v>0910960516</v>
      </c>
      <c r="S1712" t="str" cm="1">
        <f t="array" ref="S1712">_xlfn.TEXTJOIN("、",TRUE,IF('學員資料-三重商工'!$B$2:$B$472=$F1712,'學員資料-三重商工'!$G$2:$G$472,""))</f>
        <v/>
      </c>
      <c r="T1712">
        <f t="shared" si="26"/>
        <v>1</v>
      </c>
    </row>
    <row r="1713" spans="1:20" ht="43.5" hidden="1" customHeight="1">
      <c r="A1713" s="15">
        <v>1712</v>
      </c>
      <c r="B1713" s="16" t="s">
        <v>5312</v>
      </c>
      <c r="C1713" s="17">
        <v>45616</v>
      </c>
      <c r="D1713" s="15" t="s">
        <v>5313</v>
      </c>
      <c r="E1713" s="18" t="s">
        <v>954</v>
      </c>
      <c r="F1713" s="19" t="s">
        <v>5314</v>
      </c>
      <c r="G1713" s="18" t="s">
        <v>5315</v>
      </c>
      <c r="H1713" s="20" t="s">
        <v>5157</v>
      </c>
      <c r="I1713" s="15">
        <v>3</v>
      </c>
      <c r="J1713" s="15" t="s">
        <v>23</v>
      </c>
      <c r="K1713" s="15"/>
      <c r="L1713" s="21" t="s">
        <v>16</v>
      </c>
      <c r="M1713" s="22">
        <v>0</v>
      </c>
      <c r="N1713" s="22">
        <v>-1980</v>
      </c>
      <c r="O1713" s="22">
        <v>17820</v>
      </c>
      <c r="P1713" s="22">
        <v>17820</v>
      </c>
      <c r="Q1713" t="str" cm="1">
        <f t="array" ref="Q1713">_xlfn.TEXTJOIN("、",TRUE,IF('學員資料-三民高中'!$B$2:$B$454=$F1713,'學員資料-三民高中'!$G$2:$G$454,""))</f>
        <v/>
      </c>
      <c r="R1713" t="str" cm="1">
        <f t="array" ref="R1713">_xlfn.TEXTJOIN("、",TRUE,IF('學員資料-新北高中'!$B$2:$B$583=$F1713,'學員資料-新北高中'!$G$2:$G$583,""))</f>
        <v>0976794019</v>
      </c>
      <c r="S1713" t="str" cm="1">
        <f t="array" ref="S1713">_xlfn.TEXTJOIN("、",TRUE,IF('學員資料-三重商工'!$B$2:$B$472=$F1713,'學員資料-三重商工'!$G$2:$G$472,""))</f>
        <v/>
      </c>
      <c r="T1713">
        <f t="shared" si="26"/>
        <v>1</v>
      </c>
    </row>
    <row r="1714" spans="1:20" ht="14.25" hidden="1" customHeight="1">
      <c r="A1714" s="15">
        <v>1713</v>
      </c>
      <c r="B1714" s="16" t="s">
        <v>5316</v>
      </c>
      <c r="C1714" s="17">
        <v>45614</v>
      </c>
      <c r="D1714" s="15" t="s">
        <v>5317</v>
      </c>
      <c r="E1714" s="18" t="s">
        <v>954</v>
      </c>
      <c r="F1714" s="19" t="s">
        <v>5174</v>
      </c>
      <c r="G1714" s="18" t="s">
        <v>5175</v>
      </c>
      <c r="H1714" s="20" t="s">
        <v>5163</v>
      </c>
      <c r="I1714" s="15">
        <v>1</v>
      </c>
      <c r="J1714" s="15" t="s">
        <v>23</v>
      </c>
      <c r="K1714" s="15"/>
      <c r="L1714" s="21" t="s">
        <v>16</v>
      </c>
      <c r="M1714" s="22">
        <v>0</v>
      </c>
      <c r="N1714" s="22">
        <v>0</v>
      </c>
      <c r="O1714" s="22">
        <v>6600</v>
      </c>
      <c r="P1714" s="22">
        <v>6600</v>
      </c>
      <c r="Q1714" t="str" cm="1">
        <f t="array" ref="Q1714">_xlfn.TEXTJOIN("、",TRUE,IF('學員資料-三民高中'!$B$2:$B$454=$F1714,'學員資料-三民高中'!$G$2:$G$454,""))</f>
        <v/>
      </c>
      <c r="R1714" t="str" cm="1">
        <f t="array" ref="R1714">_xlfn.TEXTJOIN("、",TRUE,IF('學員資料-新北高中'!$B$2:$B$583=$F1714,'學員資料-新北高中'!$G$2:$G$583,""))</f>
        <v>0911502818</v>
      </c>
      <c r="S1714" t="str" cm="1">
        <f t="array" ref="S1714">_xlfn.TEXTJOIN("、",TRUE,IF('學員資料-三重商工'!$B$2:$B$472=$F1714,'學員資料-三重商工'!$G$2:$G$472,""))</f>
        <v/>
      </c>
      <c r="T1714">
        <f t="shared" si="26"/>
        <v>1</v>
      </c>
    </row>
    <row r="1715" spans="1:20" ht="14.25" hidden="1" customHeight="1">
      <c r="A1715" s="15">
        <v>1714</v>
      </c>
      <c r="B1715" s="16" t="s">
        <v>5318</v>
      </c>
      <c r="C1715" s="17">
        <v>45614</v>
      </c>
      <c r="D1715" s="15" t="s">
        <v>5319</v>
      </c>
      <c r="E1715" s="18" t="s">
        <v>954</v>
      </c>
      <c r="F1715" s="19" t="s">
        <v>5109</v>
      </c>
      <c r="G1715" s="18" t="s">
        <v>5110</v>
      </c>
      <c r="H1715" s="20" t="s">
        <v>5163</v>
      </c>
      <c r="I1715" s="15">
        <v>1</v>
      </c>
      <c r="J1715" s="15" t="s">
        <v>23</v>
      </c>
      <c r="K1715" s="15"/>
      <c r="L1715" s="21" t="s">
        <v>16</v>
      </c>
      <c r="M1715" s="22">
        <v>0</v>
      </c>
      <c r="N1715" s="22">
        <v>0</v>
      </c>
      <c r="O1715" s="22">
        <v>6600</v>
      </c>
      <c r="P1715" s="22">
        <v>6600</v>
      </c>
      <c r="Q1715" t="str" cm="1">
        <f t="array" ref="Q1715">_xlfn.TEXTJOIN("、",TRUE,IF('學員資料-三民高中'!$B$2:$B$454=$F1715,'學員資料-三民高中'!$G$2:$G$454,""))</f>
        <v>0933510045</v>
      </c>
      <c r="R1715" t="str" cm="1">
        <f t="array" ref="R1715">_xlfn.TEXTJOIN("、",TRUE,IF('學員資料-新北高中'!$B$2:$B$583=$F1715,'學員資料-新北高中'!$G$2:$G$583,""))</f>
        <v/>
      </c>
      <c r="S1715" t="str" cm="1">
        <f t="array" ref="S1715">_xlfn.TEXTJOIN("、",TRUE,IF('學員資料-三重商工'!$B$2:$B$472=$F1715,'學員資料-三重商工'!$G$2:$G$472,""))</f>
        <v/>
      </c>
      <c r="T1715">
        <f t="shared" si="26"/>
        <v>1</v>
      </c>
    </row>
    <row r="1716" spans="1:20" ht="14.25" hidden="1" customHeight="1">
      <c r="A1716" s="15">
        <v>1715</v>
      </c>
      <c r="B1716" s="16" t="s">
        <v>5320</v>
      </c>
      <c r="C1716" s="17">
        <v>45614</v>
      </c>
      <c r="D1716" s="15" t="s">
        <v>5321</v>
      </c>
      <c r="E1716" s="18" t="s">
        <v>954</v>
      </c>
      <c r="F1716" s="19" t="s">
        <v>5322</v>
      </c>
      <c r="G1716" s="18" t="s">
        <v>5323</v>
      </c>
      <c r="H1716" s="20" t="s">
        <v>5163</v>
      </c>
      <c r="I1716" s="15">
        <v>1</v>
      </c>
      <c r="J1716" s="15" t="s">
        <v>23</v>
      </c>
      <c r="K1716" s="15"/>
      <c r="L1716" s="21" t="s">
        <v>16</v>
      </c>
      <c r="M1716" s="22">
        <v>0</v>
      </c>
      <c r="N1716" s="22">
        <v>0</v>
      </c>
      <c r="O1716" s="22">
        <v>6600</v>
      </c>
      <c r="P1716" s="22">
        <v>6600</v>
      </c>
      <c r="Q1716" t="str" cm="1">
        <f t="array" ref="Q1716">_xlfn.TEXTJOIN("、",TRUE,IF('學員資料-三民高中'!$B$2:$B$454=$F1716,'學員資料-三民高中'!$G$2:$G$454,""))</f>
        <v>0972508298</v>
      </c>
      <c r="R1716" t="str" cm="1">
        <f t="array" ref="R1716">_xlfn.TEXTJOIN("、",TRUE,IF('學員資料-新北高中'!$B$2:$B$583=$F1716,'學員資料-新北高中'!$G$2:$G$583,""))</f>
        <v/>
      </c>
      <c r="S1716" t="str" cm="1">
        <f t="array" ref="S1716">_xlfn.TEXTJOIN("、",TRUE,IF('學員資料-三重商工'!$B$2:$B$472=$F1716,'學員資料-三重商工'!$G$2:$G$472,""))</f>
        <v/>
      </c>
      <c r="T1716">
        <f t="shared" si="26"/>
        <v>1</v>
      </c>
    </row>
    <row r="1717" spans="1:20" ht="14.25" hidden="1" customHeight="1">
      <c r="A1717" s="15">
        <v>1716</v>
      </c>
      <c r="B1717" s="16" t="s">
        <v>5324</v>
      </c>
      <c r="C1717" s="17">
        <v>45614</v>
      </c>
      <c r="D1717" s="15" t="s">
        <v>5325</v>
      </c>
      <c r="E1717" s="18" t="s">
        <v>954</v>
      </c>
      <c r="F1717" s="19" t="s">
        <v>5326</v>
      </c>
      <c r="G1717" s="18" t="s">
        <v>5327</v>
      </c>
      <c r="H1717" s="20" t="s">
        <v>5131</v>
      </c>
      <c r="I1717" s="15">
        <v>1</v>
      </c>
      <c r="J1717" s="15" t="s">
        <v>24</v>
      </c>
      <c r="K1717" s="15"/>
      <c r="L1717" s="21" t="s">
        <v>16</v>
      </c>
      <c r="M1717" s="22">
        <v>0</v>
      </c>
      <c r="N1717" s="22">
        <v>0</v>
      </c>
      <c r="O1717" s="22">
        <v>7200</v>
      </c>
      <c r="P1717" s="22">
        <v>7200</v>
      </c>
      <c r="Q1717" t="str" cm="1">
        <f t="array" ref="Q1717">_xlfn.TEXTJOIN("、",TRUE,IF('學員資料-三民高中'!$B$2:$B$454=$F1717,'學員資料-三民高中'!$G$2:$G$454,""))</f>
        <v>0931372661</v>
      </c>
      <c r="R1717" t="str" cm="1">
        <f t="array" ref="R1717">_xlfn.TEXTJOIN("、",TRUE,IF('學員資料-新北高中'!$B$2:$B$583=$F1717,'學員資料-新北高中'!$G$2:$G$583,""))</f>
        <v/>
      </c>
      <c r="S1717" t="str" cm="1">
        <f t="array" ref="S1717">_xlfn.TEXTJOIN("、",TRUE,IF('學員資料-三重商工'!$B$2:$B$472=$F1717,'學員資料-三重商工'!$G$2:$G$472,""))</f>
        <v/>
      </c>
      <c r="T1717">
        <f t="shared" si="26"/>
        <v>1</v>
      </c>
    </row>
    <row r="1718" spans="1:20" ht="14.25" hidden="1" customHeight="1">
      <c r="A1718" s="15">
        <v>1717</v>
      </c>
      <c r="B1718" s="16" t="s">
        <v>5328</v>
      </c>
      <c r="C1718" s="17">
        <v>45614</v>
      </c>
      <c r="D1718" s="15" t="s">
        <v>5329</v>
      </c>
      <c r="E1718" s="18" t="s">
        <v>3862</v>
      </c>
      <c r="F1718" s="19" t="s">
        <v>5330</v>
      </c>
      <c r="G1718" s="18" t="s">
        <v>5331</v>
      </c>
      <c r="H1718" s="20" t="s">
        <v>5246</v>
      </c>
      <c r="I1718" s="15">
        <v>1</v>
      </c>
      <c r="J1718" s="15" t="s">
        <v>23</v>
      </c>
      <c r="K1718" s="15"/>
      <c r="L1718" s="21" t="s">
        <v>16</v>
      </c>
      <c r="M1718" s="22">
        <v>0</v>
      </c>
      <c r="N1718" s="22">
        <v>0</v>
      </c>
      <c r="O1718" s="22">
        <v>7200</v>
      </c>
      <c r="P1718" s="22">
        <v>7200</v>
      </c>
      <c r="Q1718" t="str" cm="1">
        <f t="array" ref="Q1718">_xlfn.TEXTJOIN("、",TRUE,IF('學員資料-三民高中'!$B$2:$B$454=$F1718,'學員資料-三民高中'!$G$2:$G$454,""))</f>
        <v>0986996403</v>
      </c>
      <c r="R1718" t="str" cm="1">
        <f t="array" ref="R1718">_xlfn.TEXTJOIN("、",TRUE,IF('學員資料-新北高中'!$B$2:$B$583=$F1718,'學員資料-新北高中'!$G$2:$G$583,""))</f>
        <v/>
      </c>
      <c r="S1718" t="str" cm="1">
        <f t="array" ref="S1718">_xlfn.TEXTJOIN("、",TRUE,IF('學員資料-三重商工'!$B$2:$B$472=$F1718,'學員資料-三重商工'!$G$2:$G$472,""))</f>
        <v/>
      </c>
      <c r="T1718">
        <f t="shared" si="26"/>
        <v>1</v>
      </c>
    </row>
    <row r="1719" spans="1:20" ht="28.5" hidden="1" customHeight="1">
      <c r="A1719" s="15">
        <v>1718</v>
      </c>
      <c r="B1719" s="16" t="s">
        <v>5332</v>
      </c>
      <c r="C1719" s="17">
        <v>45613</v>
      </c>
      <c r="D1719" s="15" t="s">
        <v>5333</v>
      </c>
      <c r="E1719" s="18" t="s">
        <v>954</v>
      </c>
      <c r="F1719" s="19" t="s">
        <v>5334</v>
      </c>
      <c r="G1719" s="18" t="s">
        <v>5335</v>
      </c>
      <c r="H1719" s="20" t="s">
        <v>5154</v>
      </c>
      <c r="I1719" s="15">
        <v>2</v>
      </c>
      <c r="J1719" s="15" t="s">
        <v>24</v>
      </c>
      <c r="K1719" s="15"/>
      <c r="L1719" s="21" t="s">
        <v>16</v>
      </c>
      <c r="M1719" s="22">
        <v>0</v>
      </c>
      <c r="N1719" s="22">
        <v>0</v>
      </c>
      <c r="O1719" s="22">
        <v>14400</v>
      </c>
      <c r="P1719" s="22">
        <v>14400</v>
      </c>
      <c r="Q1719" t="str" cm="1">
        <f t="array" ref="Q1719">_xlfn.TEXTJOIN("、",TRUE,IF('學員資料-三民高中'!$B$2:$B$454=$F1719,'學員資料-三民高中'!$G$2:$G$454,""))</f>
        <v/>
      </c>
      <c r="R1719" t="str" cm="1">
        <f t="array" ref="R1719">_xlfn.TEXTJOIN("、",TRUE,IF('學員資料-新北高中'!$B$2:$B$583=$F1719,'學員資料-新北高中'!$G$2:$G$583,""))</f>
        <v>0921866134</v>
      </c>
      <c r="S1719" t="str" cm="1">
        <f t="array" ref="S1719">_xlfn.TEXTJOIN("、",TRUE,IF('學員資料-三重商工'!$B$2:$B$472=$F1719,'學員資料-三重商工'!$G$2:$G$472,""))</f>
        <v/>
      </c>
      <c r="T1719">
        <f t="shared" si="26"/>
        <v>1</v>
      </c>
    </row>
    <row r="1720" spans="1:20" ht="14.25" hidden="1" customHeight="1">
      <c r="A1720" s="15">
        <v>1719</v>
      </c>
      <c r="B1720" s="16" t="s">
        <v>5336</v>
      </c>
      <c r="C1720" s="17">
        <v>45612</v>
      </c>
      <c r="D1720" s="15" t="s">
        <v>5337</v>
      </c>
      <c r="E1720" s="18" t="s">
        <v>954</v>
      </c>
      <c r="F1720" s="19" t="s">
        <v>1027</v>
      </c>
      <c r="G1720" s="18" t="s">
        <v>1028</v>
      </c>
      <c r="H1720" s="20" t="s">
        <v>5131</v>
      </c>
      <c r="I1720" s="15">
        <v>1</v>
      </c>
      <c r="J1720" s="15" t="s">
        <v>24</v>
      </c>
      <c r="K1720" s="15"/>
      <c r="L1720" s="21" t="s">
        <v>16</v>
      </c>
      <c r="M1720" s="22">
        <v>0</v>
      </c>
      <c r="N1720" s="22">
        <v>0</v>
      </c>
      <c r="O1720" s="22">
        <v>7200</v>
      </c>
      <c r="P1720" s="22">
        <v>7200</v>
      </c>
      <c r="Q1720" t="str" cm="1">
        <f t="array" ref="Q1720">_xlfn.TEXTJOIN("、",TRUE,IF('學員資料-三民高中'!$B$2:$B$454=$F1720,'學員資料-三民高中'!$G$2:$G$454,""))</f>
        <v/>
      </c>
      <c r="R1720" t="str" cm="1">
        <f t="array" ref="R1720">_xlfn.TEXTJOIN("、",TRUE,IF('學員資料-新北高中'!$B$2:$B$583=$F1720,'學員資料-新北高中'!$G$2:$G$583,""))</f>
        <v>0958657336</v>
      </c>
      <c r="S1720" t="str" cm="1">
        <f t="array" ref="S1720">_xlfn.TEXTJOIN("、",TRUE,IF('學員資料-三重商工'!$B$2:$B$472=$F1720,'學員資料-三重商工'!$G$2:$G$472,""))</f>
        <v/>
      </c>
      <c r="T1720">
        <f t="shared" si="26"/>
        <v>1</v>
      </c>
    </row>
    <row r="1721" spans="1:20" ht="14.25" hidden="1" customHeight="1">
      <c r="A1721" s="15">
        <v>1720</v>
      </c>
      <c r="B1721" s="16" t="s">
        <v>5338</v>
      </c>
      <c r="C1721" s="17">
        <v>45612</v>
      </c>
      <c r="D1721" s="15" t="s">
        <v>5339</v>
      </c>
      <c r="E1721" s="18" t="s">
        <v>954</v>
      </c>
      <c r="F1721" s="19" t="s">
        <v>4890</v>
      </c>
      <c r="G1721" s="18" t="s">
        <v>4891</v>
      </c>
      <c r="H1721" s="20" t="s">
        <v>5340</v>
      </c>
      <c r="I1721" s="15">
        <v>1</v>
      </c>
      <c r="J1721" s="15" t="s">
        <v>27</v>
      </c>
      <c r="K1721" s="15"/>
      <c r="L1721" s="21" t="s">
        <v>16</v>
      </c>
      <c r="M1721" s="22">
        <v>0</v>
      </c>
      <c r="N1721" s="22">
        <v>0</v>
      </c>
      <c r="O1721" s="22">
        <v>13500</v>
      </c>
      <c r="P1721" s="22">
        <v>13500</v>
      </c>
      <c r="Q1721" t="str" cm="1">
        <f t="array" ref="Q1721">_xlfn.TEXTJOIN("、",TRUE,IF('學員資料-三民高中'!$B$2:$B$454=$F1721,'學員資料-三民高中'!$G$2:$G$454,""))</f>
        <v/>
      </c>
      <c r="R1721" t="str" cm="1">
        <f t="array" ref="R1721">_xlfn.TEXTJOIN("、",TRUE,IF('學員資料-新北高中'!$B$2:$B$583=$F1721,'學員資料-新北高中'!$G$2:$G$583,""))</f>
        <v>0910817610</v>
      </c>
      <c r="S1721" t="str" cm="1">
        <f t="array" ref="S1721">_xlfn.TEXTJOIN("、",TRUE,IF('學員資料-三重商工'!$B$2:$B$472=$F1721,'學員資料-三重商工'!$G$2:$G$472,""))</f>
        <v/>
      </c>
      <c r="T1721">
        <f t="shared" si="26"/>
        <v>1</v>
      </c>
    </row>
    <row r="1722" spans="1:20" ht="14.25" hidden="1" customHeight="1">
      <c r="A1722" s="15">
        <v>1721</v>
      </c>
      <c r="B1722" s="16" t="s">
        <v>5341</v>
      </c>
      <c r="C1722" s="17">
        <v>45612</v>
      </c>
      <c r="D1722" s="15" t="s">
        <v>5342</v>
      </c>
      <c r="E1722" s="18" t="s">
        <v>954</v>
      </c>
      <c r="F1722" s="19" t="s">
        <v>1603</v>
      </c>
      <c r="G1722" s="18" t="s">
        <v>1604</v>
      </c>
      <c r="H1722" s="20" t="s">
        <v>5131</v>
      </c>
      <c r="I1722" s="15">
        <v>1</v>
      </c>
      <c r="J1722" s="15" t="s">
        <v>24</v>
      </c>
      <c r="K1722" s="15"/>
      <c r="L1722" s="21" t="s">
        <v>16</v>
      </c>
      <c r="M1722" s="22">
        <v>0</v>
      </c>
      <c r="N1722" s="22">
        <v>0</v>
      </c>
      <c r="O1722" s="22">
        <v>7200</v>
      </c>
      <c r="P1722" s="22">
        <v>7200</v>
      </c>
      <c r="Q1722" t="str" cm="1">
        <f t="array" ref="Q1722">_xlfn.TEXTJOIN("、",TRUE,IF('學員資料-三民高中'!$B$2:$B$454=$F1722,'學員資料-三民高中'!$G$2:$G$454,""))</f>
        <v>0915172967-1</v>
      </c>
      <c r="R1722" t="str" cm="1">
        <f t="array" ref="R1722">_xlfn.TEXTJOIN("、",TRUE,IF('學員資料-新北高中'!$B$2:$B$583=$F1722,'學員資料-新北高中'!$G$2:$G$583,""))</f>
        <v/>
      </c>
      <c r="S1722" t="str" cm="1">
        <f t="array" ref="S1722">_xlfn.TEXTJOIN("、",TRUE,IF('學員資料-三重商工'!$B$2:$B$472=$F1722,'學員資料-三重商工'!$G$2:$G$472,""))</f>
        <v/>
      </c>
      <c r="T1722">
        <f t="shared" si="26"/>
        <v>1</v>
      </c>
    </row>
    <row r="1723" spans="1:20" ht="14.25" hidden="1" customHeight="1">
      <c r="A1723" s="15">
        <v>1722</v>
      </c>
      <c r="B1723" s="16" t="s">
        <v>5343</v>
      </c>
      <c r="C1723" s="17">
        <v>45612</v>
      </c>
      <c r="D1723" s="15" t="s">
        <v>5344</v>
      </c>
      <c r="E1723" s="18" t="s">
        <v>954</v>
      </c>
      <c r="F1723" s="19" t="s">
        <v>2596</v>
      </c>
      <c r="G1723" s="18" t="s">
        <v>2597</v>
      </c>
      <c r="H1723" s="20" t="s">
        <v>5131</v>
      </c>
      <c r="I1723" s="15">
        <v>1</v>
      </c>
      <c r="J1723" s="15" t="s">
        <v>24</v>
      </c>
      <c r="K1723" s="15"/>
      <c r="L1723" s="21" t="s">
        <v>16</v>
      </c>
      <c r="M1723" s="22">
        <v>0</v>
      </c>
      <c r="N1723" s="22">
        <v>0</v>
      </c>
      <c r="O1723" s="22">
        <v>7200</v>
      </c>
      <c r="P1723" s="22">
        <v>7200</v>
      </c>
      <c r="Q1723" t="str" cm="1">
        <f t="array" ref="Q1723">_xlfn.TEXTJOIN("、",TRUE,IF('學員資料-三民高中'!$B$2:$B$454=$F1723,'學員資料-三民高中'!$G$2:$G$454,""))</f>
        <v/>
      </c>
      <c r="R1723" t="str" cm="1">
        <f t="array" ref="R1723">_xlfn.TEXTJOIN("、",TRUE,IF('學員資料-新北高中'!$B$2:$B$583=$F1723,'學員資料-新北高中'!$G$2:$G$583,""))</f>
        <v/>
      </c>
      <c r="S1723" t="str" cm="1">
        <f t="array" ref="S1723">_xlfn.TEXTJOIN("、",TRUE,IF('學員資料-三重商工'!$B$2:$B$472=$F1723,'學員資料-三重商工'!$G$2:$G$472,""))</f>
        <v>0939332750</v>
      </c>
      <c r="T1723">
        <f t="shared" si="26"/>
        <v>1</v>
      </c>
    </row>
    <row r="1724" spans="1:20" ht="14.25" hidden="1" customHeight="1">
      <c r="A1724" s="15">
        <v>1723</v>
      </c>
      <c r="B1724" s="16" t="s">
        <v>5345</v>
      </c>
      <c r="C1724" s="17">
        <v>45612</v>
      </c>
      <c r="D1724" s="15" t="s">
        <v>5346</v>
      </c>
      <c r="E1724" s="18" t="s">
        <v>954</v>
      </c>
      <c r="F1724" s="19" t="s">
        <v>5347</v>
      </c>
      <c r="G1724" s="18" t="s">
        <v>5348</v>
      </c>
      <c r="H1724" s="20" t="s">
        <v>5131</v>
      </c>
      <c r="I1724" s="15">
        <v>1</v>
      </c>
      <c r="J1724" s="15" t="s">
        <v>24</v>
      </c>
      <c r="K1724" s="15"/>
      <c r="L1724" s="21" t="s">
        <v>16</v>
      </c>
      <c r="M1724" s="22">
        <v>0</v>
      </c>
      <c r="N1724" s="22">
        <v>0</v>
      </c>
      <c r="O1724" s="22">
        <v>7200</v>
      </c>
      <c r="P1724" s="22">
        <v>7200</v>
      </c>
      <c r="Q1724" t="str" cm="1">
        <f t="array" ref="Q1724">_xlfn.TEXTJOIN("、",TRUE,IF('學員資料-三民高中'!$B$2:$B$454=$F1724,'學員資料-三民高中'!$G$2:$G$454,""))</f>
        <v/>
      </c>
      <c r="R1724" t="str" cm="1">
        <f t="array" ref="R1724">_xlfn.TEXTJOIN("、",TRUE,IF('學員資料-新北高中'!$B$2:$B$583=$F1724,'學員資料-新北高中'!$G$2:$G$583,""))</f>
        <v/>
      </c>
      <c r="S1724" t="str" cm="1">
        <f t="array" ref="S1724">_xlfn.TEXTJOIN("、",TRUE,IF('學員資料-三重商工'!$B$2:$B$472=$F1724,'學員資料-三重商工'!$G$2:$G$472,""))</f>
        <v>0973010613</v>
      </c>
      <c r="T1724">
        <f t="shared" si="26"/>
        <v>1</v>
      </c>
    </row>
    <row r="1725" spans="1:20" ht="14.25" hidden="1" customHeight="1">
      <c r="A1725" s="15">
        <v>1724</v>
      </c>
      <c r="B1725" s="16" t="s">
        <v>5349</v>
      </c>
      <c r="C1725" s="17">
        <v>45612</v>
      </c>
      <c r="D1725" s="15" t="s">
        <v>5350</v>
      </c>
      <c r="E1725" s="18" t="s">
        <v>954</v>
      </c>
      <c r="F1725" s="19" t="s">
        <v>5351</v>
      </c>
      <c r="G1725" s="18" t="s">
        <v>5352</v>
      </c>
      <c r="H1725" s="20" t="s">
        <v>5340</v>
      </c>
      <c r="I1725" s="15">
        <v>1</v>
      </c>
      <c r="J1725" s="15" t="s">
        <v>27</v>
      </c>
      <c r="K1725" s="15"/>
      <c r="L1725" s="21" t="s">
        <v>16</v>
      </c>
      <c r="M1725" s="22">
        <v>0</v>
      </c>
      <c r="N1725" s="22">
        <v>0</v>
      </c>
      <c r="O1725" s="22">
        <v>13500</v>
      </c>
      <c r="P1725" s="22">
        <v>13500</v>
      </c>
      <c r="Q1725" t="str" cm="1">
        <f t="array" ref="Q1725">_xlfn.TEXTJOIN("、",TRUE,IF('學員資料-三民高中'!$B$2:$B$454=$F1725,'學員資料-三民高中'!$G$2:$G$454,""))</f>
        <v/>
      </c>
      <c r="R1725" t="str" cm="1">
        <f t="array" ref="R1725">_xlfn.TEXTJOIN("、",TRUE,IF('學員資料-新北高中'!$B$2:$B$583=$F1725,'學員資料-新北高中'!$G$2:$G$583,""))</f>
        <v>0989015781</v>
      </c>
      <c r="S1725" t="str" cm="1">
        <f t="array" ref="S1725">_xlfn.TEXTJOIN("、",TRUE,IF('學員資料-三重商工'!$B$2:$B$472=$F1725,'學員資料-三重商工'!$G$2:$G$472,""))</f>
        <v/>
      </c>
      <c r="T1725">
        <f t="shared" si="26"/>
        <v>1</v>
      </c>
    </row>
    <row r="1726" spans="1:20" ht="14.25" hidden="1" customHeight="1">
      <c r="A1726" s="15">
        <v>1725</v>
      </c>
      <c r="B1726" s="16" t="s">
        <v>5353</v>
      </c>
      <c r="C1726" s="17">
        <v>45611</v>
      </c>
      <c r="D1726" s="15" t="s">
        <v>5354</v>
      </c>
      <c r="E1726" s="18" t="s">
        <v>954</v>
      </c>
      <c r="F1726" s="19" t="s">
        <v>5355</v>
      </c>
      <c r="G1726" s="18" t="s">
        <v>5356</v>
      </c>
      <c r="H1726" s="20" t="s">
        <v>3811</v>
      </c>
      <c r="I1726" s="15">
        <v>1</v>
      </c>
      <c r="J1726" s="15" t="s">
        <v>24</v>
      </c>
      <c r="K1726" s="21" t="s">
        <v>116</v>
      </c>
      <c r="L1726" s="21" t="s">
        <v>16</v>
      </c>
      <c r="M1726" s="22">
        <v>0</v>
      </c>
      <c r="N1726" s="22">
        <v>-120</v>
      </c>
      <c r="O1726" s="22">
        <v>1080</v>
      </c>
      <c r="P1726" s="22">
        <v>1080</v>
      </c>
      <c r="Q1726" t="str" cm="1">
        <f t="array" ref="Q1726">_xlfn.TEXTJOIN("、",TRUE,IF('學員資料-三民高中'!$B$2:$B$454=$F1726,'學員資料-三民高中'!$G$2:$G$454,""))</f>
        <v/>
      </c>
      <c r="R1726" t="str" cm="1">
        <f t="array" ref="R1726">_xlfn.TEXTJOIN("、",TRUE,IF('學員資料-新北高中'!$B$2:$B$583=$F1726,'學員資料-新北高中'!$G$2:$G$583,""))</f>
        <v>0915100949</v>
      </c>
      <c r="S1726" t="str" cm="1">
        <f t="array" ref="S1726">_xlfn.TEXTJOIN("、",TRUE,IF('學員資料-三重商工'!$B$2:$B$472=$F1726,'學員資料-三重商工'!$G$2:$G$472,""))</f>
        <v/>
      </c>
      <c r="T1726">
        <f t="shared" si="26"/>
        <v>1</v>
      </c>
    </row>
    <row r="1727" spans="1:20" ht="14.25" hidden="1" customHeight="1">
      <c r="A1727" s="15">
        <v>1726</v>
      </c>
      <c r="B1727" s="16" t="s">
        <v>5357</v>
      </c>
      <c r="C1727" s="17">
        <v>45611</v>
      </c>
      <c r="D1727" s="15" t="s">
        <v>5358</v>
      </c>
      <c r="E1727" s="18" t="s">
        <v>954</v>
      </c>
      <c r="F1727" s="19" t="s">
        <v>5359</v>
      </c>
      <c r="G1727" s="18" t="s">
        <v>5360</v>
      </c>
      <c r="H1727" s="20" t="s">
        <v>5361</v>
      </c>
      <c r="I1727" s="15">
        <v>1</v>
      </c>
      <c r="J1727" s="15" t="s">
        <v>23</v>
      </c>
      <c r="K1727" s="21" t="s">
        <v>116</v>
      </c>
      <c r="L1727" s="21" t="s">
        <v>16</v>
      </c>
      <c r="M1727" s="22">
        <v>0</v>
      </c>
      <c r="N1727" s="22">
        <v>0</v>
      </c>
      <c r="O1727" s="22">
        <v>1100</v>
      </c>
      <c r="P1727" s="22">
        <v>1100</v>
      </c>
      <c r="Q1727" t="str" cm="1">
        <f t="array" ref="Q1727">_xlfn.TEXTJOIN("、",TRUE,IF('學員資料-三民高中'!$B$2:$B$454=$F1727,'學員資料-三民高中'!$G$2:$G$454,""))</f>
        <v>0931042665</v>
      </c>
      <c r="R1727" t="str" cm="1">
        <f t="array" ref="R1727">_xlfn.TEXTJOIN("、",TRUE,IF('學員資料-新北高中'!$B$2:$B$583=$F1727,'學員資料-新北高中'!$G$2:$G$583,""))</f>
        <v/>
      </c>
      <c r="S1727" t="str" cm="1">
        <f t="array" ref="S1727">_xlfn.TEXTJOIN("、",TRUE,IF('學員資料-三重商工'!$B$2:$B$472=$F1727,'學員資料-三重商工'!$G$2:$G$472,""))</f>
        <v/>
      </c>
      <c r="T1727">
        <f t="shared" si="26"/>
        <v>1</v>
      </c>
    </row>
    <row r="1728" spans="1:20" ht="14.25" hidden="1" customHeight="1">
      <c r="A1728" s="15">
        <v>1727</v>
      </c>
      <c r="B1728" s="16" t="s">
        <v>5362</v>
      </c>
      <c r="C1728" s="17">
        <v>45610</v>
      </c>
      <c r="D1728" s="15" t="s">
        <v>5363</v>
      </c>
      <c r="E1728" s="18" t="s">
        <v>954</v>
      </c>
      <c r="F1728" s="19" t="s">
        <v>5364</v>
      </c>
      <c r="G1728" s="18" t="s">
        <v>5365</v>
      </c>
      <c r="H1728" s="20" t="s">
        <v>5163</v>
      </c>
      <c r="I1728" s="15">
        <v>1</v>
      </c>
      <c r="J1728" s="15" t="s">
        <v>23</v>
      </c>
      <c r="K1728" s="15"/>
      <c r="L1728" s="21" t="s">
        <v>16</v>
      </c>
      <c r="M1728" s="22">
        <v>0</v>
      </c>
      <c r="N1728" s="22">
        <v>0</v>
      </c>
      <c r="O1728" s="22">
        <v>6600</v>
      </c>
      <c r="P1728" s="22">
        <v>6600</v>
      </c>
      <c r="Q1728" t="str" cm="1">
        <f t="array" ref="Q1728">_xlfn.TEXTJOIN("、",TRUE,IF('學員資料-三民高中'!$B$2:$B$454=$F1728,'學員資料-三民高中'!$G$2:$G$454,""))</f>
        <v/>
      </c>
      <c r="R1728" t="str" cm="1">
        <f t="array" ref="R1728">_xlfn.TEXTJOIN("、",TRUE,IF('學員資料-新北高中'!$B$2:$B$583=$F1728,'學員資料-新北高中'!$G$2:$G$583,""))</f>
        <v/>
      </c>
      <c r="S1728" t="str" cm="1">
        <f t="array" ref="S1728">_xlfn.TEXTJOIN("、",TRUE,IF('學員資料-三重商工'!$B$2:$B$472=$F1728,'學員資料-三重商工'!$G$2:$G$472,""))</f>
        <v>0982492210</v>
      </c>
      <c r="T1728">
        <f t="shared" si="26"/>
        <v>1</v>
      </c>
    </row>
    <row r="1729" spans="1:20" ht="14.25" hidden="1" customHeight="1">
      <c r="A1729" s="15">
        <v>1728</v>
      </c>
      <c r="B1729" s="16" t="s">
        <v>5366</v>
      </c>
      <c r="C1729" s="17">
        <v>45610</v>
      </c>
      <c r="D1729" s="15" t="s">
        <v>5367</v>
      </c>
      <c r="E1729" s="18" t="s">
        <v>3862</v>
      </c>
      <c r="F1729" s="19" t="s">
        <v>4868</v>
      </c>
      <c r="G1729" s="18" t="s">
        <v>4869</v>
      </c>
      <c r="H1729" s="20" t="s">
        <v>5131</v>
      </c>
      <c r="I1729" s="15">
        <v>1</v>
      </c>
      <c r="J1729" s="15" t="s">
        <v>24</v>
      </c>
      <c r="K1729" s="15"/>
      <c r="L1729" s="21" t="s">
        <v>16</v>
      </c>
      <c r="M1729" s="22">
        <v>0</v>
      </c>
      <c r="N1729" s="22">
        <v>0</v>
      </c>
      <c r="O1729" s="22">
        <v>7200</v>
      </c>
      <c r="P1729" s="22">
        <v>7200</v>
      </c>
      <c r="Q1729" t="str" cm="1">
        <f t="array" ref="Q1729">_xlfn.TEXTJOIN("、",TRUE,IF('學員資料-三民高中'!$B$2:$B$454=$F1729,'學員資料-三民高中'!$G$2:$G$454,""))</f>
        <v/>
      </c>
      <c r="R1729" t="str" cm="1">
        <f t="array" ref="R1729">_xlfn.TEXTJOIN("、",TRUE,IF('學員資料-新北高中'!$B$2:$B$583=$F1729,'學員資料-新北高中'!$G$2:$G$583,""))</f>
        <v>0955621258</v>
      </c>
      <c r="S1729" t="str" cm="1">
        <f t="array" ref="S1729">_xlfn.TEXTJOIN("、",TRUE,IF('學員資料-三重商工'!$B$2:$B$472=$F1729,'學員資料-三重商工'!$G$2:$G$472,""))</f>
        <v/>
      </c>
      <c r="T1729">
        <f t="shared" si="26"/>
        <v>1</v>
      </c>
    </row>
    <row r="1730" spans="1:20" ht="14.25" hidden="1" customHeight="1">
      <c r="A1730" s="15">
        <v>1729</v>
      </c>
      <c r="B1730" s="16" t="s">
        <v>5368</v>
      </c>
      <c r="C1730" s="17">
        <v>45609</v>
      </c>
      <c r="D1730" s="15" t="s">
        <v>5369</v>
      </c>
      <c r="E1730" s="18" t="s">
        <v>954</v>
      </c>
      <c r="F1730" s="19" t="s">
        <v>5370</v>
      </c>
      <c r="G1730" s="18" t="s">
        <v>5371</v>
      </c>
      <c r="H1730" s="20" t="s">
        <v>5211</v>
      </c>
      <c r="I1730" s="15">
        <v>1</v>
      </c>
      <c r="J1730" s="15" t="s">
        <v>26</v>
      </c>
      <c r="K1730" s="15"/>
      <c r="L1730" s="21" t="s">
        <v>16</v>
      </c>
      <c r="M1730" s="22">
        <v>0</v>
      </c>
      <c r="N1730" s="22">
        <v>-4320</v>
      </c>
      <c r="O1730" s="22">
        <v>6480</v>
      </c>
      <c r="P1730" s="22">
        <v>6480</v>
      </c>
      <c r="Q1730" t="str" cm="1">
        <f t="array" ref="Q1730">_xlfn.TEXTJOIN("、",TRUE,IF('學員資料-三民高中'!$B$2:$B$454=$F1730,'學員資料-三民高中'!$G$2:$G$454,""))</f>
        <v/>
      </c>
      <c r="R1730" t="str" cm="1">
        <f t="array" ref="R1730">_xlfn.TEXTJOIN("、",TRUE,IF('學員資料-新北高中'!$B$2:$B$583=$F1730,'學員資料-新北高中'!$G$2:$G$583,""))</f>
        <v>0922989892</v>
      </c>
      <c r="S1730" t="str" cm="1">
        <f t="array" ref="S1730">_xlfn.TEXTJOIN("、",TRUE,IF('學員資料-三重商工'!$B$2:$B$472=$F1730,'學員資料-三重商工'!$G$2:$G$472,""))</f>
        <v/>
      </c>
      <c r="T1730">
        <f t="shared" si="26"/>
        <v>1</v>
      </c>
    </row>
    <row r="1731" spans="1:20" ht="14.25" hidden="1" customHeight="1">
      <c r="A1731" s="15">
        <v>1730</v>
      </c>
      <c r="B1731" s="16" t="s">
        <v>5372</v>
      </c>
      <c r="C1731" s="17">
        <v>45606</v>
      </c>
      <c r="D1731" s="15" t="s">
        <v>5373</v>
      </c>
      <c r="E1731" s="18" t="s">
        <v>954</v>
      </c>
      <c r="F1731" s="19" t="s">
        <v>5374</v>
      </c>
      <c r="G1731" s="18" t="s">
        <v>5375</v>
      </c>
      <c r="H1731" s="20" t="s">
        <v>5246</v>
      </c>
      <c r="I1731" s="15">
        <v>1</v>
      </c>
      <c r="J1731" s="15" t="s">
        <v>23</v>
      </c>
      <c r="K1731" s="15"/>
      <c r="L1731" s="21" t="s">
        <v>16</v>
      </c>
      <c r="M1731" s="22">
        <v>0</v>
      </c>
      <c r="N1731" s="22">
        <v>0</v>
      </c>
      <c r="O1731" s="22">
        <v>7200</v>
      </c>
      <c r="P1731" s="22">
        <v>7200</v>
      </c>
      <c r="Q1731" t="str" cm="1">
        <f t="array" ref="Q1731">_xlfn.TEXTJOIN("、",TRUE,IF('學員資料-三民高中'!$B$2:$B$454=$F1731,'學員資料-三民高中'!$G$2:$G$454,""))</f>
        <v/>
      </c>
      <c r="R1731" t="str" cm="1">
        <f t="array" ref="R1731">_xlfn.TEXTJOIN("、",TRUE,IF('學員資料-新北高中'!$B$2:$B$583=$F1731,'學員資料-新北高中'!$G$2:$G$583,""))</f>
        <v/>
      </c>
      <c r="S1731" t="str" cm="1">
        <f t="array" ref="S1731">_xlfn.TEXTJOIN("、",TRUE,IF('學員資料-三重商工'!$B$2:$B$472=$F1731,'學員資料-三重商工'!$G$2:$G$472,""))</f>
        <v>0937034783</v>
      </c>
      <c r="T1731">
        <f t="shared" ref="T1731:T1794" si="27">3-COUNTBLANK(Q1731:S1731)</f>
        <v>1</v>
      </c>
    </row>
    <row r="1732" spans="1:20" ht="14.25" hidden="1" customHeight="1">
      <c r="A1732" s="15">
        <v>1731</v>
      </c>
      <c r="B1732" s="16" t="s">
        <v>5376</v>
      </c>
      <c r="C1732" s="17">
        <v>45606</v>
      </c>
      <c r="D1732" s="15" t="s">
        <v>5377</v>
      </c>
      <c r="E1732" s="18" t="s">
        <v>954</v>
      </c>
      <c r="F1732" s="19" t="s">
        <v>2592</v>
      </c>
      <c r="G1732" s="18" t="s">
        <v>2593</v>
      </c>
      <c r="H1732" s="20" t="s">
        <v>5131</v>
      </c>
      <c r="I1732" s="15">
        <v>1</v>
      </c>
      <c r="J1732" s="15" t="s">
        <v>24</v>
      </c>
      <c r="K1732" s="15"/>
      <c r="L1732" s="21" t="s">
        <v>16</v>
      </c>
      <c r="M1732" s="22">
        <v>0</v>
      </c>
      <c r="N1732" s="22">
        <v>0</v>
      </c>
      <c r="O1732" s="22">
        <v>7200</v>
      </c>
      <c r="P1732" s="22">
        <v>7200</v>
      </c>
      <c r="Q1732" t="str" cm="1">
        <f t="array" ref="Q1732">_xlfn.TEXTJOIN("、",TRUE,IF('學員資料-三民高中'!$B$2:$B$454=$F1732,'學員資料-三民高中'!$G$2:$G$454,""))</f>
        <v/>
      </c>
      <c r="R1732" t="str" cm="1">
        <f t="array" ref="R1732">_xlfn.TEXTJOIN("、",TRUE,IF('學員資料-新北高中'!$B$2:$B$583=$F1732,'學員資料-新北高中'!$G$2:$G$583,""))</f>
        <v/>
      </c>
      <c r="S1732" t="str" cm="1">
        <f t="array" ref="S1732">_xlfn.TEXTJOIN("、",TRUE,IF('學員資料-三重商工'!$B$2:$B$472=$F1732,'學員資料-三重商工'!$G$2:$G$472,""))</f>
        <v>0968760865</v>
      </c>
      <c r="T1732">
        <f t="shared" si="27"/>
        <v>1</v>
      </c>
    </row>
    <row r="1733" spans="1:20" ht="14.25" hidden="1" customHeight="1">
      <c r="A1733" s="15">
        <v>1732</v>
      </c>
      <c r="B1733" s="16" t="s">
        <v>5378</v>
      </c>
      <c r="C1733" s="17">
        <v>45606</v>
      </c>
      <c r="D1733" s="15" t="s">
        <v>5379</v>
      </c>
      <c r="E1733" s="18" t="s">
        <v>954</v>
      </c>
      <c r="F1733" s="19" t="s">
        <v>4618</v>
      </c>
      <c r="G1733" s="18" t="s">
        <v>4619</v>
      </c>
      <c r="H1733" s="20" t="s">
        <v>5246</v>
      </c>
      <c r="I1733" s="15">
        <v>1</v>
      </c>
      <c r="J1733" s="15" t="s">
        <v>23</v>
      </c>
      <c r="K1733" s="15"/>
      <c r="L1733" s="21" t="s">
        <v>16</v>
      </c>
      <c r="M1733" s="22">
        <v>0</v>
      </c>
      <c r="N1733" s="22">
        <v>0</v>
      </c>
      <c r="O1733" s="22">
        <v>7200</v>
      </c>
      <c r="P1733" s="22">
        <v>7200</v>
      </c>
      <c r="Q1733" t="str" cm="1">
        <f t="array" ref="Q1733">_xlfn.TEXTJOIN("、",TRUE,IF('學員資料-三民高中'!$B$2:$B$454=$F1733,'學員資料-三民高中'!$G$2:$G$454,""))</f>
        <v/>
      </c>
      <c r="R1733" t="str" cm="1">
        <f t="array" ref="R1733">_xlfn.TEXTJOIN("、",TRUE,IF('學員資料-新北高中'!$B$2:$B$583=$F1733,'學員資料-新北高中'!$G$2:$G$583,""))</f>
        <v/>
      </c>
      <c r="S1733" t="str" cm="1">
        <f t="array" ref="S1733">_xlfn.TEXTJOIN("、",TRUE,IF('學員資料-三重商工'!$B$2:$B$472=$F1733,'學員資料-三重商工'!$G$2:$G$472,""))</f>
        <v>0988305820</v>
      </c>
      <c r="T1733">
        <f t="shared" si="27"/>
        <v>1</v>
      </c>
    </row>
    <row r="1734" spans="1:20" ht="14.25" hidden="1" customHeight="1">
      <c r="A1734" s="15">
        <v>1733</v>
      </c>
      <c r="B1734" s="16" t="s">
        <v>5380</v>
      </c>
      <c r="C1734" s="17">
        <v>45606</v>
      </c>
      <c r="D1734" s="15" t="s">
        <v>5381</v>
      </c>
      <c r="E1734" s="18" t="s">
        <v>954</v>
      </c>
      <c r="F1734" s="19" t="s">
        <v>3249</v>
      </c>
      <c r="G1734" s="18" t="s">
        <v>3250</v>
      </c>
      <c r="H1734" s="20" t="s">
        <v>5163</v>
      </c>
      <c r="I1734" s="15">
        <v>1</v>
      </c>
      <c r="J1734" s="15" t="s">
        <v>23</v>
      </c>
      <c r="K1734" s="15"/>
      <c r="L1734" s="21" t="s">
        <v>16</v>
      </c>
      <c r="M1734" s="22">
        <v>0</v>
      </c>
      <c r="N1734" s="22">
        <v>0</v>
      </c>
      <c r="O1734" s="22">
        <v>6600</v>
      </c>
      <c r="P1734" s="22">
        <v>6600</v>
      </c>
      <c r="Q1734" t="str" cm="1">
        <f t="array" ref="Q1734">_xlfn.TEXTJOIN("、",TRUE,IF('學員資料-三民高中'!$B$2:$B$454=$F1734,'學員資料-三民高中'!$G$2:$G$454,""))</f>
        <v>0972878118</v>
      </c>
      <c r="R1734" t="str" cm="1">
        <f t="array" ref="R1734">_xlfn.TEXTJOIN("、",TRUE,IF('學員資料-新北高中'!$B$2:$B$583=$F1734,'學員資料-新北高中'!$G$2:$G$583,""))</f>
        <v/>
      </c>
      <c r="S1734" t="str" cm="1">
        <f t="array" ref="S1734">_xlfn.TEXTJOIN("、",TRUE,IF('學員資料-三重商工'!$B$2:$B$472=$F1734,'學員資料-三重商工'!$G$2:$G$472,""))</f>
        <v/>
      </c>
      <c r="T1734">
        <f t="shared" si="27"/>
        <v>1</v>
      </c>
    </row>
    <row r="1735" spans="1:20" ht="14.25" hidden="1" customHeight="1">
      <c r="A1735" s="15">
        <v>1734</v>
      </c>
      <c r="B1735" s="16" t="s">
        <v>5382</v>
      </c>
      <c r="C1735" s="17">
        <v>45606</v>
      </c>
      <c r="D1735" s="15" t="s">
        <v>5383</v>
      </c>
      <c r="E1735" s="18" t="s">
        <v>954</v>
      </c>
      <c r="F1735" s="19" t="s">
        <v>5146</v>
      </c>
      <c r="G1735" s="18" t="s">
        <v>5147</v>
      </c>
      <c r="H1735" s="20" t="s">
        <v>5148</v>
      </c>
      <c r="I1735" s="15">
        <v>1</v>
      </c>
      <c r="J1735" s="15" t="s">
        <v>25</v>
      </c>
      <c r="K1735" s="15"/>
      <c r="L1735" s="21" t="s">
        <v>16</v>
      </c>
      <c r="M1735" s="22">
        <v>0</v>
      </c>
      <c r="N1735" s="22">
        <v>0</v>
      </c>
      <c r="O1735" s="22">
        <v>9000</v>
      </c>
      <c r="P1735" s="22">
        <v>9000</v>
      </c>
      <c r="Q1735" t="str" cm="1">
        <f t="array" ref="Q1735">_xlfn.TEXTJOIN("、",TRUE,IF('學員資料-三民高中'!$B$2:$B$454=$F1735,'學員資料-三民高中'!$G$2:$G$454,""))</f>
        <v/>
      </c>
      <c r="R1735" t="str" cm="1">
        <f t="array" ref="R1735">_xlfn.TEXTJOIN("、",TRUE,IF('學員資料-新北高中'!$B$2:$B$583=$F1735,'學員資料-新北高中'!$G$2:$G$583,""))</f>
        <v/>
      </c>
      <c r="S1735" t="str" cm="1">
        <f t="array" ref="S1735">_xlfn.TEXTJOIN("、",TRUE,IF('學員資料-三重商工'!$B$2:$B$472=$F1735,'學員資料-三重商工'!$G$2:$G$472,""))</f>
        <v>0910882858</v>
      </c>
      <c r="T1735">
        <f t="shared" si="27"/>
        <v>1</v>
      </c>
    </row>
    <row r="1736" spans="1:20" ht="14.25" hidden="1" customHeight="1">
      <c r="A1736" s="15">
        <v>1735</v>
      </c>
      <c r="B1736" s="16" t="s">
        <v>5384</v>
      </c>
      <c r="C1736" s="17">
        <v>45606</v>
      </c>
      <c r="D1736" s="15" t="s">
        <v>5385</v>
      </c>
      <c r="E1736" s="18" t="s">
        <v>954</v>
      </c>
      <c r="F1736" s="19" t="s">
        <v>3359</v>
      </c>
      <c r="G1736" s="18" t="s">
        <v>3360</v>
      </c>
      <c r="H1736" s="20" t="s">
        <v>5131</v>
      </c>
      <c r="I1736" s="15">
        <v>1</v>
      </c>
      <c r="J1736" s="15" t="s">
        <v>24</v>
      </c>
      <c r="K1736" s="15"/>
      <c r="L1736" s="21" t="s">
        <v>16</v>
      </c>
      <c r="M1736" s="22">
        <v>0</v>
      </c>
      <c r="N1736" s="22">
        <v>0</v>
      </c>
      <c r="O1736" s="22">
        <v>7200</v>
      </c>
      <c r="P1736" s="22">
        <v>7200</v>
      </c>
      <c r="Q1736" t="str" cm="1">
        <f t="array" ref="Q1736">_xlfn.TEXTJOIN("、",TRUE,IF('學員資料-三民高中'!$B$2:$B$454=$F1736,'學員資料-三民高中'!$G$2:$G$454,""))</f>
        <v/>
      </c>
      <c r="R1736" t="str" cm="1">
        <f t="array" ref="R1736">_xlfn.TEXTJOIN("、",TRUE,IF('學員資料-新北高中'!$B$2:$B$583=$F1736,'學員資料-新北高中'!$G$2:$G$583,""))</f>
        <v>0912127414</v>
      </c>
      <c r="S1736" t="str" cm="1">
        <f t="array" ref="S1736">_xlfn.TEXTJOIN("、",TRUE,IF('學員資料-三重商工'!$B$2:$B$472=$F1736,'學員資料-三重商工'!$G$2:$G$472,""))</f>
        <v/>
      </c>
      <c r="T1736">
        <f t="shared" si="27"/>
        <v>1</v>
      </c>
    </row>
    <row r="1737" spans="1:20" ht="14.25" customHeight="1">
      <c r="A1737" s="15">
        <v>1736</v>
      </c>
      <c r="B1737" s="16" t="s">
        <v>5386</v>
      </c>
      <c r="C1737" s="17">
        <v>45605</v>
      </c>
      <c r="D1737" s="15" t="s">
        <v>5387</v>
      </c>
      <c r="E1737" s="18" t="s">
        <v>954</v>
      </c>
      <c r="F1737" s="19" t="s">
        <v>5388</v>
      </c>
      <c r="G1737" s="18" t="s">
        <v>5389</v>
      </c>
      <c r="H1737" s="20" t="s">
        <v>5163</v>
      </c>
      <c r="I1737" s="15">
        <v>1</v>
      </c>
      <c r="J1737" s="15" t="s">
        <v>23</v>
      </c>
      <c r="K1737" s="15"/>
      <c r="L1737" s="21" t="s">
        <v>16</v>
      </c>
      <c r="M1737" s="22">
        <v>0</v>
      </c>
      <c r="N1737" s="22">
        <v>0</v>
      </c>
      <c r="O1737" s="22">
        <v>6600</v>
      </c>
      <c r="P1737" s="22">
        <v>6600</v>
      </c>
      <c r="Q1737" t="str" cm="1">
        <f t="array" ref="Q1737">_xlfn.TEXTJOIN("、",TRUE,IF('學員資料-三民高中'!$B$2:$B$454=$F1737,'學員資料-三民高中'!$G$2:$G$454,""))</f>
        <v/>
      </c>
      <c r="R1737" t="str" cm="1">
        <f t="array" ref="R1737">_xlfn.TEXTJOIN("、",TRUE,IF('學員資料-新北高中'!$B$2:$B$583=$F1737,'學員資料-新北高中'!$G$2:$G$583,""))</f>
        <v/>
      </c>
      <c r="S1737" t="str" cm="1">
        <f t="array" ref="S1737">_xlfn.TEXTJOIN("、",TRUE,IF('學員資料-三重商工'!$B$2:$B$472=$F1737,'學員資料-三重商工'!$G$2:$G$472,""))</f>
        <v/>
      </c>
      <c r="T1737">
        <f t="shared" si="27"/>
        <v>0</v>
      </c>
    </row>
    <row r="1738" spans="1:20" ht="43.5" hidden="1" customHeight="1">
      <c r="A1738" s="15">
        <v>1737</v>
      </c>
      <c r="B1738" s="16" t="s">
        <v>5390</v>
      </c>
      <c r="C1738" s="17">
        <v>45605</v>
      </c>
      <c r="D1738" s="15" t="s">
        <v>5391</v>
      </c>
      <c r="E1738" s="18" t="s">
        <v>954</v>
      </c>
      <c r="F1738" s="19" t="s">
        <v>5392</v>
      </c>
      <c r="G1738" s="18" t="s">
        <v>5393</v>
      </c>
      <c r="H1738" s="20" t="s">
        <v>5394</v>
      </c>
      <c r="I1738" s="15">
        <v>3</v>
      </c>
      <c r="J1738" s="15" t="s">
        <v>23</v>
      </c>
      <c r="K1738" s="15"/>
      <c r="L1738" s="21" t="s">
        <v>16</v>
      </c>
      <c r="M1738" s="22">
        <v>0</v>
      </c>
      <c r="N1738" s="22">
        <v>0</v>
      </c>
      <c r="O1738" s="22">
        <v>21600</v>
      </c>
      <c r="P1738" s="22">
        <v>21600</v>
      </c>
      <c r="Q1738" t="str" cm="1">
        <f t="array" ref="Q1738">_xlfn.TEXTJOIN("、",TRUE,IF('學員資料-三民高中'!$B$2:$B$454=$F1738,'學員資料-三民高中'!$G$2:$G$454,""))</f>
        <v/>
      </c>
      <c r="R1738" t="str" cm="1">
        <f t="array" ref="R1738">_xlfn.TEXTJOIN("、",TRUE,IF('學員資料-新北高中'!$B$2:$B$583=$F1738,'學員資料-新北高中'!$G$2:$G$583,""))</f>
        <v>0933092699</v>
      </c>
      <c r="S1738" t="str" cm="1">
        <f t="array" ref="S1738">_xlfn.TEXTJOIN("、",TRUE,IF('學員資料-三重商工'!$B$2:$B$472=$F1738,'學員資料-三重商工'!$G$2:$G$472,""))</f>
        <v/>
      </c>
      <c r="T1738">
        <f t="shared" si="27"/>
        <v>1</v>
      </c>
    </row>
    <row r="1739" spans="1:20" ht="14.25" hidden="1" customHeight="1">
      <c r="A1739" s="15">
        <v>1738</v>
      </c>
      <c r="B1739" s="16" t="s">
        <v>5395</v>
      </c>
      <c r="C1739" s="17">
        <v>45605</v>
      </c>
      <c r="D1739" s="15" t="s">
        <v>5396</v>
      </c>
      <c r="E1739" s="18" t="s">
        <v>954</v>
      </c>
      <c r="F1739" s="19" t="s">
        <v>5397</v>
      </c>
      <c r="G1739" s="18" t="s">
        <v>5398</v>
      </c>
      <c r="H1739" s="20" t="s">
        <v>5131</v>
      </c>
      <c r="I1739" s="15">
        <v>1</v>
      </c>
      <c r="J1739" s="15" t="s">
        <v>24</v>
      </c>
      <c r="K1739" s="15"/>
      <c r="L1739" s="21" t="s">
        <v>16</v>
      </c>
      <c r="M1739" s="22">
        <v>0</v>
      </c>
      <c r="N1739" s="22">
        <v>0</v>
      </c>
      <c r="O1739" s="22">
        <v>7200</v>
      </c>
      <c r="P1739" s="22">
        <v>7200</v>
      </c>
      <c r="Q1739" t="str" cm="1">
        <f t="array" ref="Q1739">_xlfn.TEXTJOIN("、",TRUE,IF('學員資料-三民高中'!$B$2:$B$454=$F1739,'學員資料-三民高中'!$G$2:$G$454,""))</f>
        <v>0986610666</v>
      </c>
      <c r="R1739" t="str" cm="1">
        <f t="array" ref="R1739">_xlfn.TEXTJOIN("、",TRUE,IF('學員資料-新北高中'!$B$2:$B$583=$F1739,'學員資料-新北高中'!$G$2:$G$583,""))</f>
        <v/>
      </c>
      <c r="S1739" t="str" cm="1">
        <f t="array" ref="S1739">_xlfn.TEXTJOIN("、",TRUE,IF('學員資料-三重商工'!$B$2:$B$472=$F1739,'學員資料-三重商工'!$G$2:$G$472,""))</f>
        <v/>
      </c>
      <c r="T1739">
        <f t="shared" si="27"/>
        <v>1</v>
      </c>
    </row>
    <row r="1740" spans="1:20" ht="14.25" hidden="1" customHeight="1">
      <c r="A1740" s="15">
        <v>1739</v>
      </c>
      <c r="B1740" s="16" t="s">
        <v>5399</v>
      </c>
      <c r="C1740" s="17">
        <v>45605</v>
      </c>
      <c r="D1740" s="15" t="s">
        <v>5400</v>
      </c>
      <c r="E1740" s="18" t="s">
        <v>954</v>
      </c>
      <c r="F1740" s="19" t="s">
        <v>5401</v>
      </c>
      <c r="G1740" s="18" t="s">
        <v>5402</v>
      </c>
      <c r="H1740" s="20" t="s">
        <v>5148</v>
      </c>
      <c r="I1740" s="15">
        <v>1</v>
      </c>
      <c r="J1740" s="15" t="s">
        <v>25</v>
      </c>
      <c r="K1740" s="15"/>
      <c r="L1740" s="21" t="s">
        <v>16</v>
      </c>
      <c r="M1740" s="22">
        <v>0</v>
      </c>
      <c r="N1740" s="22">
        <v>0</v>
      </c>
      <c r="O1740" s="22">
        <v>9000</v>
      </c>
      <c r="P1740" s="22">
        <v>9000</v>
      </c>
      <c r="Q1740" t="str" cm="1">
        <f t="array" ref="Q1740">_xlfn.TEXTJOIN("、",TRUE,IF('學員資料-三民高中'!$B$2:$B$454=$F1740,'學員資料-三民高中'!$G$2:$G$454,""))</f>
        <v/>
      </c>
      <c r="R1740" t="str" cm="1">
        <f t="array" ref="R1740">_xlfn.TEXTJOIN("、",TRUE,IF('學員資料-新北高中'!$B$2:$B$583=$F1740,'學員資料-新北高中'!$G$2:$G$583,""))</f>
        <v>0922880984</v>
      </c>
      <c r="S1740" t="str" cm="1">
        <f t="array" ref="S1740">_xlfn.TEXTJOIN("、",TRUE,IF('學員資料-三重商工'!$B$2:$B$472=$F1740,'學員資料-三重商工'!$G$2:$G$472,""))</f>
        <v/>
      </c>
      <c r="T1740">
        <f t="shared" si="27"/>
        <v>1</v>
      </c>
    </row>
    <row r="1741" spans="1:20" ht="14.25" hidden="1" customHeight="1">
      <c r="A1741" s="15">
        <v>1740</v>
      </c>
      <c r="B1741" s="16" t="s">
        <v>5403</v>
      </c>
      <c r="C1741" s="17">
        <v>45605</v>
      </c>
      <c r="D1741" s="15" t="s">
        <v>5404</v>
      </c>
      <c r="E1741" s="18" t="s">
        <v>954</v>
      </c>
      <c r="F1741" s="19" t="s">
        <v>4960</v>
      </c>
      <c r="G1741" s="18" t="s">
        <v>4961</v>
      </c>
      <c r="H1741" s="20" t="s">
        <v>5148</v>
      </c>
      <c r="I1741" s="15">
        <v>1</v>
      </c>
      <c r="J1741" s="15" t="s">
        <v>25</v>
      </c>
      <c r="K1741" s="15"/>
      <c r="L1741" s="21" t="s">
        <v>16</v>
      </c>
      <c r="M1741" s="22">
        <v>0</v>
      </c>
      <c r="N1741" s="22">
        <v>0</v>
      </c>
      <c r="O1741" s="22">
        <v>9000</v>
      </c>
      <c r="P1741" s="22">
        <v>9000</v>
      </c>
      <c r="Q1741" t="str" cm="1">
        <f t="array" ref="Q1741">_xlfn.TEXTJOIN("、",TRUE,IF('學員資料-三民高中'!$B$2:$B$454=$F1741,'學員資料-三民高中'!$G$2:$G$454,""))</f>
        <v/>
      </c>
      <c r="R1741" t="str" cm="1">
        <f t="array" ref="R1741">_xlfn.TEXTJOIN("、",TRUE,IF('學員資料-新北高中'!$B$2:$B$583=$F1741,'學員資料-新北高中'!$G$2:$G$583,""))</f>
        <v>0931143094</v>
      </c>
      <c r="S1741" t="str" cm="1">
        <f t="array" ref="S1741">_xlfn.TEXTJOIN("、",TRUE,IF('學員資料-三重商工'!$B$2:$B$472=$F1741,'學員資料-三重商工'!$G$2:$G$472,""))</f>
        <v/>
      </c>
      <c r="T1741">
        <f t="shared" si="27"/>
        <v>1</v>
      </c>
    </row>
    <row r="1742" spans="1:20" ht="14.25" hidden="1" customHeight="1">
      <c r="A1742" s="15">
        <v>1741</v>
      </c>
      <c r="B1742" s="16" t="s">
        <v>5405</v>
      </c>
      <c r="C1742" s="17">
        <v>45604</v>
      </c>
      <c r="D1742" s="15" t="s">
        <v>5406</v>
      </c>
      <c r="E1742" s="18" t="s">
        <v>954</v>
      </c>
      <c r="F1742" s="19" t="s">
        <v>5407</v>
      </c>
      <c r="G1742" s="18" t="s">
        <v>5408</v>
      </c>
      <c r="H1742" s="20" t="s">
        <v>5131</v>
      </c>
      <c r="I1742" s="15">
        <v>1</v>
      </c>
      <c r="J1742" s="15" t="s">
        <v>24</v>
      </c>
      <c r="K1742" s="15"/>
      <c r="L1742" s="21" t="s">
        <v>16</v>
      </c>
      <c r="M1742" s="22">
        <v>0</v>
      </c>
      <c r="N1742" s="22">
        <v>0</v>
      </c>
      <c r="O1742" s="22">
        <v>7200</v>
      </c>
      <c r="P1742" s="22">
        <v>7200</v>
      </c>
      <c r="Q1742" t="str" cm="1">
        <f t="array" ref="Q1742">_xlfn.TEXTJOIN("、",TRUE,IF('學員資料-三民高中'!$B$2:$B$454=$F1742,'學員資料-三民高中'!$G$2:$G$454,""))</f>
        <v/>
      </c>
      <c r="R1742" t="str" cm="1">
        <f t="array" ref="R1742">_xlfn.TEXTJOIN("、",TRUE,IF('學員資料-新北高中'!$B$2:$B$583=$F1742,'學員資料-新北高中'!$G$2:$G$583,""))</f>
        <v>0932460372</v>
      </c>
      <c r="S1742" t="str" cm="1">
        <f t="array" ref="S1742">_xlfn.TEXTJOIN("、",TRUE,IF('學員資料-三重商工'!$B$2:$B$472=$F1742,'學員資料-三重商工'!$G$2:$G$472,""))</f>
        <v/>
      </c>
      <c r="T1742">
        <f t="shared" si="27"/>
        <v>1</v>
      </c>
    </row>
    <row r="1743" spans="1:20" ht="14.25" hidden="1" customHeight="1">
      <c r="A1743" s="15">
        <v>1742</v>
      </c>
      <c r="B1743" s="16" t="s">
        <v>5409</v>
      </c>
      <c r="C1743" s="17">
        <v>45604</v>
      </c>
      <c r="D1743" s="15" t="s">
        <v>5410</v>
      </c>
      <c r="E1743" s="18" t="s">
        <v>954</v>
      </c>
      <c r="F1743" s="19" t="s">
        <v>4167</v>
      </c>
      <c r="G1743" s="18" t="s">
        <v>4168</v>
      </c>
      <c r="H1743" s="20" t="s">
        <v>5163</v>
      </c>
      <c r="I1743" s="15">
        <v>1</v>
      </c>
      <c r="J1743" s="15" t="s">
        <v>23</v>
      </c>
      <c r="K1743" s="15"/>
      <c r="L1743" s="21" t="s">
        <v>16</v>
      </c>
      <c r="M1743" s="22">
        <v>0</v>
      </c>
      <c r="N1743" s="22">
        <v>0</v>
      </c>
      <c r="O1743" s="22">
        <v>6600</v>
      </c>
      <c r="P1743" s="22">
        <v>6600</v>
      </c>
      <c r="Q1743" t="str" cm="1">
        <f t="array" ref="Q1743">_xlfn.TEXTJOIN("、",TRUE,IF('學員資料-三民高中'!$B$2:$B$454=$F1743,'學員資料-三民高中'!$G$2:$G$454,""))</f>
        <v>0922355333</v>
      </c>
      <c r="R1743" t="str" cm="1">
        <f t="array" ref="R1743">_xlfn.TEXTJOIN("、",TRUE,IF('學員資料-新北高中'!$B$2:$B$583=$F1743,'學員資料-新北高中'!$G$2:$G$583,""))</f>
        <v/>
      </c>
      <c r="S1743" t="str" cm="1">
        <f t="array" ref="S1743">_xlfn.TEXTJOIN("、",TRUE,IF('學員資料-三重商工'!$B$2:$B$472=$F1743,'學員資料-三重商工'!$G$2:$G$472,""))</f>
        <v/>
      </c>
      <c r="T1743">
        <f t="shared" si="27"/>
        <v>1</v>
      </c>
    </row>
    <row r="1744" spans="1:20" ht="14.25" hidden="1" customHeight="1">
      <c r="A1744" s="15">
        <v>1743</v>
      </c>
      <c r="B1744" s="16" t="s">
        <v>5411</v>
      </c>
      <c r="C1744" s="17">
        <v>45604</v>
      </c>
      <c r="D1744" s="15" t="s">
        <v>5412</v>
      </c>
      <c r="E1744" s="18" t="s">
        <v>954</v>
      </c>
      <c r="F1744" s="19" t="s">
        <v>5413</v>
      </c>
      <c r="G1744" s="18" t="s">
        <v>5414</v>
      </c>
      <c r="H1744" s="20" t="s">
        <v>5211</v>
      </c>
      <c r="I1744" s="15">
        <v>1</v>
      </c>
      <c r="J1744" s="15" t="s">
        <v>26</v>
      </c>
      <c r="K1744" s="15"/>
      <c r="L1744" s="21" t="s">
        <v>16</v>
      </c>
      <c r="M1744" s="22">
        <v>0</v>
      </c>
      <c r="N1744" s="22">
        <v>-1296</v>
      </c>
      <c r="O1744" s="22">
        <v>9504</v>
      </c>
      <c r="P1744" s="22">
        <v>9504</v>
      </c>
      <c r="Q1744" t="str" cm="1">
        <f t="array" ref="Q1744">_xlfn.TEXTJOIN("、",TRUE,IF('學員資料-三民高中'!$B$2:$B$454=$F1744,'學員資料-三民高中'!$G$2:$G$454,""))</f>
        <v>0976521185</v>
      </c>
      <c r="R1744" t="str" cm="1">
        <f t="array" ref="R1744">_xlfn.TEXTJOIN("、",TRUE,IF('學員資料-新北高中'!$B$2:$B$583=$F1744,'學員資料-新北高中'!$G$2:$G$583,""))</f>
        <v/>
      </c>
      <c r="S1744" t="str" cm="1">
        <f t="array" ref="S1744">_xlfn.TEXTJOIN("、",TRUE,IF('學員資料-三重商工'!$B$2:$B$472=$F1744,'學員資料-三重商工'!$G$2:$G$472,""))</f>
        <v/>
      </c>
      <c r="T1744">
        <f t="shared" si="27"/>
        <v>1</v>
      </c>
    </row>
    <row r="1745" spans="1:20" ht="14.25" hidden="1" customHeight="1">
      <c r="A1745" s="15">
        <v>1744</v>
      </c>
      <c r="B1745" s="16" t="s">
        <v>5415</v>
      </c>
      <c r="C1745" s="17">
        <v>45602</v>
      </c>
      <c r="D1745" s="15" t="s">
        <v>5416</v>
      </c>
      <c r="E1745" s="18" t="s">
        <v>954</v>
      </c>
      <c r="F1745" s="19" t="s">
        <v>5417</v>
      </c>
      <c r="G1745" s="18" t="s">
        <v>5418</v>
      </c>
      <c r="H1745" s="20" t="s">
        <v>5163</v>
      </c>
      <c r="I1745" s="15">
        <v>1</v>
      </c>
      <c r="J1745" s="15" t="s">
        <v>23</v>
      </c>
      <c r="K1745" s="15"/>
      <c r="L1745" s="21" t="s">
        <v>16</v>
      </c>
      <c r="M1745" s="22">
        <v>0</v>
      </c>
      <c r="N1745" s="22">
        <v>0</v>
      </c>
      <c r="O1745" s="22">
        <v>6600</v>
      </c>
      <c r="P1745" s="22">
        <v>6600</v>
      </c>
      <c r="Q1745" t="str" cm="1">
        <f t="array" ref="Q1745">_xlfn.TEXTJOIN("、",TRUE,IF('學員資料-三民高中'!$B$2:$B$454=$F1745,'學員資料-三民高中'!$G$2:$G$454,""))</f>
        <v/>
      </c>
      <c r="R1745" t="str" cm="1">
        <f t="array" ref="R1745">_xlfn.TEXTJOIN("、",TRUE,IF('學員資料-新北高中'!$B$2:$B$583=$F1745,'學員資料-新北高中'!$G$2:$G$583,""))</f>
        <v/>
      </c>
      <c r="S1745" t="str" cm="1">
        <f t="array" ref="S1745">_xlfn.TEXTJOIN("、",TRUE,IF('學員資料-三重商工'!$B$2:$B$472=$F1745,'學員資料-三重商工'!$G$2:$G$472,""))</f>
        <v>0921646760</v>
      </c>
      <c r="T1745">
        <f t="shared" si="27"/>
        <v>1</v>
      </c>
    </row>
    <row r="1746" spans="1:20" ht="14.25" customHeight="1">
      <c r="A1746" s="15">
        <v>1745</v>
      </c>
      <c r="B1746" s="16" t="s">
        <v>5419</v>
      </c>
      <c r="C1746" s="17">
        <v>45602</v>
      </c>
      <c r="D1746" s="15" t="s">
        <v>5420</v>
      </c>
      <c r="E1746" s="18" t="s">
        <v>954</v>
      </c>
      <c r="F1746" s="19" t="s">
        <v>5421</v>
      </c>
      <c r="G1746" s="23"/>
      <c r="H1746" s="20" t="s">
        <v>5163</v>
      </c>
      <c r="I1746" s="15">
        <v>1</v>
      </c>
      <c r="J1746" s="15" t="s">
        <v>23</v>
      </c>
      <c r="K1746" s="15"/>
      <c r="L1746" s="21" t="s">
        <v>16</v>
      </c>
      <c r="M1746" s="22">
        <v>0</v>
      </c>
      <c r="N1746" s="22">
        <v>0</v>
      </c>
      <c r="O1746" s="22">
        <v>6600</v>
      </c>
      <c r="P1746" s="22">
        <v>6600</v>
      </c>
      <c r="Q1746" t="str" cm="1">
        <f t="array" ref="Q1746">_xlfn.TEXTJOIN("、",TRUE,IF('學員資料-三民高中'!$B$2:$B$454=$F1746,'學員資料-三民高中'!$G$2:$G$454,""))</f>
        <v/>
      </c>
      <c r="R1746" t="str" cm="1">
        <f t="array" ref="R1746">_xlfn.TEXTJOIN("、",TRUE,IF('學員資料-新北高中'!$B$2:$B$583=$F1746,'學員資料-新北高中'!$G$2:$G$583,""))</f>
        <v/>
      </c>
      <c r="S1746" t="str" cm="1">
        <f t="array" ref="S1746">_xlfn.TEXTJOIN("、",TRUE,IF('學員資料-三重商工'!$B$2:$B$472=$F1746,'學員資料-三重商工'!$G$2:$G$472,""))</f>
        <v/>
      </c>
      <c r="T1746">
        <f t="shared" si="27"/>
        <v>0</v>
      </c>
    </row>
    <row r="1747" spans="1:20" ht="14.25" hidden="1" customHeight="1">
      <c r="A1747" s="15">
        <v>1746</v>
      </c>
      <c r="B1747" s="16" t="s">
        <v>5422</v>
      </c>
      <c r="C1747" s="17">
        <v>45601</v>
      </c>
      <c r="D1747" s="15" t="s">
        <v>5423</v>
      </c>
      <c r="E1747" s="18" t="s">
        <v>954</v>
      </c>
      <c r="F1747" s="19" t="s">
        <v>997</v>
      </c>
      <c r="G1747" s="18" t="s">
        <v>998</v>
      </c>
      <c r="H1747" s="20" t="s">
        <v>5211</v>
      </c>
      <c r="I1747" s="15">
        <v>1</v>
      </c>
      <c r="J1747" s="15" t="s">
        <v>26</v>
      </c>
      <c r="K1747" s="15"/>
      <c r="L1747" s="21" t="s">
        <v>16</v>
      </c>
      <c r="M1747" s="22">
        <v>0</v>
      </c>
      <c r="N1747" s="22">
        <v>0</v>
      </c>
      <c r="O1747" s="22">
        <v>10800</v>
      </c>
      <c r="P1747" s="22">
        <v>10800</v>
      </c>
      <c r="Q1747" t="str" cm="1">
        <f t="array" ref="Q1747">_xlfn.TEXTJOIN("、",TRUE,IF('學員資料-三民高中'!$B$2:$B$454=$F1747,'學員資料-三民高中'!$G$2:$G$454,""))</f>
        <v/>
      </c>
      <c r="R1747" t="str" cm="1">
        <f t="array" ref="R1747">_xlfn.TEXTJOIN("、",TRUE,IF('學員資料-新北高中'!$B$2:$B$583=$F1747,'學員資料-新北高中'!$G$2:$G$583,""))</f>
        <v/>
      </c>
      <c r="S1747" t="str" cm="1">
        <f t="array" ref="S1747">_xlfn.TEXTJOIN("、",TRUE,IF('學員資料-三重商工'!$B$2:$B$472=$F1747,'學員資料-三重商工'!$G$2:$G$472,""))</f>
        <v>0970944931</v>
      </c>
      <c r="T1747">
        <f t="shared" si="27"/>
        <v>1</v>
      </c>
    </row>
    <row r="1748" spans="1:20" ht="14.25" hidden="1" customHeight="1">
      <c r="A1748" s="15">
        <v>1747</v>
      </c>
      <c r="B1748" s="16" t="s">
        <v>5424</v>
      </c>
      <c r="C1748" s="17">
        <v>45601</v>
      </c>
      <c r="D1748" s="15" t="s">
        <v>5425</v>
      </c>
      <c r="E1748" s="18" t="s">
        <v>954</v>
      </c>
      <c r="F1748" s="19" t="s">
        <v>5017</v>
      </c>
      <c r="G1748" s="18" t="s">
        <v>5018</v>
      </c>
      <c r="H1748" s="20" t="s">
        <v>5131</v>
      </c>
      <c r="I1748" s="15">
        <v>1</v>
      </c>
      <c r="J1748" s="15" t="s">
        <v>24</v>
      </c>
      <c r="K1748" s="15"/>
      <c r="L1748" s="21" t="s">
        <v>16</v>
      </c>
      <c r="M1748" s="22">
        <v>0</v>
      </c>
      <c r="N1748" s="22">
        <v>0</v>
      </c>
      <c r="O1748" s="22">
        <v>7200</v>
      </c>
      <c r="P1748" s="22">
        <v>7200</v>
      </c>
      <c r="Q1748" t="str" cm="1">
        <f t="array" ref="Q1748">_xlfn.TEXTJOIN("、",TRUE,IF('學員資料-三民高中'!$B$2:$B$454=$F1748,'學員資料-三民高中'!$G$2:$G$454,""))</f>
        <v>0963151177</v>
      </c>
      <c r="R1748" t="str" cm="1">
        <f t="array" ref="R1748">_xlfn.TEXTJOIN("、",TRUE,IF('學員資料-新北高中'!$B$2:$B$583=$F1748,'學員資料-新北高中'!$G$2:$G$583,""))</f>
        <v/>
      </c>
      <c r="S1748" t="str" cm="1">
        <f t="array" ref="S1748">_xlfn.TEXTJOIN("、",TRUE,IF('學員資料-三重商工'!$B$2:$B$472=$F1748,'學員資料-三重商工'!$G$2:$G$472,""))</f>
        <v/>
      </c>
      <c r="T1748">
        <f t="shared" si="27"/>
        <v>1</v>
      </c>
    </row>
    <row r="1749" spans="1:20" ht="14.25" hidden="1" customHeight="1">
      <c r="A1749" s="15">
        <v>1748</v>
      </c>
      <c r="B1749" s="16" t="s">
        <v>5426</v>
      </c>
      <c r="C1749" s="17">
        <v>45600</v>
      </c>
      <c r="D1749" s="15" t="s">
        <v>5427</v>
      </c>
      <c r="E1749" s="18" t="s">
        <v>954</v>
      </c>
      <c r="F1749" s="19" t="s">
        <v>759</v>
      </c>
      <c r="G1749" s="18" t="s">
        <v>760</v>
      </c>
      <c r="H1749" s="20" t="s">
        <v>5131</v>
      </c>
      <c r="I1749" s="15">
        <v>1</v>
      </c>
      <c r="J1749" s="15" t="s">
        <v>24</v>
      </c>
      <c r="K1749" s="15"/>
      <c r="L1749" s="21" t="s">
        <v>16</v>
      </c>
      <c r="M1749" s="22">
        <v>0</v>
      </c>
      <c r="N1749" s="22">
        <v>0</v>
      </c>
      <c r="O1749" s="22">
        <v>7200</v>
      </c>
      <c r="P1749" s="22">
        <v>7200</v>
      </c>
      <c r="Q1749" t="str" cm="1">
        <f t="array" ref="Q1749">_xlfn.TEXTJOIN("、",TRUE,IF('學員資料-三民高中'!$B$2:$B$454=$F1749,'學員資料-三民高中'!$G$2:$G$454,""))</f>
        <v/>
      </c>
      <c r="R1749" t="str" cm="1">
        <f t="array" ref="R1749">_xlfn.TEXTJOIN("、",TRUE,IF('學員資料-新北高中'!$B$2:$B$583=$F1749,'學員資料-新北高中'!$G$2:$G$583,""))</f>
        <v/>
      </c>
      <c r="S1749" t="str" cm="1">
        <f t="array" ref="S1749">_xlfn.TEXTJOIN("、",TRUE,IF('學員資料-三重商工'!$B$2:$B$472=$F1749,'學員資料-三重商工'!$G$2:$G$472,""))</f>
        <v>0913561677</v>
      </c>
      <c r="T1749">
        <f t="shared" si="27"/>
        <v>1</v>
      </c>
    </row>
    <row r="1750" spans="1:20" ht="14.25" hidden="1" customHeight="1">
      <c r="A1750" s="15">
        <v>1749</v>
      </c>
      <c r="B1750" s="16" t="s">
        <v>5428</v>
      </c>
      <c r="C1750" s="17">
        <v>45599</v>
      </c>
      <c r="D1750" s="15" t="s">
        <v>5429</v>
      </c>
      <c r="E1750" s="18" t="s">
        <v>954</v>
      </c>
      <c r="F1750" s="19" t="s">
        <v>2592</v>
      </c>
      <c r="G1750" s="18" t="s">
        <v>2593</v>
      </c>
      <c r="H1750" s="20" t="s">
        <v>3811</v>
      </c>
      <c r="I1750" s="15">
        <v>1</v>
      </c>
      <c r="J1750" s="15" t="s">
        <v>24</v>
      </c>
      <c r="K1750" s="21" t="s">
        <v>116</v>
      </c>
      <c r="L1750" s="21" t="s">
        <v>16</v>
      </c>
      <c r="M1750" s="22">
        <v>0</v>
      </c>
      <c r="N1750" s="22">
        <v>0</v>
      </c>
      <c r="O1750" s="22">
        <v>1200</v>
      </c>
      <c r="P1750" s="22">
        <v>1200</v>
      </c>
      <c r="Q1750" t="str" cm="1">
        <f t="array" ref="Q1750">_xlfn.TEXTJOIN("、",TRUE,IF('學員資料-三民高中'!$B$2:$B$454=$F1750,'學員資料-三民高中'!$G$2:$G$454,""))</f>
        <v/>
      </c>
      <c r="R1750" t="str" cm="1">
        <f t="array" ref="R1750">_xlfn.TEXTJOIN("、",TRUE,IF('學員資料-新北高中'!$B$2:$B$583=$F1750,'學員資料-新北高中'!$G$2:$G$583,""))</f>
        <v/>
      </c>
      <c r="S1750" t="str" cm="1">
        <f t="array" ref="S1750">_xlfn.TEXTJOIN("、",TRUE,IF('學員資料-三重商工'!$B$2:$B$472=$F1750,'學員資料-三重商工'!$G$2:$G$472,""))</f>
        <v>0968760865</v>
      </c>
      <c r="T1750">
        <f t="shared" si="27"/>
        <v>1</v>
      </c>
    </row>
    <row r="1751" spans="1:20" ht="14.25" hidden="1" customHeight="1">
      <c r="A1751" s="15">
        <v>1750</v>
      </c>
      <c r="B1751" s="16" t="s">
        <v>5430</v>
      </c>
      <c r="C1751" s="17">
        <v>45599</v>
      </c>
      <c r="D1751" s="15" t="s">
        <v>5431</v>
      </c>
      <c r="E1751" s="18" t="s">
        <v>3862</v>
      </c>
      <c r="F1751" s="19" t="s">
        <v>4825</v>
      </c>
      <c r="G1751" s="18" t="s">
        <v>4826</v>
      </c>
      <c r="H1751" s="20" t="s">
        <v>5131</v>
      </c>
      <c r="I1751" s="15">
        <v>1</v>
      </c>
      <c r="J1751" s="15" t="s">
        <v>24</v>
      </c>
      <c r="K1751" s="15"/>
      <c r="L1751" s="21" t="s">
        <v>16</v>
      </c>
      <c r="M1751" s="22">
        <v>0</v>
      </c>
      <c r="N1751" s="22">
        <v>0</v>
      </c>
      <c r="O1751" s="22">
        <v>7200</v>
      </c>
      <c r="P1751" s="22">
        <v>7200</v>
      </c>
      <c r="Q1751" t="str" cm="1">
        <f t="array" ref="Q1751">_xlfn.TEXTJOIN("、",TRUE,IF('學員資料-三民高中'!$B$2:$B$454=$F1751,'學員資料-三民高中'!$G$2:$G$454,""))</f>
        <v/>
      </c>
      <c r="R1751" t="str" cm="1">
        <f t="array" ref="R1751">_xlfn.TEXTJOIN("、",TRUE,IF('學員資料-新北高中'!$B$2:$B$583=$F1751,'學員資料-新北高中'!$G$2:$G$583,""))</f>
        <v/>
      </c>
      <c r="S1751" t="str" cm="1">
        <f t="array" ref="S1751">_xlfn.TEXTJOIN("、",TRUE,IF('學員資料-三重商工'!$B$2:$B$472=$F1751,'學員資料-三重商工'!$G$2:$G$472,""))</f>
        <v>0936285475</v>
      </c>
      <c r="T1751">
        <f t="shared" si="27"/>
        <v>1</v>
      </c>
    </row>
    <row r="1752" spans="1:20" ht="43.5" hidden="1" customHeight="1">
      <c r="A1752" s="15">
        <v>1751</v>
      </c>
      <c r="B1752" s="16" t="s">
        <v>5432</v>
      </c>
      <c r="C1752" s="17">
        <v>45599</v>
      </c>
      <c r="D1752" s="15" t="s">
        <v>5433</v>
      </c>
      <c r="E1752" s="18" t="s">
        <v>954</v>
      </c>
      <c r="F1752" s="19" t="s">
        <v>5434</v>
      </c>
      <c r="G1752" s="18" t="s">
        <v>5435</v>
      </c>
      <c r="H1752" s="20" t="s">
        <v>5436</v>
      </c>
      <c r="I1752" s="15">
        <v>3</v>
      </c>
      <c r="J1752" s="15" t="s">
        <v>24</v>
      </c>
      <c r="K1752" s="15"/>
      <c r="L1752" s="21" t="s">
        <v>16</v>
      </c>
      <c r="M1752" s="22">
        <v>0</v>
      </c>
      <c r="N1752" s="22">
        <v>-2592</v>
      </c>
      <c r="O1752" s="22">
        <v>19008</v>
      </c>
      <c r="P1752" s="22">
        <v>19008</v>
      </c>
      <c r="Q1752" t="str" cm="1">
        <f t="array" ref="Q1752">_xlfn.TEXTJOIN("、",TRUE,IF('學員資料-三民高中'!$B$2:$B$454=$F1752,'學員資料-三民高中'!$G$2:$G$454,""))</f>
        <v>0939919383-1</v>
      </c>
      <c r="R1752" t="str" cm="1">
        <f t="array" ref="R1752">_xlfn.TEXTJOIN("、",TRUE,IF('學員資料-新北高中'!$B$2:$B$583=$F1752,'學員資料-新北高中'!$G$2:$G$583,""))</f>
        <v/>
      </c>
      <c r="S1752" t="str" cm="1">
        <f t="array" ref="S1752">_xlfn.TEXTJOIN("、",TRUE,IF('學員資料-三重商工'!$B$2:$B$472=$F1752,'學員資料-三重商工'!$G$2:$G$472,""))</f>
        <v/>
      </c>
      <c r="T1752">
        <f t="shared" si="27"/>
        <v>1</v>
      </c>
    </row>
    <row r="1753" spans="1:20" ht="14.25" hidden="1" customHeight="1">
      <c r="A1753" s="15">
        <v>1752</v>
      </c>
      <c r="B1753" s="16" t="s">
        <v>5437</v>
      </c>
      <c r="C1753" s="17">
        <v>45599</v>
      </c>
      <c r="D1753" s="15" t="s">
        <v>3072</v>
      </c>
      <c r="E1753" s="18" t="s">
        <v>954</v>
      </c>
      <c r="F1753" s="19" t="s">
        <v>5326</v>
      </c>
      <c r="G1753" s="18" t="s">
        <v>5327</v>
      </c>
      <c r="H1753" s="20" t="s">
        <v>3811</v>
      </c>
      <c r="I1753" s="15">
        <v>1</v>
      </c>
      <c r="J1753" s="15" t="s">
        <v>24</v>
      </c>
      <c r="K1753" s="21" t="s">
        <v>116</v>
      </c>
      <c r="L1753" s="21" t="s">
        <v>16</v>
      </c>
      <c r="M1753" s="22">
        <v>0</v>
      </c>
      <c r="N1753" s="22">
        <v>0</v>
      </c>
      <c r="O1753" s="22">
        <v>1200</v>
      </c>
      <c r="P1753" s="22">
        <v>1200</v>
      </c>
      <c r="Q1753" t="str" cm="1">
        <f t="array" ref="Q1753">_xlfn.TEXTJOIN("、",TRUE,IF('學員資料-三民高中'!$B$2:$B$454=$F1753,'學員資料-三民高中'!$G$2:$G$454,""))</f>
        <v>0931372661</v>
      </c>
      <c r="R1753" t="str" cm="1">
        <f t="array" ref="R1753">_xlfn.TEXTJOIN("、",TRUE,IF('學員資料-新北高中'!$B$2:$B$583=$F1753,'學員資料-新北高中'!$G$2:$G$583,""))</f>
        <v/>
      </c>
      <c r="S1753" t="str" cm="1">
        <f t="array" ref="S1753">_xlfn.TEXTJOIN("、",TRUE,IF('學員資料-三重商工'!$B$2:$B$472=$F1753,'學員資料-三重商工'!$G$2:$G$472,""))</f>
        <v/>
      </c>
      <c r="T1753">
        <f t="shared" si="27"/>
        <v>1</v>
      </c>
    </row>
    <row r="1754" spans="1:20" ht="57.75" hidden="1" customHeight="1">
      <c r="A1754" s="15">
        <v>1753</v>
      </c>
      <c r="B1754" s="16" t="s">
        <v>5438</v>
      </c>
      <c r="C1754" s="17">
        <v>45599</v>
      </c>
      <c r="D1754" s="15" t="s">
        <v>5439</v>
      </c>
      <c r="E1754" s="18" t="s">
        <v>954</v>
      </c>
      <c r="F1754" s="19" t="s">
        <v>5440</v>
      </c>
      <c r="G1754" s="18" t="s">
        <v>5441</v>
      </c>
      <c r="H1754" s="20" t="s">
        <v>5442</v>
      </c>
      <c r="I1754" s="15">
        <v>4</v>
      </c>
      <c r="J1754" s="15" t="s">
        <v>25</v>
      </c>
      <c r="K1754" s="15"/>
      <c r="L1754" s="21" t="s">
        <v>16</v>
      </c>
      <c r="M1754" s="22">
        <v>0</v>
      </c>
      <c r="N1754" s="22">
        <v>-4320</v>
      </c>
      <c r="O1754" s="22">
        <v>31680</v>
      </c>
      <c r="P1754" s="22">
        <v>31680</v>
      </c>
      <c r="Q1754" t="str" cm="1">
        <f t="array" ref="Q1754">_xlfn.TEXTJOIN("、",TRUE,IF('學員資料-三民高中'!$B$2:$B$454=$F1754,'學員資料-三民高中'!$G$2:$G$454,""))</f>
        <v/>
      </c>
      <c r="R1754" t="str" cm="1">
        <f t="array" ref="R1754">_xlfn.TEXTJOIN("、",TRUE,IF('學員資料-新北高中'!$B$2:$B$583=$F1754,'學員資料-新北高中'!$G$2:$G$583,""))</f>
        <v>0930954321</v>
      </c>
      <c r="S1754" t="str" cm="1">
        <f t="array" ref="S1754">_xlfn.TEXTJOIN("、",TRUE,IF('學員資料-三重商工'!$B$2:$B$472=$F1754,'學員資料-三重商工'!$G$2:$G$472,""))</f>
        <v/>
      </c>
      <c r="T1754">
        <f t="shared" si="27"/>
        <v>1</v>
      </c>
    </row>
    <row r="1755" spans="1:20" ht="28.5" hidden="1" customHeight="1">
      <c r="A1755" s="15">
        <v>1754</v>
      </c>
      <c r="B1755" s="16" t="s">
        <v>5443</v>
      </c>
      <c r="C1755" s="17">
        <v>45599</v>
      </c>
      <c r="D1755" s="15" t="s">
        <v>5444</v>
      </c>
      <c r="E1755" s="18" t="s">
        <v>954</v>
      </c>
      <c r="F1755" s="19" t="s">
        <v>5445</v>
      </c>
      <c r="G1755" s="18" t="s">
        <v>5446</v>
      </c>
      <c r="H1755" s="20" t="s">
        <v>5154</v>
      </c>
      <c r="I1755" s="15">
        <v>2</v>
      </c>
      <c r="J1755" s="15" t="s">
        <v>24</v>
      </c>
      <c r="K1755" s="15"/>
      <c r="L1755" s="21" t="s">
        <v>16</v>
      </c>
      <c r="M1755" s="22">
        <v>0</v>
      </c>
      <c r="N1755" s="22">
        <v>-1440</v>
      </c>
      <c r="O1755" s="22">
        <v>12960</v>
      </c>
      <c r="P1755" s="22">
        <v>12960</v>
      </c>
      <c r="Q1755" t="str" cm="1">
        <f t="array" ref="Q1755">_xlfn.TEXTJOIN("、",TRUE,IF('學員資料-三民高中'!$B$2:$B$454=$F1755,'學員資料-三民高中'!$G$2:$G$454,""))</f>
        <v>0933560101</v>
      </c>
      <c r="R1755" t="str" cm="1">
        <f t="array" ref="R1755">_xlfn.TEXTJOIN("、",TRUE,IF('學員資料-新北高中'!$B$2:$B$583=$F1755,'學員資料-新北高中'!$G$2:$G$583,""))</f>
        <v/>
      </c>
      <c r="S1755" t="str" cm="1">
        <f t="array" ref="S1755">_xlfn.TEXTJOIN("、",TRUE,IF('學員資料-三重商工'!$B$2:$B$472=$F1755,'學員資料-三重商工'!$G$2:$G$472,""))</f>
        <v/>
      </c>
      <c r="T1755">
        <f t="shared" si="27"/>
        <v>1</v>
      </c>
    </row>
    <row r="1756" spans="1:20" ht="14.25" hidden="1" customHeight="1">
      <c r="A1756" s="15">
        <v>1755</v>
      </c>
      <c r="B1756" s="16" t="s">
        <v>5447</v>
      </c>
      <c r="C1756" s="17">
        <v>45599</v>
      </c>
      <c r="D1756" s="15" t="s">
        <v>5448</v>
      </c>
      <c r="E1756" s="18" t="s">
        <v>954</v>
      </c>
      <c r="F1756" s="19" t="s">
        <v>5314</v>
      </c>
      <c r="G1756" s="18" t="s">
        <v>5315</v>
      </c>
      <c r="H1756" s="20" t="s">
        <v>5163</v>
      </c>
      <c r="I1756" s="15">
        <v>1</v>
      </c>
      <c r="J1756" s="15" t="s">
        <v>23</v>
      </c>
      <c r="K1756" s="15"/>
      <c r="L1756" s="21" t="s">
        <v>16</v>
      </c>
      <c r="M1756" s="22">
        <v>0</v>
      </c>
      <c r="N1756" s="22">
        <v>-660</v>
      </c>
      <c r="O1756" s="22">
        <v>5940</v>
      </c>
      <c r="P1756" s="22">
        <v>5940</v>
      </c>
      <c r="Q1756" t="str" cm="1">
        <f t="array" ref="Q1756">_xlfn.TEXTJOIN("、",TRUE,IF('學員資料-三民高中'!$B$2:$B$454=$F1756,'學員資料-三民高中'!$G$2:$G$454,""))</f>
        <v/>
      </c>
      <c r="R1756" t="str" cm="1">
        <f t="array" ref="R1756">_xlfn.TEXTJOIN("、",TRUE,IF('學員資料-新北高中'!$B$2:$B$583=$F1756,'學員資料-新北高中'!$G$2:$G$583,""))</f>
        <v>0976794019</v>
      </c>
      <c r="S1756" t="str" cm="1">
        <f t="array" ref="S1756">_xlfn.TEXTJOIN("、",TRUE,IF('學員資料-三重商工'!$B$2:$B$472=$F1756,'學員資料-三重商工'!$G$2:$G$472,""))</f>
        <v/>
      </c>
      <c r="T1756">
        <f t="shared" si="27"/>
        <v>1</v>
      </c>
    </row>
    <row r="1757" spans="1:20" ht="14.25" hidden="1" customHeight="1">
      <c r="A1757" s="15">
        <v>1756</v>
      </c>
      <c r="B1757" s="16" t="s">
        <v>5449</v>
      </c>
      <c r="C1757" s="17">
        <v>45599</v>
      </c>
      <c r="D1757" s="15" t="s">
        <v>5450</v>
      </c>
      <c r="E1757" s="18" t="s">
        <v>954</v>
      </c>
      <c r="F1757" s="19" t="s">
        <v>5451</v>
      </c>
      <c r="G1757" s="18" t="s">
        <v>5452</v>
      </c>
      <c r="H1757" s="20" t="s">
        <v>5148</v>
      </c>
      <c r="I1757" s="15">
        <v>1</v>
      </c>
      <c r="J1757" s="15" t="s">
        <v>25</v>
      </c>
      <c r="K1757" s="15"/>
      <c r="L1757" s="21" t="s">
        <v>16</v>
      </c>
      <c r="M1757" s="22">
        <v>0</v>
      </c>
      <c r="N1757" s="22">
        <v>-1080</v>
      </c>
      <c r="O1757" s="22">
        <v>7920</v>
      </c>
      <c r="P1757" s="22">
        <v>7920</v>
      </c>
      <c r="Q1757" t="str" cm="1">
        <f t="array" ref="Q1757">_xlfn.TEXTJOIN("、",TRUE,IF('學員資料-三民高中'!$B$2:$B$454=$F1757,'學員資料-三民高中'!$G$2:$G$454,""))</f>
        <v>0912890002</v>
      </c>
      <c r="R1757" t="str" cm="1">
        <f t="array" ref="R1757">_xlfn.TEXTJOIN("、",TRUE,IF('學員資料-新北高中'!$B$2:$B$583=$F1757,'學員資料-新北高中'!$G$2:$G$583,""))</f>
        <v/>
      </c>
      <c r="S1757" t="str" cm="1">
        <f t="array" ref="S1757">_xlfn.TEXTJOIN("、",TRUE,IF('學員資料-三重商工'!$B$2:$B$472=$F1757,'學員資料-三重商工'!$G$2:$G$472,""))</f>
        <v/>
      </c>
      <c r="T1757">
        <f t="shared" si="27"/>
        <v>1</v>
      </c>
    </row>
    <row r="1758" spans="1:20" ht="57.75" hidden="1" customHeight="1">
      <c r="A1758" s="15">
        <v>1757</v>
      </c>
      <c r="B1758" s="16" t="s">
        <v>5453</v>
      </c>
      <c r="C1758" s="17">
        <v>45599</v>
      </c>
      <c r="D1758" s="15" t="s">
        <v>5454</v>
      </c>
      <c r="E1758" s="18" t="s">
        <v>954</v>
      </c>
      <c r="F1758" s="19" t="s">
        <v>5455</v>
      </c>
      <c r="G1758" s="18" t="s">
        <v>5456</v>
      </c>
      <c r="H1758" s="20" t="s">
        <v>5457</v>
      </c>
      <c r="I1758" s="15">
        <v>4</v>
      </c>
      <c r="J1758" s="15" t="s">
        <v>24</v>
      </c>
      <c r="K1758" s="15"/>
      <c r="L1758" s="21" t="s">
        <v>16</v>
      </c>
      <c r="M1758" s="22">
        <v>0</v>
      </c>
      <c r="N1758" s="22">
        <v>-2880</v>
      </c>
      <c r="O1758" s="22">
        <v>25920</v>
      </c>
      <c r="P1758" s="22">
        <v>25920</v>
      </c>
      <c r="Q1758" t="str" cm="1">
        <f t="array" ref="Q1758">_xlfn.TEXTJOIN("、",TRUE,IF('學員資料-三民高中'!$B$2:$B$454=$F1758,'學員資料-三民高中'!$G$2:$G$454,""))</f>
        <v/>
      </c>
      <c r="R1758" t="str" cm="1">
        <f t="array" ref="R1758">_xlfn.TEXTJOIN("、",TRUE,IF('學員資料-新北高中'!$B$2:$B$583=$F1758,'學員資料-新北高中'!$G$2:$G$583,""))</f>
        <v>0926176798</v>
      </c>
      <c r="S1758" t="str" cm="1">
        <f t="array" ref="S1758">_xlfn.TEXTJOIN("、",TRUE,IF('學員資料-三重商工'!$B$2:$B$472=$F1758,'學員資料-三重商工'!$G$2:$G$472,""))</f>
        <v/>
      </c>
      <c r="T1758">
        <f t="shared" si="27"/>
        <v>1</v>
      </c>
    </row>
    <row r="1759" spans="1:20" ht="14.25" hidden="1" customHeight="1">
      <c r="A1759" s="15">
        <v>1758</v>
      </c>
      <c r="B1759" s="16" t="s">
        <v>5458</v>
      </c>
      <c r="C1759" s="17">
        <v>45598</v>
      </c>
      <c r="D1759" s="15" t="s">
        <v>5459</v>
      </c>
      <c r="E1759" s="18" t="s">
        <v>954</v>
      </c>
      <c r="F1759" s="19" t="s">
        <v>4843</v>
      </c>
      <c r="G1759" s="18" t="s">
        <v>4844</v>
      </c>
      <c r="H1759" s="20" t="s">
        <v>5131</v>
      </c>
      <c r="I1759" s="15">
        <v>1</v>
      </c>
      <c r="J1759" s="15" t="s">
        <v>24</v>
      </c>
      <c r="K1759" s="15"/>
      <c r="L1759" s="21" t="s">
        <v>16</v>
      </c>
      <c r="M1759" s="22">
        <v>0</v>
      </c>
      <c r="N1759" s="22">
        <v>0</v>
      </c>
      <c r="O1759" s="22">
        <v>7200</v>
      </c>
      <c r="P1759" s="22">
        <v>7200</v>
      </c>
      <c r="Q1759" t="str" cm="1">
        <f t="array" ref="Q1759">_xlfn.TEXTJOIN("、",TRUE,IF('學員資料-三民高中'!$B$2:$B$454=$F1759,'學員資料-三民高中'!$G$2:$G$454,""))</f>
        <v/>
      </c>
      <c r="R1759" t="str" cm="1">
        <f t="array" ref="R1759">_xlfn.TEXTJOIN("、",TRUE,IF('學員資料-新北高中'!$B$2:$B$583=$F1759,'學員資料-新北高中'!$G$2:$G$583,""))</f>
        <v>0981145800</v>
      </c>
      <c r="S1759" t="str" cm="1">
        <f t="array" ref="S1759">_xlfn.TEXTJOIN("、",TRUE,IF('學員資料-三重商工'!$B$2:$B$472=$F1759,'學員資料-三重商工'!$G$2:$G$472,""))</f>
        <v/>
      </c>
      <c r="T1759">
        <f t="shared" si="27"/>
        <v>1</v>
      </c>
    </row>
    <row r="1760" spans="1:20" ht="28.5" hidden="1" customHeight="1">
      <c r="A1760" s="15">
        <v>1759</v>
      </c>
      <c r="B1760" s="16" t="s">
        <v>5460</v>
      </c>
      <c r="C1760" s="17">
        <v>45598</v>
      </c>
      <c r="D1760" s="15" t="s">
        <v>5461</v>
      </c>
      <c r="E1760" s="18" t="s">
        <v>954</v>
      </c>
      <c r="F1760" s="19" t="s">
        <v>5462</v>
      </c>
      <c r="G1760" s="18" t="s">
        <v>5463</v>
      </c>
      <c r="H1760" s="20" t="s">
        <v>5154</v>
      </c>
      <c r="I1760" s="15">
        <v>2</v>
      </c>
      <c r="J1760" s="15" t="s">
        <v>24</v>
      </c>
      <c r="K1760" s="15"/>
      <c r="L1760" s="21" t="s">
        <v>16</v>
      </c>
      <c r="M1760" s="22">
        <v>0</v>
      </c>
      <c r="N1760" s="22">
        <v>0</v>
      </c>
      <c r="O1760" s="22">
        <v>14400</v>
      </c>
      <c r="P1760" s="22">
        <v>14400</v>
      </c>
      <c r="Q1760" t="str" cm="1">
        <f t="array" ref="Q1760">_xlfn.TEXTJOIN("、",TRUE,IF('學員資料-三民高中'!$B$2:$B$454=$F1760,'學員資料-三民高中'!$G$2:$G$454,""))</f>
        <v/>
      </c>
      <c r="R1760" t="str" cm="1">
        <f t="array" ref="R1760">_xlfn.TEXTJOIN("、",TRUE,IF('學員資料-新北高中'!$B$2:$B$583=$F1760,'學員資料-新北高中'!$G$2:$G$583,""))</f>
        <v>0900000004</v>
      </c>
      <c r="S1760" t="str" cm="1">
        <f t="array" ref="S1760">_xlfn.TEXTJOIN("、",TRUE,IF('學員資料-三重商工'!$B$2:$B$472=$F1760,'學員資料-三重商工'!$G$2:$G$472,""))</f>
        <v/>
      </c>
      <c r="T1760">
        <f t="shared" si="27"/>
        <v>1</v>
      </c>
    </row>
    <row r="1761" spans="1:20" ht="14.25" hidden="1" customHeight="1">
      <c r="A1761" s="15">
        <v>1760</v>
      </c>
      <c r="B1761" s="16" t="s">
        <v>5464</v>
      </c>
      <c r="C1761" s="17">
        <v>45598</v>
      </c>
      <c r="D1761" s="15" t="s">
        <v>5465</v>
      </c>
      <c r="E1761" s="18" t="s">
        <v>954</v>
      </c>
      <c r="F1761" s="19" t="s">
        <v>5226</v>
      </c>
      <c r="G1761" s="18" t="s">
        <v>5227</v>
      </c>
      <c r="H1761" s="20" t="s">
        <v>5148</v>
      </c>
      <c r="I1761" s="15">
        <v>1</v>
      </c>
      <c r="J1761" s="15" t="s">
        <v>25</v>
      </c>
      <c r="K1761" s="15"/>
      <c r="L1761" s="21" t="s">
        <v>16</v>
      </c>
      <c r="M1761" s="22">
        <v>0</v>
      </c>
      <c r="N1761" s="22">
        <v>0</v>
      </c>
      <c r="O1761" s="22">
        <v>9000</v>
      </c>
      <c r="P1761" s="22">
        <v>9000</v>
      </c>
      <c r="Q1761" t="str" cm="1">
        <f t="array" ref="Q1761">_xlfn.TEXTJOIN("、",TRUE,IF('學員資料-三民高中'!$B$2:$B$454=$F1761,'學員資料-三民高中'!$G$2:$G$454,""))</f>
        <v/>
      </c>
      <c r="R1761" t="str" cm="1">
        <f t="array" ref="R1761">_xlfn.TEXTJOIN("、",TRUE,IF('學員資料-新北高中'!$B$2:$B$583=$F1761,'學員資料-新北高中'!$G$2:$G$583,""))</f>
        <v/>
      </c>
      <c r="S1761" t="str" cm="1">
        <f t="array" ref="S1761">_xlfn.TEXTJOIN("、",TRUE,IF('學員資料-三重商工'!$B$2:$B$472=$F1761,'學員資料-三重商工'!$G$2:$G$472,""))</f>
        <v>0922212041.1</v>
      </c>
      <c r="T1761">
        <f t="shared" si="27"/>
        <v>1</v>
      </c>
    </row>
    <row r="1762" spans="1:20" ht="14.25" hidden="1" customHeight="1">
      <c r="A1762" s="15">
        <v>1761</v>
      </c>
      <c r="B1762" s="16" t="s">
        <v>5466</v>
      </c>
      <c r="C1762" s="17">
        <v>45598</v>
      </c>
      <c r="D1762" s="15" t="s">
        <v>5467</v>
      </c>
      <c r="E1762" s="18" t="s">
        <v>954</v>
      </c>
      <c r="F1762" s="19" t="s">
        <v>5468</v>
      </c>
      <c r="G1762" s="18" t="s">
        <v>5469</v>
      </c>
      <c r="H1762" s="20" t="s">
        <v>5131</v>
      </c>
      <c r="I1762" s="15">
        <v>1</v>
      </c>
      <c r="J1762" s="15" t="s">
        <v>24</v>
      </c>
      <c r="K1762" s="15"/>
      <c r="L1762" s="21" t="s">
        <v>16</v>
      </c>
      <c r="M1762" s="22">
        <v>0</v>
      </c>
      <c r="N1762" s="22">
        <v>0</v>
      </c>
      <c r="O1762" s="22">
        <v>7200</v>
      </c>
      <c r="P1762" s="22">
        <v>7200</v>
      </c>
      <c r="Q1762" t="str" cm="1">
        <f t="array" ref="Q1762">_xlfn.TEXTJOIN("、",TRUE,IF('學員資料-三民高中'!$B$2:$B$454=$F1762,'學員資料-三民高中'!$G$2:$G$454,""))</f>
        <v>0988538010</v>
      </c>
      <c r="R1762" t="str" cm="1">
        <f t="array" ref="R1762">_xlfn.TEXTJOIN("、",TRUE,IF('學員資料-新北高中'!$B$2:$B$583=$F1762,'學員資料-新北高中'!$G$2:$G$583,""))</f>
        <v/>
      </c>
      <c r="S1762" t="str" cm="1">
        <f t="array" ref="S1762">_xlfn.TEXTJOIN("、",TRUE,IF('學員資料-三重商工'!$B$2:$B$472=$F1762,'學員資料-三重商工'!$G$2:$G$472,""))</f>
        <v/>
      </c>
      <c r="T1762">
        <f t="shared" si="27"/>
        <v>1</v>
      </c>
    </row>
    <row r="1763" spans="1:20" ht="14.25" hidden="1" customHeight="1">
      <c r="A1763" s="15">
        <v>1762</v>
      </c>
      <c r="B1763" s="16" t="s">
        <v>5470</v>
      </c>
      <c r="C1763" s="17">
        <v>45598</v>
      </c>
      <c r="D1763" s="15" t="s">
        <v>5471</v>
      </c>
      <c r="E1763" s="18" t="s">
        <v>954</v>
      </c>
      <c r="F1763" s="19" t="s">
        <v>2317</v>
      </c>
      <c r="G1763" s="18" t="s">
        <v>2318</v>
      </c>
      <c r="H1763" s="20" t="s">
        <v>266</v>
      </c>
      <c r="I1763" s="15">
        <v>1</v>
      </c>
      <c r="J1763" s="15" t="s">
        <v>24</v>
      </c>
      <c r="K1763" s="15"/>
      <c r="L1763" s="21" t="s">
        <v>16</v>
      </c>
      <c r="M1763" s="22">
        <v>0</v>
      </c>
      <c r="N1763" s="22">
        <v>0</v>
      </c>
      <c r="O1763" s="22">
        <v>10800</v>
      </c>
      <c r="P1763" s="22">
        <v>10800</v>
      </c>
      <c r="Q1763" t="str" cm="1">
        <f t="array" ref="Q1763">_xlfn.TEXTJOIN("、",TRUE,IF('學員資料-三民高中'!$B$2:$B$454=$F1763,'學員資料-三民高中'!$G$2:$G$454,""))</f>
        <v/>
      </c>
      <c r="R1763" t="str" cm="1">
        <f t="array" ref="R1763">_xlfn.TEXTJOIN("、",TRUE,IF('學員資料-新北高中'!$B$2:$B$583=$F1763,'學員資料-新北高中'!$G$2:$G$583,""))</f>
        <v>0937027629</v>
      </c>
      <c r="S1763" t="str" cm="1">
        <f t="array" ref="S1763">_xlfn.TEXTJOIN("、",TRUE,IF('學員資料-三重商工'!$B$2:$B$472=$F1763,'學員資料-三重商工'!$G$2:$G$472,""))</f>
        <v/>
      </c>
      <c r="T1763">
        <f t="shared" si="27"/>
        <v>1</v>
      </c>
    </row>
    <row r="1764" spans="1:20" ht="14.25" hidden="1" customHeight="1">
      <c r="A1764" s="15">
        <v>1763</v>
      </c>
      <c r="B1764" s="16" t="s">
        <v>5472</v>
      </c>
      <c r="C1764" s="17">
        <v>45597</v>
      </c>
      <c r="D1764" s="15" t="s">
        <v>5473</v>
      </c>
      <c r="E1764" s="18" t="s">
        <v>954</v>
      </c>
      <c r="F1764" s="19" t="s">
        <v>550</v>
      </c>
      <c r="G1764" s="18" t="s">
        <v>551</v>
      </c>
      <c r="H1764" s="20" t="s">
        <v>5163</v>
      </c>
      <c r="I1764" s="15">
        <v>1</v>
      </c>
      <c r="J1764" s="15" t="s">
        <v>23</v>
      </c>
      <c r="K1764" s="15"/>
      <c r="L1764" s="21" t="s">
        <v>16</v>
      </c>
      <c r="M1764" s="22">
        <v>0</v>
      </c>
      <c r="N1764" s="22">
        <v>0</v>
      </c>
      <c r="O1764" s="22">
        <v>6600</v>
      </c>
      <c r="P1764" s="22">
        <v>6600</v>
      </c>
      <c r="Q1764" t="str" cm="1">
        <f t="array" ref="Q1764">_xlfn.TEXTJOIN("、",TRUE,IF('學員資料-三民高中'!$B$2:$B$454=$F1764,'學員資料-三民高中'!$G$2:$G$454,""))</f>
        <v/>
      </c>
      <c r="R1764" t="str" cm="1">
        <f t="array" ref="R1764">_xlfn.TEXTJOIN("、",TRUE,IF('學員資料-新北高中'!$B$2:$B$583=$F1764,'學員資料-新北高中'!$G$2:$G$583,""))</f>
        <v/>
      </c>
      <c r="S1764" t="str" cm="1">
        <f t="array" ref="S1764">_xlfn.TEXTJOIN("、",TRUE,IF('學員資料-三重商工'!$B$2:$B$472=$F1764,'學員資料-三重商工'!$G$2:$G$472,""))</f>
        <v>0933037462</v>
      </c>
      <c r="T1764">
        <f t="shared" si="27"/>
        <v>1</v>
      </c>
    </row>
    <row r="1765" spans="1:20" ht="87" hidden="1" customHeight="1">
      <c r="A1765" s="15">
        <v>1764</v>
      </c>
      <c r="B1765" s="16" t="s">
        <v>5474</v>
      </c>
      <c r="C1765" s="17">
        <v>45597</v>
      </c>
      <c r="D1765" s="15" t="s">
        <v>5475</v>
      </c>
      <c r="E1765" s="18" t="s">
        <v>954</v>
      </c>
      <c r="F1765" s="19" t="s">
        <v>4733</v>
      </c>
      <c r="G1765" s="18" t="s">
        <v>4734</v>
      </c>
      <c r="H1765" s="20" t="s">
        <v>5476</v>
      </c>
      <c r="I1765" s="15">
        <v>6</v>
      </c>
      <c r="J1765" s="15" t="s">
        <v>23</v>
      </c>
      <c r="K1765" s="21" t="s">
        <v>116</v>
      </c>
      <c r="L1765" s="21" t="s">
        <v>16</v>
      </c>
      <c r="M1765" s="22">
        <v>0</v>
      </c>
      <c r="N1765" s="22">
        <v>0</v>
      </c>
      <c r="O1765" s="22">
        <v>12100</v>
      </c>
      <c r="P1765" s="22">
        <v>12100</v>
      </c>
      <c r="Q1765" t="str" cm="1">
        <f t="array" ref="Q1765">_xlfn.TEXTJOIN("、",TRUE,IF('學員資料-三民高中'!$B$2:$B$454=$F1765,'學員資料-三民高中'!$G$2:$G$454,""))</f>
        <v/>
      </c>
      <c r="R1765" t="str" cm="1">
        <f t="array" ref="R1765">_xlfn.TEXTJOIN("、",TRUE,IF('學員資料-新北高中'!$B$2:$B$583=$F1765,'學員資料-新北高中'!$G$2:$G$583,""))</f>
        <v/>
      </c>
      <c r="S1765" t="str" cm="1">
        <f t="array" ref="S1765">_xlfn.TEXTJOIN("、",TRUE,IF('學員資料-三重商工'!$B$2:$B$472=$F1765,'學員資料-三重商工'!$G$2:$G$472,""))</f>
        <v>0911685342</v>
      </c>
      <c r="T1765">
        <f t="shared" si="27"/>
        <v>1</v>
      </c>
    </row>
    <row r="1766" spans="1:20" ht="14.25" customHeight="1">
      <c r="A1766" s="15">
        <v>1765</v>
      </c>
      <c r="B1766" s="16" t="s">
        <v>5477</v>
      </c>
      <c r="C1766" s="17">
        <v>45595</v>
      </c>
      <c r="D1766" s="15" t="s">
        <v>5478</v>
      </c>
      <c r="E1766" s="18" t="s">
        <v>954</v>
      </c>
      <c r="F1766" s="19" t="s">
        <v>5479</v>
      </c>
      <c r="G1766" s="18" t="s">
        <v>5480</v>
      </c>
      <c r="H1766" s="20" t="s">
        <v>683</v>
      </c>
      <c r="I1766" s="15">
        <v>1</v>
      </c>
      <c r="J1766" s="15" t="s">
        <v>23</v>
      </c>
      <c r="K1766" s="15"/>
      <c r="L1766" s="21" t="s">
        <v>16</v>
      </c>
      <c r="M1766" s="22">
        <v>0</v>
      </c>
      <c r="N1766" s="22">
        <v>0</v>
      </c>
      <c r="O1766" s="22">
        <v>9000</v>
      </c>
      <c r="P1766" s="22">
        <v>9000</v>
      </c>
      <c r="Q1766" t="str" cm="1">
        <f t="array" ref="Q1766">_xlfn.TEXTJOIN("、",TRUE,IF('學員資料-三民高中'!$B$2:$B$454=$F1766,'學員資料-三民高中'!$G$2:$G$454,""))</f>
        <v/>
      </c>
      <c r="R1766" t="str" cm="1">
        <f t="array" ref="R1766">_xlfn.TEXTJOIN("、",TRUE,IF('學員資料-新北高中'!$B$2:$B$583=$F1766,'學員資料-新北高中'!$G$2:$G$583,""))</f>
        <v/>
      </c>
      <c r="S1766" t="str" cm="1">
        <f t="array" ref="S1766">_xlfn.TEXTJOIN("、",TRUE,IF('學員資料-三重商工'!$B$2:$B$472=$F1766,'學員資料-三重商工'!$G$2:$G$472,""))</f>
        <v/>
      </c>
      <c r="T1766">
        <f t="shared" si="27"/>
        <v>0</v>
      </c>
    </row>
    <row r="1767" spans="1:20" ht="14.25" hidden="1" customHeight="1">
      <c r="A1767" s="15">
        <v>1766</v>
      </c>
      <c r="B1767" s="16" t="s">
        <v>5481</v>
      </c>
      <c r="C1767" s="17">
        <v>45593</v>
      </c>
      <c r="D1767" s="15" t="s">
        <v>5482</v>
      </c>
      <c r="E1767" s="18" t="s">
        <v>954</v>
      </c>
      <c r="F1767" s="19" t="s">
        <v>5483</v>
      </c>
      <c r="G1767" s="18" t="s">
        <v>5484</v>
      </c>
      <c r="H1767" s="20" t="s">
        <v>5131</v>
      </c>
      <c r="I1767" s="15">
        <v>1</v>
      </c>
      <c r="J1767" s="15" t="s">
        <v>24</v>
      </c>
      <c r="K1767" s="15"/>
      <c r="L1767" s="21" t="s">
        <v>16</v>
      </c>
      <c r="M1767" s="22">
        <v>0</v>
      </c>
      <c r="N1767" s="22">
        <v>-4320</v>
      </c>
      <c r="O1767" s="22">
        <v>2880</v>
      </c>
      <c r="P1767" s="22">
        <v>2880</v>
      </c>
      <c r="Q1767" t="str" cm="1">
        <f t="array" ref="Q1767">_xlfn.TEXTJOIN("、",TRUE,IF('學員資料-三民高中'!$B$2:$B$454=$F1767,'學員資料-三民高中'!$G$2:$G$454,""))</f>
        <v/>
      </c>
      <c r="R1767" t="str" cm="1">
        <f t="array" ref="R1767">_xlfn.TEXTJOIN("、",TRUE,IF('學員資料-新北高中'!$B$2:$B$583=$F1767,'學員資料-新北高中'!$G$2:$G$583,""))</f>
        <v/>
      </c>
      <c r="S1767" t="str" cm="1">
        <f t="array" ref="S1767">_xlfn.TEXTJOIN("、",TRUE,IF('學員資料-三重商工'!$B$2:$B$472=$F1767,'學員資料-三重商工'!$G$2:$G$472,""))</f>
        <v>0958934015</v>
      </c>
      <c r="T1767">
        <f t="shared" si="27"/>
        <v>1</v>
      </c>
    </row>
    <row r="1768" spans="1:20" ht="28.5" hidden="1" customHeight="1">
      <c r="A1768" s="15">
        <v>1767</v>
      </c>
      <c r="B1768" s="16" t="s">
        <v>5485</v>
      </c>
      <c r="C1768" s="17">
        <v>45593</v>
      </c>
      <c r="D1768" s="15" t="s">
        <v>5486</v>
      </c>
      <c r="E1768" s="18" t="s">
        <v>954</v>
      </c>
      <c r="F1768" s="19" t="s">
        <v>2684</v>
      </c>
      <c r="G1768" s="18" t="s">
        <v>2685</v>
      </c>
      <c r="H1768" s="20" t="s">
        <v>5154</v>
      </c>
      <c r="I1768" s="15">
        <v>2</v>
      </c>
      <c r="J1768" s="15" t="s">
        <v>24</v>
      </c>
      <c r="K1768" s="15"/>
      <c r="L1768" s="21" t="s">
        <v>16</v>
      </c>
      <c r="M1768" s="22">
        <v>0</v>
      </c>
      <c r="N1768" s="22">
        <v>-1440</v>
      </c>
      <c r="O1768" s="22">
        <v>12960</v>
      </c>
      <c r="P1768" s="22">
        <v>12960</v>
      </c>
      <c r="Q1768" t="str" cm="1">
        <f t="array" ref="Q1768">_xlfn.TEXTJOIN("、",TRUE,IF('學員資料-三民高中'!$B$2:$B$454=$F1768,'學員資料-三民高中'!$G$2:$G$454,""))</f>
        <v>0922826836</v>
      </c>
      <c r="R1768" t="str" cm="1">
        <f t="array" ref="R1768">_xlfn.TEXTJOIN("、",TRUE,IF('學員資料-新北高中'!$B$2:$B$583=$F1768,'學員資料-新北高中'!$G$2:$G$583,""))</f>
        <v/>
      </c>
      <c r="S1768" t="str" cm="1">
        <f t="array" ref="S1768">_xlfn.TEXTJOIN("、",TRUE,IF('學員資料-三重商工'!$B$2:$B$472=$F1768,'學員資料-三重商工'!$G$2:$G$472,""))</f>
        <v/>
      </c>
      <c r="T1768">
        <f t="shared" si="27"/>
        <v>1</v>
      </c>
    </row>
    <row r="1769" spans="1:20" ht="28.5" hidden="1" customHeight="1">
      <c r="A1769" s="15">
        <v>1768</v>
      </c>
      <c r="B1769" s="16" t="s">
        <v>5487</v>
      </c>
      <c r="C1769" s="17">
        <v>45593</v>
      </c>
      <c r="D1769" s="15" t="s">
        <v>5488</v>
      </c>
      <c r="E1769" s="18" t="s">
        <v>954</v>
      </c>
      <c r="F1769" s="19" t="s">
        <v>5489</v>
      </c>
      <c r="G1769" s="18" t="s">
        <v>5490</v>
      </c>
      <c r="H1769" s="20" t="s">
        <v>5263</v>
      </c>
      <c r="I1769" s="15">
        <v>2</v>
      </c>
      <c r="J1769" s="15" t="s">
        <v>25</v>
      </c>
      <c r="K1769" s="15"/>
      <c r="L1769" s="21" t="s">
        <v>16</v>
      </c>
      <c r="M1769" s="22">
        <v>0</v>
      </c>
      <c r="N1769" s="22">
        <v>-2160</v>
      </c>
      <c r="O1769" s="22">
        <v>15840</v>
      </c>
      <c r="P1769" s="22">
        <v>15840</v>
      </c>
      <c r="Q1769" t="str" cm="1">
        <f t="array" ref="Q1769">_xlfn.TEXTJOIN("、",TRUE,IF('學員資料-三民高中'!$B$2:$B$454=$F1769,'學員資料-三民高中'!$G$2:$G$454,""))</f>
        <v/>
      </c>
      <c r="R1769" t="str" cm="1">
        <f t="array" ref="R1769">_xlfn.TEXTJOIN("、",TRUE,IF('學員資料-新北高中'!$B$2:$B$583=$F1769,'學員資料-新北高中'!$G$2:$G$583,""))</f>
        <v>0920468073</v>
      </c>
      <c r="S1769" t="str" cm="1">
        <f t="array" ref="S1769">_xlfn.TEXTJOIN("、",TRUE,IF('學員資料-三重商工'!$B$2:$B$472=$F1769,'學員資料-三重商工'!$G$2:$G$472,""))</f>
        <v/>
      </c>
      <c r="T1769">
        <f t="shared" si="27"/>
        <v>1</v>
      </c>
    </row>
    <row r="1770" spans="1:20" ht="14.25" hidden="1" customHeight="1">
      <c r="A1770" s="15">
        <v>1769</v>
      </c>
      <c r="B1770" s="16" t="s">
        <v>5491</v>
      </c>
      <c r="C1770" s="17">
        <v>45592</v>
      </c>
      <c r="D1770" s="15" t="s">
        <v>5492</v>
      </c>
      <c r="E1770" s="18" t="s">
        <v>954</v>
      </c>
      <c r="F1770" s="19" t="s">
        <v>5493</v>
      </c>
      <c r="G1770" s="18" t="s">
        <v>5494</v>
      </c>
      <c r="H1770" s="20" t="s">
        <v>5131</v>
      </c>
      <c r="I1770" s="15">
        <v>1</v>
      </c>
      <c r="J1770" s="15" t="s">
        <v>24</v>
      </c>
      <c r="K1770" s="15"/>
      <c r="L1770" s="21" t="s">
        <v>16</v>
      </c>
      <c r="M1770" s="22">
        <v>0</v>
      </c>
      <c r="N1770" s="22">
        <v>0</v>
      </c>
      <c r="O1770" s="22">
        <v>7200</v>
      </c>
      <c r="P1770" s="22">
        <v>7200</v>
      </c>
      <c r="Q1770" t="str" cm="1">
        <f t="array" ref="Q1770">_xlfn.TEXTJOIN("、",TRUE,IF('學員資料-三民高中'!$B$2:$B$454=$F1770,'學員資料-三民高中'!$G$2:$G$454,""))</f>
        <v/>
      </c>
      <c r="R1770" t="str" cm="1">
        <f t="array" ref="R1770">_xlfn.TEXTJOIN("、",TRUE,IF('學員資料-新北高中'!$B$2:$B$583=$F1770,'學員資料-新北高中'!$G$2:$G$583,""))</f>
        <v/>
      </c>
      <c r="S1770" t="str" cm="1">
        <f t="array" ref="S1770">_xlfn.TEXTJOIN("、",TRUE,IF('學員資料-三重商工'!$B$2:$B$472=$F1770,'學員資料-三重商工'!$G$2:$G$472,""))</f>
        <v>0987703114</v>
      </c>
      <c r="T1770">
        <f t="shared" si="27"/>
        <v>1</v>
      </c>
    </row>
    <row r="1771" spans="1:20" ht="14.25" hidden="1" customHeight="1">
      <c r="A1771" s="15">
        <v>1770</v>
      </c>
      <c r="B1771" s="16" t="s">
        <v>5495</v>
      </c>
      <c r="C1771" s="17">
        <v>45592</v>
      </c>
      <c r="D1771" s="15" t="s">
        <v>5496</v>
      </c>
      <c r="E1771" s="18" t="s">
        <v>954</v>
      </c>
      <c r="F1771" s="19" t="s">
        <v>5497</v>
      </c>
      <c r="G1771" s="18" t="s">
        <v>5498</v>
      </c>
      <c r="H1771" s="20" t="s">
        <v>5131</v>
      </c>
      <c r="I1771" s="15">
        <v>1</v>
      </c>
      <c r="J1771" s="15" t="s">
        <v>24</v>
      </c>
      <c r="K1771" s="15"/>
      <c r="L1771" s="21" t="s">
        <v>16</v>
      </c>
      <c r="M1771" s="22">
        <v>0</v>
      </c>
      <c r="N1771" s="22">
        <v>0</v>
      </c>
      <c r="O1771" s="22">
        <v>7200</v>
      </c>
      <c r="P1771" s="22">
        <v>7200</v>
      </c>
      <c r="Q1771" t="str" cm="1">
        <f t="array" ref="Q1771">_xlfn.TEXTJOIN("、",TRUE,IF('學員資料-三民高中'!$B$2:$B$454=$F1771,'學員資料-三民高中'!$G$2:$G$454,""))</f>
        <v/>
      </c>
      <c r="R1771" t="str" cm="1">
        <f t="array" ref="R1771">_xlfn.TEXTJOIN("、",TRUE,IF('學員資料-新北高中'!$B$2:$B$583=$F1771,'學員資料-新北高中'!$G$2:$G$583,""))</f>
        <v>0958215015</v>
      </c>
      <c r="S1771" t="str" cm="1">
        <f t="array" ref="S1771">_xlfn.TEXTJOIN("、",TRUE,IF('學員資料-三重商工'!$B$2:$B$472=$F1771,'學員資料-三重商工'!$G$2:$G$472,""))</f>
        <v/>
      </c>
      <c r="T1771">
        <f t="shared" si="27"/>
        <v>1</v>
      </c>
    </row>
    <row r="1772" spans="1:20" ht="14.25" hidden="1" customHeight="1">
      <c r="A1772" s="15">
        <v>1771</v>
      </c>
      <c r="B1772" s="16" t="s">
        <v>5499</v>
      </c>
      <c r="C1772" s="17">
        <v>45592</v>
      </c>
      <c r="D1772" s="15" t="s">
        <v>5500</v>
      </c>
      <c r="E1772" s="18" t="s">
        <v>3862</v>
      </c>
      <c r="F1772" s="19" t="s">
        <v>5501</v>
      </c>
      <c r="G1772" s="18" t="s">
        <v>5502</v>
      </c>
      <c r="H1772" s="20" t="s">
        <v>5131</v>
      </c>
      <c r="I1772" s="15">
        <v>1</v>
      </c>
      <c r="J1772" s="15" t="s">
        <v>24</v>
      </c>
      <c r="K1772" s="15"/>
      <c r="L1772" s="21" t="s">
        <v>16</v>
      </c>
      <c r="M1772" s="22">
        <v>0</v>
      </c>
      <c r="N1772" s="22">
        <v>0</v>
      </c>
      <c r="O1772" s="22">
        <v>7200</v>
      </c>
      <c r="P1772" s="22">
        <v>7200</v>
      </c>
      <c r="Q1772" t="str" cm="1">
        <f t="array" ref="Q1772">_xlfn.TEXTJOIN("、",TRUE,IF('學員資料-三民高中'!$B$2:$B$454=$F1772,'學員資料-三民高中'!$G$2:$G$454,""))</f>
        <v/>
      </c>
      <c r="R1772" t="str" cm="1">
        <f t="array" ref="R1772">_xlfn.TEXTJOIN("、",TRUE,IF('學員資料-新北高中'!$B$2:$B$583=$F1772,'學員資料-新北高中'!$G$2:$G$583,""))</f>
        <v>0933822113</v>
      </c>
      <c r="S1772" t="str" cm="1">
        <f t="array" ref="S1772">_xlfn.TEXTJOIN("、",TRUE,IF('學員資料-三重商工'!$B$2:$B$472=$F1772,'學員資料-三重商工'!$G$2:$G$472,""))</f>
        <v/>
      </c>
      <c r="T1772">
        <f t="shared" si="27"/>
        <v>1</v>
      </c>
    </row>
    <row r="1773" spans="1:20" ht="14.25" hidden="1" customHeight="1">
      <c r="A1773" s="15">
        <v>1772</v>
      </c>
      <c r="B1773" s="16" t="s">
        <v>5503</v>
      </c>
      <c r="C1773" s="17">
        <v>45592</v>
      </c>
      <c r="D1773" s="15" t="s">
        <v>5504</v>
      </c>
      <c r="E1773" s="18" t="s">
        <v>954</v>
      </c>
      <c r="F1773" s="19" t="s">
        <v>3391</v>
      </c>
      <c r="G1773" s="18" t="s">
        <v>3392</v>
      </c>
      <c r="H1773" s="20" t="s">
        <v>5131</v>
      </c>
      <c r="I1773" s="15">
        <v>1</v>
      </c>
      <c r="J1773" s="15" t="s">
        <v>24</v>
      </c>
      <c r="K1773" s="15"/>
      <c r="L1773" s="21" t="s">
        <v>16</v>
      </c>
      <c r="M1773" s="22">
        <v>0</v>
      </c>
      <c r="N1773" s="22">
        <v>0</v>
      </c>
      <c r="O1773" s="22">
        <v>7200</v>
      </c>
      <c r="P1773" s="22">
        <v>7200</v>
      </c>
      <c r="Q1773" t="str" cm="1">
        <f t="array" ref="Q1773">_xlfn.TEXTJOIN("、",TRUE,IF('學員資料-三民高中'!$B$2:$B$454=$F1773,'學員資料-三民高中'!$G$2:$G$454,""))</f>
        <v/>
      </c>
      <c r="R1773" t="str" cm="1">
        <f t="array" ref="R1773">_xlfn.TEXTJOIN("、",TRUE,IF('學員資料-新北高中'!$B$2:$B$583=$F1773,'學員資料-新北高中'!$G$2:$G$583,""))</f>
        <v>0926281670</v>
      </c>
      <c r="S1773" t="str" cm="1">
        <f t="array" ref="S1773">_xlfn.TEXTJOIN("、",TRUE,IF('學員資料-三重商工'!$B$2:$B$472=$F1773,'學員資料-三重商工'!$G$2:$G$472,""))</f>
        <v/>
      </c>
      <c r="T1773">
        <f t="shared" si="27"/>
        <v>1</v>
      </c>
    </row>
    <row r="1774" spans="1:20" ht="14.25" hidden="1" customHeight="1">
      <c r="A1774" s="15">
        <v>1773</v>
      </c>
      <c r="B1774" s="16" t="s">
        <v>5505</v>
      </c>
      <c r="C1774" s="17">
        <v>45592</v>
      </c>
      <c r="D1774" s="15" t="s">
        <v>5506</v>
      </c>
      <c r="E1774" s="18" t="s">
        <v>954</v>
      </c>
      <c r="F1774" s="19" t="s">
        <v>1140</v>
      </c>
      <c r="G1774" s="18" t="s">
        <v>1141</v>
      </c>
      <c r="H1774" s="20" t="s">
        <v>5507</v>
      </c>
      <c r="I1774" s="15">
        <v>1</v>
      </c>
      <c r="J1774" s="15" t="s">
        <v>25</v>
      </c>
      <c r="K1774" s="15"/>
      <c r="L1774" s="21" t="s">
        <v>16</v>
      </c>
      <c r="M1774" s="22">
        <v>0</v>
      </c>
      <c r="N1774" s="22">
        <v>0</v>
      </c>
      <c r="O1774" s="22">
        <v>9720</v>
      </c>
      <c r="P1774" s="22">
        <v>9720</v>
      </c>
      <c r="Q1774" t="str" cm="1">
        <f t="array" ref="Q1774">_xlfn.TEXTJOIN("、",TRUE,IF('學員資料-三民高中'!$B$2:$B$454=$F1774,'學員資料-三民高中'!$G$2:$G$454,""))</f>
        <v/>
      </c>
      <c r="R1774" t="str" cm="1">
        <f t="array" ref="R1774">_xlfn.TEXTJOIN("、",TRUE,IF('學員資料-新北高中'!$B$2:$B$583=$F1774,'學員資料-新北高中'!$G$2:$G$583,""))</f>
        <v/>
      </c>
      <c r="S1774" t="str" cm="1">
        <f t="array" ref="S1774">_xlfn.TEXTJOIN("、",TRUE,IF('學員資料-三重商工'!$B$2:$B$472=$F1774,'學員資料-三重商工'!$G$2:$G$472,""))</f>
        <v>0912094878</v>
      </c>
      <c r="T1774">
        <f t="shared" si="27"/>
        <v>1</v>
      </c>
    </row>
    <row r="1775" spans="1:20" ht="28.5" hidden="1" customHeight="1">
      <c r="A1775" s="15">
        <v>1774</v>
      </c>
      <c r="B1775" s="16" t="s">
        <v>5508</v>
      </c>
      <c r="C1775" s="17">
        <v>45592</v>
      </c>
      <c r="D1775" s="15" t="s">
        <v>5509</v>
      </c>
      <c r="E1775" s="18" t="s">
        <v>954</v>
      </c>
      <c r="F1775" s="19" t="s">
        <v>5510</v>
      </c>
      <c r="G1775" s="18" t="s">
        <v>5511</v>
      </c>
      <c r="H1775" s="20" t="s">
        <v>5154</v>
      </c>
      <c r="I1775" s="15">
        <v>2</v>
      </c>
      <c r="J1775" s="15" t="s">
        <v>24</v>
      </c>
      <c r="K1775" s="15"/>
      <c r="L1775" s="21" t="s">
        <v>16</v>
      </c>
      <c r="M1775" s="22">
        <v>0</v>
      </c>
      <c r="N1775" s="22">
        <v>0</v>
      </c>
      <c r="O1775" s="22">
        <v>14400</v>
      </c>
      <c r="P1775" s="22">
        <v>14400</v>
      </c>
      <c r="Q1775" t="str" cm="1">
        <f t="array" ref="Q1775">_xlfn.TEXTJOIN("、",TRUE,IF('學員資料-三民高中'!$B$2:$B$454=$F1775,'學員資料-三民高中'!$G$2:$G$454,""))</f>
        <v>0939684088</v>
      </c>
      <c r="R1775" t="str" cm="1">
        <f t="array" ref="R1775">_xlfn.TEXTJOIN("、",TRUE,IF('學員資料-新北高中'!$B$2:$B$583=$F1775,'學員資料-新北高中'!$G$2:$G$583,""))</f>
        <v/>
      </c>
      <c r="S1775" t="str" cm="1">
        <f t="array" ref="S1775">_xlfn.TEXTJOIN("、",TRUE,IF('學員資料-三重商工'!$B$2:$B$472=$F1775,'學員資料-三重商工'!$G$2:$G$472,""))</f>
        <v/>
      </c>
      <c r="T1775">
        <f t="shared" si="27"/>
        <v>1</v>
      </c>
    </row>
    <row r="1776" spans="1:20" ht="14.25" hidden="1" customHeight="1">
      <c r="A1776" s="15">
        <v>1775</v>
      </c>
      <c r="B1776" s="16" t="s">
        <v>5512</v>
      </c>
      <c r="C1776" s="17">
        <v>45592</v>
      </c>
      <c r="D1776" s="15" t="s">
        <v>5513</v>
      </c>
      <c r="E1776" s="18" t="s">
        <v>954</v>
      </c>
      <c r="F1776" s="19" t="s">
        <v>5514</v>
      </c>
      <c r="G1776" s="18" t="s">
        <v>5515</v>
      </c>
      <c r="H1776" s="20" t="s">
        <v>5163</v>
      </c>
      <c r="I1776" s="15">
        <v>1</v>
      </c>
      <c r="J1776" s="15" t="s">
        <v>23</v>
      </c>
      <c r="K1776" s="15"/>
      <c r="L1776" s="21" t="s">
        <v>16</v>
      </c>
      <c r="M1776" s="22">
        <v>0</v>
      </c>
      <c r="N1776" s="22">
        <v>0</v>
      </c>
      <c r="O1776" s="22">
        <v>6600</v>
      </c>
      <c r="P1776" s="22">
        <v>6600</v>
      </c>
      <c r="Q1776" t="str" cm="1">
        <f t="array" ref="Q1776">_xlfn.TEXTJOIN("、",TRUE,IF('學員資料-三民高中'!$B$2:$B$454=$F1776,'學員資料-三民高中'!$G$2:$G$454,""))</f>
        <v/>
      </c>
      <c r="R1776" t="str" cm="1">
        <f t="array" ref="R1776">_xlfn.TEXTJOIN("、",TRUE,IF('學員資料-新北高中'!$B$2:$B$583=$F1776,'學員資料-新北高中'!$G$2:$G$583,""))</f>
        <v>0939727327</v>
      </c>
      <c r="S1776" t="str" cm="1">
        <f t="array" ref="S1776">_xlfn.TEXTJOIN("、",TRUE,IF('學員資料-三重商工'!$B$2:$B$472=$F1776,'學員資料-三重商工'!$G$2:$G$472,""))</f>
        <v/>
      </c>
      <c r="T1776">
        <f t="shared" si="27"/>
        <v>1</v>
      </c>
    </row>
    <row r="1777" spans="1:20" ht="57.75" hidden="1" customHeight="1">
      <c r="A1777" s="15">
        <v>1776</v>
      </c>
      <c r="B1777" s="16" t="s">
        <v>5516</v>
      </c>
      <c r="C1777" s="17">
        <v>45592</v>
      </c>
      <c r="D1777" s="15" t="s">
        <v>5517</v>
      </c>
      <c r="E1777" s="18" t="s">
        <v>954</v>
      </c>
      <c r="F1777" s="19" t="s">
        <v>5518</v>
      </c>
      <c r="G1777" s="18" t="s">
        <v>5519</v>
      </c>
      <c r="H1777" s="20" t="s">
        <v>5457</v>
      </c>
      <c r="I1777" s="15">
        <v>4</v>
      </c>
      <c r="J1777" s="15" t="s">
        <v>24</v>
      </c>
      <c r="K1777" s="15"/>
      <c r="L1777" s="21" t="s">
        <v>16</v>
      </c>
      <c r="M1777" s="22">
        <v>0</v>
      </c>
      <c r="N1777" s="22">
        <v>0</v>
      </c>
      <c r="O1777" s="22">
        <v>28800</v>
      </c>
      <c r="P1777" s="22">
        <v>28800</v>
      </c>
      <c r="Q1777" t="str" cm="1">
        <f t="array" ref="Q1777">_xlfn.TEXTJOIN("、",TRUE,IF('學員資料-三民高中'!$B$2:$B$454=$F1777,'學員資料-三民高中'!$G$2:$G$454,""))</f>
        <v/>
      </c>
      <c r="R1777" t="str" cm="1">
        <f t="array" ref="R1777">_xlfn.TEXTJOIN("、",TRUE,IF('學員資料-新北高中'!$B$2:$B$583=$F1777,'學員資料-新北高中'!$G$2:$G$583,""))</f>
        <v>0915305335</v>
      </c>
      <c r="S1777" t="str" cm="1">
        <f t="array" ref="S1777">_xlfn.TEXTJOIN("、",TRUE,IF('學員資料-三重商工'!$B$2:$B$472=$F1777,'學員資料-三重商工'!$G$2:$G$472,""))</f>
        <v/>
      </c>
      <c r="T1777">
        <f t="shared" si="27"/>
        <v>1</v>
      </c>
    </row>
    <row r="1778" spans="1:20" ht="14.25" hidden="1" customHeight="1">
      <c r="A1778" s="15">
        <v>1777</v>
      </c>
      <c r="B1778" s="16" t="s">
        <v>5520</v>
      </c>
      <c r="C1778" s="17">
        <v>45591</v>
      </c>
      <c r="D1778" s="15" t="s">
        <v>5521</v>
      </c>
      <c r="E1778" s="18" t="s">
        <v>954</v>
      </c>
      <c r="F1778" s="19" t="s">
        <v>908</v>
      </c>
      <c r="G1778" s="18" t="s">
        <v>909</v>
      </c>
      <c r="H1778" s="20" t="s">
        <v>5148</v>
      </c>
      <c r="I1778" s="15">
        <v>1</v>
      </c>
      <c r="J1778" s="15" t="s">
        <v>25</v>
      </c>
      <c r="K1778" s="15"/>
      <c r="L1778" s="21" t="s">
        <v>16</v>
      </c>
      <c r="M1778" s="22">
        <v>0</v>
      </c>
      <c r="N1778" s="22">
        <v>0</v>
      </c>
      <c r="O1778" s="22">
        <v>9000</v>
      </c>
      <c r="P1778" s="22">
        <v>9000</v>
      </c>
      <c r="Q1778" t="str" cm="1">
        <f t="array" ref="Q1778">_xlfn.TEXTJOIN("、",TRUE,IF('學員資料-三民高中'!$B$2:$B$454=$F1778,'學員資料-三民高中'!$G$2:$G$454,""))</f>
        <v>0952978038</v>
      </c>
      <c r="R1778" t="str" cm="1">
        <f t="array" ref="R1778">_xlfn.TEXTJOIN("、",TRUE,IF('學員資料-新北高中'!$B$2:$B$583=$F1778,'學員資料-新北高中'!$G$2:$G$583,""))</f>
        <v/>
      </c>
      <c r="S1778" t="str" cm="1">
        <f t="array" ref="S1778">_xlfn.TEXTJOIN("、",TRUE,IF('學員資料-三重商工'!$B$2:$B$472=$F1778,'學員資料-三重商工'!$G$2:$G$472,""))</f>
        <v/>
      </c>
      <c r="T1778">
        <f t="shared" si="27"/>
        <v>1</v>
      </c>
    </row>
    <row r="1779" spans="1:20" ht="14.25" hidden="1" customHeight="1">
      <c r="A1779" s="15">
        <v>1778</v>
      </c>
      <c r="B1779" s="16" t="s">
        <v>5522</v>
      </c>
      <c r="C1779" s="17">
        <v>45591</v>
      </c>
      <c r="D1779" s="15" t="s">
        <v>5523</v>
      </c>
      <c r="E1779" s="18" t="s">
        <v>954</v>
      </c>
      <c r="F1779" s="19" t="s">
        <v>5524</v>
      </c>
      <c r="G1779" s="18" t="s">
        <v>5525</v>
      </c>
      <c r="H1779" s="20" t="s">
        <v>5526</v>
      </c>
      <c r="I1779" s="15">
        <v>1</v>
      </c>
      <c r="J1779" s="15" t="s">
        <v>23</v>
      </c>
      <c r="K1779" s="21" t="s">
        <v>116</v>
      </c>
      <c r="L1779" s="21" t="s">
        <v>16</v>
      </c>
      <c r="M1779" s="22">
        <v>0</v>
      </c>
      <c r="N1779" s="22">
        <v>0</v>
      </c>
      <c r="O1779" s="22">
        <v>1500</v>
      </c>
      <c r="P1779" s="22">
        <v>1500</v>
      </c>
      <c r="Q1779" t="str" cm="1">
        <f t="array" ref="Q1779">_xlfn.TEXTJOIN("、",TRUE,IF('學員資料-三民高中'!$B$2:$B$454=$F1779,'學員資料-三民高中'!$G$2:$G$454,""))</f>
        <v/>
      </c>
      <c r="R1779" t="str" cm="1">
        <f t="array" ref="R1779">_xlfn.TEXTJOIN("、",TRUE,IF('學員資料-新北高中'!$B$2:$B$583=$F1779,'學員資料-新北高中'!$G$2:$G$583,""))</f>
        <v>0937027629(1)</v>
      </c>
      <c r="S1779" t="str" cm="1">
        <f t="array" ref="S1779">_xlfn.TEXTJOIN("、",TRUE,IF('學員資料-三重商工'!$B$2:$B$472=$F1779,'學員資料-三重商工'!$G$2:$G$472,""))</f>
        <v/>
      </c>
      <c r="T1779">
        <f t="shared" si="27"/>
        <v>1</v>
      </c>
    </row>
    <row r="1780" spans="1:20" ht="28.5" hidden="1" customHeight="1">
      <c r="A1780" s="15">
        <v>1779</v>
      </c>
      <c r="B1780" s="16" t="s">
        <v>5527</v>
      </c>
      <c r="C1780" s="17">
        <v>45591</v>
      </c>
      <c r="D1780" s="15" t="s">
        <v>5528</v>
      </c>
      <c r="E1780" s="18" t="s">
        <v>954</v>
      </c>
      <c r="F1780" s="19" t="s">
        <v>5529</v>
      </c>
      <c r="G1780" s="18" t="s">
        <v>5530</v>
      </c>
      <c r="H1780" s="20" t="s">
        <v>5138</v>
      </c>
      <c r="I1780" s="15">
        <v>2</v>
      </c>
      <c r="J1780" s="15" t="s">
        <v>23</v>
      </c>
      <c r="K1780" s="15"/>
      <c r="L1780" s="21" t="s">
        <v>16</v>
      </c>
      <c r="M1780" s="22">
        <v>0</v>
      </c>
      <c r="N1780" s="22">
        <v>0</v>
      </c>
      <c r="O1780" s="22">
        <v>14400</v>
      </c>
      <c r="P1780" s="22">
        <v>14400</v>
      </c>
      <c r="Q1780" t="str" cm="1">
        <f t="array" ref="Q1780">_xlfn.TEXTJOIN("、",TRUE,IF('學員資料-三民高中'!$B$2:$B$454=$F1780,'學員資料-三民高中'!$G$2:$G$454,""))</f>
        <v>0955391942</v>
      </c>
      <c r="R1780" t="str" cm="1">
        <f t="array" ref="R1780">_xlfn.TEXTJOIN("、",TRUE,IF('學員資料-新北高中'!$B$2:$B$583=$F1780,'學員資料-新北高中'!$G$2:$G$583,""))</f>
        <v/>
      </c>
      <c r="S1780" t="str" cm="1">
        <f t="array" ref="S1780">_xlfn.TEXTJOIN("、",TRUE,IF('學員資料-三重商工'!$B$2:$B$472=$F1780,'學員資料-三重商工'!$G$2:$G$472,""))</f>
        <v/>
      </c>
      <c r="T1780">
        <f t="shared" si="27"/>
        <v>1</v>
      </c>
    </row>
    <row r="1781" spans="1:20" ht="14.25" hidden="1" customHeight="1">
      <c r="A1781" s="15">
        <v>1780</v>
      </c>
      <c r="B1781" s="16" t="s">
        <v>5531</v>
      </c>
      <c r="C1781" s="17">
        <v>45591</v>
      </c>
      <c r="D1781" s="15" t="s">
        <v>5532</v>
      </c>
      <c r="E1781" s="18" t="s">
        <v>954</v>
      </c>
      <c r="F1781" s="19" t="s">
        <v>5533</v>
      </c>
      <c r="G1781" s="18" t="s">
        <v>5534</v>
      </c>
      <c r="H1781" s="20" t="s">
        <v>5131</v>
      </c>
      <c r="I1781" s="15">
        <v>1</v>
      </c>
      <c r="J1781" s="15" t="s">
        <v>24</v>
      </c>
      <c r="K1781" s="15"/>
      <c r="L1781" s="21" t="s">
        <v>16</v>
      </c>
      <c r="M1781" s="22">
        <v>0</v>
      </c>
      <c r="N1781" s="22">
        <v>0</v>
      </c>
      <c r="O1781" s="22">
        <v>7200</v>
      </c>
      <c r="P1781" s="22">
        <v>7200</v>
      </c>
      <c r="Q1781" t="str" cm="1">
        <f t="array" ref="Q1781">_xlfn.TEXTJOIN("、",TRUE,IF('學員資料-三民高中'!$B$2:$B$454=$F1781,'學員資料-三民高中'!$G$2:$G$454,""))</f>
        <v>0983661545</v>
      </c>
      <c r="R1781" t="str" cm="1">
        <f t="array" ref="R1781">_xlfn.TEXTJOIN("、",TRUE,IF('學員資料-新北高中'!$B$2:$B$583=$F1781,'學員資料-新北高中'!$G$2:$G$583,""))</f>
        <v/>
      </c>
      <c r="S1781" t="str" cm="1">
        <f t="array" ref="S1781">_xlfn.TEXTJOIN("、",TRUE,IF('學員資料-三重商工'!$B$2:$B$472=$F1781,'學員資料-三重商工'!$G$2:$G$472,""))</f>
        <v/>
      </c>
      <c r="T1781">
        <f t="shared" si="27"/>
        <v>1</v>
      </c>
    </row>
    <row r="1782" spans="1:20" ht="14.25" hidden="1" customHeight="1">
      <c r="A1782" s="15">
        <v>1781</v>
      </c>
      <c r="B1782" s="16" t="s">
        <v>5535</v>
      </c>
      <c r="C1782" s="17">
        <v>45589</v>
      </c>
      <c r="D1782" s="15" t="s">
        <v>5536</v>
      </c>
      <c r="E1782" s="18" t="s">
        <v>954</v>
      </c>
      <c r="F1782" s="19" t="s">
        <v>1648</v>
      </c>
      <c r="G1782" s="18" t="s">
        <v>1649</v>
      </c>
      <c r="H1782" s="20" t="s">
        <v>5361</v>
      </c>
      <c r="I1782" s="15">
        <v>1</v>
      </c>
      <c r="J1782" s="15" t="s">
        <v>23</v>
      </c>
      <c r="K1782" s="21" t="s">
        <v>116</v>
      </c>
      <c r="L1782" s="21" t="s">
        <v>16</v>
      </c>
      <c r="M1782" s="22">
        <v>0</v>
      </c>
      <c r="N1782" s="22">
        <v>0</v>
      </c>
      <c r="O1782" s="22">
        <v>1100</v>
      </c>
      <c r="P1782" s="22">
        <v>1100</v>
      </c>
      <c r="Q1782" t="str" cm="1">
        <f t="array" ref="Q1782">_xlfn.TEXTJOIN("、",TRUE,IF('學員資料-三民高中'!$B$2:$B$454=$F1782,'學員資料-三民高中'!$G$2:$G$454,""))</f>
        <v/>
      </c>
      <c r="R1782" t="str" cm="1">
        <f t="array" ref="R1782">_xlfn.TEXTJOIN("、",TRUE,IF('學員資料-新北高中'!$B$2:$B$583=$F1782,'學員資料-新北高中'!$G$2:$G$583,""))</f>
        <v/>
      </c>
      <c r="S1782" t="str" cm="1">
        <f t="array" ref="S1782">_xlfn.TEXTJOIN("、",TRUE,IF('學員資料-三重商工'!$B$2:$B$472=$F1782,'學員資料-三重商工'!$G$2:$G$472,""))</f>
        <v>0915730001</v>
      </c>
      <c r="T1782">
        <f t="shared" si="27"/>
        <v>1</v>
      </c>
    </row>
    <row r="1783" spans="1:20" ht="14.25" customHeight="1">
      <c r="A1783" s="15">
        <v>1782</v>
      </c>
      <c r="B1783" s="16" t="s">
        <v>5537</v>
      </c>
      <c r="C1783" s="17">
        <v>45588</v>
      </c>
      <c r="D1783" s="15" t="s">
        <v>5538</v>
      </c>
      <c r="E1783" s="18" t="s">
        <v>954</v>
      </c>
      <c r="F1783" s="19" t="s">
        <v>5539</v>
      </c>
      <c r="G1783" s="18" t="s">
        <v>5540</v>
      </c>
      <c r="H1783" s="20" t="s">
        <v>5163</v>
      </c>
      <c r="I1783" s="15">
        <v>1</v>
      </c>
      <c r="J1783" s="15" t="s">
        <v>23</v>
      </c>
      <c r="K1783" s="15"/>
      <c r="L1783" s="21" t="s">
        <v>16</v>
      </c>
      <c r="M1783" s="22">
        <v>0</v>
      </c>
      <c r="N1783" s="22">
        <v>-2640</v>
      </c>
      <c r="O1783" s="22">
        <v>3960</v>
      </c>
      <c r="P1783" s="22">
        <v>3960</v>
      </c>
      <c r="Q1783" t="str" cm="1">
        <f t="array" ref="Q1783">_xlfn.TEXTJOIN("、",TRUE,IF('學員資料-三民高中'!$B$2:$B$454=$F1783,'學員資料-三民高中'!$G$2:$G$454,""))</f>
        <v/>
      </c>
      <c r="R1783" t="str" cm="1">
        <f t="array" ref="R1783">_xlfn.TEXTJOIN("、",TRUE,IF('學員資料-新北高中'!$B$2:$B$583=$F1783,'學員資料-新北高中'!$G$2:$G$583,""))</f>
        <v/>
      </c>
      <c r="S1783" t="str" cm="1">
        <f t="array" ref="S1783">_xlfn.TEXTJOIN("、",TRUE,IF('學員資料-三重商工'!$B$2:$B$472=$F1783,'學員資料-三重商工'!$G$2:$G$472,""))</f>
        <v/>
      </c>
      <c r="T1783">
        <f t="shared" si="27"/>
        <v>0</v>
      </c>
    </row>
    <row r="1784" spans="1:20" ht="14.25" hidden="1" customHeight="1">
      <c r="A1784" s="15">
        <v>1783</v>
      </c>
      <c r="B1784" s="16" t="s">
        <v>5541</v>
      </c>
      <c r="C1784" s="17">
        <v>45587</v>
      </c>
      <c r="D1784" s="15" t="s">
        <v>5542</v>
      </c>
      <c r="E1784" s="18" t="s">
        <v>954</v>
      </c>
      <c r="F1784" s="19" t="s">
        <v>5543</v>
      </c>
      <c r="G1784" s="18" t="s">
        <v>5544</v>
      </c>
      <c r="H1784" s="20" t="s">
        <v>5211</v>
      </c>
      <c r="I1784" s="15">
        <v>1</v>
      </c>
      <c r="J1784" s="15" t="s">
        <v>26</v>
      </c>
      <c r="K1784" s="15"/>
      <c r="L1784" s="21" t="s">
        <v>16</v>
      </c>
      <c r="M1784" s="22">
        <v>0</v>
      </c>
      <c r="N1784" s="22">
        <v>0</v>
      </c>
      <c r="O1784" s="22">
        <v>10800</v>
      </c>
      <c r="P1784" s="22">
        <v>10800</v>
      </c>
      <c r="Q1784" t="str" cm="1">
        <f t="array" ref="Q1784">_xlfn.TEXTJOIN("、",TRUE,IF('學員資料-三民高中'!$B$2:$B$454=$F1784,'學員資料-三民高中'!$G$2:$G$454,""))</f>
        <v/>
      </c>
      <c r="R1784" t="str" cm="1">
        <f t="array" ref="R1784">_xlfn.TEXTJOIN("、",TRUE,IF('學員資料-新北高中'!$B$2:$B$583=$F1784,'學員資料-新北高中'!$G$2:$G$583,""))</f>
        <v/>
      </c>
      <c r="S1784" t="str" cm="1">
        <f t="array" ref="S1784">_xlfn.TEXTJOIN("、",TRUE,IF('學員資料-三重商工'!$B$2:$B$472=$F1784,'學員資料-三重商工'!$G$2:$G$472,""))</f>
        <v>0916850944</v>
      </c>
      <c r="T1784">
        <f t="shared" si="27"/>
        <v>1</v>
      </c>
    </row>
    <row r="1785" spans="1:20" ht="14.25" hidden="1" customHeight="1">
      <c r="A1785" s="15">
        <v>1784</v>
      </c>
      <c r="B1785" s="16" t="s">
        <v>5545</v>
      </c>
      <c r="C1785" s="17">
        <v>45587</v>
      </c>
      <c r="D1785" s="15" t="s">
        <v>5546</v>
      </c>
      <c r="E1785" s="18" t="s">
        <v>954</v>
      </c>
      <c r="F1785" s="19" t="s">
        <v>5547</v>
      </c>
      <c r="G1785" s="18" t="s">
        <v>5548</v>
      </c>
      <c r="H1785" s="20" t="s">
        <v>3811</v>
      </c>
      <c r="I1785" s="15">
        <v>1</v>
      </c>
      <c r="J1785" s="15" t="s">
        <v>24</v>
      </c>
      <c r="K1785" s="21" t="s">
        <v>116</v>
      </c>
      <c r="L1785" s="21" t="s">
        <v>16</v>
      </c>
      <c r="M1785" s="22">
        <v>0</v>
      </c>
      <c r="N1785" s="22">
        <v>0</v>
      </c>
      <c r="O1785" s="22">
        <v>1200</v>
      </c>
      <c r="P1785" s="22">
        <v>1200</v>
      </c>
      <c r="Q1785" t="str" cm="1">
        <f t="array" ref="Q1785">_xlfn.TEXTJOIN("、",TRUE,IF('學員資料-三民高中'!$B$2:$B$454=$F1785,'學員資料-三民高中'!$G$2:$G$454,""))</f>
        <v/>
      </c>
      <c r="R1785" t="str" cm="1">
        <f t="array" ref="R1785">_xlfn.TEXTJOIN("、",TRUE,IF('學員資料-新北高中'!$B$2:$B$583=$F1785,'學員資料-新北高中'!$G$2:$G$583,""))</f>
        <v>0909194141</v>
      </c>
      <c r="S1785" t="str" cm="1">
        <f t="array" ref="S1785">_xlfn.TEXTJOIN("、",TRUE,IF('學員資料-三重商工'!$B$2:$B$472=$F1785,'學員資料-三重商工'!$G$2:$G$472,""))</f>
        <v/>
      </c>
      <c r="T1785">
        <f t="shared" si="27"/>
        <v>1</v>
      </c>
    </row>
    <row r="1786" spans="1:20" ht="14.25" hidden="1" customHeight="1">
      <c r="A1786" s="15">
        <v>1785</v>
      </c>
      <c r="B1786" s="16" t="s">
        <v>5549</v>
      </c>
      <c r="C1786" s="17">
        <v>45587</v>
      </c>
      <c r="D1786" s="15" t="s">
        <v>5550</v>
      </c>
      <c r="E1786" s="18" t="s">
        <v>954</v>
      </c>
      <c r="F1786" s="19" t="s">
        <v>4340</v>
      </c>
      <c r="G1786" s="18" t="s">
        <v>4341</v>
      </c>
      <c r="H1786" s="20" t="s">
        <v>5551</v>
      </c>
      <c r="I1786" s="15">
        <v>1</v>
      </c>
      <c r="J1786" s="15" t="s">
        <v>26</v>
      </c>
      <c r="K1786" s="15"/>
      <c r="L1786" s="21" t="s">
        <v>16</v>
      </c>
      <c r="M1786" s="22">
        <v>0</v>
      </c>
      <c r="N1786" s="22">
        <v>0</v>
      </c>
      <c r="O1786" s="22">
        <v>11520</v>
      </c>
      <c r="P1786" s="22">
        <v>11520</v>
      </c>
      <c r="Q1786" t="str" cm="1">
        <f t="array" ref="Q1786">_xlfn.TEXTJOIN("、",TRUE,IF('學員資料-三民高中'!$B$2:$B$454=$F1786,'學員資料-三民高中'!$G$2:$G$454,""))</f>
        <v>0955181838</v>
      </c>
      <c r="R1786" t="str" cm="1">
        <f t="array" ref="R1786">_xlfn.TEXTJOIN("、",TRUE,IF('學員資料-新北高中'!$B$2:$B$583=$F1786,'學員資料-新北高中'!$G$2:$G$583,""))</f>
        <v/>
      </c>
      <c r="S1786" t="str" cm="1">
        <f t="array" ref="S1786">_xlfn.TEXTJOIN("、",TRUE,IF('學員資料-三重商工'!$B$2:$B$472=$F1786,'學員資料-三重商工'!$G$2:$G$472,""))</f>
        <v/>
      </c>
      <c r="T1786">
        <f t="shared" si="27"/>
        <v>1</v>
      </c>
    </row>
    <row r="1787" spans="1:20" ht="14.25" hidden="1" customHeight="1">
      <c r="A1787" s="15">
        <v>1786</v>
      </c>
      <c r="B1787" s="16" t="s">
        <v>5552</v>
      </c>
      <c r="C1787" s="17">
        <v>45586</v>
      </c>
      <c r="D1787" s="15" t="s">
        <v>5553</v>
      </c>
      <c r="E1787" s="18" t="s">
        <v>954</v>
      </c>
      <c r="F1787" s="19" t="s">
        <v>1875</v>
      </c>
      <c r="G1787" s="18" t="s">
        <v>1876</v>
      </c>
      <c r="H1787" s="20" t="s">
        <v>3811</v>
      </c>
      <c r="I1787" s="15">
        <v>1</v>
      </c>
      <c r="J1787" s="15" t="s">
        <v>24</v>
      </c>
      <c r="K1787" s="21" t="s">
        <v>116</v>
      </c>
      <c r="L1787" s="21" t="s">
        <v>16</v>
      </c>
      <c r="M1787" s="22">
        <v>0</v>
      </c>
      <c r="N1787" s="22">
        <v>0</v>
      </c>
      <c r="O1787" s="22">
        <v>1200</v>
      </c>
      <c r="P1787" s="22">
        <v>1200</v>
      </c>
      <c r="Q1787" t="str" cm="1">
        <f t="array" ref="Q1787">_xlfn.TEXTJOIN("、",TRUE,IF('學員資料-三民高中'!$B$2:$B$454=$F1787,'學員資料-三民高中'!$G$2:$G$454,""))</f>
        <v>0916331753</v>
      </c>
      <c r="R1787" t="str" cm="1">
        <f t="array" ref="R1787">_xlfn.TEXTJOIN("、",TRUE,IF('學員資料-新北高中'!$B$2:$B$583=$F1787,'學員資料-新北高中'!$G$2:$G$583,""))</f>
        <v/>
      </c>
      <c r="S1787" t="str" cm="1">
        <f t="array" ref="S1787">_xlfn.TEXTJOIN("、",TRUE,IF('學員資料-三重商工'!$B$2:$B$472=$F1787,'學員資料-三重商工'!$G$2:$G$472,""))</f>
        <v/>
      </c>
      <c r="T1787">
        <f t="shared" si="27"/>
        <v>1</v>
      </c>
    </row>
    <row r="1788" spans="1:20" ht="14.25" hidden="1" customHeight="1">
      <c r="A1788" s="15">
        <v>1787</v>
      </c>
      <c r="B1788" s="16" t="s">
        <v>5554</v>
      </c>
      <c r="C1788" s="17">
        <v>45586</v>
      </c>
      <c r="D1788" s="15" t="s">
        <v>5555</v>
      </c>
      <c r="E1788" s="18" t="s">
        <v>954</v>
      </c>
      <c r="F1788" s="19" t="s">
        <v>5556</v>
      </c>
      <c r="G1788" s="18" t="s">
        <v>5557</v>
      </c>
      <c r="H1788" s="20" t="s">
        <v>5131</v>
      </c>
      <c r="I1788" s="15">
        <v>1</v>
      </c>
      <c r="J1788" s="15" t="s">
        <v>24</v>
      </c>
      <c r="K1788" s="15"/>
      <c r="L1788" s="21" t="s">
        <v>16</v>
      </c>
      <c r="M1788" s="22">
        <v>0</v>
      </c>
      <c r="N1788" s="22">
        <v>0</v>
      </c>
      <c r="O1788" s="22">
        <v>7200</v>
      </c>
      <c r="P1788" s="22">
        <v>7200</v>
      </c>
      <c r="Q1788" t="str" cm="1">
        <f t="array" ref="Q1788">_xlfn.TEXTJOIN("、",TRUE,IF('學員資料-三民高中'!$B$2:$B$454=$F1788,'學員資料-三民高中'!$G$2:$G$454,""))</f>
        <v>0933510045-1</v>
      </c>
      <c r="R1788" t="str" cm="1">
        <f t="array" ref="R1788">_xlfn.TEXTJOIN("、",TRUE,IF('學員資料-新北高中'!$B$2:$B$583=$F1788,'學員資料-新北高中'!$G$2:$G$583,""))</f>
        <v/>
      </c>
      <c r="S1788" t="str" cm="1">
        <f t="array" ref="S1788">_xlfn.TEXTJOIN("、",TRUE,IF('學員資料-三重商工'!$B$2:$B$472=$F1788,'學員資料-三重商工'!$G$2:$G$472,""))</f>
        <v/>
      </c>
      <c r="T1788">
        <f t="shared" si="27"/>
        <v>1</v>
      </c>
    </row>
    <row r="1789" spans="1:20" ht="28.5" hidden="1" customHeight="1">
      <c r="A1789" s="15">
        <v>1788</v>
      </c>
      <c r="B1789" s="16" t="s">
        <v>5558</v>
      </c>
      <c r="C1789" s="17">
        <v>45586</v>
      </c>
      <c r="D1789" s="15" t="s">
        <v>5559</v>
      </c>
      <c r="E1789" s="18" t="s">
        <v>954</v>
      </c>
      <c r="F1789" s="19" t="s">
        <v>5560</v>
      </c>
      <c r="G1789" s="18" t="s">
        <v>5561</v>
      </c>
      <c r="H1789" s="20" t="s">
        <v>5263</v>
      </c>
      <c r="I1789" s="15">
        <v>2</v>
      </c>
      <c r="J1789" s="15" t="s">
        <v>25</v>
      </c>
      <c r="K1789" s="15"/>
      <c r="L1789" s="21" t="s">
        <v>16</v>
      </c>
      <c r="M1789" s="22">
        <v>0</v>
      </c>
      <c r="N1789" s="22">
        <v>-2160</v>
      </c>
      <c r="O1789" s="22">
        <v>15840</v>
      </c>
      <c r="P1789" s="22">
        <v>15840</v>
      </c>
      <c r="Q1789" t="str" cm="1">
        <f t="array" ref="Q1789">_xlfn.TEXTJOIN("、",TRUE,IF('學員資料-三民高中'!$B$2:$B$454=$F1789,'學員資料-三民高中'!$G$2:$G$454,""))</f>
        <v>0980340349</v>
      </c>
      <c r="R1789" t="str" cm="1">
        <f t="array" ref="R1789">_xlfn.TEXTJOIN("、",TRUE,IF('學員資料-新北高中'!$B$2:$B$583=$F1789,'學員資料-新北高中'!$G$2:$G$583,""))</f>
        <v/>
      </c>
      <c r="S1789" t="str" cm="1">
        <f t="array" ref="S1789">_xlfn.TEXTJOIN("、",TRUE,IF('學員資料-三重商工'!$B$2:$B$472=$F1789,'學員資料-三重商工'!$G$2:$G$472,""))</f>
        <v/>
      </c>
      <c r="T1789">
        <f t="shared" si="27"/>
        <v>1</v>
      </c>
    </row>
    <row r="1790" spans="1:20" ht="14.25" hidden="1" customHeight="1">
      <c r="A1790" s="15">
        <v>1789</v>
      </c>
      <c r="B1790" s="16" t="s">
        <v>5562</v>
      </c>
      <c r="C1790" s="17">
        <v>45586</v>
      </c>
      <c r="D1790" s="15" t="s">
        <v>5563</v>
      </c>
      <c r="E1790" s="18" t="s">
        <v>954</v>
      </c>
      <c r="F1790" s="19" t="s">
        <v>5564</v>
      </c>
      <c r="G1790" s="18" t="s">
        <v>5565</v>
      </c>
      <c r="H1790" s="20" t="s">
        <v>3811</v>
      </c>
      <c r="I1790" s="15">
        <v>1</v>
      </c>
      <c r="J1790" s="15" t="s">
        <v>24</v>
      </c>
      <c r="K1790" s="21" t="s">
        <v>116</v>
      </c>
      <c r="L1790" s="21" t="s">
        <v>16</v>
      </c>
      <c r="M1790" s="22">
        <v>0</v>
      </c>
      <c r="N1790" s="22">
        <v>0</v>
      </c>
      <c r="O1790" s="22">
        <v>1200</v>
      </c>
      <c r="P1790" s="22">
        <v>1200</v>
      </c>
      <c r="Q1790" t="str" cm="1">
        <f t="array" ref="Q1790">_xlfn.TEXTJOIN("、",TRUE,IF('學員資料-三民高中'!$B$2:$B$454=$F1790,'學員資料-三民高中'!$G$2:$G$454,""))</f>
        <v/>
      </c>
      <c r="R1790" t="str" cm="1">
        <f t="array" ref="R1790">_xlfn.TEXTJOIN("、",TRUE,IF('學員資料-新北高中'!$B$2:$B$583=$F1790,'學員資料-新北高中'!$G$2:$G$583,""))</f>
        <v>0952260875</v>
      </c>
      <c r="S1790" t="str" cm="1">
        <f t="array" ref="S1790">_xlfn.TEXTJOIN("、",TRUE,IF('學員資料-三重商工'!$B$2:$B$472=$F1790,'學員資料-三重商工'!$G$2:$G$472,""))</f>
        <v/>
      </c>
      <c r="T1790">
        <f t="shared" si="27"/>
        <v>1</v>
      </c>
    </row>
    <row r="1791" spans="1:20" ht="28.5" hidden="1" customHeight="1">
      <c r="A1791" s="15">
        <v>1790</v>
      </c>
      <c r="B1791" s="16" t="s">
        <v>5566</v>
      </c>
      <c r="C1791" s="17">
        <v>45586</v>
      </c>
      <c r="D1791" s="15" t="s">
        <v>5567</v>
      </c>
      <c r="E1791" s="18" t="s">
        <v>954</v>
      </c>
      <c r="F1791" s="19" t="s">
        <v>2545</v>
      </c>
      <c r="G1791" s="18" t="s">
        <v>2546</v>
      </c>
      <c r="H1791" s="20" t="s">
        <v>5154</v>
      </c>
      <c r="I1791" s="15">
        <v>2</v>
      </c>
      <c r="J1791" s="15" t="s">
        <v>24</v>
      </c>
      <c r="K1791" s="15"/>
      <c r="L1791" s="21" t="s">
        <v>16</v>
      </c>
      <c r="M1791" s="22">
        <v>0</v>
      </c>
      <c r="N1791" s="22">
        <v>-1440</v>
      </c>
      <c r="O1791" s="22">
        <v>12960</v>
      </c>
      <c r="P1791" s="22">
        <v>12960</v>
      </c>
      <c r="Q1791" t="str" cm="1">
        <f t="array" ref="Q1791">_xlfn.TEXTJOIN("、",TRUE,IF('學員資料-三民高中'!$B$2:$B$454=$F1791,'學員資料-三民高中'!$G$2:$G$454,""))</f>
        <v>0926648058</v>
      </c>
      <c r="R1791" t="str" cm="1">
        <f t="array" ref="R1791">_xlfn.TEXTJOIN("、",TRUE,IF('學員資料-新北高中'!$B$2:$B$583=$F1791,'學員資料-新北高中'!$G$2:$G$583,""))</f>
        <v/>
      </c>
      <c r="S1791" t="str" cm="1">
        <f t="array" ref="S1791">_xlfn.TEXTJOIN("、",TRUE,IF('學員資料-三重商工'!$B$2:$B$472=$F1791,'學員資料-三重商工'!$G$2:$G$472,""))</f>
        <v/>
      </c>
      <c r="T1791">
        <f t="shared" si="27"/>
        <v>1</v>
      </c>
    </row>
    <row r="1792" spans="1:20" ht="28.5" hidden="1" customHeight="1">
      <c r="A1792" s="15">
        <v>1791</v>
      </c>
      <c r="B1792" s="16" t="s">
        <v>5568</v>
      </c>
      <c r="C1792" s="17">
        <v>45586</v>
      </c>
      <c r="D1792" s="15" t="s">
        <v>5569</v>
      </c>
      <c r="E1792" s="18" t="s">
        <v>954</v>
      </c>
      <c r="F1792" s="19" t="s">
        <v>2843</v>
      </c>
      <c r="G1792" s="18" t="s">
        <v>2844</v>
      </c>
      <c r="H1792" s="20" t="s">
        <v>5154</v>
      </c>
      <c r="I1792" s="15">
        <v>2</v>
      </c>
      <c r="J1792" s="15" t="s">
        <v>24</v>
      </c>
      <c r="K1792" s="15"/>
      <c r="L1792" s="21" t="s">
        <v>16</v>
      </c>
      <c r="M1792" s="22">
        <v>0</v>
      </c>
      <c r="N1792" s="22">
        <v>-1440</v>
      </c>
      <c r="O1792" s="22">
        <v>12960</v>
      </c>
      <c r="P1792" s="22">
        <v>12960</v>
      </c>
      <c r="Q1792" t="str" cm="1">
        <f t="array" ref="Q1792">_xlfn.TEXTJOIN("、",TRUE,IF('學員資料-三民高中'!$B$2:$B$454=$F1792,'學員資料-三民高中'!$G$2:$G$454,""))</f>
        <v>0982022486</v>
      </c>
      <c r="R1792" t="str" cm="1">
        <f t="array" ref="R1792">_xlfn.TEXTJOIN("、",TRUE,IF('學員資料-新北高中'!$B$2:$B$583=$F1792,'學員資料-新北高中'!$G$2:$G$583,""))</f>
        <v/>
      </c>
      <c r="S1792" t="str" cm="1">
        <f t="array" ref="S1792">_xlfn.TEXTJOIN("、",TRUE,IF('學員資料-三重商工'!$B$2:$B$472=$F1792,'學員資料-三重商工'!$G$2:$G$472,""))</f>
        <v/>
      </c>
      <c r="T1792">
        <f t="shared" si="27"/>
        <v>1</v>
      </c>
    </row>
    <row r="1793" spans="1:20" ht="28.5" hidden="1" customHeight="1">
      <c r="A1793" s="15">
        <v>1792</v>
      </c>
      <c r="B1793" s="16" t="s">
        <v>5570</v>
      </c>
      <c r="C1793" s="17">
        <v>45586</v>
      </c>
      <c r="D1793" s="15" t="s">
        <v>5571</v>
      </c>
      <c r="E1793" s="18" t="s">
        <v>954</v>
      </c>
      <c r="F1793" s="19" t="s">
        <v>5572</v>
      </c>
      <c r="G1793" s="18" t="s">
        <v>5573</v>
      </c>
      <c r="H1793" s="20" t="s">
        <v>5154</v>
      </c>
      <c r="I1793" s="15">
        <v>2</v>
      </c>
      <c r="J1793" s="15" t="s">
        <v>24</v>
      </c>
      <c r="K1793" s="15"/>
      <c r="L1793" s="21" t="s">
        <v>16</v>
      </c>
      <c r="M1793" s="22">
        <v>0</v>
      </c>
      <c r="N1793" s="22">
        <v>-1440</v>
      </c>
      <c r="O1793" s="22">
        <v>12960</v>
      </c>
      <c r="P1793" s="22">
        <v>12960</v>
      </c>
      <c r="Q1793" t="str" cm="1">
        <f t="array" ref="Q1793">_xlfn.TEXTJOIN("、",TRUE,IF('學員資料-三民高中'!$B$2:$B$454=$F1793,'學員資料-三民高中'!$G$2:$G$454,""))</f>
        <v>0963110124</v>
      </c>
      <c r="R1793" t="str" cm="1">
        <f t="array" ref="R1793">_xlfn.TEXTJOIN("、",TRUE,IF('學員資料-新北高中'!$B$2:$B$583=$F1793,'學員資料-新北高中'!$G$2:$G$583,""))</f>
        <v/>
      </c>
      <c r="S1793" t="str" cm="1">
        <f t="array" ref="S1793">_xlfn.TEXTJOIN("、",TRUE,IF('學員資料-三重商工'!$B$2:$B$472=$F1793,'學員資料-三重商工'!$G$2:$G$472,""))</f>
        <v/>
      </c>
      <c r="T1793">
        <f t="shared" si="27"/>
        <v>1</v>
      </c>
    </row>
    <row r="1794" spans="1:20" ht="14.25" hidden="1" customHeight="1">
      <c r="A1794" s="15">
        <v>1793</v>
      </c>
      <c r="B1794" s="16" t="s">
        <v>5574</v>
      </c>
      <c r="C1794" s="17">
        <v>45586</v>
      </c>
      <c r="D1794" s="15" t="s">
        <v>5575</v>
      </c>
      <c r="E1794" s="18" t="s">
        <v>954</v>
      </c>
      <c r="F1794" s="19" t="s">
        <v>5576</v>
      </c>
      <c r="G1794" s="18" t="s">
        <v>5577</v>
      </c>
      <c r="H1794" s="20" t="s">
        <v>5211</v>
      </c>
      <c r="I1794" s="15">
        <v>1</v>
      </c>
      <c r="J1794" s="15" t="s">
        <v>26</v>
      </c>
      <c r="K1794" s="15"/>
      <c r="L1794" s="21" t="s">
        <v>16</v>
      </c>
      <c r="M1794" s="22">
        <v>0</v>
      </c>
      <c r="N1794" s="22">
        <v>-1296</v>
      </c>
      <c r="O1794" s="22">
        <v>9504</v>
      </c>
      <c r="P1794" s="22">
        <v>9504</v>
      </c>
      <c r="Q1794" t="str" cm="1">
        <f t="array" ref="Q1794">_xlfn.TEXTJOIN("、",TRUE,IF('學員資料-三民高中'!$B$2:$B$454=$F1794,'學員資料-三民高中'!$G$2:$G$454,""))</f>
        <v/>
      </c>
      <c r="R1794" t="str" cm="1">
        <f t="array" ref="R1794">_xlfn.TEXTJOIN("、",TRUE,IF('學員資料-新北高中'!$B$2:$B$583=$F1794,'學員資料-新北高中'!$G$2:$G$583,""))</f>
        <v>0955793016</v>
      </c>
      <c r="S1794" t="str" cm="1">
        <f t="array" ref="S1794">_xlfn.TEXTJOIN("、",TRUE,IF('學員資料-三重商工'!$B$2:$B$472=$F1794,'學員資料-三重商工'!$G$2:$G$472,""))</f>
        <v/>
      </c>
      <c r="T1794">
        <f t="shared" si="27"/>
        <v>1</v>
      </c>
    </row>
    <row r="1795" spans="1:20" ht="14.25" hidden="1" customHeight="1">
      <c r="A1795" s="15">
        <v>1794</v>
      </c>
      <c r="B1795" s="16" t="s">
        <v>5578</v>
      </c>
      <c r="C1795" s="17">
        <v>45586</v>
      </c>
      <c r="D1795" s="15" t="s">
        <v>5579</v>
      </c>
      <c r="E1795" s="18" t="s">
        <v>954</v>
      </c>
      <c r="F1795" s="19" t="s">
        <v>5580</v>
      </c>
      <c r="G1795" s="18" t="s">
        <v>5581</v>
      </c>
      <c r="H1795" s="20" t="s">
        <v>5131</v>
      </c>
      <c r="I1795" s="15">
        <v>1</v>
      </c>
      <c r="J1795" s="15" t="s">
        <v>24</v>
      </c>
      <c r="K1795" s="15"/>
      <c r="L1795" s="21" t="s">
        <v>16</v>
      </c>
      <c r="M1795" s="22">
        <v>0</v>
      </c>
      <c r="N1795" s="22">
        <v>-720</v>
      </c>
      <c r="O1795" s="22">
        <v>6480</v>
      </c>
      <c r="P1795" s="22">
        <v>6480</v>
      </c>
      <c r="Q1795" t="str" cm="1">
        <f t="array" ref="Q1795">_xlfn.TEXTJOIN("、",TRUE,IF('學員資料-三民高中'!$B$2:$B$454=$F1795,'學員資料-三民高中'!$G$2:$G$454,""))</f>
        <v>0989063066</v>
      </c>
      <c r="R1795" t="str" cm="1">
        <f t="array" ref="R1795">_xlfn.TEXTJOIN("、",TRUE,IF('學員資料-新北高中'!$B$2:$B$583=$F1795,'學員資料-新北高中'!$G$2:$G$583,""))</f>
        <v/>
      </c>
      <c r="S1795" t="str" cm="1">
        <f t="array" ref="S1795">_xlfn.TEXTJOIN("、",TRUE,IF('學員資料-三重商工'!$B$2:$B$472=$F1795,'學員資料-三重商工'!$G$2:$G$472,""))</f>
        <v/>
      </c>
      <c r="T1795">
        <f t="shared" ref="T1795:T1858" si="28">3-COUNTBLANK(Q1795:S1795)</f>
        <v>1</v>
      </c>
    </row>
    <row r="1796" spans="1:20" ht="14.25" hidden="1" customHeight="1">
      <c r="A1796" s="15">
        <v>1795</v>
      </c>
      <c r="B1796" s="16" t="s">
        <v>5582</v>
      </c>
      <c r="C1796" s="17">
        <v>45586</v>
      </c>
      <c r="D1796" s="15" t="s">
        <v>5583</v>
      </c>
      <c r="E1796" s="18" t="s">
        <v>954</v>
      </c>
      <c r="F1796" s="19" t="s">
        <v>2881</v>
      </c>
      <c r="G1796" s="18" t="s">
        <v>319</v>
      </c>
      <c r="H1796" s="20" t="s">
        <v>3811</v>
      </c>
      <c r="I1796" s="15">
        <v>1</v>
      </c>
      <c r="J1796" s="15" t="s">
        <v>24</v>
      </c>
      <c r="K1796" s="21" t="s">
        <v>116</v>
      </c>
      <c r="L1796" s="21" t="s">
        <v>16</v>
      </c>
      <c r="M1796" s="22">
        <v>0</v>
      </c>
      <c r="N1796" s="22">
        <v>0</v>
      </c>
      <c r="O1796" s="22">
        <v>1200</v>
      </c>
      <c r="P1796" s="22">
        <v>1200</v>
      </c>
      <c r="Q1796" t="str" cm="1">
        <f t="array" ref="Q1796">_xlfn.TEXTJOIN("、",TRUE,IF('學員資料-三民高中'!$B$2:$B$454=$F1796,'學員資料-三民高中'!$G$2:$G$454,""))</f>
        <v/>
      </c>
      <c r="R1796" t="str" cm="1">
        <f t="array" ref="R1796">_xlfn.TEXTJOIN("、",TRUE,IF('學員資料-新北高中'!$B$2:$B$583=$F1796,'學員資料-新北高中'!$G$2:$G$583,""))</f>
        <v>0980465708</v>
      </c>
      <c r="S1796" t="str" cm="1">
        <f t="array" ref="S1796">_xlfn.TEXTJOIN("、",TRUE,IF('學員資料-三重商工'!$B$2:$B$472=$F1796,'學員資料-三重商工'!$G$2:$G$472,""))</f>
        <v/>
      </c>
      <c r="T1796">
        <f t="shared" si="28"/>
        <v>1</v>
      </c>
    </row>
    <row r="1797" spans="1:20" ht="14.25" hidden="1" customHeight="1">
      <c r="A1797" s="15">
        <v>1796</v>
      </c>
      <c r="B1797" s="16" t="s">
        <v>5584</v>
      </c>
      <c r="C1797" s="17">
        <v>45586</v>
      </c>
      <c r="D1797" s="15" t="s">
        <v>5585</v>
      </c>
      <c r="E1797" s="18" t="s">
        <v>954</v>
      </c>
      <c r="F1797" s="19" t="s">
        <v>858</v>
      </c>
      <c r="G1797" s="18" t="s">
        <v>859</v>
      </c>
      <c r="H1797" s="20" t="s">
        <v>5361</v>
      </c>
      <c r="I1797" s="15">
        <v>1</v>
      </c>
      <c r="J1797" s="15" t="s">
        <v>23</v>
      </c>
      <c r="K1797" s="21" t="s">
        <v>116</v>
      </c>
      <c r="L1797" s="21" t="s">
        <v>16</v>
      </c>
      <c r="M1797" s="22">
        <v>0</v>
      </c>
      <c r="N1797" s="22">
        <v>0</v>
      </c>
      <c r="O1797" s="22">
        <v>1100</v>
      </c>
      <c r="P1797" s="22">
        <v>1100</v>
      </c>
      <c r="Q1797" t="str" cm="1">
        <f t="array" ref="Q1797">_xlfn.TEXTJOIN("、",TRUE,IF('學員資料-三民高中'!$B$2:$B$454=$F1797,'學員資料-三民高中'!$G$2:$G$454,""))</f>
        <v/>
      </c>
      <c r="R1797" t="str" cm="1">
        <f t="array" ref="R1797">_xlfn.TEXTJOIN("、",TRUE,IF('學員資料-新北高中'!$B$2:$B$583=$F1797,'學員資料-新北高中'!$G$2:$G$583,""))</f>
        <v>0975759723</v>
      </c>
      <c r="S1797" t="str" cm="1">
        <f t="array" ref="S1797">_xlfn.TEXTJOIN("、",TRUE,IF('學員資料-三重商工'!$B$2:$B$472=$F1797,'學員資料-三重商工'!$G$2:$G$472,""))</f>
        <v/>
      </c>
      <c r="T1797">
        <f t="shared" si="28"/>
        <v>1</v>
      </c>
    </row>
    <row r="1798" spans="1:20" ht="14.25" hidden="1" customHeight="1">
      <c r="A1798" s="15">
        <v>1797</v>
      </c>
      <c r="B1798" s="16" t="s">
        <v>5586</v>
      </c>
      <c r="C1798" s="17">
        <v>45586</v>
      </c>
      <c r="D1798" s="15" t="s">
        <v>5587</v>
      </c>
      <c r="E1798" s="18" t="s">
        <v>954</v>
      </c>
      <c r="F1798" s="19" t="s">
        <v>681</v>
      </c>
      <c r="G1798" s="18" t="s">
        <v>682</v>
      </c>
      <c r="H1798" s="20" t="s">
        <v>683</v>
      </c>
      <c r="I1798" s="15">
        <v>1</v>
      </c>
      <c r="J1798" s="15" t="s">
        <v>23</v>
      </c>
      <c r="K1798" s="15"/>
      <c r="L1798" s="21" t="s">
        <v>16</v>
      </c>
      <c r="M1798" s="22">
        <v>0</v>
      </c>
      <c r="N1798" s="22">
        <v>-3600</v>
      </c>
      <c r="O1798" s="22">
        <v>5400</v>
      </c>
      <c r="P1798" s="22">
        <v>5400</v>
      </c>
      <c r="Q1798" t="str" cm="1">
        <f t="array" ref="Q1798">_xlfn.TEXTJOIN("、",TRUE,IF('學員資料-三民高中'!$B$2:$B$454=$F1798,'學員資料-三民高中'!$G$2:$G$454,""))</f>
        <v/>
      </c>
      <c r="R1798" t="str" cm="1">
        <f t="array" ref="R1798">_xlfn.TEXTJOIN("、",TRUE,IF('學員資料-新北高中'!$B$2:$B$583=$F1798,'學員資料-新北高中'!$G$2:$G$583,""))</f>
        <v>0956888791</v>
      </c>
      <c r="S1798" t="str" cm="1">
        <f t="array" ref="S1798">_xlfn.TEXTJOIN("、",TRUE,IF('學員資料-三重商工'!$B$2:$B$472=$F1798,'學員資料-三重商工'!$G$2:$G$472,""))</f>
        <v/>
      </c>
      <c r="T1798">
        <f t="shared" si="28"/>
        <v>1</v>
      </c>
    </row>
    <row r="1799" spans="1:20" ht="14.25" hidden="1" customHeight="1">
      <c r="A1799" s="15">
        <v>1798</v>
      </c>
      <c r="B1799" s="16" t="s">
        <v>5588</v>
      </c>
      <c r="C1799" s="17">
        <v>45586</v>
      </c>
      <c r="D1799" s="15" t="s">
        <v>5589</v>
      </c>
      <c r="E1799" s="18" t="s">
        <v>954</v>
      </c>
      <c r="F1799" s="19" t="s">
        <v>5564</v>
      </c>
      <c r="G1799" s="18" t="s">
        <v>5565</v>
      </c>
      <c r="H1799" s="20" t="s">
        <v>5131</v>
      </c>
      <c r="I1799" s="15">
        <v>1</v>
      </c>
      <c r="J1799" s="15" t="s">
        <v>24</v>
      </c>
      <c r="K1799" s="15"/>
      <c r="L1799" s="21" t="s">
        <v>16</v>
      </c>
      <c r="M1799" s="22">
        <v>0</v>
      </c>
      <c r="N1799" s="22">
        <v>0</v>
      </c>
      <c r="O1799" s="22">
        <v>7200</v>
      </c>
      <c r="P1799" s="22">
        <v>7200</v>
      </c>
      <c r="Q1799" t="str" cm="1">
        <f t="array" ref="Q1799">_xlfn.TEXTJOIN("、",TRUE,IF('學員資料-三民高中'!$B$2:$B$454=$F1799,'學員資料-三民高中'!$G$2:$G$454,""))</f>
        <v/>
      </c>
      <c r="R1799" t="str" cm="1">
        <f t="array" ref="R1799">_xlfn.TEXTJOIN("、",TRUE,IF('學員資料-新北高中'!$B$2:$B$583=$F1799,'學員資料-新北高中'!$G$2:$G$583,""))</f>
        <v>0952260875</v>
      </c>
      <c r="S1799" t="str" cm="1">
        <f t="array" ref="S1799">_xlfn.TEXTJOIN("、",TRUE,IF('學員資料-三重商工'!$B$2:$B$472=$F1799,'學員資料-三重商工'!$G$2:$G$472,""))</f>
        <v/>
      </c>
      <c r="T1799">
        <f t="shared" si="28"/>
        <v>1</v>
      </c>
    </row>
    <row r="1800" spans="1:20" ht="14.25" hidden="1" customHeight="1">
      <c r="A1800" s="15">
        <v>1799</v>
      </c>
      <c r="B1800" s="16" t="s">
        <v>5590</v>
      </c>
      <c r="C1800" s="17">
        <v>45585</v>
      </c>
      <c r="D1800" s="15" t="s">
        <v>3231</v>
      </c>
      <c r="E1800" s="18" t="s">
        <v>954</v>
      </c>
      <c r="F1800" s="19" t="s">
        <v>2756</v>
      </c>
      <c r="G1800" s="18" t="s">
        <v>2757</v>
      </c>
      <c r="H1800" s="20" t="s">
        <v>5163</v>
      </c>
      <c r="I1800" s="15">
        <v>1</v>
      </c>
      <c r="J1800" s="15" t="s">
        <v>23</v>
      </c>
      <c r="K1800" s="15"/>
      <c r="L1800" s="21" t="s">
        <v>16</v>
      </c>
      <c r="M1800" s="22">
        <v>0</v>
      </c>
      <c r="N1800" s="22">
        <v>-660</v>
      </c>
      <c r="O1800" s="22">
        <v>5940</v>
      </c>
      <c r="P1800" s="22">
        <v>5940</v>
      </c>
      <c r="Q1800" t="str" cm="1">
        <f t="array" ref="Q1800">_xlfn.TEXTJOIN("、",TRUE,IF('學員資料-三民高中'!$B$2:$B$454=$F1800,'學員資料-三民高中'!$G$2:$G$454,""))</f>
        <v/>
      </c>
      <c r="R1800" t="str" cm="1">
        <f t="array" ref="R1800">_xlfn.TEXTJOIN("、",TRUE,IF('學員資料-新北高中'!$B$2:$B$583=$F1800,'學員資料-新北高中'!$G$2:$G$583,""))</f>
        <v>0952188415</v>
      </c>
      <c r="S1800" t="str" cm="1">
        <f t="array" ref="S1800">_xlfn.TEXTJOIN("、",TRUE,IF('學員資料-三重商工'!$B$2:$B$472=$F1800,'學員資料-三重商工'!$G$2:$G$472,""))</f>
        <v/>
      </c>
      <c r="T1800">
        <f t="shared" si="28"/>
        <v>1</v>
      </c>
    </row>
    <row r="1801" spans="1:20" ht="14.25" hidden="1" customHeight="1">
      <c r="A1801" s="15">
        <v>1800</v>
      </c>
      <c r="B1801" s="16" t="s">
        <v>5591</v>
      </c>
      <c r="C1801" s="17">
        <v>45585</v>
      </c>
      <c r="D1801" s="15" t="s">
        <v>5592</v>
      </c>
      <c r="E1801" s="18" t="s">
        <v>954</v>
      </c>
      <c r="F1801" s="19" t="s">
        <v>5593</v>
      </c>
      <c r="G1801" s="18" t="s">
        <v>5594</v>
      </c>
      <c r="H1801" s="20" t="s">
        <v>5148</v>
      </c>
      <c r="I1801" s="15">
        <v>1</v>
      </c>
      <c r="J1801" s="15" t="s">
        <v>25</v>
      </c>
      <c r="K1801" s="15"/>
      <c r="L1801" s="21" t="s">
        <v>16</v>
      </c>
      <c r="M1801" s="22">
        <v>0</v>
      </c>
      <c r="N1801" s="22">
        <v>-1080</v>
      </c>
      <c r="O1801" s="22">
        <v>7920</v>
      </c>
      <c r="P1801" s="22">
        <v>7920</v>
      </c>
      <c r="Q1801" t="str" cm="1">
        <f t="array" ref="Q1801">_xlfn.TEXTJOIN("、",TRUE,IF('學員資料-三民高中'!$B$2:$B$454=$F1801,'學員資料-三民高中'!$G$2:$G$454,""))</f>
        <v>0972526397</v>
      </c>
      <c r="R1801" t="str" cm="1">
        <f t="array" ref="R1801">_xlfn.TEXTJOIN("、",TRUE,IF('學員資料-新北高中'!$B$2:$B$583=$F1801,'學員資料-新北高中'!$G$2:$G$583,""))</f>
        <v/>
      </c>
      <c r="S1801" t="str" cm="1">
        <f t="array" ref="S1801">_xlfn.TEXTJOIN("、",TRUE,IF('學員資料-三重商工'!$B$2:$B$472=$F1801,'學員資料-三重商工'!$G$2:$G$472,""))</f>
        <v/>
      </c>
      <c r="T1801">
        <f t="shared" si="28"/>
        <v>1</v>
      </c>
    </row>
    <row r="1802" spans="1:20" ht="14.25" hidden="1" customHeight="1">
      <c r="A1802" s="15">
        <v>1801</v>
      </c>
      <c r="B1802" s="16" t="s">
        <v>5595</v>
      </c>
      <c r="C1802" s="17">
        <v>45585</v>
      </c>
      <c r="D1802" s="15" t="s">
        <v>5596</v>
      </c>
      <c r="E1802" s="18" t="s">
        <v>954</v>
      </c>
      <c r="F1802" s="19" t="s">
        <v>5597</v>
      </c>
      <c r="G1802" s="18" t="s">
        <v>5598</v>
      </c>
      <c r="H1802" s="20" t="s">
        <v>5163</v>
      </c>
      <c r="I1802" s="15">
        <v>1</v>
      </c>
      <c r="J1802" s="15" t="s">
        <v>23</v>
      </c>
      <c r="K1802" s="15"/>
      <c r="L1802" s="21" t="s">
        <v>16</v>
      </c>
      <c r="M1802" s="22">
        <v>0</v>
      </c>
      <c r="N1802" s="22">
        <v>0</v>
      </c>
      <c r="O1802" s="22">
        <v>6600</v>
      </c>
      <c r="P1802" s="22">
        <v>6600</v>
      </c>
      <c r="Q1802" t="str" cm="1">
        <f t="array" ref="Q1802">_xlfn.TEXTJOIN("、",TRUE,IF('學員資料-三民高中'!$B$2:$B$454=$F1802,'學員資料-三民高中'!$G$2:$G$454,""))</f>
        <v>0939052368</v>
      </c>
      <c r="R1802" t="str" cm="1">
        <f t="array" ref="R1802">_xlfn.TEXTJOIN("、",TRUE,IF('學員資料-新北高中'!$B$2:$B$583=$F1802,'學員資料-新北高中'!$G$2:$G$583,""))</f>
        <v/>
      </c>
      <c r="S1802" t="str" cm="1">
        <f t="array" ref="S1802">_xlfn.TEXTJOIN("、",TRUE,IF('學員資料-三重商工'!$B$2:$B$472=$F1802,'學員資料-三重商工'!$G$2:$G$472,""))</f>
        <v/>
      </c>
      <c r="T1802">
        <f t="shared" si="28"/>
        <v>1</v>
      </c>
    </row>
    <row r="1803" spans="1:20" ht="14.25" hidden="1" customHeight="1">
      <c r="A1803" s="15">
        <v>1802</v>
      </c>
      <c r="B1803" s="16" t="s">
        <v>5599</v>
      </c>
      <c r="C1803" s="17">
        <v>45585</v>
      </c>
      <c r="D1803" s="15" t="s">
        <v>5600</v>
      </c>
      <c r="E1803" s="18" t="s">
        <v>954</v>
      </c>
      <c r="F1803" s="19" t="s">
        <v>5601</v>
      </c>
      <c r="G1803" s="18" t="s">
        <v>5602</v>
      </c>
      <c r="H1803" s="20" t="s">
        <v>5148</v>
      </c>
      <c r="I1803" s="15">
        <v>1</v>
      </c>
      <c r="J1803" s="15" t="s">
        <v>25</v>
      </c>
      <c r="K1803" s="15"/>
      <c r="L1803" s="21" t="s">
        <v>16</v>
      </c>
      <c r="M1803" s="22">
        <v>0</v>
      </c>
      <c r="N1803" s="22">
        <v>0</v>
      </c>
      <c r="O1803" s="22">
        <v>9000</v>
      </c>
      <c r="P1803" s="22">
        <v>9000</v>
      </c>
      <c r="Q1803" t="str" cm="1">
        <f t="array" ref="Q1803">_xlfn.TEXTJOIN("、",TRUE,IF('學員資料-三民高中'!$B$2:$B$454=$F1803,'學員資料-三民高中'!$G$2:$G$454,""))</f>
        <v/>
      </c>
      <c r="R1803" t="str" cm="1">
        <f t="array" ref="R1803">_xlfn.TEXTJOIN("、",TRUE,IF('學員資料-新北高中'!$B$2:$B$583=$F1803,'學員資料-新北高中'!$G$2:$G$583,""))</f>
        <v/>
      </c>
      <c r="S1803" t="str" cm="1">
        <f t="array" ref="S1803">_xlfn.TEXTJOIN("、",TRUE,IF('學員資料-三重商工'!$B$2:$B$472=$F1803,'學員資料-三重商工'!$G$2:$G$472,""))</f>
        <v>0930092794</v>
      </c>
      <c r="T1803">
        <f t="shared" si="28"/>
        <v>1</v>
      </c>
    </row>
    <row r="1804" spans="1:20" ht="57.75" hidden="1" customHeight="1">
      <c r="A1804" s="15">
        <v>1803</v>
      </c>
      <c r="B1804" s="16" t="s">
        <v>5603</v>
      </c>
      <c r="C1804" s="17">
        <v>45585</v>
      </c>
      <c r="D1804" s="15" t="s">
        <v>5604</v>
      </c>
      <c r="E1804" s="18" t="s">
        <v>954</v>
      </c>
      <c r="F1804" s="19" t="s">
        <v>2881</v>
      </c>
      <c r="G1804" s="18" t="s">
        <v>319</v>
      </c>
      <c r="H1804" s="20" t="s">
        <v>5457</v>
      </c>
      <c r="I1804" s="15">
        <v>4</v>
      </c>
      <c r="J1804" s="15" t="s">
        <v>24</v>
      </c>
      <c r="K1804" s="15"/>
      <c r="L1804" s="21" t="s">
        <v>16</v>
      </c>
      <c r="M1804" s="22">
        <v>0</v>
      </c>
      <c r="N1804" s="22">
        <v>-2880</v>
      </c>
      <c r="O1804" s="22">
        <v>25920</v>
      </c>
      <c r="P1804" s="22">
        <v>25920</v>
      </c>
      <c r="Q1804" t="str" cm="1">
        <f t="array" ref="Q1804">_xlfn.TEXTJOIN("、",TRUE,IF('學員資料-三民高中'!$B$2:$B$454=$F1804,'學員資料-三民高中'!$G$2:$G$454,""))</f>
        <v/>
      </c>
      <c r="R1804" t="str" cm="1">
        <f t="array" ref="R1804">_xlfn.TEXTJOIN("、",TRUE,IF('學員資料-新北高中'!$B$2:$B$583=$F1804,'學員資料-新北高中'!$G$2:$G$583,""))</f>
        <v>0980465708</v>
      </c>
      <c r="S1804" t="str" cm="1">
        <f t="array" ref="S1804">_xlfn.TEXTJOIN("、",TRUE,IF('學員資料-三重商工'!$B$2:$B$472=$F1804,'學員資料-三重商工'!$G$2:$G$472,""))</f>
        <v/>
      </c>
      <c r="T1804">
        <f t="shared" si="28"/>
        <v>1</v>
      </c>
    </row>
    <row r="1805" spans="1:20" ht="14.25" hidden="1" customHeight="1">
      <c r="A1805" s="15">
        <v>1804</v>
      </c>
      <c r="B1805" s="16" t="s">
        <v>5605</v>
      </c>
      <c r="C1805" s="17">
        <v>45584</v>
      </c>
      <c r="D1805" s="15" t="s">
        <v>5606</v>
      </c>
      <c r="E1805" s="18" t="s">
        <v>954</v>
      </c>
      <c r="F1805" s="19" t="s">
        <v>858</v>
      </c>
      <c r="G1805" s="18" t="s">
        <v>859</v>
      </c>
      <c r="H1805" s="20" t="s">
        <v>5361</v>
      </c>
      <c r="I1805" s="15">
        <v>1</v>
      </c>
      <c r="J1805" s="15" t="s">
        <v>23</v>
      </c>
      <c r="K1805" s="21" t="s">
        <v>116</v>
      </c>
      <c r="L1805" s="21" t="s">
        <v>16</v>
      </c>
      <c r="M1805" s="22">
        <v>0</v>
      </c>
      <c r="N1805" s="22">
        <v>0</v>
      </c>
      <c r="O1805" s="22">
        <v>1100</v>
      </c>
      <c r="P1805" s="22">
        <v>1100</v>
      </c>
      <c r="Q1805" t="str" cm="1">
        <f t="array" ref="Q1805">_xlfn.TEXTJOIN("、",TRUE,IF('學員資料-三民高中'!$B$2:$B$454=$F1805,'學員資料-三民高中'!$G$2:$G$454,""))</f>
        <v/>
      </c>
      <c r="R1805" t="str" cm="1">
        <f t="array" ref="R1805">_xlfn.TEXTJOIN("、",TRUE,IF('學員資料-新北高中'!$B$2:$B$583=$F1805,'學員資料-新北高中'!$G$2:$G$583,""))</f>
        <v>0975759723</v>
      </c>
      <c r="S1805" t="str" cm="1">
        <f t="array" ref="S1805">_xlfn.TEXTJOIN("、",TRUE,IF('學員資料-三重商工'!$B$2:$B$472=$F1805,'學員資料-三重商工'!$G$2:$G$472,""))</f>
        <v/>
      </c>
      <c r="T1805">
        <f t="shared" si="28"/>
        <v>1</v>
      </c>
    </row>
    <row r="1806" spans="1:20" ht="14.25" hidden="1" customHeight="1">
      <c r="A1806" s="15">
        <v>1805</v>
      </c>
      <c r="B1806" s="16" t="s">
        <v>5607</v>
      </c>
      <c r="C1806" s="17">
        <v>45584</v>
      </c>
      <c r="D1806" s="15" t="s">
        <v>5608</v>
      </c>
      <c r="E1806" s="18" t="s">
        <v>954</v>
      </c>
      <c r="F1806" s="19" t="s">
        <v>5609</v>
      </c>
      <c r="G1806" s="18" t="s">
        <v>5610</v>
      </c>
      <c r="H1806" s="20" t="s">
        <v>5211</v>
      </c>
      <c r="I1806" s="15">
        <v>1</v>
      </c>
      <c r="J1806" s="15" t="s">
        <v>26</v>
      </c>
      <c r="K1806" s="15"/>
      <c r="L1806" s="21" t="s">
        <v>16</v>
      </c>
      <c r="M1806" s="22">
        <v>0</v>
      </c>
      <c r="N1806" s="22">
        <v>0</v>
      </c>
      <c r="O1806" s="22">
        <v>10800</v>
      </c>
      <c r="P1806" s="22">
        <v>10800</v>
      </c>
      <c r="Q1806" t="str" cm="1">
        <f t="array" ref="Q1806">_xlfn.TEXTJOIN("、",TRUE,IF('學員資料-三民高中'!$B$2:$B$454=$F1806,'學員資料-三民高中'!$G$2:$G$454,""))</f>
        <v>0935855780</v>
      </c>
      <c r="R1806" t="str" cm="1">
        <f t="array" ref="R1806">_xlfn.TEXTJOIN("、",TRUE,IF('學員資料-新北高中'!$B$2:$B$583=$F1806,'學員資料-新北高中'!$G$2:$G$583,""))</f>
        <v/>
      </c>
      <c r="S1806" t="str" cm="1">
        <f t="array" ref="S1806">_xlfn.TEXTJOIN("、",TRUE,IF('學員資料-三重商工'!$B$2:$B$472=$F1806,'學員資料-三重商工'!$G$2:$G$472,""))</f>
        <v/>
      </c>
      <c r="T1806">
        <f t="shared" si="28"/>
        <v>1</v>
      </c>
    </row>
    <row r="1807" spans="1:20" ht="14.25" hidden="1" customHeight="1">
      <c r="A1807" s="15">
        <v>1806</v>
      </c>
      <c r="B1807" s="16" t="s">
        <v>5611</v>
      </c>
      <c r="C1807" s="17">
        <v>45584</v>
      </c>
      <c r="D1807" s="15" t="s">
        <v>5612</v>
      </c>
      <c r="E1807" s="18" t="s">
        <v>954</v>
      </c>
      <c r="F1807" s="19" t="s">
        <v>5101</v>
      </c>
      <c r="G1807" s="18" t="s">
        <v>5102</v>
      </c>
      <c r="H1807" s="20" t="s">
        <v>5131</v>
      </c>
      <c r="I1807" s="15">
        <v>1</v>
      </c>
      <c r="J1807" s="15" t="s">
        <v>24</v>
      </c>
      <c r="K1807" s="15"/>
      <c r="L1807" s="21" t="s">
        <v>16</v>
      </c>
      <c r="M1807" s="22">
        <v>0</v>
      </c>
      <c r="N1807" s="22">
        <v>0</v>
      </c>
      <c r="O1807" s="22">
        <v>7200</v>
      </c>
      <c r="P1807" s="22">
        <v>7200</v>
      </c>
      <c r="Q1807" t="str" cm="1">
        <f t="array" ref="Q1807">_xlfn.TEXTJOIN("、",TRUE,IF('學員資料-三民高中'!$B$2:$B$454=$F1807,'學員資料-三民高中'!$G$2:$G$454,""))</f>
        <v/>
      </c>
      <c r="R1807" t="str" cm="1">
        <f t="array" ref="R1807">_xlfn.TEXTJOIN("、",TRUE,IF('學員資料-新北高中'!$B$2:$B$583=$F1807,'學員資料-新北高中'!$G$2:$G$583,""))</f>
        <v>0972288989</v>
      </c>
      <c r="S1807" t="str" cm="1">
        <f t="array" ref="S1807">_xlfn.TEXTJOIN("、",TRUE,IF('學員資料-三重商工'!$B$2:$B$472=$F1807,'學員資料-三重商工'!$G$2:$G$472,""))</f>
        <v/>
      </c>
      <c r="T1807">
        <f t="shared" si="28"/>
        <v>1</v>
      </c>
    </row>
    <row r="1808" spans="1:20" ht="14.25" hidden="1" customHeight="1">
      <c r="A1808" s="15">
        <v>1807</v>
      </c>
      <c r="B1808" s="16" t="s">
        <v>5613</v>
      </c>
      <c r="C1808" s="17">
        <v>45584</v>
      </c>
      <c r="D1808" s="15" t="s">
        <v>5614</v>
      </c>
      <c r="E1808" s="18" t="s">
        <v>954</v>
      </c>
      <c r="F1808" s="19" t="s">
        <v>5615</v>
      </c>
      <c r="G1808" s="18" t="s">
        <v>5616</v>
      </c>
      <c r="H1808" s="20" t="s">
        <v>5131</v>
      </c>
      <c r="I1808" s="15">
        <v>1</v>
      </c>
      <c r="J1808" s="15" t="s">
        <v>24</v>
      </c>
      <c r="K1808" s="15"/>
      <c r="L1808" s="21" t="s">
        <v>16</v>
      </c>
      <c r="M1808" s="22">
        <v>0</v>
      </c>
      <c r="N1808" s="22">
        <v>0</v>
      </c>
      <c r="O1808" s="22">
        <v>7200</v>
      </c>
      <c r="P1808" s="22">
        <v>7200</v>
      </c>
      <c r="Q1808" t="str" cm="1">
        <f t="array" ref="Q1808">_xlfn.TEXTJOIN("、",TRUE,IF('學員資料-三民高中'!$B$2:$B$454=$F1808,'學員資料-三民高中'!$G$2:$G$454,""))</f>
        <v/>
      </c>
      <c r="R1808" t="str" cm="1">
        <f t="array" ref="R1808">_xlfn.TEXTJOIN("、",TRUE,IF('學員資料-新北高中'!$B$2:$B$583=$F1808,'學員資料-新北高中'!$G$2:$G$583,""))</f>
        <v>0963093938-2</v>
      </c>
      <c r="S1808" t="str" cm="1">
        <f t="array" ref="S1808">_xlfn.TEXTJOIN("、",TRUE,IF('學員資料-三重商工'!$B$2:$B$472=$F1808,'學員資料-三重商工'!$G$2:$G$472,""))</f>
        <v/>
      </c>
      <c r="T1808">
        <f t="shared" si="28"/>
        <v>1</v>
      </c>
    </row>
    <row r="1809" spans="1:20" ht="14.25" hidden="1" customHeight="1">
      <c r="A1809" s="15">
        <v>1808</v>
      </c>
      <c r="B1809" s="16" t="s">
        <v>5617</v>
      </c>
      <c r="C1809" s="17">
        <v>45584</v>
      </c>
      <c r="D1809" s="15" t="s">
        <v>5618</v>
      </c>
      <c r="E1809" s="18" t="s">
        <v>954</v>
      </c>
      <c r="F1809" s="19" t="s">
        <v>5619</v>
      </c>
      <c r="G1809" s="18" t="s">
        <v>5620</v>
      </c>
      <c r="H1809" s="20" t="s">
        <v>5131</v>
      </c>
      <c r="I1809" s="15">
        <v>1</v>
      </c>
      <c r="J1809" s="15" t="s">
        <v>24</v>
      </c>
      <c r="K1809" s="15"/>
      <c r="L1809" s="21" t="s">
        <v>16</v>
      </c>
      <c r="M1809" s="22">
        <v>0</v>
      </c>
      <c r="N1809" s="22">
        <v>0</v>
      </c>
      <c r="O1809" s="22">
        <v>7200</v>
      </c>
      <c r="P1809" s="22">
        <v>7200</v>
      </c>
      <c r="Q1809" t="str" cm="1">
        <f t="array" ref="Q1809">_xlfn.TEXTJOIN("、",TRUE,IF('學員資料-三民高中'!$B$2:$B$454=$F1809,'學員資料-三民高中'!$G$2:$G$454,""))</f>
        <v/>
      </c>
      <c r="R1809" t="str" cm="1">
        <f t="array" ref="R1809">_xlfn.TEXTJOIN("、",TRUE,IF('學員資料-新北高中'!$B$2:$B$583=$F1809,'學員資料-新北高中'!$G$2:$G$583,""))</f>
        <v>0900000981</v>
      </c>
      <c r="S1809" t="str" cm="1">
        <f t="array" ref="S1809">_xlfn.TEXTJOIN("、",TRUE,IF('學員資料-三重商工'!$B$2:$B$472=$F1809,'學員資料-三重商工'!$G$2:$G$472,""))</f>
        <v/>
      </c>
      <c r="T1809">
        <f t="shared" si="28"/>
        <v>1</v>
      </c>
    </row>
    <row r="1810" spans="1:20" ht="14.25" hidden="1" customHeight="1">
      <c r="A1810" s="15">
        <v>1809</v>
      </c>
      <c r="B1810" s="16" t="s">
        <v>5621</v>
      </c>
      <c r="C1810" s="17">
        <v>45584</v>
      </c>
      <c r="D1810" s="15" t="s">
        <v>5622</v>
      </c>
      <c r="E1810" s="18" t="s">
        <v>954</v>
      </c>
      <c r="F1810" s="19" t="s">
        <v>5623</v>
      </c>
      <c r="G1810" s="18" t="s">
        <v>5624</v>
      </c>
      <c r="H1810" s="20" t="s">
        <v>5131</v>
      </c>
      <c r="I1810" s="15">
        <v>1</v>
      </c>
      <c r="J1810" s="15" t="s">
        <v>24</v>
      </c>
      <c r="K1810" s="15"/>
      <c r="L1810" s="21" t="s">
        <v>16</v>
      </c>
      <c r="M1810" s="22">
        <v>0</v>
      </c>
      <c r="N1810" s="22">
        <v>0</v>
      </c>
      <c r="O1810" s="22">
        <v>7200</v>
      </c>
      <c r="P1810" s="22">
        <v>7200</v>
      </c>
      <c r="Q1810" t="str" cm="1">
        <f t="array" ref="Q1810">_xlfn.TEXTJOIN("、",TRUE,IF('學員資料-三民高中'!$B$2:$B$454=$F1810,'學員資料-三民高中'!$G$2:$G$454,""))</f>
        <v/>
      </c>
      <c r="R1810" t="str" cm="1">
        <f t="array" ref="R1810">_xlfn.TEXTJOIN("、",TRUE,IF('學員資料-新北高中'!$B$2:$B$583=$F1810,'學員資料-新北高中'!$G$2:$G$583,""))</f>
        <v>FK04437416</v>
      </c>
      <c r="S1810" t="str" cm="1">
        <f t="array" ref="S1810">_xlfn.TEXTJOIN("、",TRUE,IF('學員資料-三重商工'!$B$2:$B$472=$F1810,'學員資料-三重商工'!$G$2:$G$472,""))</f>
        <v/>
      </c>
      <c r="T1810">
        <f t="shared" si="28"/>
        <v>1</v>
      </c>
    </row>
    <row r="1811" spans="1:20" ht="14.25" hidden="1" customHeight="1">
      <c r="A1811" s="15">
        <v>1810</v>
      </c>
      <c r="B1811" s="16" t="s">
        <v>5625</v>
      </c>
      <c r="C1811" s="17">
        <v>45584</v>
      </c>
      <c r="D1811" s="15" t="s">
        <v>5626</v>
      </c>
      <c r="E1811" s="18" t="s">
        <v>954</v>
      </c>
      <c r="F1811" s="19" t="s">
        <v>1529</v>
      </c>
      <c r="G1811" s="18" t="s">
        <v>1530</v>
      </c>
      <c r="H1811" s="20" t="s">
        <v>266</v>
      </c>
      <c r="I1811" s="15">
        <v>1</v>
      </c>
      <c r="J1811" s="15" t="s">
        <v>24</v>
      </c>
      <c r="K1811" s="15"/>
      <c r="L1811" s="21" t="s">
        <v>16</v>
      </c>
      <c r="M1811" s="22">
        <v>0</v>
      </c>
      <c r="N1811" s="22">
        <v>0</v>
      </c>
      <c r="O1811" s="22">
        <v>10800</v>
      </c>
      <c r="P1811" s="22">
        <v>10800</v>
      </c>
      <c r="Q1811" t="str" cm="1">
        <f t="array" ref="Q1811">_xlfn.TEXTJOIN("、",TRUE,IF('學員資料-三民高中'!$B$2:$B$454=$F1811,'學員資料-三民高中'!$G$2:$G$454,""))</f>
        <v>0970081031</v>
      </c>
      <c r="R1811" t="str" cm="1">
        <f t="array" ref="R1811">_xlfn.TEXTJOIN("、",TRUE,IF('學員資料-新北高中'!$B$2:$B$583=$F1811,'學員資料-新北高中'!$G$2:$G$583,""))</f>
        <v/>
      </c>
      <c r="S1811" t="str" cm="1">
        <f t="array" ref="S1811">_xlfn.TEXTJOIN("、",TRUE,IF('學員資料-三重商工'!$B$2:$B$472=$F1811,'學員資料-三重商工'!$G$2:$G$472,""))</f>
        <v/>
      </c>
      <c r="T1811">
        <f t="shared" si="28"/>
        <v>1</v>
      </c>
    </row>
    <row r="1812" spans="1:20" ht="14.25" hidden="1" customHeight="1">
      <c r="A1812" s="15">
        <v>1811</v>
      </c>
      <c r="B1812" s="16" t="s">
        <v>5627</v>
      </c>
      <c r="C1812" s="17">
        <v>45584</v>
      </c>
      <c r="D1812" s="15" t="s">
        <v>5628</v>
      </c>
      <c r="E1812" s="18" t="s">
        <v>954</v>
      </c>
      <c r="F1812" s="19" t="s">
        <v>4328</v>
      </c>
      <c r="G1812" s="18" t="s">
        <v>4329</v>
      </c>
      <c r="H1812" s="20" t="s">
        <v>5131</v>
      </c>
      <c r="I1812" s="15">
        <v>1</v>
      </c>
      <c r="J1812" s="15" t="s">
        <v>24</v>
      </c>
      <c r="K1812" s="15"/>
      <c r="L1812" s="21" t="s">
        <v>16</v>
      </c>
      <c r="M1812" s="22">
        <v>0</v>
      </c>
      <c r="N1812" s="22">
        <v>0</v>
      </c>
      <c r="O1812" s="22">
        <v>7200</v>
      </c>
      <c r="P1812" s="22">
        <v>7200</v>
      </c>
      <c r="Q1812" t="str" cm="1">
        <f t="array" ref="Q1812">_xlfn.TEXTJOIN("、",TRUE,IF('學員資料-三民高中'!$B$2:$B$454=$F1812,'學員資料-三民高中'!$G$2:$G$454,""))</f>
        <v>0934272195</v>
      </c>
      <c r="R1812" t="str" cm="1">
        <f t="array" ref="R1812">_xlfn.TEXTJOIN("、",TRUE,IF('學員資料-新北高中'!$B$2:$B$583=$F1812,'學員資料-新北高中'!$G$2:$G$583,""))</f>
        <v/>
      </c>
      <c r="S1812" t="str" cm="1">
        <f t="array" ref="S1812">_xlfn.TEXTJOIN("、",TRUE,IF('學員資料-三重商工'!$B$2:$B$472=$F1812,'學員資料-三重商工'!$G$2:$G$472,""))</f>
        <v/>
      </c>
      <c r="T1812">
        <f t="shared" si="28"/>
        <v>1</v>
      </c>
    </row>
    <row r="1813" spans="1:20" ht="14.25" hidden="1" customHeight="1">
      <c r="A1813" s="15">
        <v>1812</v>
      </c>
      <c r="B1813" s="16" t="s">
        <v>5629</v>
      </c>
      <c r="C1813" s="17">
        <v>45584</v>
      </c>
      <c r="D1813" s="15" t="s">
        <v>5630</v>
      </c>
      <c r="E1813" s="18" t="s">
        <v>954</v>
      </c>
      <c r="F1813" s="19" t="s">
        <v>5631</v>
      </c>
      <c r="G1813" s="18" t="s">
        <v>5632</v>
      </c>
      <c r="H1813" s="20" t="s">
        <v>5163</v>
      </c>
      <c r="I1813" s="15">
        <v>1</v>
      </c>
      <c r="J1813" s="15" t="s">
        <v>23</v>
      </c>
      <c r="K1813" s="15"/>
      <c r="L1813" s="21" t="s">
        <v>16</v>
      </c>
      <c r="M1813" s="22">
        <v>0</v>
      </c>
      <c r="N1813" s="22">
        <v>0</v>
      </c>
      <c r="O1813" s="22">
        <v>6600</v>
      </c>
      <c r="P1813" s="22">
        <v>6600</v>
      </c>
      <c r="Q1813" t="str" cm="1">
        <f t="array" ref="Q1813">_xlfn.TEXTJOIN("、",TRUE,IF('學員資料-三民高中'!$B$2:$B$454=$F1813,'學員資料-三民高中'!$G$2:$G$454,""))</f>
        <v/>
      </c>
      <c r="R1813" t="str" cm="1">
        <f t="array" ref="R1813">_xlfn.TEXTJOIN("、",TRUE,IF('學員資料-新北高中'!$B$2:$B$583=$F1813,'學員資料-新北高中'!$G$2:$G$583,""))</f>
        <v>0911501366</v>
      </c>
      <c r="S1813" t="str" cm="1">
        <f t="array" ref="S1813">_xlfn.TEXTJOIN("、",TRUE,IF('學員資料-三重商工'!$B$2:$B$472=$F1813,'學員資料-三重商工'!$G$2:$G$472,""))</f>
        <v/>
      </c>
      <c r="T1813">
        <f t="shared" si="28"/>
        <v>1</v>
      </c>
    </row>
    <row r="1814" spans="1:20" ht="14.25" hidden="1" customHeight="1">
      <c r="A1814" s="15">
        <v>1813</v>
      </c>
      <c r="B1814" s="16" t="s">
        <v>5633</v>
      </c>
      <c r="C1814" s="17">
        <v>45583</v>
      </c>
      <c r="D1814" s="15" t="s">
        <v>5634</v>
      </c>
      <c r="E1814" s="18" t="s">
        <v>954</v>
      </c>
      <c r="F1814" s="19" t="s">
        <v>5483</v>
      </c>
      <c r="G1814" s="18" t="s">
        <v>5484</v>
      </c>
      <c r="H1814" s="20" t="s">
        <v>5131</v>
      </c>
      <c r="I1814" s="15">
        <v>1</v>
      </c>
      <c r="J1814" s="15" t="s">
        <v>24</v>
      </c>
      <c r="K1814" s="15"/>
      <c r="L1814" s="21" t="s">
        <v>16</v>
      </c>
      <c r="M1814" s="22">
        <v>0</v>
      </c>
      <c r="N1814" s="22">
        <v>-720</v>
      </c>
      <c r="O1814" s="22">
        <v>6480</v>
      </c>
      <c r="P1814" s="22">
        <v>6480</v>
      </c>
      <c r="Q1814" t="str" cm="1">
        <f t="array" ref="Q1814">_xlfn.TEXTJOIN("、",TRUE,IF('學員資料-三民高中'!$B$2:$B$454=$F1814,'學員資料-三民高中'!$G$2:$G$454,""))</f>
        <v/>
      </c>
      <c r="R1814" t="str" cm="1">
        <f t="array" ref="R1814">_xlfn.TEXTJOIN("、",TRUE,IF('學員資料-新北高中'!$B$2:$B$583=$F1814,'學員資料-新北高中'!$G$2:$G$583,""))</f>
        <v/>
      </c>
      <c r="S1814" t="str" cm="1">
        <f t="array" ref="S1814">_xlfn.TEXTJOIN("、",TRUE,IF('學員資料-三重商工'!$B$2:$B$472=$F1814,'學員資料-三重商工'!$G$2:$G$472,""))</f>
        <v>0958934015</v>
      </c>
      <c r="T1814">
        <f t="shared" si="28"/>
        <v>1</v>
      </c>
    </row>
    <row r="1815" spans="1:20" ht="14.25" hidden="1" customHeight="1">
      <c r="A1815" s="15">
        <v>1814</v>
      </c>
      <c r="B1815" s="16" t="s">
        <v>5635</v>
      </c>
      <c r="C1815" s="17">
        <v>45582</v>
      </c>
      <c r="D1815" s="15" t="s">
        <v>5636</v>
      </c>
      <c r="E1815" s="18" t="s">
        <v>954</v>
      </c>
      <c r="F1815" s="19" t="s">
        <v>5637</v>
      </c>
      <c r="G1815" s="18" t="s">
        <v>5638</v>
      </c>
      <c r="H1815" s="20" t="s">
        <v>5211</v>
      </c>
      <c r="I1815" s="15">
        <v>1</v>
      </c>
      <c r="J1815" s="15" t="s">
        <v>26</v>
      </c>
      <c r="K1815" s="15"/>
      <c r="L1815" s="21" t="s">
        <v>16</v>
      </c>
      <c r="M1815" s="22">
        <v>0</v>
      </c>
      <c r="N1815" s="22">
        <v>0</v>
      </c>
      <c r="O1815" s="22">
        <v>10800</v>
      </c>
      <c r="P1815" s="22">
        <v>10800</v>
      </c>
      <c r="Q1815" t="str" cm="1">
        <f t="array" ref="Q1815">_xlfn.TEXTJOIN("、",TRUE,IF('學員資料-三民高中'!$B$2:$B$454=$F1815,'學員資料-三民高中'!$G$2:$G$454,""))</f>
        <v/>
      </c>
      <c r="R1815" t="str" cm="1">
        <f t="array" ref="R1815">_xlfn.TEXTJOIN("、",TRUE,IF('學員資料-新北高中'!$B$2:$B$583=$F1815,'學員資料-新北高中'!$G$2:$G$583,""))</f>
        <v>0919176532</v>
      </c>
      <c r="S1815" t="str" cm="1">
        <f t="array" ref="S1815">_xlfn.TEXTJOIN("、",TRUE,IF('學員資料-三重商工'!$B$2:$B$472=$F1815,'學員資料-三重商工'!$G$2:$G$472,""))</f>
        <v/>
      </c>
      <c r="T1815">
        <f t="shared" si="28"/>
        <v>1</v>
      </c>
    </row>
    <row r="1816" spans="1:20" ht="14.25" hidden="1" customHeight="1">
      <c r="A1816" s="15">
        <v>1815</v>
      </c>
      <c r="B1816" s="16" t="s">
        <v>5639</v>
      </c>
      <c r="C1816" s="17">
        <v>45582</v>
      </c>
      <c r="D1816" s="15" t="s">
        <v>5640</v>
      </c>
      <c r="E1816" s="18" t="s">
        <v>3862</v>
      </c>
      <c r="F1816" s="19" t="s">
        <v>403</v>
      </c>
      <c r="G1816" s="18" t="s">
        <v>5641</v>
      </c>
      <c r="H1816" s="20" t="s">
        <v>5642</v>
      </c>
      <c r="I1816" s="15">
        <v>1</v>
      </c>
      <c r="J1816" s="15" t="s">
        <v>24</v>
      </c>
      <c r="K1816" s="21" t="s">
        <v>116</v>
      </c>
      <c r="L1816" s="21" t="s">
        <v>16</v>
      </c>
      <c r="M1816" s="22">
        <v>0</v>
      </c>
      <c r="N1816" s="22">
        <v>0</v>
      </c>
      <c r="O1816" s="22">
        <v>600</v>
      </c>
      <c r="P1816" s="22">
        <v>600</v>
      </c>
      <c r="Q1816" t="str" cm="1">
        <f t="array" ref="Q1816">_xlfn.TEXTJOIN("、",TRUE,IF('學員資料-三民高中'!$B$2:$B$454=$F1816,'學員資料-三民高中'!$G$2:$G$454,""))</f>
        <v/>
      </c>
      <c r="R1816" t="str" cm="1">
        <f t="array" ref="R1816">_xlfn.TEXTJOIN("、",TRUE,IF('學員資料-新北高中'!$B$2:$B$583=$F1816,'學員資料-新北高中'!$G$2:$G$583,""))</f>
        <v>0921991299</v>
      </c>
      <c r="S1816" t="str" cm="1">
        <f t="array" ref="S1816">_xlfn.TEXTJOIN("、",TRUE,IF('學員資料-三重商工'!$B$2:$B$472=$F1816,'學員資料-三重商工'!$G$2:$G$472,""))</f>
        <v/>
      </c>
      <c r="T1816">
        <f t="shared" si="28"/>
        <v>1</v>
      </c>
    </row>
    <row r="1817" spans="1:20" ht="14.25" hidden="1" customHeight="1">
      <c r="A1817" s="15">
        <v>1816</v>
      </c>
      <c r="B1817" s="16" t="s">
        <v>5643</v>
      </c>
      <c r="C1817" s="17">
        <v>45581</v>
      </c>
      <c r="D1817" s="15" t="s">
        <v>5644</v>
      </c>
      <c r="E1817" s="18" t="s">
        <v>954</v>
      </c>
      <c r="F1817" s="19" t="s">
        <v>2337</v>
      </c>
      <c r="G1817" s="18" t="s">
        <v>4635</v>
      </c>
      <c r="H1817" s="20" t="s">
        <v>5148</v>
      </c>
      <c r="I1817" s="15">
        <v>1</v>
      </c>
      <c r="J1817" s="15" t="s">
        <v>25</v>
      </c>
      <c r="K1817" s="15"/>
      <c r="L1817" s="21" t="s">
        <v>16</v>
      </c>
      <c r="M1817" s="22">
        <v>0</v>
      </c>
      <c r="N1817" s="22">
        <v>0</v>
      </c>
      <c r="O1817" s="22">
        <v>9000</v>
      </c>
      <c r="P1817" s="22">
        <v>9000</v>
      </c>
      <c r="Q1817" t="str" cm="1">
        <f t="array" ref="Q1817">_xlfn.TEXTJOIN("、",TRUE,IF('學員資料-三民高中'!$B$2:$B$454=$F1817,'學員資料-三民高中'!$G$2:$G$454,""))</f>
        <v>0989637222</v>
      </c>
      <c r="R1817" t="str" cm="1">
        <f t="array" ref="R1817">_xlfn.TEXTJOIN("、",TRUE,IF('學員資料-新北高中'!$B$2:$B$583=$F1817,'學員資料-新北高中'!$G$2:$G$583,""))</f>
        <v/>
      </c>
      <c r="S1817" t="str" cm="1">
        <f t="array" ref="S1817">_xlfn.TEXTJOIN("、",TRUE,IF('學員資料-三重商工'!$B$2:$B$472=$F1817,'學員資料-三重商工'!$G$2:$G$472,""))</f>
        <v/>
      </c>
      <c r="T1817">
        <f t="shared" si="28"/>
        <v>1</v>
      </c>
    </row>
    <row r="1818" spans="1:20" ht="28.5" hidden="1" customHeight="1">
      <c r="A1818" s="15">
        <v>1817</v>
      </c>
      <c r="B1818" s="16" t="s">
        <v>5645</v>
      </c>
      <c r="C1818" s="17">
        <v>45578</v>
      </c>
      <c r="D1818" s="15" t="s">
        <v>5646</v>
      </c>
      <c r="E1818" s="18" t="s">
        <v>954</v>
      </c>
      <c r="F1818" s="19" t="s">
        <v>5003</v>
      </c>
      <c r="G1818" s="18" t="s">
        <v>5004</v>
      </c>
      <c r="H1818" s="20" t="s">
        <v>5154</v>
      </c>
      <c r="I1818" s="15">
        <v>2</v>
      </c>
      <c r="J1818" s="15" t="s">
        <v>24</v>
      </c>
      <c r="K1818" s="15"/>
      <c r="L1818" s="21" t="s">
        <v>18</v>
      </c>
      <c r="M1818" s="22">
        <v>0</v>
      </c>
      <c r="N1818" s="22">
        <v>-1728</v>
      </c>
      <c r="O1818" s="22">
        <v>12672</v>
      </c>
      <c r="P1818" s="22">
        <v>12672</v>
      </c>
      <c r="Q1818" t="str" cm="1">
        <f t="array" ref="Q1818">_xlfn.TEXTJOIN("、",TRUE,IF('學員資料-三民高中'!$B$2:$B$454=$F1818,'學員資料-三民高中'!$G$2:$G$454,""))</f>
        <v>0915092265</v>
      </c>
      <c r="R1818" t="str" cm="1">
        <f t="array" ref="R1818">_xlfn.TEXTJOIN("、",TRUE,IF('學員資料-新北高中'!$B$2:$B$583=$F1818,'學員資料-新北高中'!$G$2:$G$583,""))</f>
        <v/>
      </c>
      <c r="S1818" t="str" cm="1">
        <f t="array" ref="S1818">_xlfn.TEXTJOIN("、",TRUE,IF('學員資料-三重商工'!$B$2:$B$472=$F1818,'學員資料-三重商工'!$G$2:$G$472,""))</f>
        <v/>
      </c>
      <c r="T1818">
        <f t="shared" si="28"/>
        <v>1</v>
      </c>
    </row>
    <row r="1819" spans="1:20" ht="14.25" hidden="1" customHeight="1">
      <c r="A1819" s="15">
        <v>1818</v>
      </c>
      <c r="B1819" s="16" t="s">
        <v>5647</v>
      </c>
      <c r="C1819" s="17">
        <v>45578</v>
      </c>
      <c r="D1819" s="15" t="s">
        <v>5648</v>
      </c>
      <c r="E1819" s="18" t="s">
        <v>954</v>
      </c>
      <c r="F1819" s="19" t="s">
        <v>2519</v>
      </c>
      <c r="G1819" s="18" t="s">
        <v>2520</v>
      </c>
      <c r="H1819" s="20" t="s">
        <v>5131</v>
      </c>
      <c r="I1819" s="15">
        <v>1</v>
      </c>
      <c r="J1819" s="15" t="s">
        <v>24</v>
      </c>
      <c r="K1819" s="15"/>
      <c r="L1819" s="21" t="s">
        <v>16</v>
      </c>
      <c r="M1819" s="22">
        <v>0</v>
      </c>
      <c r="N1819" s="22">
        <v>0</v>
      </c>
      <c r="O1819" s="22">
        <v>7200</v>
      </c>
      <c r="P1819" s="22">
        <v>7200</v>
      </c>
      <c r="Q1819" t="str" cm="1">
        <f t="array" ref="Q1819">_xlfn.TEXTJOIN("、",TRUE,IF('學員資料-三民高中'!$B$2:$B$454=$F1819,'學員資料-三民高中'!$G$2:$G$454,""))</f>
        <v>0933178605</v>
      </c>
      <c r="R1819" t="str" cm="1">
        <f t="array" ref="R1819">_xlfn.TEXTJOIN("、",TRUE,IF('學員資料-新北高中'!$B$2:$B$583=$F1819,'學員資料-新北高中'!$G$2:$G$583,""))</f>
        <v/>
      </c>
      <c r="S1819" t="str" cm="1">
        <f t="array" ref="S1819">_xlfn.TEXTJOIN("、",TRUE,IF('學員資料-三重商工'!$B$2:$B$472=$F1819,'學員資料-三重商工'!$G$2:$G$472,""))</f>
        <v/>
      </c>
      <c r="T1819">
        <f t="shared" si="28"/>
        <v>1</v>
      </c>
    </row>
    <row r="1820" spans="1:20" ht="14.25" hidden="1" customHeight="1">
      <c r="A1820" s="15">
        <v>1819</v>
      </c>
      <c r="B1820" s="16" t="s">
        <v>5649</v>
      </c>
      <c r="C1820" s="17">
        <v>45578</v>
      </c>
      <c r="D1820" s="15" t="s">
        <v>5650</v>
      </c>
      <c r="E1820" s="18" t="s">
        <v>954</v>
      </c>
      <c r="F1820" s="19" t="s">
        <v>5651</v>
      </c>
      <c r="G1820" s="18" t="s">
        <v>5652</v>
      </c>
      <c r="H1820" s="20" t="s">
        <v>5148</v>
      </c>
      <c r="I1820" s="15">
        <v>1</v>
      </c>
      <c r="J1820" s="15" t="s">
        <v>25</v>
      </c>
      <c r="K1820" s="15"/>
      <c r="L1820" s="21" t="s">
        <v>16</v>
      </c>
      <c r="M1820" s="22">
        <v>0</v>
      </c>
      <c r="N1820" s="22">
        <v>-1080</v>
      </c>
      <c r="O1820" s="22">
        <v>7920</v>
      </c>
      <c r="P1820" s="22">
        <v>7920</v>
      </c>
      <c r="Q1820" t="str" cm="1">
        <f t="array" ref="Q1820">_xlfn.TEXTJOIN("、",TRUE,IF('學員資料-三民高中'!$B$2:$B$454=$F1820,'學員資料-三民高中'!$G$2:$G$454,""))</f>
        <v/>
      </c>
      <c r="R1820" t="str" cm="1">
        <f t="array" ref="R1820">_xlfn.TEXTJOIN("、",TRUE,IF('學員資料-新北高中'!$B$2:$B$583=$F1820,'學員資料-新北高中'!$G$2:$G$583,""))</f>
        <v>0952986590-1</v>
      </c>
      <c r="S1820" t="str" cm="1">
        <f t="array" ref="S1820">_xlfn.TEXTJOIN("、",TRUE,IF('學員資料-三重商工'!$B$2:$B$472=$F1820,'學員資料-三重商工'!$G$2:$G$472,""))</f>
        <v/>
      </c>
      <c r="T1820">
        <f t="shared" si="28"/>
        <v>1</v>
      </c>
    </row>
    <row r="1821" spans="1:20" ht="14.25" hidden="1" customHeight="1">
      <c r="A1821" s="15">
        <v>1820</v>
      </c>
      <c r="B1821" s="16" t="s">
        <v>5653</v>
      </c>
      <c r="C1821" s="17">
        <v>45577</v>
      </c>
      <c r="D1821" s="15" t="s">
        <v>5654</v>
      </c>
      <c r="E1821" s="18" t="s">
        <v>954</v>
      </c>
      <c r="F1821" s="19" t="s">
        <v>5655</v>
      </c>
      <c r="G1821" s="18" t="s">
        <v>5656</v>
      </c>
      <c r="H1821" s="20" t="s">
        <v>5211</v>
      </c>
      <c r="I1821" s="15">
        <v>1</v>
      </c>
      <c r="J1821" s="15" t="s">
        <v>26</v>
      </c>
      <c r="K1821" s="15"/>
      <c r="L1821" s="21" t="s">
        <v>16</v>
      </c>
      <c r="M1821" s="22">
        <v>0</v>
      </c>
      <c r="N1821" s="22">
        <v>-1800</v>
      </c>
      <c r="O1821" s="22">
        <v>9000</v>
      </c>
      <c r="P1821" s="22">
        <v>9000</v>
      </c>
      <c r="Q1821" t="str" cm="1">
        <f t="array" ref="Q1821">_xlfn.TEXTJOIN("、",TRUE,IF('學員資料-三民高中'!$B$2:$B$454=$F1821,'學員資料-三民高中'!$G$2:$G$454,""))</f>
        <v>0953686290</v>
      </c>
      <c r="R1821" t="str" cm="1">
        <f t="array" ref="R1821">_xlfn.TEXTJOIN("、",TRUE,IF('學員資料-新北高中'!$B$2:$B$583=$F1821,'學員資料-新北高中'!$G$2:$G$583,""))</f>
        <v/>
      </c>
      <c r="S1821" t="str" cm="1">
        <f t="array" ref="S1821">_xlfn.TEXTJOIN("、",TRUE,IF('學員資料-三重商工'!$B$2:$B$472=$F1821,'學員資料-三重商工'!$G$2:$G$472,""))</f>
        <v/>
      </c>
      <c r="T1821">
        <f t="shared" si="28"/>
        <v>1</v>
      </c>
    </row>
    <row r="1822" spans="1:20" ht="14.25" hidden="1" customHeight="1">
      <c r="A1822" s="15">
        <v>1821</v>
      </c>
      <c r="B1822" s="16" t="s">
        <v>5657</v>
      </c>
      <c r="C1822" s="17">
        <v>45577</v>
      </c>
      <c r="D1822" s="15" t="s">
        <v>5658</v>
      </c>
      <c r="E1822" s="18" t="s">
        <v>954</v>
      </c>
      <c r="F1822" s="19" t="s">
        <v>5659</v>
      </c>
      <c r="G1822" s="18" t="s">
        <v>5660</v>
      </c>
      <c r="H1822" s="20" t="s">
        <v>5163</v>
      </c>
      <c r="I1822" s="15">
        <v>1</v>
      </c>
      <c r="J1822" s="15" t="s">
        <v>23</v>
      </c>
      <c r="K1822" s="15"/>
      <c r="L1822" s="21" t="s">
        <v>18</v>
      </c>
      <c r="M1822" s="22">
        <v>0</v>
      </c>
      <c r="N1822" s="22">
        <v>-660</v>
      </c>
      <c r="O1822" s="22">
        <v>5940</v>
      </c>
      <c r="P1822" s="22">
        <v>5940</v>
      </c>
      <c r="Q1822" t="str" cm="1">
        <f t="array" ref="Q1822">_xlfn.TEXTJOIN("、",TRUE,IF('學員資料-三民高中'!$B$2:$B$454=$F1822,'學員資料-三民高中'!$G$2:$G$454,""))</f>
        <v>0921501116</v>
      </c>
      <c r="R1822" t="str" cm="1">
        <f t="array" ref="R1822">_xlfn.TEXTJOIN("、",TRUE,IF('學員資料-新北高中'!$B$2:$B$583=$F1822,'學員資料-新北高中'!$G$2:$G$583,""))</f>
        <v/>
      </c>
      <c r="S1822" t="str" cm="1">
        <f t="array" ref="S1822">_xlfn.TEXTJOIN("、",TRUE,IF('學員資料-三重商工'!$B$2:$B$472=$F1822,'學員資料-三重商工'!$G$2:$G$472,""))</f>
        <v/>
      </c>
      <c r="T1822">
        <f t="shared" si="28"/>
        <v>1</v>
      </c>
    </row>
    <row r="1823" spans="1:20" ht="14.25" hidden="1" customHeight="1">
      <c r="A1823" s="15">
        <v>1822</v>
      </c>
      <c r="B1823" s="16" t="s">
        <v>5661</v>
      </c>
      <c r="C1823" s="17">
        <v>45577</v>
      </c>
      <c r="D1823" s="15" t="s">
        <v>5662</v>
      </c>
      <c r="E1823" s="18" t="s">
        <v>954</v>
      </c>
      <c r="F1823" s="19" t="s">
        <v>5655</v>
      </c>
      <c r="G1823" s="18" t="s">
        <v>5656</v>
      </c>
      <c r="H1823" s="20" t="s">
        <v>5211</v>
      </c>
      <c r="I1823" s="15">
        <v>1</v>
      </c>
      <c r="J1823" s="15" t="s">
        <v>26</v>
      </c>
      <c r="K1823" s="15"/>
      <c r="L1823" s="21" t="s">
        <v>16</v>
      </c>
      <c r="M1823" s="22">
        <v>0</v>
      </c>
      <c r="N1823" s="22">
        <v>-1800</v>
      </c>
      <c r="O1823" s="22">
        <v>9000</v>
      </c>
      <c r="P1823" s="22">
        <v>9000</v>
      </c>
      <c r="Q1823" t="str" cm="1">
        <f t="array" ref="Q1823">_xlfn.TEXTJOIN("、",TRUE,IF('學員資料-三民高中'!$B$2:$B$454=$F1823,'學員資料-三民高中'!$G$2:$G$454,""))</f>
        <v>0953686290</v>
      </c>
      <c r="R1823" t="str" cm="1">
        <f t="array" ref="R1823">_xlfn.TEXTJOIN("、",TRUE,IF('學員資料-新北高中'!$B$2:$B$583=$F1823,'學員資料-新北高中'!$G$2:$G$583,""))</f>
        <v/>
      </c>
      <c r="S1823" t="str" cm="1">
        <f t="array" ref="S1823">_xlfn.TEXTJOIN("、",TRUE,IF('學員資料-三重商工'!$B$2:$B$472=$F1823,'學員資料-三重商工'!$G$2:$G$472,""))</f>
        <v/>
      </c>
      <c r="T1823">
        <f t="shared" si="28"/>
        <v>1</v>
      </c>
    </row>
    <row r="1824" spans="1:20" ht="14.25" hidden="1" customHeight="1">
      <c r="A1824" s="15">
        <v>1823</v>
      </c>
      <c r="B1824" s="16" t="s">
        <v>5663</v>
      </c>
      <c r="C1824" s="17">
        <v>45577</v>
      </c>
      <c r="D1824" s="15" t="s">
        <v>5664</v>
      </c>
      <c r="E1824" s="18" t="s">
        <v>954</v>
      </c>
      <c r="F1824" s="19" t="s">
        <v>4372</v>
      </c>
      <c r="G1824" s="18" t="s">
        <v>4373</v>
      </c>
      <c r="H1824" s="20" t="s">
        <v>5131</v>
      </c>
      <c r="I1824" s="15">
        <v>1</v>
      </c>
      <c r="J1824" s="15" t="s">
        <v>24</v>
      </c>
      <c r="K1824" s="15"/>
      <c r="L1824" s="21" t="s">
        <v>16</v>
      </c>
      <c r="M1824" s="22">
        <v>0</v>
      </c>
      <c r="N1824" s="22">
        <v>0</v>
      </c>
      <c r="O1824" s="22">
        <v>7200</v>
      </c>
      <c r="P1824" s="22">
        <v>7200</v>
      </c>
      <c r="Q1824" t="str" cm="1">
        <f t="array" ref="Q1824">_xlfn.TEXTJOIN("、",TRUE,IF('學員資料-三民高中'!$B$2:$B$454=$F1824,'學員資料-三民高中'!$G$2:$G$454,""))</f>
        <v/>
      </c>
      <c r="R1824" t="str" cm="1">
        <f t="array" ref="R1824">_xlfn.TEXTJOIN("、",TRUE,IF('學員資料-新北高中'!$B$2:$B$583=$F1824,'學員資料-新北高中'!$G$2:$G$583,""))</f>
        <v/>
      </c>
      <c r="S1824" t="str" cm="1">
        <f t="array" ref="S1824">_xlfn.TEXTJOIN("、",TRUE,IF('學員資料-三重商工'!$B$2:$B$472=$F1824,'學員資料-三重商工'!$G$2:$G$472,""))</f>
        <v>0988233775</v>
      </c>
      <c r="T1824">
        <f t="shared" si="28"/>
        <v>1</v>
      </c>
    </row>
    <row r="1825" spans="1:20" ht="14.25" hidden="1" customHeight="1">
      <c r="A1825" s="15">
        <v>1824</v>
      </c>
      <c r="B1825" s="16" t="s">
        <v>5665</v>
      </c>
      <c r="C1825" s="17">
        <v>45577</v>
      </c>
      <c r="D1825" s="15" t="s">
        <v>5666</v>
      </c>
      <c r="E1825" s="18" t="s">
        <v>954</v>
      </c>
      <c r="F1825" s="19" t="s">
        <v>5655</v>
      </c>
      <c r="G1825" s="18" t="s">
        <v>5656</v>
      </c>
      <c r="H1825" s="20" t="s">
        <v>5211</v>
      </c>
      <c r="I1825" s="15">
        <v>1</v>
      </c>
      <c r="J1825" s="15" t="s">
        <v>26</v>
      </c>
      <c r="K1825" s="15"/>
      <c r="L1825" s="21" t="s">
        <v>16</v>
      </c>
      <c r="M1825" s="22">
        <v>0</v>
      </c>
      <c r="N1825" s="22">
        <v>0</v>
      </c>
      <c r="O1825" s="22">
        <v>10800</v>
      </c>
      <c r="P1825" s="22">
        <v>10800</v>
      </c>
      <c r="Q1825" t="str" cm="1">
        <f t="array" ref="Q1825">_xlfn.TEXTJOIN("、",TRUE,IF('學員資料-三民高中'!$B$2:$B$454=$F1825,'學員資料-三民高中'!$G$2:$G$454,""))</f>
        <v>0953686290</v>
      </c>
      <c r="R1825" t="str" cm="1">
        <f t="array" ref="R1825">_xlfn.TEXTJOIN("、",TRUE,IF('學員資料-新北高中'!$B$2:$B$583=$F1825,'學員資料-新北高中'!$G$2:$G$583,""))</f>
        <v/>
      </c>
      <c r="S1825" t="str" cm="1">
        <f t="array" ref="S1825">_xlfn.TEXTJOIN("、",TRUE,IF('學員資料-三重商工'!$B$2:$B$472=$F1825,'學員資料-三重商工'!$G$2:$G$472,""))</f>
        <v/>
      </c>
      <c r="T1825">
        <f t="shared" si="28"/>
        <v>1</v>
      </c>
    </row>
    <row r="1826" spans="1:20" ht="14.25" hidden="1" customHeight="1">
      <c r="A1826" s="15">
        <v>1825</v>
      </c>
      <c r="B1826" s="16" t="s">
        <v>5667</v>
      </c>
      <c r="C1826" s="17">
        <v>45577</v>
      </c>
      <c r="D1826" s="15" t="s">
        <v>5668</v>
      </c>
      <c r="E1826" s="18" t="s">
        <v>954</v>
      </c>
      <c r="F1826" s="19" t="s">
        <v>5669</v>
      </c>
      <c r="G1826" s="18" t="s">
        <v>5670</v>
      </c>
      <c r="H1826" s="20" t="s">
        <v>5131</v>
      </c>
      <c r="I1826" s="15">
        <v>1</v>
      </c>
      <c r="J1826" s="15" t="s">
        <v>24</v>
      </c>
      <c r="K1826" s="15"/>
      <c r="L1826" s="21" t="s">
        <v>16</v>
      </c>
      <c r="M1826" s="22">
        <v>0</v>
      </c>
      <c r="N1826" s="22">
        <v>0</v>
      </c>
      <c r="O1826" s="22">
        <v>7200</v>
      </c>
      <c r="P1826" s="22">
        <v>7200</v>
      </c>
      <c r="Q1826" t="str" cm="1">
        <f t="array" ref="Q1826">_xlfn.TEXTJOIN("、",TRUE,IF('學員資料-三民高中'!$B$2:$B$454=$F1826,'學員資料-三民高中'!$G$2:$G$454,""))</f>
        <v/>
      </c>
      <c r="R1826" t="str" cm="1">
        <f t="array" ref="R1826">_xlfn.TEXTJOIN("、",TRUE,IF('學員資料-新北高中'!$B$2:$B$583=$F1826,'學員資料-新北高中'!$G$2:$G$583,""))</f>
        <v>0956955880-1</v>
      </c>
      <c r="S1826" t="str" cm="1">
        <f t="array" ref="S1826">_xlfn.TEXTJOIN("、",TRUE,IF('學員資料-三重商工'!$B$2:$B$472=$F1826,'學員資料-三重商工'!$G$2:$G$472,""))</f>
        <v/>
      </c>
      <c r="T1826">
        <f t="shared" si="28"/>
        <v>1</v>
      </c>
    </row>
    <row r="1827" spans="1:20" ht="14.25" hidden="1" customHeight="1">
      <c r="A1827" s="15">
        <v>1826</v>
      </c>
      <c r="B1827" s="16" t="s">
        <v>5671</v>
      </c>
      <c r="C1827" s="17">
        <v>45577</v>
      </c>
      <c r="D1827" s="15" t="s">
        <v>5672</v>
      </c>
      <c r="E1827" s="18" t="s">
        <v>954</v>
      </c>
      <c r="F1827" s="19" t="s">
        <v>5669</v>
      </c>
      <c r="G1827" s="18" t="s">
        <v>5670</v>
      </c>
      <c r="H1827" s="20" t="s">
        <v>5131</v>
      </c>
      <c r="I1827" s="15">
        <v>1</v>
      </c>
      <c r="J1827" s="15" t="s">
        <v>24</v>
      </c>
      <c r="K1827" s="15"/>
      <c r="L1827" s="21" t="s">
        <v>16</v>
      </c>
      <c r="M1827" s="22">
        <v>0</v>
      </c>
      <c r="N1827" s="22">
        <v>0</v>
      </c>
      <c r="O1827" s="22">
        <v>7200</v>
      </c>
      <c r="P1827" s="22">
        <v>7200</v>
      </c>
      <c r="Q1827" t="str" cm="1">
        <f t="array" ref="Q1827">_xlfn.TEXTJOIN("、",TRUE,IF('學員資料-三民高中'!$B$2:$B$454=$F1827,'學員資料-三民高中'!$G$2:$G$454,""))</f>
        <v/>
      </c>
      <c r="R1827" t="str" cm="1">
        <f t="array" ref="R1827">_xlfn.TEXTJOIN("、",TRUE,IF('學員資料-新北高中'!$B$2:$B$583=$F1827,'學員資料-新北高中'!$G$2:$G$583,""))</f>
        <v>0956955880-1</v>
      </c>
      <c r="S1827" t="str" cm="1">
        <f t="array" ref="S1827">_xlfn.TEXTJOIN("、",TRUE,IF('學員資料-三重商工'!$B$2:$B$472=$F1827,'學員資料-三重商工'!$G$2:$G$472,""))</f>
        <v/>
      </c>
      <c r="T1827">
        <f t="shared" si="28"/>
        <v>1</v>
      </c>
    </row>
    <row r="1828" spans="1:20" ht="14.25" hidden="1" customHeight="1">
      <c r="A1828" s="15">
        <v>1827</v>
      </c>
      <c r="B1828" s="16" t="s">
        <v>5673</v>
      </c>
      <c r="C1828" s="17">
        <v>45577</v>
      </c>
      <c r="D1828" s="15" t="s">
        <v>5674</v>
      </c>
      <c r="E1828" s="18" t="s">
        <v>954</v>
      </c>
      <c r="F1828" s="19" t="s">
        <v>5669</v>
      </c>
      <c r="G1828" s="18" t="s">
        <v>5670</v>
      </c>
      <c r="H1828" s="20" t="s">
        <v>5131</v>
      </c>
      <c r="I1828" s="15">
        <v>1</v>
      </c>
      <c r="J1828" s="15" t="s">
        <v>24</v>
      </c>
      <c r="K1828" s="15"/>
      <c r="L1828" s="21" t="s">
        <v>16</v>
      </c>
      <c r="M1828" s="22">
        <v>0</v>
      </c>
      <c r="N1828" s="22">
        <v>0</v>
      </c>
      <c r="O1828" s="22">
        <v>7200</v>
      </c>
      <c r="P1828" s="22">
        <v>7200</v>
      </c>
      <c r="Q1828" t="str" cm="1">
        <f t="array" ref="Q1828">_xlfn.TEXTJOIN("、",TRUE,IF('學員資料-三民高中'!$B$2:$B$454=$F1828,'學員資料-三民高中'!$G$2:$G$454,""))</f>
        <v/>
      </c>
      <c r="R1828" t="str" cm="1">
        <f t="array" ref="R1828">_xlfn.TEXTJOIN("、",TRUE,IF('學員資料-新北高中'!$B$2:$B$583=$F1828,'學員資料-新北高中'!$G$2:$G$583,""))</f>
        <v>0956955880-1</v>
      </c>
      <c r="S1828" t="str" cm="1">
        <f t="array" ref="S1828">_xlfn.TEXTJOIN("、",TRUE,IF('學員資料-三重商工'!$B$2:$B$472=$F1828,'學員資料-三重商工'!$G$2:$G$472,""))</f>
        <v/>
      </c>
      <c r="T1828">
        <f t="shared" si="28"/>
        <v>1</v>
      </c>
    </row>
    <row r="1829" spans="1:20" ht="14.25" hidden="1" customHeight="1">
      <c r="A1829" s="15">
        <v>1828</v>
      </c>
      <c r="B1829" s="16" t="s">
        <v>5675</v>
      </c>
      <c r="C1829" s="17">
        <v>45577</v>
      </c>
      <c r="D1829" s="15" t="s">
        <v>5676</v>
      </c>
      <c r="E1829" s="18" t="s">
        <v>954</v>
      </c>
      <c r="F1829" s="19" t="s">
        <v>5669</v>
      </c>
      <c r="G1829" s="18" t="s">
        <v>5670</v>
      </c>
      <c r="H1829" s="20" t="s">
        <v>5131</v>
      </c>
      <c r="I1829" s="15">
        <v>1</v>
      </c>
      <c r="J1829" s="15" t="s">
        <v>24</v>
      </c>
      <c r="K1829" s="15"/>
      <c r="L1829" s="21" t="s">
        <v>16</v>
      </c>
      <c r="M1829" s="22">
        <v>0</v>
      </c>
      <c r="N1829" s="22">
        <v>0</v>
      </c>
      <c r="O1829" s="22">
        <v>7200</v>
      </c>
      <c r="P1829" s="22">
        <v>7200</v>
      </c>
      <c r="Q1829" t="str" cm="1">
        <f t="array" ref="Q1829">_xlfn.TEXTJOIN("、",TRUE,IF('學員資料-三民高中'!$B$2:$B$454=$F1829,'學員資料-三民高中'!$G$2:$G$454,""))</f>
        <v/>
      </c>
      <c r="R1829" t="str" cm="1">
        <f t="array" ref="R1829">_xlfn.TEXTJOIN("、",TRUE,IF('學員資料-新北高中'!$B$2:$B$583=$F1829,'學員資料-新北高中'!$G$2:$G$583,""))</f>
        <v>0956955880-1</v>
      </c>
      <c r="S1829" t="str" cm="1">
        <f t="array" ref="S1829">_xlfn.TEXTJOIN("、",TRUE,IF('學員資料-三重商工'!$B$2:$B$472=$F1829,'學員資料-三重商工'!$G$2:$G$472,""))</f>
        <v/>
      </c>
      <c r="T1829">
        <f t="shared" si="28"/>
        <v>1</v>
      </c>
    </row>
    <row r="1830" spans="1:20" ht="14.25" hidden="1" customHeight="1">
      <c r="A1830" s="15">
        <v>1829</v>
      </c>
      <c r="B1830" s="16" t="s">
        <v>5677</v>
      </c>
      <c r="C1830" s="17">
        <v>45577</v>
      </c>
      <c r="D1830" s="15" t="s">
        <v>5678</v>
      </c>
      <c r="E1830" s="18" t="s">
        <v>954</v>
      </c>
      <c r="F1830" s="19" t="s">
        <v>5679</v>
      </c>
      <c r="G1830" s="18" t="s">
        <v>5680</v>
      </c>
      <c r="H1830" s="20" t="s">
        <v>5163</v>
      </c>
      <c r="I1830" s="15">
        <v>1</v>
      </c>
      <c r="J1830" s="15" t="s">
        <v>23</v>
      </c>
      <c r="K1830" s="15"/>
      <c r="L1830" s="21" t="s">
        <v>16</v>
      </c>
      <c r="M1830" s="22">
        <v>0</v>
      </c>
      <c r="N1830" s="22">
        <v>0</v>
      </c>
      <c r="O1830" s="22">
        <v>6600</v>
      </c>
      <c r="P1830" s="22">
        <v>6600</v>
      </c>
      <c r="Q1830" t="str" cm="1">
        <f t="array" ref="Q1830">_xlfn.TEXTJOIN("、",TRUE,IF('學員資料-三民高中'!$B$2:$B$454=$F1830,'學員資料-三民高中'!$G$2:$G$454,""))</f>
        <v/>
      </c>
      <c r="R1830" t="str" cm="1">
        <f t="array" ref="R1830">_xlfn.TEXTJOIN("、",TRUE,IF('學員資料-新北高中'!$B$2:$B$583=$F1830,'學員資料-新北高中'!$G$2:$G$583,""))</f>
        <v>0956955880</v>
      </c>
      <c r="S1830" t="str" cm="1">
        <f t="array" ref="S1830">_xlfn.TEXTJOIN("、",TRUE,IF('學員資料-三重商工'!$B$2:$B$472=$F1830,'學員資料-三重商工'!$G$2:$G$472,""))</f>
        <v/>
      </c>
      <c r="T1830">
        <f t="shared" si="28"/>
        <v>1</v>
      </c>
    </row>
    <row r="1831" spans="1:20" ht="14.25" hidden="1" customHeight="1">
      <c r="A1831" s="15">
        <v>1830</v>
      </c>
      <c r="B1831" s="16" t="s">
        <v>5681</v>
      </c>
      <c r="C1831" s="17">
        <v>45577</v>
      </c>
      <c r="D1831" s="15" t="s">
        <v>5682</v>
      </c>
      <c r="E1831" s="18" t="s">
        <v>954</v>
      </c>
      <c r="F1831" s="19" t="s">
        <v>5679</v>
      </c>
      <c r="G1831" s="18" t="s">
        <v>5680</v>
      </c>
      <c r="H1831" s="20" t="s">
        <v>5163</v>
      </c>
      <c r="I1831" s="15">
        <v>1</v>
      </c>
      <c r="J1831" s="15" t="s">
        <v>23</v>
      </c>
      <c r="K1831" s="15"/>
      <c r="L1831" s="21" t="s">
        <v>16</v>
      </c>
      <c r="M1831" s="22">
        <v>0</v>
      </c>
      <c r="N1831" s="22">
        <v>0</v>
      </c>
      <c r="O1831" s="22">
        <v>6600</v>
      </c>
      <c r="P1831" s="22">
        <v>6600</v>
      </c>
      <c r="Q1831" t="str" cm="1">
        <f t="array" ref="Q1831">_xlfn.TEXTJOIN("、",TRUE,IF('學員資料-三民高中'!$B$2:$B$454=$F1831,'學員資料-三民高中'!$G$2:$G$454,""))</f>
        <v/>
      </c>
      <c r="R1831" t="str" cm="1">
        <f t="array" ref="R1831">_xlfn.TEXTJOIN("、",TRUE,IF('學員資料-新北高中'!$B$2:$B$583=$F1831,'學員資料-新北高中'!$G$2:$G$583,""))</f>
        <v>0956955880</v>
      </c>
      <c r="S1831" t="str" cm="1">
        <f t="array" ref="S1831">_xlfn.TEXTJOIN("、",TRUE,IF('學員資料-三重商工'!$B$2:$B$472=$F1831,'學員資料-三重商工'!$G$2:$G$472,""))</f>
        <v/>
      </c>
      <c r="T1831">
        <f t="shared" si="28"/>
        <v>1</v>
      </c>
    </row>
    <row r="1832" spans="1:20" ht="14.25" hidden="1" customHeight="1">
      <c r="A1832" s="15">
        <v>1831</v>
      </c>
      <c r="B1832" s="16" t="s">
        <v>5683</v>
      </c>
      <c r="C1832" s="17">
        <v>45577</v>
      </c>
      <c r="D1832" s="15" t="s">
        <v>5684</v>
      </c>
      <c r="E1832" s="18" t="s">
        <v>954</v>
      </c>
      <c r="F1832" s="19" t="s">
        <v>5679</v>
      </c>
      <c r="G1832" s="18" t="s">
        <v>5680</v>
      </c>
      <c r="H1832" s="20" t="s">
        <v>5163</v>
      </c>
      <c r="I1832" s="15">
        <v>1</v>
      </c>
      <c r="J1832" s="15" t="s">
        <v>23</v>
      </c>
      <c r="K1832" s="15"/>
      <c r="L1832" s="21" t="s">
        <v>16</v>
      </c>
      <c r="M1832" s="22">
        <v>0</v>
      </c>
      <c r="N1832" s="22">
        <v>0</v>
      </c>
      <c r="O1832" s="22">
        <v>6600</v>
      </c>
      <c r="P1832" s="22">
        <v>6600</v>
      </c>
      <c r="Q1832" t="str" cm="1">
        <f t="array" ref="Q1832">_xlfn.TEXTJOIN("、",TRUE,IF('學員資料-三民高中'!$B$2:$B$454=$F1832,'學員資料-三民高中'!$G$2:$G$454,""))</f>
        <v/>
      </c>
      <c r="R1832" t="str" cm="1">
        <f t="array" ref="R1832">_xlfn.TEXTJOIN("、",TRUE,IF('學員資料-新北高中'!$B$2:$B$583=$F1832,'學員資料-新北高中'!$G$2:$G$583,""))</f>
        <v>0956955880</v>
      </c>
      <c r="S1832" t="str" cm="1">
        <f t="array" ref="S1832">_xlfn.TEXTJOIN("、",TRUE,IF('學員資料-三重商工'!$B$2:$B$472=$F1832,'學員資料-三重商工'!$G$2:$G$472,""))</f>
        <v/>
      </c>
      <c r="T1832">
        <f t="shared" si="28"/>
        <v>1</v>
      </c>
    </row>
    <row r="1833" spans="1:20" ht="14.25" hidden="1" customHeight="1">
      <c r="A1833" s="15">
        <v>1832</v>
      </c>
      <c r="B1833" s="16" t="s">
        <v>5685</v>
      </c>
      <c r="C1833" s="17">
        <v>45577</v>
      </c>
      <c r="D1833" s="15" t="s">
        <v>5686</v>
      </c>
      <c r="E1833" s="18" t="s">
        <v>954</v>
      </c>
      <c r="F1833" s="19" t="s">
        <v>5687</v>
      </c>
      <c r="G1833" s="18" t="s">
        <v>5688</v>
      </c>
      <c r="H1833" s="20" t="s">
        <v>5131</v>
      </c>
      <c r="I1833" s="15">
        <v>1</v>
      </c>
      <c r="J1833" s="15" t="s">
        <v>24</v>
      </c>
      <c r="K1833" s="15"/>
      <c r="L1833" s="21" t="s">
        <v>16</v>
      </c>
      <c r="M1833" s="22">
        <v>0</v>
      </c>
      <c r="N1833" s="22">
        <v>0</v>
      </c>
      <c r="O1833" s="22">
        <v>7200</v>
      </c>
      <c r="P1833" s="22">
        <v>7200</v>
      </c>
      <c r="Q1833" t="str" cm="1">
        <f t="array" ref="Q1833">_xlfn.TEXTJOIN("、",TRUE,IF('學員資料-三民高中'!$B$2:$B$454=$F1833,'學員資料-三民高中'!$G$2:$G$454,""))</f>
        <v>09123456782</v>
      </c>
      <c r="R1833" t="str" cm="1">
        <f t="array" ref="R1833">_xlfn.TEXTJOIN("、",TRUE,IF('學員資料-新北高中'!$B$2:$B$583=$F1833,'學員資料-新北高中'!$G$2:$G$583,""))</f>
        <v/>
      </c>
      <c r="S1833" t="str" cm="1">
        <f t="array" ref="S1833">_xlfn.TEXTJOIN("、",TRUE,IF('學員資料-三重商工'!$B$2:$B$472=$F1833,'學員資料-三重商工'!$G$2:$G$472,""))</f>
        <v/>
      </c>
      <c r="T1833">
        <f t="shared" si="28"/>
        <v>1</v>
      </c>
    </row>
    <row r="1834" spans="1:20" ht="14.25" hidden="1" customHeight="1">
      <c r="A1834" s="15">
        <v>1833</v>
      </c>
      <c r="B1834" s="16" t="s">
        <v>5689</v>
      </c>
      <c r="C1834" s="17">
        <v>45577</v>
      </c>
      <c r="D1834" s="15" t="s">
        <v>5690</v>
      </c>
      <c r="E1834" s="18" t="s">
        <v>954</v>
      </c>
      <c r="F1834" s="19" t="s">
        <v>5691</v>
      </c>
      <c r="G1834" s="18" t="s">
        <v>5692</v>
      </c>
      <c r="H1834" s="20" t="s">
        <v>5163</v>
      </c>
      <c r="I1834" s="15">
        <v>1</v>
      </c>
      <c r="J1834" s="15" t="s">
        <v>23</v>
      </c>
      <c r="K1834" s="15"/>
      <c r="L1834" s="21" t="s">
        <v>16</v>
      </c>
      <c r="M1834" s="22">
        <v>0</v>
      </c>
      <c r="N1834" s="22">
        <v>0</v>
      </c>
      <c r="O1834" s="22">
        <v>6600</v>
      </c>
      <c r="P1834" s="22">
        <v>6600</v>
      </c>
      <c r="Q1834" t="str" cm="1">
        <f t="array" ref="Q1834">_xlfn.TEXTJOIN("、",TRUE,IF('學員資料-三民高中'!$B$2:$B$454=$F1834,'學員資料-三民高中'!$G$2:$G$454,""))</f>
        <v>09123456781</v>
      </c>
      <c r="R1834" t="str" cm="1">
        <f t="array" ref="R1834">_xlfn.TEXTJOIN("、",TRUE,IF('學員資料-新北高中'!$B$2:$B$583=$F1834,'學員資料-新北高中'!$G$2:$G$583,""))</f>
        <v/>
      </c>
      <c r="S1834" t="str" cm="1">
        <f t="array" ref="S1834">_xlfn.TEXTJOIN("、",TRUE,IF('學員資料-三重商工'!$B$2:$B$472=$F1834,'學員資料-三重商工'!$G$2:$G$472,""))</f>
        <v/>
      </c>
      <c r="T1834">
        <f t="shared" si="28"/>
        <v>1</v>
      </c>
    </row>
    <row r="1835" spans="1:20" ht="14.25" hidden="1" customHeight="1">
      <c r="A1835" s="15">
        <v>1834</v>
      </c>
      <c r="B1835" s="16" t="s">
        <v>5693</v>
      </c>
      <c r="C1835" s="17">
        <v>45577</v>
      </c>
      <c r="D1835" s="15" t="s">
        <v>5694</v>
      </c>
      <c r="E1835" s="18" t="s">
        <v>954</v>
      </c>
      <c r="F1835" s="19" t="s">
        <v>5007</v>
      </c>
      <c r="G1835" s="18" t="s">
        <v>5008</v>
      </c>
      <c r="H1835" s="20" t="s">
        <v>5131</v>
      </c>
      <c r="I1835" s="15">
        <v>1</v>
      </c>
      <c r="J1835" s="15" t="s">
        <v>24</v>
      </c>
      <c r="K1835" s="15"/>
      <c r="L1835" s="21" t="s">
        <v>16</v>
      </c>
      <c r="M1835" s="22">
        <v>0</v>
      </c>
      <c r="N1835" s="22">
        <v>0</v>
      </c>
      <c r="O1835" s="22">
        <v>7200</v>
      </c>
      <c r="P1835" s="22">
        <v>7200</v>
      </c>
      <c r="Q1835" t="str" cm="1">
        <f t="array" ref="Q1835">_xlfn.TEXTJOIN("、",TRUE,IF('學員資料-三民高中'!$B$2:$B$454=$F1835,'學員資料-三民高中'!$G$2:$G$454,""))</f>
        <v>0918530532</v>
      </c>
      <c r="R1835" t="str" cm="1">
        <f t="array" ref="R1835">_xlfn.TEXTJOIN("、",TRUE,IF('學員資料-新北高中'!$B$2:$B$583=$F1835,'學員資料-新北高中'!$G$2:$G$583,""))</f>
        <v/>
      </c>
      <c r="S1835" t="str" cm="1">
        <f t="array" ref="S1835">_xlfn.TEXTJOIN("、",TRUE,IF('學員資料-三重商工'!$B$2:$B$472=$F1835,'學員資料-三重商工'!$G$2:$G$472,""))</f>
        <v/>
      </c>
      <c r="T1835">
        <f t="shared" si="28"/>
        <v>1</v>
      </c>
    </row>
    <row r="1836" spans="1:20" ht="14.25" hidden="1" customHeight="1">
      <c r="A1836" s="15">
        <v>1835</v>
      </c>
      <c r="B1836" s="16" t="s">
        <v>5695</v>
      </c>
      <c r="C1836" s="17">
        <v>45577</v>
      </c>
      <c r="D1836" s="15" t="s">
        <v>5696</v>
      </c>
      <c r="E1836" s="18" t="s">
        <v>954</v>
      </c>
      <c r="F1836" s="19" t="s">
        <v>5697</v>
      </c>
      <c r="G1836" s="18" t="s">
        <v>5698</v>
      </c>
      <c r="H1836" s="20" t="s">
        <v>5163</v>
      </c>
      <c r="I1836" s="15">
        <v>1</v>
      </c>
      <c r="J1836" s="15" t="s">
        <v>23</v>
      </c>
      <c r="K1836" s="15"/>
      <c r="L1836" s="21" t="s">
        <v>16</v>
      </c>
      <c r="M1836" s="22">
        <v>0</v>
      </c>
      <c r="N1836" s="22">
        <v>0</v>
      </c>
      <c r="O1836" s="22">
        <v>6600</v>
      </c>
      <c r="P1836" s="22">
        <v>6600</v>
      </c>
      <c r="Q1836" t="str" cm="1">
        <f t="array" ref="Q1836">_xlfn.TEXTJOIN("、",TRUE,IF('學員資料-三民高中'!$B$2:$B$454=$F1836,'學員資料-三民高中'!$G$2:$G$454,""))</f>
        <v>0917787889</v>
      </c>
      <c r="R1836" t="str" cm="1">
        <f t="array" ref="R1836">_xlfn.TEXTJOIN("、",TRUE,IF('學員資料-新北高中'!$B$2:$B$583=$F1836,'學員資料-新北高中'!$G$2:$G$583,""))</f>
        <v/>
      </c>
      <c r="S1836" t="str" cm="1">
        <f t="array" ref="S1836">_xlfn.TEXTJOIN("、",TRUE,IF('學員資料-三重商工'!$B$2:$B$472=$F1836,'學員資料-三重商工'!$G$2:$G$472,""))</f>
        <v/>
      </c>
      <c r="T1836">
        <f t="shared" si="28"/>
        <v>1</v>
      </c>
    </row>
    <row r="1837" spans="1:20" ht="14.25" hidden="1" customHeight="1">
      <c r="A1837" s="15">
        <v>1836</v>
      </c>
      <c r="B1837" s="16" t="s">
        <v>5699</v>
      </c>
      <c r="C1837" s="17">
        <v>45577</v>
      </c>
      <c r="D1837" s="15" t="s">
        <v>5700</v>
      </c>
      <c r="E1837" s="18" t="s">
        <v>954</v>
      </c>
      <c r="F1837" s="19" t="s">
        <v>5576</v>
      </c>
      <c r="G1837" s="18" t="s">
        <v>5577</v>
      </c>
      <c r="H1837" s="20" t="s">
        <v>5211</v>
      </c>
      <c r="I1837" s="15">
        <v>1</v>
      </c>
      <c r="J1837" s="15" t="s">
        <v>26</v>
      </c>
      <c r="K1837" s="15"/>
      <c r="L1837" s="21" t="s">
        <v>16</v>
      </c>
      <c r="M1837" s="22">
        <v>0</v>
      </c>
      <c r="N1837" s="22">
        <v>-1296</v>
      </c>
      <c r="O1837" s="22">
        <v>9504</v>
      </c>
      <c r="P1837" s="22">
        <v>9504</v>
      </c>
      <c r="Q1837" t="str" cm="1">
        <f t="array" ref="Q1837">_xlfn.TEXTJOIN("、",TRUE,IF('學員資料-三民高中'!$B$2:$B$454=$F1837,'學員資料-三民高中'!$G$2:$G$454,""))</f>
        <v/>
      </c>
      <c r="R1837" t="str" cm="1">
        <f t="array" ref="R1837">_xlfn.TEXTJOIN("、",TRUE,IF('學員資料-新北高中'!$B$2:$B$583=$F1837,'學員資料-新北高中'!$G$2:$G$583,""))</f>
        <v>0955793016</v>
      </c>
      <c r="S1837" t="str" cm="1">
        <f t="array" ref="S1837">_xlfn.TEXTJOIN("、",TRUE,IF('學員資料-三重商工'!$B$2:$B$472=$F1837,'學員資料-三重商工'!$G$2:$G$472,""))</f>
        <v/>
      </c>
      <c r="T1837">
        <f t="shared" si="28"/>
        <v>1</v>
      </c>
    </row>
    <row r="1838" spans="1:20" ht="14.25" hidden="1" customHeight="1">
      <c r="A1838" s="15">
        <v>1837</v>
      </c>
      <c r="B1838" s="16" t="s">
        <v>5701</v>
      </c>
      <c r="C1838" s="17">
        <v>45577</v>
      </c>
      <c r="D1838" s="15" t="s">
        <v>5702</v>
      </c>
      <c r="E1838" s="18" t="s">
        <v>954</v>
      </c>
      <c r="F1838" s="19" t="s">
        <v>5703</v>
      </c>
      <c r="G1838" s="18" t="s">
        <v>5704</v>
      </c>
      <c r="H1838" s="20" t="s">
        <v>5163</v>
      </c>
      <c r="I1838" s="15">
        <v>1</v>
      </c>
      <c r="J1838" s="15" t="s">
        <v>23</v>
      </c>
      <c r="K1838" s="15"/>
      <c r="L1838" s="21" t="s">
        <v>16</v>
      </c>
      <c r="M1838" s="22">
        <v>0</v>
      </c>
      <c r="N1838" s="22">
        <v>-660</v>
      </c>
      <c r="O1838" s="22">
        <v>5940</v>
      </c>
      <c r="P1838" s="22">
        <v>5940</v>
      </c>
      <c r="Q1838" t="str" cm="1">
        <f t="array" ref="Q1838">_xlfn.TEXTJOIN("、",TRUE,IF('學員資料-三民高中'!$B$2:$B$454=$F1838,'學員資料-三民高中'!$G$2:$G$454,""))</f>
        <v>0933765644</v>
      </c>
      <c r="R1838" t="str" cm="1">
        <f t="array" ref="R1838">_xlfn.TEXTJOIN("、",TRUE,IF('學員資料-新北高中'!$B$2:$B$583=$F1838,'學員資料-新北高中'!$G$2:$G$583,""))</f>
        <v/>
      </c>
      <c r="S1838" t="str" cm="1">
        <f t="array" ref="S1838">_xlfn.TEXTJOIN("、",TRUE,IF('學員資料-三重商工'!$B$2:$B$472=$F1838,'學員資料-三重商工'!$G$2:$G$472,""))</f>
        <v/>
      </c>
      <c r="T1838">
        <f t="shared" si="28"/>
        <v>1</v>
      </c>
    </row>
    <row r="1839" spans="1:20" ht="28.5" hidden="1" customHeight="1">
      <c r="A1839" s="15">
        <v>1838</v>
      </c>
      <c r="B1839" s="16" t="s">
        <v>5705</v>
      </c>
      <c r="C1839" s="17">
        <v>45577</v>
      </c>
      <c r="D1839" s="15" t="s">
        <v>5706</v>
      </c>
      <c r="E1839" s="18" t="s">
        <v>954</v>
      </c>
      <c r="F1839" s="19" t="s">
        <v>2555</v>
      </c>
      <c r="G1839" s="18" t="s">
        <v>2556</v>
      </c>
      <c r="H1839" s="20" t="s">
        <v>5206</v>
      </c>
      <c r="I1839" s="15">
        <v>2</v>
      </c>
      <c r="J1839" s="15" t="s">
        <v>23</v>
      </c>
      <c r="K1839" s="15"/>
      <c r="L1839" s="21" t="s">
        <v>16</v>
      </c>
      <c r="M1839" s="22">
        <v>0</v>
      </c>
      <c r="N1839" s="22">
        <v>-1320</v>
      </c>
      <c r="O1839" s="22">
        <v>11880</v>
      </c>
      <c r="P1839" s="22">
        <v>11880</v>
      </c>
      <c r="Q1839" t="str" cm="1">
        <f t="array" ref="Q1839">_xlfn.TEXTJOIN("、",TRUE,IF('學員資料-三民高中'!$B$2:$B$454=$F1839,'學員資料-三民高中'!$G$2:$G$454,""))</f>
        <v>0955109120</v>
      </c>
      <c r="R1839" t="str" cm="1">
        <f t="array" ref="R1839">_xlfn.TEXTJOIN("、",TRUE,IF('學員資料-新北高中'!$B$2:$B$583=$F1839,'學員資料-新北高中'!$G$2:$G$583,""))</f>
        <v/>
      </c>
      <c r="S1839" t="str" cm="1">
        <f t="array" ref="S1839">_xlfn.TEXTJOIN("、",TRUE,IF('學員資料-三重商工'!$B$2:$B$472=$F1839,'學員資料-三重商工'!$G$2:$G$472,""))</f>
        <v/>
      </c>
      <c r="T1839">
        <f t="shared" si="28"/>
        <v>1</v>
      </c>
    </row>
    <row r="1840" spans="1:20" ht="28.5" hidden="1" customHeight="1">
      <c r="A1840" s="15">
        <v>1839</v>
      </c>
      <c r="B1840" s="16" t="s">
        <v>5707</v>
      </c>
      <c r="C1840" s="17">
        <v>45577</v>
      </c>
      <c r="D1840" s="15" t="s">
        <v>5708</v>
      </c>
      <c r="E1840" s="18" t="s">
        <v>954</v>
      </c>
      <c r="F1840" s="19" t="s">
        <v>5709</v>
      </c>
      <c r="G1840" s="18" t="s">
        <v>5710</v>
      </c>
      <c r="H1840" s="20" t="s">
        <v>5154</v>
      </c>
      <c r="I1840" s="15">
        <v>2</v>
      </c>
      <c r="J1840" s="15" t="s">
        <v>24</v>
      </c>
      <c r="K1840" s="15"/>
      <c r="L1840" s="21" t="s">
        <v>16</v>
      </c>
      <c r="M1840" s="22">
        <v>0</v>
      </c>
      <c r="N1840" s="22">
        <v>-1440</v>
      </c>
      <c r="O1840" s="22">
        <v>12960</v>
      </c>
      <c r="P1840" s="22">
        <v>12960</v>
      </c>
      <c r="Q1840" t="str" cm="1">
        <f t="array" ref="Q1840">_xlfn.TEXTJOIN("、",TRUE,IF('學員資料-三民高中'!$B$2:$B$454=$F1840,'學員資料-三民高中'!$G$2:$G$454,""))</f>
        <v>0910989580</v>
      </c>
      <c r="R1840" t="str" cm="1">
        <f t="array" ref="R1840">_xlfn.TEXTJOIN("、",TRUE,IF('學員資料-新北高中'!$B$2:$B$583=$F1840,'學員資料-新北高中'!$G$2:$G$583,""))</f>
        <v/>
      </c>
      <c r="S1840" t="str" cm="1">
        <f t="array" ref="S1840">_xlfn.TEXTJOIN("、",TRUE,IF('學員資料-三重商工'!$B$2:$B$472=$F1840,'學員資料-三重商工'!$G$2:$G$472,""))</f>
        <v/>
      </c>
      <c r="T1840">
        <f t="shared" si="28"/>
        <v>1</v>
      </c>
    </row>
    <row r="1841" spans="1:20" ht="14.25" hidden="1" customHeight="1">
      <c r="A1841" s="15">
        <v>1840</v>
      </c>
      <c r="B1841" s="16" t="s">
        <v>5711</v>
      </c>
      <c r="C1841" s="17">
        <v>45577</v>
      </c>
      <c r="D1841" s="15" t="s">
        <v>5712</v>
      </c>
      <c r="E1841" s="18" t="s">
        <v>954</v>
      </c>
      <c r="F1841" s="19" t="s">
        <v>2760</v>
      </c>
      <c r="G1841" s="18" t="s">
        <v>2761</v>
      </c>
      <c r="H1841" s="20" t="s">
        <v>5163</v>
      </c>
      <c r="I1841" s="15">
        <v>1</v>
      </c>
      <c r="J1841" s="15" t="s">
        <v>23</v>
      </c>
      <c r="K1841" s="15"/>
      <c r="L1841" s="21" t="s">
        <v>16</v>
      </c>
      <c r="M1841" s="22">
        <v>0</v>
      </c>
      <c r="N1841" s="22">
        <v>0</v>
      </c>
      <c r="O1841" s="22">
        <v>6600</v>
      </c>
      <c r="P1841" s="22">
        <v>6600</v>
      </c>
      <c r="Q1841" t="str" cm="1">
        <f t="array" ref="Q1841">_xlfn.TEXTJOIN("、",TRUE,IF('學員資料-三民高中'!$B$2:$B$454=$F1841,'學員資料-三民高中'!$G$2:$G$454,""))</f>
        <v>0939623233</v>
      </c>
      <c r="R1841" t="str" cm="1">
        <f t="array" ref="R1841">_xlfn.TEXTJOIN("、",TRUE,IF('學員資料-新北高中'!$B$2:$B$583=$F1841,'學員資料-新北高中'!$G$2:$G$583,""))</f>
        <v/>
      </c>
      <c r="S1841" t="str" cm="1">
        <f t="array" ref="S1841">_xlfn.TEXTJOIN("、",TRUE,IF('學員資料-三重商工'!$B$2:$B$472=$F1841,'學員資料-三重商工'!$G$2:$G$472,""))</f>
        <v/>
      </c>
      <c r="T1841">
        <f t="shared" si="28"/>
        <v>1</v>
      </c>
    </row>
    <row r="1842" spans="1:20" ht="14.25" hidden="1" customHeight="1">
      <c r="A1842" s="15">
        <v>1841</v>
      </c>
      <c r="B1842" s="16" t="s">
        <v>5713</v>
      </c>
      <c r="C1842" s="17">
        <v>45576</v>
      </c>
      <c r="D1842" s="15" t="s">
        <v>5714</v>
      </c>
      <c r="E1842" s="18" t="s">
        <v>954</v>
      </c>
      <c r="F1842" s="19" t="s">
        <v>5493</v>
      </c>
      <c r="G1842" s="18" t="s">
        <v>5494</v>
      </c>
      <c r="H1842" s="20" t="s">
        <v>5163</v>
      </c>
      <c r="I1842" s="15">
        <v>1</v>
      </c>
      <c r="J1842" s="15" t="s">
        <v>23</v>
      </c>
      <c r="K1842" s="15"/>
      <c r="L1842" s="21" t="s">
        <v>16</v>
      </c>
      <c r="M1842" s="22">
        <v>0</v>
      </c>
      <c r="N1842" s="22">
        <v>0</v>
      </c>
      <c r="O1842" s="22">
        <v>6600</v>
      </c>
      <c r="P1842" s="22">
        <v>6600</v>
      </c>
      <c r="Q1842" t="str" cm="1">
        <f t="array" ref="Q1842">_xlfn.TEXTJOIN("、",TRUE,IF('學員資料-三民高中'!$B$2:$B$454=$F1842,'學員資料-三民高中'!$G$2:$G$454,""))</f>
        <v/>
      </c>
      <c r="R1842" t="str" cm="1">
        <f t="array" ref="R1842">_xlfn.TEXTJOIN("、",TRUE,IF('學員資料-新北高中'!$B$2:$B$583=$F1842,'學員資料-新北高中'!$G$2:$G$583,""))</f>
        <v/>
      </c>
      <c r="S1842" t="str" cm="1">
        <f t="array" ref="S1842">_xlfn.TEXTJOIN("、",TRUE,IF('學員資料-三重商工'!$B$2:$B$472=$F1842,'學員資料-三重商工'!$G$2:$G$472,""))</f>
        <v>0987703114</v>
      </c>
      <c r="T1842">
        <f t="shared" si="28"/>
        <v>1</v>
      </c>
    </row>
    <row r="1843" spans="1:20" ht="43.5" hidden="1" customHeight="1">
      <c r="A1843" s="15">
        <v>1842</v>
      </c>
      <c r="B1843" s="16" t="s">
        <v>5715</v>
      </c>
      <c r="C1843" s="17">
        <v>45576</v>
      </c>
      <c r="D1843" s="15" t="s">
        <v>5716</v>
      </c>
      <c r="E1843" s="18" t="s">
        <v>954</v>
      </c>
      <c r="F1843" s="19" t="s">
        <v>4980</v>
      </c>
      <c r="G1843" s="18" t="s">
        <v>4981</v>
      </c>
      <c r="H1843" s="20" t="s">
        <v>5436</v>
      </c>
      <c r="I1843" s="15">
        <v>3</v>
      </c>
      <c r="J1843" s="15" t="s">
        <v>24</v>
      </c>
      <c r="K1843" s="15"/>
      <c r="L1843" s="21" t="s">
        <v>16</v>
      </c>
      <c r="M1843" s="22">
        <v>0</v>
      </c>
      <c r="N1843" s="22">
        <v>-2592</v>
      </c>
      <c r="O1843" s="22">
        <v>19008</v>
      </c>
      <c r="P1843" s="22">
        <v>19008</v>
      </c>
      <c r="Q1843" t="str" cm="1">
        <f t="array" ref="Q1843">_xlfn.TEXTJOIN("、",TRUE,IF('學員資料-三民高中'!$B$2:$B$454=$F1843,'學員資料-三民高中'!$G$2:$G$454,""))</f>
        <v>0920016796</v>
      </c>
      <c r="R1843" t="str" cm="1">
        <f t="array" ref="R1843">_xlfn.TEXTJOIN("、",TRUE,IF('學員資料-新北高中'!$B$2:$B$583=$F1843,'學員資料-新北高中'!$G$2:$G$583,""))</f>
        <v/>
      </c>
      <c r="S1843" t="str" cm="1">
        <f t="array" ref="S1843">_xlfn.TEXTJOIN("、",TRUE,IF('學員資料-三重商工'!$B$2:$B$472=$F1843,'學員資料-三重商工'!$G$2:$G$472,""))</f>
        <v/>
      </c>
      <c r="T1843">
        <f t="shared" si="28"/>
        <v>1</v>
      </c>
    </row>
    <row r="1844" spans="1:20" ht="14.25" hidden="1" customHeight="1">
      <c r="A1844" s="15">
        <v>1843</v>
      </c>
      <c r="B1844" s="16" t="s">
        <v>5717</v>
      </c>
      <c r="C1844" s="17">
        <v>45576</v>
      </c>
      <c r="D1844" s="15" t="s">
        <v>5718</v>
      </c>
      <c r="E1844" s="18" t="s">
        <v>954</v>
      </c>
      <c r="F1844" s="19" t="s">
        <v>5719</v>
      </c>
      <c r="G1844" s="18" t="s">
        <v>5720</v>
      </c>
      <c r="H1844" s="20" t="s">
        <v>5721</v>
      </c>
      <c r="I1844" s="15">
        <v>1</v>
      </c>
      <c r="J1844" s="15" t="s">
        <v>23</v>
      </c>
      <c r="K1844" s="21" t="s">
        <v>116</v>
      </c>
      <c r="L1844" s="21" t="s">
        <v>16</v>
      </c>
      <c r="M1844" s="22">
        <v>0</v>
      </c>
      <c r="N1844" s="22">
        <v>0</v>
      </c>
      <c r="O1844" s="22">
        <v>1200</v>
      </c>
      <c r="P1844" s="22">
        <v>1200</v>
      </c>
      <c r="Q1844" t="str" cm="1">
        <f t="array" ref="Q1844">_xlfn.TEXTJOIN("、",TRUE,IF('學員資料-三民高中'!$B$2:$B$454=$F1844,'學員資料-三民高中'!$G$2:$G$454,""))</f>
        <v>09123456774</v>
      </c>
      <c r="R1844" t="str" cm="1">
        <f t="array" ref="R1844">_xlfn.TEXTJOIN("、",TRUE,IF('學員資料-新北高中'!$B$2:$B$583=$F1844,'學員資料-新北高中'!$G$2:$G$583,""))</f>
        <v/>
      </c>
      <c r="S1844" t="str" cm="1">
        <f t="array" ref="S1844">_xlfn.TEXTJOIN("、",TRUE,IF('學員資料-三重商工'!$B$2:$B$472=$F1844,'學員資料-三重商工'!$G$2:$G$472,""))</f>
        <v/>
      </c>
      <c r="T1844">
        <f t="shared" si="28"/>
        <v>1</v>
      </c>
    </row>
    <row r="1845" spans="1:20" ht="14.25" hidden="1" customHeight="1">
      <c r="A1845" s="15">
        <v>1844</v>
      </c>
      <c r="B1845" s="16" t="s">
        <v>5722</v>
      </c>
      <c r="C1845" s="17">
        <v>45576</v>
      </c>
      <c r="D1845" s="15" t="s">
        <v>5723</v>
      </c>
      <c r="E1845" s="18" t="s">
        <v>954</v>
      </c>
      <c r="F1845" s="19" t="s">
        <v>4695</v>
      </c>
      <c r="G1845" s="18" t="s">
        <v>4696</v>
      </c>
      <c r="H1845" s="20" t="s">
        <v>5163</v>
      </c>
      <c r="I1845" s="15">
        <v>1</v>
      </c>
      <c r="J1845" s="15" t="s">
        <v>23</v>
      </c>
      <c r="K1845" s="15"/>
      <c r="L1845" s="21" t="s">
        <v>16</v>
      </c>
      <c r="M1845" s="22">
        <v>0</v>
      </c>
      <c r="N1845" s="22">
        <v>0</v>
      </c>
      <c r="O1845" s="22">
        <v>6600</v>
      </c>
      <c r="P1845" s="22">
        <v>6600</v>
      </c>
      <c r="Q1845" t="str" cm="1">
        <f t="array" ref="Q1845">_xlfn.TEXTJOIN("、",TRUE,IF('學員資料-三民高中'!$B$2:$B$454=$F1845,'學員資料-三民高中'!$G$2:$G$454,""))</f>
        <v>0922503532</v>
      </c>
      <c r="R1845" t="str" cm="1">
        <f t="array" ref="R1845">_xlfn.TEXTJOIN("、",TRUE,IF('學員資料-新北高中'!$B$2:$B$583=$F1845,'學員資料-新北高中'!$G$2:$G$583,""))</f>
        <v/>
      </c>
      <c r="S1845" t="str" cm="1">
        <f t="array" ref="S1845">_xlfn.TEXTJOIN("、",TRUE,IF('學員資料-三重商工'!$B$2:$B$472=$F1845,'學員資料-三重商工'!$G$2:$G$472,""))</f>
        <v/>
      </c>
      <c r="T1845">
        <f t="shared" si="28"/>
        <v>1</v>
      </c>
    </row>
    <row r="1846" spans="1:20" ht="14.25" hidden="1" customHeight="1">
      <c r="A1846" s="15">
        <v>1845</v>
      </c>
      <c r="B1846" s="16" t="s">
        <v>5724</v>
      </c>
      <c r="C1846" s="17">
        <v>45576</v>
      </c>
      <c r="D1846" s="15" t="s">
        <v>5194</v>
      </c>
      <c r="E1846" s="18" t="s">
        <v>954</v>
      </c>
      <c r="F1846" s="19" t="s">
        <v>5725</v>
      </c>
      <c r="G1846" s="18" t="s">
        <v>5726</v>
      </c>
      <c r="H1846" s="20" t="s">
        <v>5131</v>
      </c>
      <c r="I1846" s="15">
        <v>1</v>
      </c>
      <c r="J1846" s="15" t="s">
        <v>24</v>
      </c>
      <c r="K1846" s="15"/>
      <c r="L1846" s="21" t="s">
        <v>16</v>
      </c>
      <c r="M1846" s="22">
        <v>0</v>
      </c>
      <c r="N1846" s="22">
        <v>0</v>
      </c>
      <c r="O1846" s="22">
        <v>7200</v>
      </c>
      <c r="P1846" s="22">
        <v>7200</v>
      </c>
      <c r="Q1846" t="str" cm="1">
        <f t="array" ref="Q1846">_xlfn.TEXTJOIN("、",TRUE,IF('學員資料-三民高中'!$B$2:$B$454=$F1846,'學員資料-三民高中'!$G$2:$G$454,""))</f>
        <v/>
      </c>
      <c r="R1846" t="str" cm="1">
        <f t="array" ref="R1846">_xlfn.TEXTJOIN("、",TRUE,IF('學員資料-新北高中'!$B$2:$B$583=$F1846,'學員資料-新北高中'!$G$2:$G$583,""))</f>
        <v/>
      </c>
      <c r="S1846" t="str" cm="1">
        <f t="array" ref="S1846">_xlfn.TEXTJOIN("、",TRUE,IF('學員資料-三重商工'!$B$2:$B$472=$F1846,'學員資料-三重商工'!$G$2:$G$472,""))</f>
        <v>0935316663</v>
      </c>
      <c r="T1846">
        <f t="shared" si="28"/>
        <v>1</v>
      </c>
    </row>
    <row r="1847" spans="1:20" ht="28.5" hidden="1" customHeight="1">
      <c r="A1847" s="15">
        <v>1846</v>
      </c>
      <c r="B1847" s="16" t="s">
        <v>5727</v>
      </c>
      <c r="C1847" s="17">
        <v>45576</v>
      </c>
      <c r="D1847" s="15" t="s">
        <v>5728</v>
      </c>
      <c r="E1847" s="18" t="s">
        <v>954</v>
      </c>
      <c r="F1847" s="19" t="s">
        <v>4825</v>
      </c>
      <c r="G1847" s="18" t="s">
        <v>4826</v>
      </c>
      <c r="H1847" s="20" t="s">
        <v>5729</v>
      </c>
      <c r="I1847" s="15">
        <v>2</v>
      </c>
      <c r="J1847" s="15" t="s">
        <v>26</v>
      </c>
      <c r="K1847" s="15"/>
      <c r="L1847" s="21" t="s">
        <v>16</v>
      </c>
      <c r="M1847" s="22">
        <v>0</v>
      </c>
      <c r="N1847" s="22">
        <v>-2160</v>
      </c>
      <c r="O1847" s="22">
        <v>19440</v>
      </c>
      <c r="P1847" s="22">
        <v>19440</v>
      </c>
      <c r="Q1847" t="str" cm="1">
        <f t="array" ref="Q1847">_xlfn.TEXTJOIN("、",TRUE,IF('學員資料-三民高中'!$B$2:$B$454=$F1847,'學員資料-三民高中'!$G$2:$G$454,""))</f>
        <v/>
      </c>
      <c r="R1847" t="str" cm="1">
        <f t="array" ref="R1847">_xlfn.TEXTJOIN("、",TRUE,IF('學員資料-新北高中'!$B$2:$B$583=$F1847,'學員資料-新北高中'!$G$2:$G$583,""))</f>
        <v/>
      </c>
      <c r="S1847" t="str" cm="1">
        <f t="array" ref="S1847">_xlfn.TEXTJOIN("、",TRUE,IF('學員資料-三重商工'!$B$2:$B$472=$F1847,'學員資料-三重商工'!$G$2:$G$472,""))</f>
        <v>0936285475</v>
      </c>
      <c r="T1847">
        <f t="shared" si="28"/>
        <v>1</v>
      </c>
    </row>
    <row r="1848" spans="1:20" ht="14.25" hidden="1" customHeight="1">
      <c r="A1848" s="15">
        <v>1847</v>
      </c>
      <c r="B1848" s="16" t="s">
        <v>5730</v>
      </c>
      <c r="C1848" s="17">
        <v>45576</v>
      </c>
      <c r="D1848" s="15" t="s">
        <v>5731</v>
      </c>
      <c r="E1848" s="18" t="s">
        <v>954</v>
      </c>
      <c r="F1848" s="19" t="s">
        <v>3353</v>
      </c>
      <c r="G1848" s="18" t="s">
        <v>3354</v>
      </c>
      <c r="H1848" s="20" t="s">
        <v>5131</v>
      </c>
      <c r="I1848" s="15">
        <v>1</v>
      </c>
      <c r="J1848" s="15" t="s">
        <v>24</v>
      </c>
      <c r="K1848" s="15"/>
      <c r="L1848" s="21" t="s">
        <v>16</v>
      </c>
      <c r="M1848" s="22">
        <v>0</v>
      </c>
      <c r="N1848" s="22">
        <v>0</v>
      </c>
      <c r="O1848" s="22">
        <v>7200</v>
      </c>
      <c r="P1848" s="22">
        <v>7200</v>
      </c>
      <c r="Q1848" t="str" cm="1">
        <f t="array" ref="Q1848">_xlfn.TEXTJOIN("、",TRUE,IF('學員資料-三民高中'!$B$2:$B$454=$F1848,'學員資料-三民高中'!$G$2:$G$454,""))</f>
        <v>0916175109</v>
      </c>
      <c r="R1848" t="str" cm="1">
        <f t="array" ref="R1848">_xlfn.TEXTJOIN("、",TRUE,IF('學員資料-新北高中'!$B$2:$B$583=$F1848,'學員資料-新北高中'!$G$2:$G$583,""))</f>
        <v/>
      </c>
      <c r="S1848" t="str" cm="1">
        <f t="array" ref="S1848">_xlfn.TEXTJOIN("、",TRUE,IF('學員資料-三重商工'!$B$2:$B$472=$F1848,'學員資料-三重商工'!$G$2:$G$472,""))</f>
        <v/>
      </c>
      <c r="T1848">
        <f t="shared" si="28"/>
        <v>1</v>
      </c>
    </row>
    <row r="1849" spans="1:20" ht="28.5" hidden="1" customHeight="1">
      <c r="A1849" s="15">
        <v>1848</v>
      </c>
      <c r="B1849" s="16" t="s">
        <v>5732</v>
      </c>
      <c r="C1849" s="17">
        <v>45576</v>
      </c>
      <c r="D1849" s="15" t="s">
        <v>5733</v>
      </c>
      <c r="E1849" s="18" t="s">
        <v>954</v>
      </c>
      <c r="F1849" s="19" t="s">
        <v>5734</v>
      </c>
      <c r="G1849" s="18" t="s">
        <v>5735</v>
      </c>
      <c r="H1849" s="20" t="s">
        <v>5154</v>
      </c>
      <c r="I1849" s="15">
        <v>2</v>
      </c>
      <c r="J1849" s="15" t="s">
        <v>24</v>
      </c>
      <c r="K1849" s="15"/>
      <c r="L1849" s="21" t="s">
        <v>16</v>
      </c>
      <c r="M1849" s="22">
        <v>0</v>
      </c>
      <c r="N1849" s="22">
        <v>-1728</v>
      </c>
      <c r="O1849" s="22">
        <v>12672</v>
      </c>
      <c r="P1849" s="22">
        <v>12672</v>
      </c>
      <c r="Q1849" t="str" cm="1">
        <f t="array" ref="Q1849">_xlfn.TEXTJOIN("、",TRUE,IF('學員資料-三民高中'!$B$2:$B$454=$F1849,'學員資料-三民高中'!$G$2:$G$454,""))</f>
        <v>0983499307</v>
      </c>
      <c r="R1849" t="str" cm="1">
        <f t="array" ref="R1849">_xlfn.TEXTJOIN("、",TRUE,IF('學員資料-新北高中'!$B$2:$B$583=$F1849,'學員資料-新北高中'!$G$2:$G$583,""))</f>
        <v/>
      </c>
      <c r="S1849" t="str" cm="1">
        <f t="array" ref="S1849">_xlfn.TEXTJOIN("、",TRUE,IF('學員資料-三重商工'!$B$2:$B$472=$F1849,'學員資料-三重商工'!$G$2:$G$472,""))</f>
        <v/>
      </c>
      <c r="T1849">
        <f t="shared" si="28"/>
        <v>1</v>
      </c>
    </row>
    <row r="1850" spans="1:20" ht="14.25" hidden="1" customHeight="1">
      <c r="A1850" s="15">
        <v>1849</v>
      </c>
      <c r="B1850" s="16" t="s">
        <v>5736</v>
      </c>
      <c r="C1850" s="17">
        <v>45576</v>
      </c>
      <c r="D1850" s="15" t="s">
        <v>5737</v>
      </c>
      <c r="E1850" s="18" t="s">
        <v>954</v>
      </c>
      <c r="F1850" s="19" t="s">
        <v>5738</v>
      </c>
      <c r="G1850" s="18" t="s">
        <v>5739</v>
      </c>
      <c r="H1850" s="20" t="s">
        <v>5131</v>
      </c>
      <c r="I1850" s="15">
        <v>1</v>
      </c>
      <c r="J1850" s="15" t="s">
        <v>24</v>
      </c>
      <c r="K1850" s="15"/>
      <c r="L1850" s="21" t="s">
        <v>16</v>
      </c>
      <c r="M1850" s="22">
        <v>0</v>
      </c>
      <c r="N1850" s="22">
        <v>-720</v>
      </c>
      <c r="O1850" s="22">
        <v>6480</v>
      </c>
      <c r="P1850" s="22">
        <v>6480</v>
      </c>
      <c r="Q1850" t="str" cm="1">
        <f t="array" ref="Q1850">_xlfn.TEXTJOIN("、",TRUE,IF('學員資料-三民高中'!$B$2:$B$454=$F1850,'學員資料-三民高中'!$G$2:$G$454,""))</f>
        <v/>
      </c>
      <c r="R1850" t="str" cm="1">
        <f t="array" ref="R1850">_xlfn.TEXTJOIN("、",TRUE,IF('學員資料-新北高中'!$B$2:$B$583=$F1850,'學員資料-新北高中'!$G$2:$G$583,""))</f>
        <v/>
      </c>
      <c r="S1850" t="str" cm="1">
        <f t="array" ref="S1850">_xlfn.TEXTJOIN("、",TRUE,IF('學員資料-三重商工'!$B$2:$B$472=$F1850,'學員資料-三重商工'!$G$2:$G$472,""))</f>
        <v>0918631131</v>
      </c>
      <c r="T1850">
        <f t="shared" si="28"/>
        <v>1</v>
      </c>
    </row>
    <row r="1851" spans="1:20" ht="14.25" hidden="1" customHeight="1">
      <c r="A1851" s="15">
        <v>1850</v>
      </c>
      <c r="B1851" s="16" t="s">
        <v>5740</v>
      </c>
      <c r="C1851" s="17">
        <v>45576</v>
      </c>
      <c r="D1851" s="15" t="s">
        <v>5741</v>
      </c>
      <c r="E1851" s="18" t="s">
        <v>954</v>
      </c>
      <c r="F1851" s="19" t="s">
        <v>5742</v>
      </c>
      <c r="G1851" s="18" t="s">
        <v>5743</v>
      </c>
      <c r="H1851" s="20" t="s">
        <v>5148</v>
      </c>
      <c r="I1851" s="15">
        <v>1</v>
      </c>
      <c r="J1851" s="15" t="s">
        <v>25</v>
      </c>
      <c r="K1851" s="15"/>
      <c r="L1851" s="21" t="s">
        <v>16</v>
      </c>
      <c r="M1851" s="22">
        <v>0</v>
      </c>
      <c r="N1851" s="22">
        <v>0</v>
      </c>
      <c r="O1851" s="22">
        <v>9000</v>
      </c>
      <c r="P1851" s="22">
        <v>9000</v>
      </c>
      <c r="Q1851" t="str" cm="1">
        <f t="array" ref="Q1851">_xlfn.TEXTJOIN("、",TRUE,IF('學員資料-三民高中'!$B$2:$B$454=$F1851,'學員資料-三民高中'!$G$2:$G$454,""))</f>
        <v>0975202780</v>
      </c>
      <c r="R1851" t="str" cm="1">
        <f t="array" ref="R1851">_xlfn.TEXTJOIN("、",TRUE,IF('學員資料-新北高中'!$B$2:$B$583=$F1851,'學員資料-新北高中'!$G$2:$G$583,""))</f>
        <v/>
      </c>
      <c r="S1851" t="str" cm="1">
        <f t="array" ref="S1851">_xlfn.TEXTJOIN("、",TRUE,IF('學員資料-三重商工'!$B$2:$B$472=$F1851,'學員資料-三重商工'!$G$2:$G$472,""))</f>
        <v/>
      </c>
      <c r="T1851">
        <f t="shared" si="28"/>
        <v>1</v>
      </c>
    </row>
    <row r="1852" spans="1:20" ht="14.25" hidden="1" customHeight="1">
      <c r="A1852" s="15">
        <v>1851</v>
      </c>
      <c r="B1852" s="16" t="s">
        <v>5744</v>
      </c>
      <c r="C1852" s="17">
        <v>45576</v>
      </c>
      <c r="D1852" s="15" t="s">
        <v>5745</v>
      </c>
      <c r="E1852" s="18" t="s">
        <v>954</v>
      </c>
      <c r="F1852" s="19" t="s">
        <v>997</v>
      </c>
      <c r="G1852" s="18" t="s">
        <v>998</v>
      </c>
      <c r="H1852" s="20" t="s">
        <v>5211</v>
      </c>
      <c r="I1852" s="15">
        <v>1</v>
      </c>
      <c r="J1852" s="15" t="s">
        <v>26</v>
      </c>
      <c r="K1852" s="15"/>
      <c r="L1852" s="21" t="s">
        <v>16</v>
      </c>
      <c r="M1852" s="22">
        <v>0</v>
      </c>
      <c r="N1852" s="22">
        <v>0</v>
      </c>
      <c r="O1852" s="22">
        <v>10800</v>
      </c>
      <c r="P1852" s="22">
        <v>10800</v>
      </c>
      <c r="Q1852" t="str" cm="1">
        <f t="array" ref="Q1852">_xlfn.TEXTJOIN("、",TRUE,IF('學員資料-三民高中'!$B$2:$B$454=$F1852,'學員資料-三民高中'!$G$2:$G$454,""))</f>
        <v/>
      </c>
      <c r="R1852" t="str" cm="1">
        <f t="array" ref="R1852">_xlfn.TEXTJOIN("、",TRUE,IF('學員資料-新北高中'!$B$2:$B$583=$F1852,'學員資料-新北高中'!$G$2:$G$583,""))</f>
        <v/>
      </c>
      <c r="S1852" t="str" cm="1">
        <f t="array" ref="S1852">_xlfn.TEXTJOIN("、",TRUE,IF('學員資料-三重商工'!$B$2:$B$472=$F1852,'學員資料-三重商工'!$G$2:$G$472,""))</f>
        <v>0970944931</v>
      </c>
      <c r="T1852">
        <f t="shared" si="28"/>
        <v>1</v>
      </c>
    </row>
    <row r="1853" spans="1:20" ht="14.25" hidden="1" customHeight="1">
      <c r="A1853" s="15">
        <v>1852</v>
      </c>
      <c r="B1853" s="16" t="s">
        <v>5746</v>
      </c>
      <c r="C1853" s="17">
        <v>45576</v>
      </c>
      <c r="D1853" s="15" t="s">
        <v>5747</v>
      </c>
      <c r="E1853" s="18" t="s">
        <v>954</v>
      </c>
      <c r="F1853" s="19" t="s">
        <v>5748</v>
      </c>
      <c r="G1853" s="18" t="s">
        <v>5749</v>
      </c>
      <c r="H1853" s="20" t="s">
        <v>5163</v>
      </c>
      <c r="I1853" s="15">
        <v>1</v>
      </c>
      <c r="J1853" s="15" t="s">
        <v>23</v>
      </c>
      <c r="K1853" s="15"/>
      <c r="L1853" s="21" t="s">
        <v>16</v>
      </c>
      <c r="M1853" s="22">
        <v>0</v>
      </c>
      <c r="N1853" s="22">
        <v>0</v>
      </c>
      <c r="O1853" s="22">
        <v>6600</v>
      </c>
      <c r="P1853" s="22">
        <v>6600</v>
      </c>
      <c r="Q1853" t="str" cm="1">
        <f t="array" ref="Q1853">_xlfn.TEXTJOIN("、",TRUE,IF('學員資料-三民高中'!$B$2:$B$454=$F1853,'學員資料-三民高中'!$G$2:$G$454,""))</f>
        <v/>
      </c>
      <c r="R1853" t="str" cm="1">
        <f t="array" ref="R1853">_xlfn.TEXTJOIN("、",TRUE,IF('學員資料-新北高中'!$B$2:$B$583=$F1853,'學員資料-新北高中'!$G$2:$G$583,""))</f>
        <v>0909654903</v>
      </c>
      <c r="S1853" t="str" cm="1">
        <f t="array" ref="S1853">_xlfn.TEXTJOIN("、",TRUE,IF('學員資料-三重商工'!$B$2:$B$472=$F1853,'學員資料-三重商工'!$G$2:$G$472,""))</f>
        <v/>
      </c>
      <c r="T1853">
        <f t="shared" si="28"/>
        <v>1</v>
      </c>
    </row>
    <row r="1854" spans="1:20" ht="14.25" hidden="1" customHeight="1">
      <c r="A1854" s="15">
        <v>1853</v>
      </c>
      <c r="B1854" s="16" t="s">
        <v>5750</v>
      </c>
      <c r="C1854" s="17">
        <v>45576</v>
      </c>
      <c r="D1854" s="15" t="s">
        <v>3705</v>
      </c>
      <c r="E1854" s="18" t="s">
        <v>954</v>
      </c>
      <c r="F1854" s="19" t="s">
        <v>5751</v>
      </c>
      <c r="G1854" s="18" t="s">
        <v>5752</v>
      </c>
      <c r="H1854" s="20" t="s">
        <v>5148</v>
      </c>
      <c r="I1854" s="15">
        <v>1</v>
      </c>
      <c r="J1854" s="15" t="s">
        <v>25</v>
      </c>
      <c r="K1854" s="15"/>
      <c r="L1854" s="21" t="s">
        <v>16</v>
      </c>
      <c r="M1854" s="22">
        <v>0</v>
      </c>
      <c r="N1854" s="22">
        <v>-5760</v>
      </c>
      <c r="O1854" s="22">
        <v>3240</v>
      </c>
      <c r="P1854" s="22">
        <v>3240</v>
      </c>
      <c r="Q1854" t="str" cm="1">
        <f t="array" ref="Q1854">_xlfn.TEXTJOIN("、",TRUE,IF('學員資料-三民高中'!$B$2:$B$454=$F1854,'學員資料-三民高中'!$G$2:$G$454,""))</f>
        <v>0912345666</v>
      </c>
      <c r="R1854" t="str" cm="1">
        <f t="array" ref="R1854">_xlfn.TEXTJOIN("、",TRUE,IF('學員資料-新北高中'!$B$2:$B$583=$F1854,'學員資料-新北高中'!$G$2:$G$583,""))</f>
        <v/>
      </c>
      <c r="S1854" t="str" cm="1">
        <f t="array" ref="S1854">_xlfn.TEXTJOIN("、",TRUE,IF('學員資料-三重商工'!$B$2:$B$472=$F1854,'學員資料-三重商工'!$G$2:$G$472,""))</f>
        <v/>
      </c>
      <c r="T1854">
        <f t="shared" si="28"/>
        <v>1</v>
      </c>
    </row>
    <row r="1855" spans="1:20" ht="28.5" hidden="1" customHeight="1">
      <c r="A1855" s="15">
        <v>1854</v>
      </c>
      <c r="B1855" s="16" t="s">
        <v>5753</v>
      </c>
      <c r="C1855" s="17">
        <v>45576</v>
      </c>
      <c r="D1855" s="15" t="s">
        <v>5754</v>
      </c>
      <c r="E1855" s="18" t="s">
        <v>954</v>
      </c>
      <c r="F1855" s="19" t="s">
        <v>5755</v>
      </c>
      <c r="G1855" s="18" t="s">
        <v>5756</v>
      </c>
      <c r="H1855" s="20" t="s">
        <v>5154</v>
      </c>
      <c r="I1855" s="15">
        <v>2</v>
      </c>
      <c r="J1855" s="15" t="s">
        <v>24</v>
      </c>
      <c r="K1855" s="15"/>
      <c r="L1855" s="21" t="s">
        <v>16</v>
      </c>
      <c r="M1855" s="22">
        <v>0</v>
      </c>
      <c r="N1855" s="22">
        <v>0</v>
      </c>
      <c r="O1855" s="22">
        <v>14400</v>
      </c>
      <c r="P1855" s="22">
        <v>14400</v>
      </c>
      <c r="Q1855" t="str" cm="1">
        <f t="array" ref="Q1855">_xlfn.TEXTJOIN("、",TRUE,IF('學員資料-三民高中'!$B$2:$B$454=$F1855,'學員資料-三民高中'!$G$2:$G$454,""))</f>
        <v/>
      </c>
      <c r="R1855" t="str" cm="1">
        <f t="array" ref="R1855">_xlfn.TEXTJOIN("、",TRUE,IF('學員資料-新北高中'!$B$2:$B$583=$F1855,'學員資料-新北高中'!$G$2:$G$583,""))</f>
        <v/>
      </c>
      <c r="S1855" t="str" cm="1">
        <f t="array" ref="S1855">_xlfn.TEXTJOIN("、",TRUE,IF('學員資料-三重商工'!$B$2:$B$472=$F1855,'學員資料-三重商工'!$G$2:$G$472,""))</f>
        <v>0963326146</v>
      </c>
      <c r="T1855">
        <f t="shared" si="28"/>
        <v>1</v>
      </c>
    </row>
    <row r="1856" spans="1:20" ht="57.75" hidden="1" customHeight="1">
      <c r="A1856" s="15">
        <v>1855</v>
      </c>
      <c r="B1856" s="16" t="s">
        <v>5757</v>
      </c>
      <c r="C1856" s="17">
        <v>45576</v>
      </c>
      <c r="D1856" s="15" t="s">
        <v>5758</v>
      </c>
      <c r="E1856" s="18" t="s">
        <v>954</v>
      </c>
      <c r="F1856" s="19" t="s">
        <v>5759</v>
      </c>
      <c r="G1856" s="18" t="s">
        <v>5760</v>
      </c>
      <c r="H1856" s="20" t="s">
        <v>5442</v>
      </c>
      <c r="I1856" s="15">
        <v>4</v>
      </c>
      <c r="J1856" s="15" t="s">
        <v>25</v>
      </c>
      <c r="K1856" s="15"/>
      <c r="L1856" s="21" t="s">
        <v>16</v>
      </c>
      <c r="M1856" s="22">
        <v>0</v>
      </c>
      <c r="N1856" s="22">
        <v>-4320</v>
      </c>
      <c r="O1856" s="22">
        <v>31680</v>
      </c>
      <c r="P1856" s="22">
        <v>31680</v>
      </c>
      <c r="Q1856" t="str" cm="1">
        <f t="array" ref="Q1856">_xlfn.TEXTJOIN("、",TRUE,IF('學員資料-三民高中'!$B$2:$B$454=$F1856,'學員資料-三民高中'!$G$2:$G$454,""))</f>
        <v>0926685502</v>
      </c>
      <c r="R1856" t="str" cm="1">
        <f t="array" ref="R1856">_xlfn.TEXTJOIN("、",TRUE,IF('學員資料-新北高中'!$B$2:$B$583=$F1856,'學員資料-新北高中'!$G$2:$G$583,""))</f>
        <v/>
      </c>
      <c r="S1856" t="str" cm="1">
        <f t="array" ref="S1856">_xlfn.TEXTJOIN("、",TRUE,IF('學員資料-三重商工'!$B$2:$B$472=$F1856,'學員資料-三重商工'!$G$2:$G$472,""))</f>
        <v/>
      </c>
      <c r="T1856">
        <f t="shared" si="28"/>
        <v>1</v>
      </c>
    </row>
    <row r="1857" spans="1:20" ht="14.25" hidden="1" customHeight="1">
      <c r="A1857" s="15">
        <v>1856</v>
      </c>
      <c r="B1857" s="16" t="s">
        <v>5761</v>
      </c>
      <c r="C1857" s="17">
        <v>45576</v>
      </c>
      <c r="D1857" s="15" t="s">
        <v>5762</v>
      </c>
      <c r="E1857" s="18" t="s">
        <v>954</v>
      </c>
      <c r="F1857" s="19" t="s">
        <v>4167</v>
      </c>
      <c r="G1857" s="18" t="s">
        <v>4168</v>
      </c>
      <c r="H1857" s="20" t="s">
        <v>5163</v>
      </c>
      <c r="I1857" s="15">
        <v>1</v>
      </c>
      <c r="J1857" s="15" t="s">
        <v>23</v>
      </c>
      <c r="K1857" s="15"/>
      <c r="L1857" s="21" t="s">
        <v>16</v>
      </c>
      <c r="M1857" s="22">
        <v>0</v>
      </c>
      <c r="N1857" s="22">
        <v>0</v>
      </c>
      <c r="O1857" s="22">
        <v>6600</v>
      </c>
      <c r="P1857" s="22">
        <v>6600</v>
      </c>
      <c r="Q1857" t="str" cm="1">
        <f t="array" ref="Q1857">_xlfn.TEXTJOIN("、",TRUE,IF('學員資料-三民高中'!$B$2:$B$454=$F1857,'學員資料-三民高中'!$G$2:$G$454,""))</f>
        <v>0922355333</v>
      </c>
      <c r="R1857" t="str" cm="1">
        <f t="array" ref="R1857">_xlfn.TEXTJOIN("、",TRUE,IF('學員資料-新北高中'!$B$2:$B$583=$F1857,'學員資料-新北高中'!$G$2:$G$583,""))</f>
        <v/>
      </c>
      <c r="S1857" t="str" cm="1">
        <f t="array" ref="S1857">_xlfn.TEXTJOIN("、",TRUE,IF('學員資料-三重商工'!$B$2:$B$472=$F1857,'學員資料-三重商工'!$G$2:$G$472,""))</f>
        <v/>
      </c>
      <c r="T1857">
        <f t="shared" si="28"/>
        <v>1</v>
      </c>
    </row>
    <row r="1858" spans="1:20" ht="28.5" hidden="1" customHeight="1">
      <c r="A1858" s="15">
        <v>1857</v>
      </c>
      <c r="B1858" s="16" t="s">
        <v>5763</v>
      </c>
      <c r="C1858" s="17">
        <v>45576</v>
      </c>
      <c r="D1858" s="15" t="s">
        <v>4091</v>
      </c>
      <c r="E1858" s="18" t="s">
        <v>954</v>
      </c>
      <c r="F1858" s="19" t="s">
        <v>1061</v>
      </c>
      <c r="G1858" s="18" t="s">
        <v>1062</v>
      </c>
      <c r="H1858" s="20" t="s">
        <v>5154</v>
      </c>
      <c r="I1858" s="15">
        <v>2</v>
      </c>
      <c r="J1858" s="15" t="s">
        <v>24</v>
      </c>
      <c r="K1858" s="15"/>
      <c r="L1858" s="21" t="s">
        <v>16</v>
      </c>
      <c r="M1858" s="22">
        <v>0</v>
      </c>
      <c r="N1858" s="22">
        <v>-1728</v>
      </c>
      <c r="O1858" s="22">
        <v>12672</v>
      </c>
      <c r="P1858" s="22">
        <v>12672</v>
      </c>
      <c r="Q1858" t="str" cm="1">
        <f t="array" ref="Q1858">_xlfn.TEXTJOIN("、",TRUE,IF('學員資料-三民高中'!$B$2:$B$454=$F1858,'學員資料-三民高中'!$G$2:$G$454,""))</f>
        <v>0939113914</v>
      </c>
      <c r="R1858" t="str" cm="1">
        <f t="array" ref="R1858">_xlfn.TEXTJOIN("、",TRUE,IF('學員資料-新北高中'!$B$2:$B$583=$F1858,'學員資料-新北高中'!$G$2:$G$583,""))</f>
        <v/>
      </c>
      <c r="S1858" t="str" cm="1">
        <f t="array" ref="S1858">_xlfn.TEXTJOIN("、",TRUE,IF('學員資料-三重商工'!$B$2:$B$472=$F1858,'學員資料-三重商工'!$G$2:$G$472,""))</f>
        <v/>
      </c>
      <c r="T1858">
        <f t="shared" si="28"/>
        <v>1</v>
      </c>
    </row>
    <row r="1859" spans="1:20" ht="14.25" hidden="1" customHeight="1">
      <c r="A1859" s="15">
        <v>1858</v>
      </c>
      <c r="B1859" s="16" t="s">
        <v>5764</v>
      </c>
      <c r="C1859" s="17">
        <v>45576</v>
      </c>
      <c r="D1859" s="15" t="s">
        <v>5765</v>
      </c>
      <c r="E1859" s="18" t="s">
        <v>954</v>
      </c>
      <c r="F1859" s="19" t="s">
        <v>5766</v>
      </c>
      <c r="G1859" s="18" t="s">
        <v>5767</v>
      </c>
      <c r="H1859" s="20" t="s">
        <v>5131</v>
      </c>
      <c r="I1859" s="15">
        <v>1</v>
      </c>
      <c r="J1859" s="15" t="s">
        <v>24</v>
      </c>
      <c r="K1859" s="15"/>
      <c r="L1859" s="21" t="s">
        <v>16</v>
      </c>
      <c r="M1859" s="22">
        <v>0</v>
      </c>
      <c r="N1859" s="22">
        <v>-720</v>
      </c>
      <c r="O1859" s="22">
        <v>6480</v>
      </c>
      <c r="P1859" s="22">
        <v>6480</v>
      </c>
      <c r="Q1859" t="str" cm="1">
        <f t="array" ref="Q1859">_xlfn.TEXTJOIN("、",TRUE,IF('學員資料-三民高中'!$B$2:$B$454=$F1859,'學員資料-三民高中'!$G$2:$G$454,""))</f>
        <v/>
      </c>
      <c r="R1859" t="str" cm="1">
        <f t="array" ref="R1859">_xlfn.TEXTJOIN("、",TRUE,IF('學員資料-新北高中'!$B$2:$B$583=$F1859,'學員資料-新北高中'!$G$2:$G$583,""))</f>
        <v/>
      </c>
      <c r="S1859" t="str" cm="1">
        <f t="array" ref="S1859">_xlfn.TEXTJOIN("、",TRUE,IF('學員資料-三重商工'!$B$2:$B$472=$F1859,'學員資料-三重商工'!$G$2:$G$472,""))</f>
        <v>0919307069</v>
      </c>
      <c r="T1859">
        <f t="shared" ref="T1859:T1922" si="29">3-COUNTBLANK(Q1859:S1859)</f>
        <v>1</v>
      </c>
    </row>
    <row r="1860" spans="1:20" ht="14.25" hidden="1" customHeight="1">
      <c r="A1860" s="15">
        <v>1859</v>
      </c>
      <c r="B1860" s="16" t="s">
        <v>5768</v>
      </c>
      <c r="C1860" s="17">
        <v>45576</v>
      </c>
      <c r="D1860" s="15" t="s">
        <v>5769</v>
      </c>
      <c r="E1860" s="18" t="s">
        <v>954</v>
      </c>
      <c r="F1860" s="19" t="s">
        <v>5770</v>
      </c>
      <c r="G1860" s="18" t="s">
        <v>5771</v>
      </c>
      <c r="H1860" s="20" t="s">
        <v>5131</v>
      </c>
      <c r="I1860" s="15">
        <v>1</v>
      </c>
      <c r="J1860" s="15" t="s">
        <v>24</v>
      </c>
      <c r="K1860" s="15"/>
      <c r="L1860" s="21" t="s">
        <v>16</v>
      </c>
      <c r="M1860" s="22">
        <v>0</v>
      </c>
      <c r="N1860" s="22">
        <v>-720</v>
      </c>
      <c r="O1860" s="22">
        <v>6480</v>
      </c>
      <c r="P1860" s="22">
        <v>6480</v>
      </c>
      <c r="Q1860" t="str" cm="1">
        <f t="array" ref="Q1860">_xlfn.TEXTJOIN("、",TRUE,IF('學員資料-三民高中'!$B$2:$B$454=$F1860,'學員資料-三民高中'!$G$2:$G$454,""))</f>
        <v>0917657387</v>
      </c>
      <c r="R1860" t="str" cm="1">
        <f t="array" ref="R1860">_xlfn.TEXTJOIN("、",TRUE,IF('學員資料-新北高中'!$B$2:$B$583=$F1860,'學員資料-新北高中'!$G$2:$G$583,""))</f>
        <v/>
      </c>
      <c r="S1860" t="str" cm="1">
        <f t="array" ref="S1860">_xlfn.TEXTJOIN("、",TRUE,IF('學員資料-三重商工'!$B$2:$B$472=$F1860,'學員資料-三重商工'!$G$2:$G$472,""))</f>
        <v/>
      </c>
      <c r="T1860">
        <f t="shared" si="29"/>
        <v>1</v>
      </c>
    </row>
    <row r="1861" spans="1:20" ht="28.5" hidden="1" customHeight="1">
      <c r="A1861" s="15">
        <v>1860</v>
      </c>
      <c r="B1861" s="16" t="s">
        <v>5772</v>
      </c>
      <c r="C1861" s="17">
        <v>45576</v>
      </c>
      <c r="D1861" s="15" t="s">
        <v>5773</v>
      </c>
      <c r="E1861" s="18" t="s">
        <v>954</v>
      </c>
      <c r="F1861" s="19" t="s">
        <v>434</v>
      </c>
      <c r="G1861" s="18" t="s">
        <v>435</v>
      </c>
      <c r="H1861" s="20" t="s">
        <v>5154</v>
      </c>
      <c r="I1861" s="15">
        <v>2</v>
      </c>
      <c r="J1861" s="15" t="s">
        <v>24</v>
      </c>
      <c r="K1861" s="15"/>
      <c r="L1861" s="21" t="s">
        <v>16</v>
      </c>
      <c r="M1861" s="22">
        <v>0</v>
      </c>
      <c r="N1861" s="22">
        <v>-1440</v>
      </c>
      <c r="O1861" s="22">
        <v>12960</v>
      </c>
      <c r="P1861" s="22">
        <v>12960</v>
      </c>
      <c r="Q1861" t="str" cm="1">
        <f t="array" ref="Q1861">_xlfn.TEXTJOIN("、",TRUE,IF('學員資料-三民高中'!$B$2:$B$454=$F1861,'學員資料-三民高中'!$G$2:$G$454,""))</f>
        <v>0913597806</v>
      </c>
      <c r="R1861" t="str" cm="1">
        <f t="array" ref="R1861">_xlfn.TEXTJOIN("、",TRUE,IF('學員資料-新北高中'!$B$2:$B$583=$F1861,'學員資料-新北高中'!$G$2:$G$583,""))</f>
        <v/>
      </c>
      <c r="S1861" t="str" cm="1">
        <f t="array" ref="S1861">_xlfn.TEXTJOIN("、",TRUE,IF('學員資料-三重商工'!$B$2:$B$472=$F1861,'學員資料-三重商工'!$G$2:$G$472,""))</f>
        <v/>
      </c>
      <c r="T1861">
        <f t="shared" si="29"/>
        <v>1</v>
      </c>
    </row>
    <row r="1862" spans="1:20" ht="28.5" hidden="1" customHeight="1">
      <c r="A1862" s="15">
        <v>1861</v>
      </c>
      <c r="B1862" s="16" t="s">
        <v>5774</v>
      </c>
      <c r="C1862" s="17">
        <v>45576</v>
      </c>
      <c r="D1862" s="15" t="s">
        <v>5775</v>
      </c>
      <c r="E1862" s="18" t="s">
        <v>954</v>
      </c>
      <c r="F1862" s="19" t="s">
        <v>2875</v>
      </c>
      <c r="G1862" s="18" t="s">
        <v>2876</v>
      </c>
      <c r="H1862" s="20" t="s">
        <v>5154</v>
      </c>
      <c r="I1862" s="15">
        <v>2</v>
      </c>
      <c r="J1862" s="15" t="s">
        <v>24</v>
      </c>
      <c r="K1862" s="15"/>
      <c r="L1862" s="21" t="s">
        <v>16</v>
      </c>
      <c r="M1862" s="22">
        <v>0</v>
      </c>
      <c r="N1862" s="22">
        <v>-1440</v>
      </c>
      <c r="O1862" s="22">
        <v>12960</v>
      </c>
      <c r="P1862" s="22">
        <v>12960</v>
      </c>
      <c r="Q1862" t="str" cm="1">
        <f t="array" ref="Q1862">_xlfn.TEXTJOIN("、",TRUE,IF('學員資料-三民高中'!$B$2:$B$454=$F1862,'學員資料-三民高中'!$G$2:$G$454,""))</f>
        <v/>
      </c>
      <c r="R1862" t="str" cm="1">
        <f t="array" ref="R1862">_xlfn.TEXTJOIN("、",TRUE,IF('學員資料-新北高中'!$B$2:$B$583=$F1862,'學員資料-新北高中'!$G$2:$G$583,""))</f>
        <v>0933047757</v>
      </c>
      <c r="S1862" t="str" cm="1">
        <f t="array" ref="S1862">_xlfn.TEXTJOIN("、",TRUE,IF('學員資料-三重商工'!$B$2:$B$472=$F1862,'學員資料-三重商工'!$G$2:$G$472,""))</f>
        <v/>
      </c>
      <c r="T1862">
        <f t="shared" si="29"/>
        <v>1</v>
      </c>
    </row>
    <row r="1863" spans="1:20" ht="14.25" hidden="1" customHeight="1">
      <c r="A1863" s="15">
        <v>1862</v>
      </c>
      <c r="B1863" s="16" t="s">
        <v>5776</v>
      </c>
      <c r="C1863" s="17">
        <v>45576</v>
      </c>
      <c r="D1863" s="15" t="s">
        <v>5777</v>
      </c>
      <c r="E1863" s="18" t="s">
        <v>954</v>
      </c>
      <c r="F1863" s="19" t="s">
        <v>5778</v>
      </c>
      <c r="G1863" s="18" t="s">
        <v>5779</v>
      </c>
      <c r="H1863" s="20" t="s">
        <v>5131</v>
      </c>
      <c r="I1863" s="15">
        <v>1</v>
      </c>
      <c r="J1863" s="15" t="s">
        <v>24</v>
      </c>
      <c r="K1863" s="15"/>
      <c r="L1863" s="21" t="s">
        <v>16</v>
      </c>
      <c r="M1863" s="22">
        <v>0</v>
      </c>
      <c r="N1863" s="22">
        <v>-720</v>
      </c>
      <c r="O1863" s="22">
        <v>6480</v>
      </c>
      <c r="P1863" s="22">
        <v>6480</v>
      </c>
      <c r="Q1863" t="str" cm="1">
        <f t="array" ref="Q1863">_xlfn.TEXTJOIN("、",TRUE,IF('學員資料-三民高中'!$B$2:$B$454=$F1863,'學員資料-三民高中'!$G$2:$G$454,""))</f>
        <v>0921641535</v>
      </c>
      <c r="R1863" t="str" cm="1">
        <f t="array" ref="R1863">_xlfn.TEXTJOIN("、",TRUE,IF('學員資料-新北高中'!$B$2:$B$583=$F1863,'學員資料-新北高中'!$G$2:$G$583,""))</f>
        <v/>
      </c>
      <c r="S1863" t="str" cm="1">
        <f t="array" ref="S1863">_xlfn.TEXTJOIN("、",TRUE,IF('學員資料-三重商工'!$B$2:$B$472=$F1863,'學員資料-三重商工'!$G$2:$G$472,""))</f>
        <v/>
      </c>
      <c r="T1863">
        <f t="shared" si="29"/>
        <v>1</v>
      </c>
    </row>
    <row r="1864" spans="1:20" ht="28.5" hidden="1" customHeight="1">
      <c r="A1864" s="15">
        <v>1863</v>
      </c>
      <c r="B1864" s="16" t="s">
        <v>5780</v>
      </c>
      <c r="C1864" s="17">
        <v>45576</v>
      </c>
      <c r="D1864" s="15" t="s">
        <v>5781</v>
      </c>
      <c r="E1864" s="18" t="s">
        <v>954</v>
      </c>
      <c r="F1864" s="19" t="s">
        <v>5782</v>
      </c>
      <c r="G1864" s="18" t="s">
        <v>5783</v>
      </c>
      <c r="H1864" s="20" t="s">
        <v>5729</v>
      </c>
      <c r="I1864" s="15">
        <v>2</v>
      </c>
      <c r="J1864" s="15" t="s">
        <v>26</v>
      </c>
      <c r="K1864" s="15"/>
      <c r="L1864" s="21" t="s">
        <v>16</v>
      </c>
      <c r="M1864" s="22">
        <v>0</v>
      </c>
      <c r="N1864" s="22">
        <v>-2592</v>
      </c>
      <c r="O1864" s="22">
        <v>19008</v>
      </c>
      <c r="P1864" s="22">
        <v>19008</v>
      </c>
      <c r="Q1864" t="str" cm="1">
        <f t="array" ref="Q1864">_xlfn.TEXTJOIN("、",TRUE,IF('學員資料-三民高中'!$B$2:$B$454=$F1864,'學員資料-三民高中'!$G$2:$G$454,""))</f>
        <v>0961258777</v>
      </c>
      <c r="R1864" t="str" cm="1">
        <f t="array" ref="R1864">_xlfn.TEXTJOIN("、",TRUE,IF('學員資料-新北高中'!$B$2:$B$583=$F1864,'學員資料-新北高中'!$G$2:$G$583,""))</f>
        <v/>
      </c>
      <c r="S1864" t="str" cm="1">
        <f t="array" ref="S1864">_xlfn.TEXTJOIN("、",TRUE,IF('學員資料-三重商工'!$B$2:$B$472=$F1864,'學員資料-三重商工'!$G$2:$G$472,""))</f>
        <v/>
      </c>
      <c r="T1864">
        <f t="shared" si="29"/>
        <v>1</v>
      </c>
    </row>
    <row r="1865" spans="1:20" ht="14.25" hidden="1" customHeight="1">
      <c r="A1865" s="15">
        <v>1864</v>
      </c>
      <c r="B1865" s="16" t="s">
        <v>5784</v>
      </c>
      <c r="C1865" s="17">
        <v>45576</v>
      </c>
      <c r="D1865" s="15" t="s">
        <v>5785</v>
      </c>
      <c r="E1865" s="18" t="s">
        <v>954</v>
      </c>
      <c r="F1865" s="19" t="s">
        <v>1434</v>
      </c>
      <c r="G1865" s="18" t="s">
        <v>1435</v>
      </c>
      <c r="H1865" s="20" t="s">
        <v>5148</v>
      </c>
      <c r="I1865" s="15">
        <v>1</v>
      </c>
      <c r="J1865" s="15" t="s">
        <v>25</v>
      </c>
      <c r="K1865" s="15"/>
      <c r="L1865" s="21" t="s">
        <v>16</v>
      </c>
      <c r="M1865" s="22">
        <v>0</v>
      </c>
      <c r="N1865" s="22">
        <v>-1080</v>
      </c>
      <c r="O1865" s="22">
        <v>7920</v>
      </c>
      <c r="P1865" s="22">
        <v>7920</v>
      </c>
      <c r="Q1865" t="str" cm="1">
        <f t="array" ref="Q1865">_xlfn.TEXTJOIN("、",TRUE,IF('學員資料-三民高中'!$B$2:$B$454=$F1865,'學員資料-三民高中'!$G$2:$G$454,""))</f>
        <v>0935827666</v>
      </c>
      <c r="R1865" t="str" cm="1">
        <f t="array" ref="R1865">_xlfn.TEXTJOIN("、",TRUE,IF('學員資料-新北高中'!$B$2:$B$583=$F1865,'學員資料-新北高中'!$G$2:$G$583,""))</f>
        <v/>
      </c>
      <c r="S1865" t="str" cm="1">
        <f t="array" ref="S1865">_xlfn.TEXTJOIN("、",TRUE,IF('學員資料-三重商工'!$B$2:$B$472=$F1865,'學員資料-三重商工'!$G$2:$G$472,""))</f>
        <v/>
      </c>
      <c r="T1865">
        <f t="shared" si="29"/>
        <v>1</v>
      </c>
    </row>
    <row r="1866" spans="1:20" ht="28.5" hidden="1" customHeight="1">
      <c r="A1866" s="15">
        <v>1865</v>
      </c>
      <c r="B1866" s="16" t="s">
        <v>5786</v>
      </c>
      <c r="C1866" s="17">
        <v>45576</v>
      </c>
      <c r="D1866" s="15" t="s">
        <v>5787</v>
      </c>
      <c r="E1866" s="18" t="s">
        <v>954</v>
      </c>
      <c r="F1866" s="19" t="s">
        <v>5788</v>
      </c>
      <c r="G1866" s="18" t="s">
        <v>5789</v>
      </c>
      <c r="H1866" s="20" t="s">
        <v>5729</v>
      </c>
      <c r="I1866" s="15">
        <v>2</v>
      </c>
      <c r="J1866" s="15" t="s">
        <v>26</v>
      </c>
      <c r="K1866" s="15"/>
      <c r="L1866" s="21" t="s">
        <v>16</v>
      </c>
      <c r="M1866" s="22">
        <v>0</v>
      </c>
      <c r="N1866" s="22">
        <v>-2592</v>
      </c>
      <c r="O1866" s="22">
        <v>19008</v>
      </c>
      <c r="P1866" s="22">
        <v>19008</v>
      </c>
      <c r="Q1866" t="str" cm="1">
        <f t="array" ref="Q1866">_xlfn.TEXTJOIN("、",TRUE,IF('學員資料-三民高中'!$B$2:$B$454=$F1866,'學員資料-三民高中'!$G$2:$G$454,""))</f>
        <v>0933888191</v>
      </c>
      <c r="R1866" t="str" cm="1">
        <f t="array" ref="R1866">_xlfn.TEXTJOIN("、",TRUE,IF('學員資料-新北高中'!$B$2:$B$583=$F1866,'學員資料-新北高中'!$G$2:$G$583,""))</f>
        <v/>
      </c>
      <c r="S1866" t="str" cm="1">
        <f t="array" ref="S1866">_xlfn.TEXTJOIN("、",TRUE,IF('學員資料-三重商工'!$B$2:$B$472=$F1866,'學員資料-三重商工'!$G$2:$G$472,""))</f>
        <v/>
      </c>
      <c r="T1866">
        <f t="shared" si="29"/>
        <v>1</v>
      </c>
    </row>
    <row r="1867" spans="1:20" ht="28.5" hidden="1" customHeight="1">
      <c r="A1867" s="15">
        <v>1866</v>
      </c>
      <c r="B1867" s="16" t="s">
        <v>5790</v>
      </c>
      <c r="C1867" s="17">
        <v>45576</v>
      </c>
      <c r="D1867" s="15" t="s">
        <v>5791</v>
      </c>
      <c r="E1867" s="18" t="s">
        <v>954</v>
      </c>
      <c r="F1867" s="19" t="s">
        <v>5792</v>
      </c>
      <c r="G1867" s="18" t="s">
        <v>5793</v>
      </c>
      <c r="H1867" s="20" t="s">
        <v>5263</v>
      </c>
      <c r="I1867" s="15">
        <v>2</v>
      </c>
      <c r="J1867" s="15" t="s">
        <v>25</v>
      </c>
      <c r="K1867" s="15"/>
      <c r="L1867" s="21" t="s">
        <v>16</v>
      </c>
      <c r="M1867" s="22">
        <v>0</v>
      </c>
      <c r="N1867" s="22">
        <v>-2160</v>
      </c>
      <c r="O1867" s="22">
        <v>15840</v>
      </c>
      <c r="P1867" s="22">
        <v>15840</v>
      </c>
      <c r="Q1867" t="str" cm="1">
        <f t="array" ref="Q1867">_xlfn.TEXTJOIN("、",TRUE,IF('學員資料-三民高中'!$B$2:$B$454=$F1867,'學員資料-三民高中'!$G$2:$G$454,""))</f>
        <v>0933524390</v>
      </c>
      <c r="R1867" t="str" cm="1">
        <f t="array" ref="R1867">_xlfn.TEXTJOIN("、",TRUE,IF('學員資料-新北高中'!$B$2:$B$583=$F1867,'學員資料-新北高中'!$G$2:$G$583,""))</f>
        <v/>
      </c>
      <c r="S1867" t="str" cm="1">
        <f t="array" ref="S1867">_xlfn.TEXTJOIN("、",TRUE,IF('學員資料-三重商工'!$B$2:$B$472=$F1867,'學員資料-三重商工'!$G$2:$G$472,""))</f>
        <v/>
      </c>
      <c r="T1867">
        <f t="shared" si="29"/>
        <v>1</v>
      </c>
    </row>
    <row r="1868" spans="1:20" ht="28.5" customHeight="1">
      <c r="A1868" s="15">
        <v>1867</v>
      </c>
      <c r="B1868" s="16" t="s">
        <v>5794</v>
      </c>
      <c r="C1868" s="17">
        <v>45576</v>
      </c>
      <c r="D1868" s="15" t="s">
        <v>5795</v>
      </c>
      <c r="E1868" s="18" t="s">
        <v>954</v>
      </c>
      <c r="F1868" s="19" t="s">
        <v>5796</v>
      </c>
      <c r="G1868" s="23"/>
      <c r="H1868" s="20" t="s">
        <v>5154</v>
      </c>
      <c r="I1868" s="15">
        <v>2</v>
      </c>
      <c r="J1868" s="15" t="s">
        <v>24</v>
      </c>
      <c r="K1868" s="15"/>
      <c r="L1868" s="21" t="s">
        <v>16</v>
      </c>
      <c r="M1868" s="22">
        <v>0</v>
      </c>
      <c r="N1868" s="22">
        <v>-1440</v>
      </c>
      <c r="O1868" s="22">
        <v>12960</v>
      </c>
      <c r="P1868" s="22">
        <v>12960</v>
      </c>
      <c r="Q1868" t="str" cm="1">
        <f t="array" ref="Q1868">_xlfn.TEXTJOIN("、",TRUE,IF('學員資料-三民高中'!$B$2:$B$454=$F1868,'學員資料-三民高中'!$G$2:$G$454,""))</f>
        <v/>
      </c>
      <c r="R1868" t="str" cm="1">
        <f t="array" ref="R1868">_xlfn.TEXTJOIN("、",TRUE,IF('學員資料-新北高中'!$B$2:$B$583=$F1868,'學員資料-新北高中'!$G$2:$G$583,""))</f>
        <v/>
      </c>
      <c r="S1868" t="str" cm="1">
        <f t="array" ref="S1868">_xlfn.TEXTJOIN("、",TRUE,IF('學員資料-三重商工'!$B$2:$B$472=$F1868,'學員資料-三重商工'!$G$2:$G$472,""))</f>
        <v/>
      </c>
      <c r="T1868">
        <f t="shared" si="29"/>
        <v>0</v>
      </c>
    </row>
    <row r="1869" spans="1:20" ht="28.5" hidden="1" customHeight="1">
      <c r="A1869" s="15">
        <v>1868</v>
      </c>
      <c r="B1869" s="16" t="s">
        <v>5797</v>
      </c>
      <c r="C1869" s="17">
        <v>45576</v>
      </c>
      <c r="D1869" s="15" t="s">
        <v>5798</v>
      </c>
      <c r="E1869" s="18" t="s">
        <v>954</v>
      </c>
      <c r="F1869" s="19" t="s">
        <v>5799</v>
      </c>
      <c r="G1869" s="18" t="s">
        <v>5800</v>
      </c>
      <c r="H1869" s="20" t="s">
        <v>5263</v>
      </c>
      <c r="I1869" s="15">
        <v>2</v>
      </c>
      <c r="J1869" s="15" t="s">
        <v>25</v>
      </c>
      <c r="K1869" s="15"/>
      <c r="L1869" s="21" t="s">
        <v>16</v>
      </c>
      <c r="M1869" s="22">
        <v>0</v>
      </c>
      <c r="N1869" s="22">
        <v>-2160</v>
      </c>
      <c r="O1869" s="22">
        <v>15840</v>
      </c>
      <c r="P1869" s="22">
        <v>15840</v>
      </c>
      <c r="Q1869" t="str" cm="1">
        <f t="array" ref="Q1869">_xlfn.TEXTJOIN("、",TRUE,IF('學員資料-三民高中'!$B$2:$B$454=$F1869,'學員資料-三民高中'!$G$2:$G$454,""))</f>
        <v>0927222393</v>
      </c>
      <c r="R1869" t="str" cm="1">
        <f t="array" ref="R1869">_xlfn.TEXTJOIN("、",TRUE,IF('學員資料-新北高中'!$B$2:$B$583=$F1869,'學員資料-新北高中'!$G$2:$G$583,""))</f>
        <v/>
      </c>
      <c r="S1869" t="str" cm="1">
        <f t="array" ref="S1869">_xlfn.TEXTJOIN("、",TRUE,IF('學員資料-三重商工'!$B$2:$B$472=$F1869,'學員資料-三重商工'!$G$2:$G$472,""))</f>
        <v/>
      </c>
      <c r="T1869">
        <f t="shared" si="29"/>
        <v>1</v>
      </c>
    </row>
    <row r="1870" spans="1:20" ht="28.5" hidden="1" customHeight="1">
      <c r="A1870" s="15">
        <v>1869</v>
      </c>
      <c r="B1870" s="16" t="s">
        <v>5801</v>
      </c>
      <c r="C1870" s="17">
        <v>45576</v>
      </c>
      <c r="D1870" s="15" t="s">
        <v>5802</v>
      </c>
      <c r="E1870" s="18" t="s">
        <v>954</v>
      </c>
      <c r="F1870" s="19" t="s">
        <v>5803</v>
      </c>
      <c r="G1870" s="18" t="s">
        <v>5804</v>
      </c>
      <c r="H1870" s="20" t="s">
        <v>5729</v>
      </c>
      <c r="I1870" s="15">
        <v>2</v>
      </c>
      <c r="J1870" s="15" t="s">
        <v>26</v>
      </c>
      <c r="K1870" s="15"/>
      <c r="L1870" s="21" t="s">
        <v>16</v>
      </c>
      <c r="M1870" s="22">
        <v>0</v>
      </c>
      <c r="N1870" s="22">
        <v>-2592</v>
      </c>
      <c r="O1870" s="22">
        <v>19008</v>
      </c>
      <c r="P1870" s="22">
        <v>19008</v>
      </c>
      <c r="Q1870" t="str" cm="1">
        <f t="array" ref="Q1870">_xlfn.TEXTJOIN("、",TRUE,IF('學員資料-三民高中'!$B$2:$B$454=$F1870,'學員資料-三民高中'!$G$2:$G$454,""))</f>
        <v>0927808020</v>
      </c>
      <c r="R1870" t="str" cm="1">
        <f t="array" ref="R1870">_xlfn.TEXTJOIN("、",TRUE,IF('學員資料-新北高中'!$B$2:$B$583=$F1870,'學員資料-新北高中'!$G$2:$G$583,""))</f>
        <v/>
      </c>
      <c r="S1870" t="str" cm="1">
        <f t="array" ref="S1870">_xlfn.TEXTJOIN("、",TRUE,IF('學員資料-三重商工'!$B$2:$B$472=$F1870,'學員資料-三重商工'!$G$2:$G$472,""))</f>
        <v/>
      </c>
      <c r="T1870">
        <f t="shared" si="29"/>
        <v>1</v>
      </c>
    </row>
    <row r="1871" spans="1:20" ht="14.25" hidden="1" customHeight="1">
      <c r="A1871" s="15">
        <v>1870</v>
      </c>
      <c r="B1871" s="16" t="s">
        <v>5805</v>
      </c>
      <c r="C1871" s="17">
        <v>45576</v>
      </c>
      <c r="D1871" s="15" t="s">
        <v>5806</v>
      </c>
      <c r="E1871" s="18" t="s">
        <v>954</v>
      </c>
      <c r="F1871" s="19" t="s">
        <v>5580</v>
      </c>
      <c r="G1871" s="18" t="s">
        <v>5581</v>
      </c>
      <c r="H1871" s="20" t="s">
        <v>5131</v>
      </c>
      <c r="I1871" s="15">
        <v>1</v>
      </c>
      <c r="J1871" s="15" t="s">
        <v>24</v>
      </c>
      <c r="K1871" s="15"/>
      <c r="L1871" s="21" t="s">
        <v>16</v>
      </c>
      <c r="M1871" s="22">
        <v>0</v>
      </c>
      <c r="N1871" s="22">
        <v>-720</v>
      </c>
      <c r="O1871" s="22">
        <v>6480</v>
      </c>
      <c r="P1871" s="22">
        <v>6480</v>
      </c>
      <c r="Q1871" t="str" cm="1">
        <f t="array" ref="Q1871">_xlfn.TEXTJOIN("、",TRUE,IF('學員資料-三民高中'!$B$2:$B$454=$F1871,'學員資料-三民高中'!$G$2:$G$454,""))</f>
        <v>0989063066</v>
      </c>
      <c r="R1871" t="str" cm="1">
        <f t="array" ref="R1871">_xlfn.TEXTJOIN("、",TRUE,IF('學員資料-新北高中'!$B$2:$B$583=$F1871,'學員資料-新北高中'!$G$2:$G$583,""))</f>
        <v/>
      </c>
      <c r="S1871" t="str" cm="1">
        <f t="array" ref="S1871">_xlfn.TEXTJOIN("、",TRUE,IF('學員資料-三重商工'!$B$2:$B$472=$F1871,'學員資料-三重商工'!$G$2:$G$472,""))</f>
        <v/>
      </c>
      <c r="T1871">
        <f t="shared" si="29"/>
        <v>1</v>
      </c>
    </row>
    <row r="1872" spans="1:20" ht="28.5" hidden="1" customHeight="1">
      <c r="A1872" s="15">
        <v>1871</v>
      </c>
      <c r="B1872" s="16" t="s">
        <v>5807</v>
      </c>
      <c r="C1872" s="17">
        <v>45576</v>
      </c>
      <c r="D1872" s="15" t="s">
        <v>5808</v>
      </c>
      <c r="E1872" s="18" t="s">
        <v>954</v>
      </c>
      <c r="F1872" s="19" t="s">
        <v>5809</v>
      </c>
      <c r="G1872" s="18" t="s">
        <v>5810</v>
      </c>
      <c r="H1872" s="20" t="s">
        <v>5206</v>
      </c>
      <c r="I1872" s="15">
        <v>2</v>
      </c>
      <c r="J1872" s="15" t="s">
        <v>23</v>
      </c>
      <c r="K1872" s="15"/>
      <c r="L1872" s="21" t="s">
        <v>16</v>
      </c>
      <c r="M1872" s="22">
        <v>0</v>
      </c>
      <c r="N1872" s="22">
        <v>-1320</v>
      </c>
      <c r="O1872" s="22">
        <v>11880</v>
      </c>
      <c r="P1872" s="22">
        <v>11880</v>
      </c>
      <c r="Q1872" t="str" cm="1">
        <f t="array" ref="Q1872">_xlfn.TEXTJOIN("、",TRUE,IF('學員資料-三民高中'!$B$2:$B$454=$F1872,'學員資料-三民高中'!$G$2:$G$454,""))</f>
        <v>0988265013</v>
      </c>
      <c r="R1872" t="str" cm="1">
        <f t="array" ref="R1872">_xlfn.TEXTJOIN("、",TRUE,IF('學員資料-新北高中'!$B$2:$B$583=$F1872,'學員資料-新北高中'!$G$2:$G$583,""))</f>
        <v/>
      </c>
      <c r="S1872" t="str" cm="1">
        <f t="array" ref="S1872">_xlfn.TEXTJOIN("、",TRUE,IF('學員資料-三重商工'!$B$2:$B$472=$F1872,'學員資料-三重商工'!$G$2:$G$472,""))</f>
        <v/>
      </c>
      <c r="T1872">
        <f t="shared" si="29"/>
        <v>1</v>
      </c>
    </row>
    <row r="1873" spans="1:20" ht="43.5" hidden="1" customHeight="1">
      <c r="A1873" s="15">
        <v>1872</v>
      </c>
      <c r="B1873" s="16" t="s">
        <v>5811</v>
      </c>
      <c r="C1873" s="17">
        <v>45576</v>
      </c>
      <c r="D1873" s="15" t="s">
        <v>5812</v>
      </c>
      <c r="E1873" s="18" t="s">
        <v>954</v>
      </c>
      <c r="F1873" s="19" t="s">
        <v>5813</v>
      </c>
      <c r="G1873" s="18" t="s">
        <v>5814</v>
      </c>
      <c r="H1873" s="20" t="s">
        <v>5128</v>
      </c>
      <c r="I1873" s="15">
        <v>3</v>
      </c>
      <c r="J1873" s="15" t="s">
        <v>25</v>
      </c>
      <c r="K1873" s="15"/>
      <c r="L1873" s="21" t="s">
        <v>16</v>
      </c>
      <c r="M1873" s="22">
        <v>0</v>
      </c>
      <c r="N1873" s="22">
        <v>-3240</v>
      </c>
      <c r="O1873" s="22">
        <v>23760</v>
      </c>
      <c r="P1873" s="22">
        <v>23760</v>
      </c>
      <c r="Q1873" t="str" cm="1">
        <f t="array" ref="Q1873">_xlfn.TEXTJOIN("、",TRUE,IF('學員資料-三民高中'!$B$2:$B$454=$F1873,'學員資料-三民高中'!$G$2:$G$454,""))</f>
        <v>0939919383</v>
      </c>
      <c r="R1873" t="str" cm="1">
        <f t="array" ref="R1873">_xlfn.TEXTJOIN("、",TRUE,IF('學員資料-新北高中'!$B$2:$B$583=$F1873,'學員資料-新北高中'!$G$2:$G$583,""))</f>
        <v/>
      </c>
      <c r="S1873" t="str" cm="1">
        <f t="array" ref="S1873">_xlfn.TEXTJOIN("、",TRUE,IF('學員資料-三重商工'!$B$2:$B$472=$F1873,'學員資料-三重商工'!$G$2:$G$472,""))</f>
        <v/>
      </c>
      <c r="T1873">
        <f t="shared" si="29"/>
        <v>1</v>
      </c>
    </row>
    <row r="1874" spans="1:20" ht="14.25" hidden="1" customHeight="1">
      <c r="A1874" s="15">
        <v>1873</v>
      </c>
      <c r="B1874" s="16" t="s">
        <v>5815</v>
      </c>
      <c r="C1874" s="17">
        <v>45576</v>
      </c>
      <c r="D1874" s="15" t="s">
        <v>5816</v>
      </c>
      <c r="E1874" s="18" t="s">
        <v>954</v>
      </c>
      <c r="F1874" s="19" t="s">
        <v>5817</v>
      </c>
      <c r="G1874" s="18" t="s">
        <v>5818</v>
      </c>
      <c r="H1874" s="20" t="s">
        <v>5131</v>
      </c>
      <c r="I1874" s="15">
        <v>1</v>
      </c>
      <c r="J1874" s="15" t="s">
        <v>24</v>
      </c>
      <c r="K1874" s="15"/>
      <c r="L1874" s="21" t="s">
        <v>16</v>
      </c>
      <c r="M1874" s="22">
        <v>0</v>
      </c>
      <c r="N1874" s="22">
        <v>-720</v>
      </c>
      <c r="O1874" s="22">
        <v>6480</v>
      </c>
      <c r="P1874" s="22">
        <v>6480</v>
      </c>
      <c r="Q1874" t="str" cm="1">
        <f t="array" ref="Q1874">_xlfn.TEXTJOIN("、",TRUE,IF('學員資料-三民高中'!$B$2:$B$454=$F1874,'學員資料-三民高中'!$G$2:$G$454,""))</f>
        <v/>
      </c>
      <c r="R1874" t="str" cm="1">
        <f t="array" ref="R1874">_xlfn.TEXTJOIN("、",TRUE,IF('學員資料-新北高中'!$B$2:$B$583=$F1874,'學員資料-新北高中'!$G$2:$G$583,""))</f>
        <v>0928599295</v>
      </c>
      <c r="S1874" t="str" cm="1">
        <f t="array" ref="S1874">_xlfn.TEXTJOIN("、",TRUE,IF('學員資料-三重商工'!$B$2:$B$472=$F1874,'學員資料-三重商工'!$G$2:$G$472,""))</f>
        <v/>
      </c>
      <c r="T1874">
        <f t="shared" si="29"/>
        <v>1</v>
      </c>
    </row>
    <row r="1875" spans="1:20" ht="14.25" hidden="1" customHeight="1">
      <c r="A1875" s="15">
        <v>1874</v>
      </c>
      <c r="B1875" s="16" t="s">
        <v>5819</v>
      </c>
      <c r="C1875" s="17">
        <v>45575</v>
      </c>
      <c r="D1875" s="15" t="s">
        <v>5820</v>
      </c>
      <c r="E1875" s="18" t="s">
        <v>954</v>
      </c>
      <c r="F1875" s="19" t="s">
        <v>5738</v>
      </c>
      <c r="G1875" s="18" t="s">
        <v>5739</v>
      </c>
      <c r="H1875" s="20" t="s">
        <v>5131</v>
      </c>
      <c r="I1875" s="15">
        <v>1</v>
      </c>
      <c r="J1875" s="15" t="s">
        <v>24</v>
      </c>
      <c r="K1875" s="15"/>
      <c r="L1875" s="21" t="s">
        <v>16</v>
      </c>
      <c r="M1875" s="22">
        <v>0</v>
      </c>
      <c r="N1875" s="22">
        <v>-720</v>
      </c>
      <c r="O1875" s="22">
        <v>6480</v>
      </c>
      <c r="P1875" s="22">
        <v>6480</v>
      </c>
      <c r="Q1875" t="str" cm="1">
        <f t="array" ref="Q1875">_xlfn.TEXTJOIN("、",TRUE,IF('學員資料-三民高中'!$B$2:$B$454=$F1875,'學員資料-三民高中'!$G$2:$G$454,""))</f>
        <v/>
      </c>
      <c r="R1875" t="str" cm="1">
        <f t="array" ref="R1875">_xlfn.TEXTJOIN("、",TRUE,IF('學員資料-新北高中'!$B$2:$B$583=$F1875,'學員資料-新北高中'!$G$2:$G$583,""))</f>
        <v/>
      </c>
      <c r="S1875" t="str" cm="1">
        <f t="array" ref="S1875">_xlfn.TEXTJOIN("、",TRUE,IF('學員資料-三重商工'!$B$2:$B$472=$F1875,'學員資料-三重商工'!$G$2:$G$472,""))</f>
        <v>0918631131</v>
      </c>
      <c r="T1875">
        <f t="shared" si="29"/>
        <v>1</v>
      </c>
    </row>
    <row r="1876" spans="1:20" ht="14.25" hidden="1" customHeight="1">
      <c r="A1876" s="15">
        <v>1875</v>
      </c>
      <c r="B1876" s="16" t="s">
        <v>5821</v>
      </c>
      <c r="C1876" s="17">
        <v>45575</v>
      </c>
      <c r="D1876" s="15" t="s">
        <v>5822</v>
      </c>
      <c r="E1876" s="18" t="s">
        <v>954</v>
      </c>
      <c r="F1876" s="19" t="s">
        <v>5823</v>
      </c>
      <c r="G1876" s="18" t="s">
        <v>5824</v>
      </c>
      <c r="H1876" s="20" t="s">
        <v>5211</v>
      </c>
      <c r="I1876" s="15">
        <v>1</v>
      </c>
      <c r="J1876" s="15" t="s">
        <v>26</v>
      </c>
      <c r="K1876" s="15"/>
      <c r="L1876" s="21" t="s">
        <v>16</v>
      </c>
      <c r="M1876" s="22">
        <v>0</v>
      </c>
      <c r="N1876" s="22">
        <v>0</v>
      </c>
      <c r="O1876" s="22">
        <v>10800</v>
      </c>
      <c r="P1876" s="22">
        <v>10800</v>
      </c>
      <c r="Q1876" t="str" cm="1">
        <f t="array" ref="Q1876">_xlfn.TEXTJOIN("、",TRUE,IF('學員資料-三民高中'!$B$2:$B$454=$F1876,'學員資料-三民高中'!$G$2:$G$454,""))</f>
        <v/>
      </c>
      <c r="R1876" t="str" cm="1">
        <f t="array" ref="R1876">_xlfn.TEXTJOIN("、",TRUE,IF('學員資料-新北高中'!$B$2:$B$583=$F1876,'學員資料-新北高中'!$G$2:$G$583,""))</f>
        <v/>
      </c>
      <c r="S1876" t="str" cm="1">
        <f t="array" ref="S1876">_xlfn.TEXTJOIN("、",TRUE,IF('學員資料-三重商工'!$B$2:$B$472=$F1876,'學員資料-三重商工'!$G$2:$G$472,""))</f>
        <v>0919708307</v>
      </c>
      <c r="T1876">
        <f t="shared" si="29"/>
        <v>1</v>
      </c>
    </row>
    <row r="1877" spans="1:20" ht="28.5" hidden="1" customHeight="1">
      <c r="A1877" s="15">
        <v>1876</v>
      </c>
      <c r="B1877" s="16" t="s">
        <v>5825</v>
      </c>
      <c r="C1877" s="17">
        <v>45575</v>
      </c>
      <c r="D1877" s="15" t="s">
        <v>5826</v>
      </c>
      <c r="E1877" s="18" t="s">
        <v>954</v>
      </c>
      <c r="F1877" s="19" t="s">
        <v>5827</v>
      </c>
      <c r="G1877" s="18" t="s">
        <v>5828</v>
      </c>
      <c r="H1877" s="20" t="s">
        <v>5729</v>
      </c>
      <c r="I1877" s="15">
        <v>2</v>
      </c>
      <c r="J1877" s="15" t="s">
        <v>26</v>
      </c>
      <c r="K1877" s="15"/>
      <c r="L1877" s="21" t="s">
        <v>16</v>
      </c>
      <c r="M1877" s="22">
        <v>0</v>
      </c>
      <c r="N1877" s="22">
        <v>-2592</v>
      </c>
      <c r="O1877" s="22">
        <v>19008</v>
      </c>
      <c r="P1877" s="22">
        <v>19008</v>
      </c>
      <c r="Q1877" t="str" cm="1">
        <f t="array" ref="Q1877">_xlfn.TEXTJOIN("、",TRUE,IF('學員資料-三民高中'!$B$2:$B$454=$F1877,'學員資料-三民高中'!$G$2:$G$454,""))</f>
        <v>0928216416</v>
      </c>
      <c r="R1877" t="str" cm="1">
        <f t="array" ref="R1877">_xlfn.TEXTJOIN("、",TRUE,IF('學員資料-新北高中'!$B$2:$B$583=$F1877,'學員資料-新北高中'!$G$2:$G$583,""))</f>
        <v/>
      </c>
      <c r="S1877" t="str" cm="1">
        <f t="array" ref="S1877">_xlfn.TEXTJOIN("、",TRUE,IF('學員資料-三重商工'!$B$2:$B$472=$F1877,'學員資料-三重商工'!$G$2:$G$472,""))</f>
        <v/>
      </c>
      <c r="T1877">
        <f t="shared" si="29"/>
        <v>1</v>
      </c>
    </row>
    <row r="1878" spans="1:20" ht="14.25" hidden="1" customHeight="1">
      <c r="A1878" s="15">
        <v>1877</v>
      </c>
      <c r="B1878" s="16" t="s">
        <v>5829</v>
      </c>
      <c r="C1878" s="17">
        <v>45575</v>
      </c>
      <c r="D1878" s="15" t="s">
        <v>5830</v>
      </c>
      <c r="E1878" s="18" t="s">
        <v>954</v>
      </c>
      <c r="F1878" s="19" t="s">
        <v>1264</v>
      </c>
      <c r="G1878" s="18" t="s">
        <v>1265</v>
      </c>
      <c r="H1878" s="20" t="s">
        <v>5131</v>
      </c>
      <c r="I1878" s="15">
        <v>1</v>
      </c>
      <c r="J1878" s="15" t="s">
        <v>24</v>
      </c>
      <c r="K1878" s="15"/>
      <c r="L1878" s="21" t="s">
        <v>16</v>
      </c>
      <c r="M1878" s="22">
        <v>0</v>
      </c>
      <c r="N1878" s="22">
        <v>-720</v>
      </c>
      <c r="O1878" s="22">
        <v>6480</v>
      </c>
      <c r="P1878" s="22">
        <v>6480</v>
      </c>
      <c r="Q1878" t="str" cm="1">
        <f t="array" ref="Q1878">_xlfn.TEXTJOIN("、",TRUE,IF('學員資料-三民高中'!$B$2:$B$454=$F1878,'學員資料-三民高中'!$G$2:$G$454,""))</f>
        <v>0922798901</v>
      </c>
      <c r="R1878" t="str" cm="1">
        <f t="array" ref="R1878">_xlfn.TEXTJOIN("、",TRUE,IF('學員資料-新北高中'!$B$2:$B$583=$F1878,'學員資料-新北高中'!$G$2:$G$583,""))</f>
        <v/>
      </c>
      <c r="S1878" t="str" cm="1">
        <f t="array" ref="S1878">_xlfn.TEXTJOIN("、",TRUE,IF('學員資料-三重商工'!$B$2:$B$472=$F1878,'學員資料-三重商工'!$G$2:$G$472,""))</f>
        <v/>
      </c>
      <c r="T1878">
        <f t="shared" si="29"/>
        <v>1</v>
      </c>
    </row>
    <row r="1879" spans="1:20" ht="14.25" hidden="1" customHeight="1">
      <c r="A1879" s="15">
        <v>1878</v>
      </c>
      <c r="B1879" s="16" t="s">
        <v>5831</v>
      </c>
      <c r="C1879" s="17">
        <v>45575</v>
      </c>
      <c r="D1879" s="15" t="s">
        <v>3930</v>
      </c>
      <c r="E1879" s="18" t="s">
        <v>954</v>
      </c>
      <c r="F1879" s="19" t="s">
        <v>5832</v>
      </c>
      <c r="G1879" s="18" t="s">
        <v>5833</v>
      </c>
      <c r="H1879" s="20" t="s">
        <v>5163</v>
      </c>
      <c r="I1879" s="15">
        <v>1</v>
      </c>
      <c r="J1879" s="15" t="s">
        <v>23</v>
      </c>
      <c r="K1879" s="15"/>
      <c r="L1879" s="21" t="s">
        <v>16</v>
      </c>
      <c r="M1879" s="22">
        <v>0</v>
      </c>
      <c r="N1879" s="22">
        <v>-2640</v>
      </c>
      <c r="O1879" s="22">
        <v>3960</v>
      </c>
      <c r="P1879" s="22">
        <v>3960</v>
      </c>
      <c r="Q1879" t="str" cm="1">
        <f t="array" ref="Q1879">_xlfn.TEXTJOIN("、",TRUE,IF('學員資料-三民高中'!$B$2:$B$454=$F1879,'學員資料-三民高中'!$G$2:$G$454,""))</f>
        <v/>
      </c>
      <c r="R1879" t="str" cm="1">
        <f t="array" ref="R1879">_xlfn.TEXTJOIN("、",TRUE,IF('學員資料-新北高中'!$B$2:$B$583=$F1879,'學員資料-新北高中'!$G$2:$G$583,""))</f>
        <v/>
      </c>
      <c r="S1879" t="str" cm="1">
        <f t="array" ref="S1879">_xlfn.TEXTJOIN("、",TRUE,IF('學員資料-三重商工'!$B$2:$B$472=$F1879,'學員資料-三重商工'!$G$2:$G$472,""))</f>
        <v>0934193003.1</v>
      </c>
      <c r="T1879">
        <f t="shared" si="29"/>
        <v>1</v>
      </c>
    </row>
    <row r="1880" spans="1:20" ht="14.25" hidden="1" customHeight="1">
      <c r="A1880" s="15">
        <v>1879</v>
      </c>
      <c r="B1880" s="16" t="s">
        <v>5834</v>
      </c>
      <c r="C1880" s="17">
        <v>45575</v>
      </c>
      <c r="D1880" s="15" t="s">
        <v>5835</v>
      </c>
      <c r="E1880" s="18" t="s">
        <v>954</v>
      </c>
      <c r="F1880" s="19" t="s">
        <v>5836</v>
      </c>
      <c r="G1880" s="18" t="s">
        <v>5837</v>
      </c>
      <c r="H1880" s="20" t="s">
        <v>5211</v>
      </c>
      <c r="I1880" s="15">
        <v>1</v>
      </c>
      <c r="J1880" s="15" t="s">
        <v>26</v>
      </c>
      <c r="K1880" s="15"/>
      <c r="L1880" s="21" t="s">
        <v>16</v>
      </c>
      <c r="M1880" s="22">
        <v>0</v>
      </c>
      <c r="N1880" s="22">
        <v>-1296</v>
      </c>
      <c r="O1880" s="22">
        <v>9504</v>
      </c>
      <c r="P1880" s="22">
        <v>9504</v>
      </c>
      <c r="Q1880" t="str" cm="1">
        <f t="array" ref="Q1880">_xlfn.TEXTJOIN("、",TRUE,IF('學員資料-三民高中'!$B$2:$B$454=$F1880,'學員資料-三民高中'!$G$2:$G$454,""))</f>
        <v/>
      </c>
      <c r="R1880" t="str" cm="1">
        <f t="array" ref="R1880">_xlfn.TEXTJOIN("、",TRUE,IF('學員資料-新北高中'!$B$2:$B$583=$F1880,'學員資料-新北高中'!$G$2:$G$583,""))</f>
        <v>0921841236</v>
      </c>
      <c r="S1880" t="str" cm="1">
        <f t="array" ref="S1880">_xlfn.TEXTJOIN("、",TRUE,IF('學員資料-三重商工'!$B$2:$B$472=$F1880,'學員資料-三重商工'!$G$2:$G$472,""))</f>
        <v/>
      </c>
      <c r="T1880">
        <f t="shared" si="29"/>
        <v>1</v>
      </c>
    </row>
    <row r="1881" spans="1:20" ht="14.25" hidden="1" customHeight="1">
      <c r="A1881" s="15">
        <v>1880</v>
      </c>
      <c r="B1881" s="16" t="s">
        <v>5838</v>
      </c>
      <c r="C1881" s="17">
        <v>45575</v>
      </c>
      <c r="D1881" s="15" t="s">
        <v>5839</v>
      </c>
      <c r="E1881" s="18" t="s">
        <v>954</v>
      </c>
      <c r="F1881" s="19" t="s">
        <v>4037</v>
      </c>
      <c r="G1881" s="18" t="s">
        <v>4038</v>
      </c>
      <c r="H1881" s="20" t="s">
        <v>5131</v>
      </c>
      <c r="I1881" s="15">
        <v>1</v>
      </c>
      <c r="J1881" s="15" t="s">
        <v>24</v>
      </c>
      <c r="K1881" s="15"/>
      <c r="L1881" s="21" t="s">
        <v>16</v>
      </c>
      <c r="M1881" s="22">
        <v>0</v>
      </c>
      <c r="N1881" s="22">
        <v>0</v>
      </c>
      <c r="O1881" s="22">
        <v>7200</v>
      </c>
      <c r="P1881" s="22">
        <v>7200</v>
      </c>
      <c r="Q1881" t="str" cm="1">
        <f t="array" ref="Q1881">_xlfn.TEXTJOIN("、",TRUE,IF('學員資料-三民高中'!$B$2:$B$454=$F1881,'學員資料-三民高中'!$G$2:$G$454,""))</f>
        <v>0952317917</v>
      </c>
      <c r="R1881" t="str" cm="1">
        <f t="array" ref="R1881">_xlfn.TEXTJOIN("、",TRUE,IF('學員資料-新北高中'!$B$2:$B$583=$F1881,'學員資料-新北高中'!$G$2:$G$583,""))</f>
        <v/>
      </c>
      <c r="S1881" t="str" cm="1">
        <f t="array" ref="S1881">_xlfn.TEXTJOIN("、",TRUE,IF('學員資料-三重商工'!$B$2:$B$472=$F1881,'學員資料-三重商工'!$G$2:$G$472,""))</f>
        <v/>
      </c>
      <c r="T1881">
        <f t="shared" si="29"/>
        <v>1</v>
      </c>
    </row>
    <row r="1882" spans="1:20" ht="14.25" hidden="1" customHeight="1">
      <c r="A1882" s="15">
        <v>1881</v>
      </c>
      <c r="B1882" s="16" t="s">
        <v>5840</v>
      </c>
      <c r="C1882" s="17">
        <v>45575</v>
      </c>
      <c r="D1882" s="15" t="s">
        <v>5841</v>
      </c>
      <c r="E1882" s="18" t="s">
        <v>954</v>
      </c>
      <c r="F1882" s="19" t="s">
        <v>5842</v>
      </c>
      <c r="G1882" s="18" t="s">
        <v>5843</v>
      </c>
      <c r="H1882" s="20" t="s">
        <v>5340</v>
      </c>
      <c r="I1882" s="15">
        <v>1</v>
      </c>
      <c r="J1882" s="15" t="s">
        <v>27</v>
      </c>
      <c r="K1882" s="15"/>
      <c r="L1882" s="21" t="s">
        <v>16</v>
      </c>
      <c r="M1882" s="22">
        <v>0</v>
      </c>
      <c r="N1882" s="22">
        <v>-1620</v>
      </c>
      <c r="O1882" s="22">
        <v>11880</v>
      </c>
      <c r="P1882" s="22">
        <v>11880</v>
      </c>
      <c r="Q1882" t="str" cm="1">
        <f t="array" ref="Q1882">_xlfn.TEXTJOIN("、",TRUE,IF('學員資料-三民高中'!$B$2:$B$454=$F1882,'學員資料-三民高中'!$G$2:$G$454,""))</f>
        <v/>
      </c>
      <c r="R1882" t="str" cm="1">
        <f t="array" ref="R1882">_xlfn.TEXTJOIN("、",TRUE,IF('學員資料-新北高中'!$B$2:$B$583=$F1882,'學員資料-新北高中'!$G$2:$G$583,""))</f>
        <v>0911201071</v>
      </c>
      <c r="S1882" t="str" cm="1">
        <f t="array" ref="S1882">_xlfn.TEXTJOIN("、",TRUE,IF('學員資料-三重商工'!$B$2:$B$472=$F1882,'學員資料-三重商工'!$G$2:$G$472,""))</f>
        <v/>
      </c>
      <c r="T1882">
        <f t="shared" si="29"/>
        <v>1</v>
      </c>
    </row>
    <row r="1883" spans="1:20" ht="28.5" hidden="1" customHeight="1">
      <c r="A1883" s="15">
        <v>1882</v>
      </c>
      <c r="B1883" s="16" t="s">
        <v>5844</v>
      </c>
      <c r="C1883" s="17">
        <v>45575</v>
      </c>
      <c r="D1883" s="15" t="s">
        <v>5845</v>
      </c>
      <c r="E1883" s="18" t="s">
        <v>954</v>
      </c>
      <c r="F1883" s="19" t="s">
        <v>5846</v>
      </c>
      <c r="G1883" s="18" t="s">
        <v>5847</v>
      </c>
      <c r="H1883" s="20" t="s">
        <v>5263</v>
      </c>
      <c r="I1883" s="15">
        <v>2</v>
      </c>
      <c r="J1883" s="15" t="s">
        <v>25</v>
      </c>
      <c r="K1883" s="15"/>
      <c r="L1883" s="21" t="s">
        <v>16</v>
      </c>
      <c r="M1883" s="22">
        <v>0</v>
      </c>
      <c r="N1883" s="22">
        <v>-2160</v>
      </c>
      <c r="O1883" s="22">
        <v>15840</v>
      </c>
      <c r="P1883" s="22">
        <v>15840</v>
      </c>
      <c r="Q1883" t="str" cm="1">
        <f t="array" ref="Q1883">_xlfn.TEXTJOIN("、",TRUE,IF('學員資料-三民高中'!$B$2:$B$454=$F1883,'學員資料-三民高中'!$G$2:$G$454,""))</f>
        <v/>
      </c>
      <c r="R1883" t="str" cm="1">
        <f t="array" ref="R1883">_xlfn.TEXTJOIN("、",TRUE,IF('學員資料-新北高中'!$B$2:$B$583=$F1883,'學員資料-新北高中'!$G$2:$G$583,""))</f>
        <v>0932728089</v>
      </c>
      <c r="S1883" t="str" cm="1">
        <f t="array" ref="S1883">_xlfn.TEXTJOIN("、",TRUE,IF('學員資料-三重商工'!$B$2:$B$472=$F1883,'學員資料-三重商工'!$G$2:$G$472,""))</f>
        <v/>
      </c>
      <c r="T1883">
        <f t="shared" si="29"/>
        <v>1</v>
      </c>
    </row>
    <row r="1884" spans="1:20" ht="14.25" customHeight="1">
      <c r="A1884" s="15">
        <v>1883</v>
      </c>
      <c r="B1884" s="16" t="s">
        <v>5848</v>
      </c>
      <c r="C1884" s="17">
        <v>45575</v>
      </c>
      <c r="D1884" s="15" t="s">
        <v>5849</v>
      </c>
      <c r="E1884" s="18" t="s">
        <v>954</v>
      </c>
      <c r="F1884" s="19" t="s">
        <v>5850</v>
      </c>
      <c r="G1884" s="18" t="s">
        <v>5851</v>
      </c>
      <c r="H1884" s="20" t="s">
        <v>5148</v>
      </c>
      <c r="I1884" s="15">
        <v>1</v>
      </c>
      <c r="J1884" s="15" t="s">
        <v>25</v>
      </c>
      <c r="K1884" s="15"/>
      <c r="L1884" s="21" t="s">
        <v>16</v>
      </c>
      <c r="M1884" s="22">
        <v>0</v>
      </c>
      <c r="N1884" s="22">
        <v>-1080</v>
      </c>
      <c r="O1884" s="22">
        <v>7920</v>
      </c>
      <c r="P1884" s="22">
        <v>7920</v>
      </c>
      <c r="Q1884" t="str" cm="1">
        <f t="array" ref="Q1884">_xlfn.TEXTJOIN("、",TRUE,IF('學員資料-三民高中'!$B$2:$B$454=$F1884,'學員資料-三民高中'!$G$2:$G$454,""))</f>
        <v/>
      </c>
      <c r="R1884" t="str" cm="1">
        <f t="array" ref="R1884">_xlfn.TEXTJOIN("、",TRUE,IF('學員資料-新北高中'!$B$2:$B$583=$F1884,'學員資料-新北高中'!$G$2:$G$583,""))</f>
        <v/>
      </c>
      <c r="S1884" t="str" cm="1">
        <f t="array" ref="S1884">_xlfn.TEXTJOIN("、",TRUE,IF('學員資料-三重商工'!$B$2:$B$472=$F1884,'學員資料-三重商工'!$G$2:$G$472,""))</f>
        <v/>
      </c>
      <c r="T1884">
        <f t="shared" si="29"/>
        <v>0</v>
      </c>
    </row>
    <row r="1885" spans="1:20" ht="28.5" hidden="1" customHeight="1">
      <c r="A1885" s="15">
        <v>1884</v>
      </c>
      <c r="B1885" s="16" t="s">
        <v>5852</v>
      </c>
      <c r="C1885" s="17">
        <v>45574</v>
      </c>
      <c r="D1885" s="15" t="s">
        <v>5853</v>
      </c>
      <c r="E1885" s="18" t="s">
        <v>954</v>
      </c>
      <c r="F1885" s="19" t="s">
        <v>5854</v>
      </c>
      <c r="G1885" s="18" t="s">
        <v>5855</v>
      </c>
      <c r="H1885" s="20" t="s">
        <v>5206</v>
      </c>
      <c r="I1885" s="15">
        <v>2</v>
      </c>
      <c r="J1885" s="15" t="s">
        <v>23</v>
      </c>
      <c r="K1885" s="15"/>
      <c r="L1885" s="21" t="s">
        <v>16</v>
      </c>
      <c r="M1885" s="22">
        <v>0</v>
      </c>
      <c r="N1885" s="22">
        <v>0</v>
      </c>
      <c r="O1885" s="22">
        <v>13200</v>
      </c>
      <c r="P1885" s="22">
        <v>13200</v>
      </c>
      <c r="Q1885" t="str" cm="1">
        <f t="array" ref="Q1885">_xlfn.TEXTJOIN("、",TRUE,IF('學員資料-三民高中'!$B$2:$B$454=$F1885,'學員資料-三民高中'!$G$2:$G$454,""))</f>
        <v/>
      </c>
      <c r="R1885" t="str" cm="1">
        <f t="array" ref="R1885">_xlfn.TEXTJOIN("、",TRUE,IF('學員資料-新北高中'!$B$2:$B$583=$F1885,'學員資料-新北高中'!$G$2:$G$583,""))</f>
        <v>0918062933</v>
      </c>
      <c r="S1885" t="str" cm="1">
        <f t="array" ref="S1885">_xlfn.TEXTJOIN("、",TRUE,IF('學員資料-三重商工'!$B$2:$B$472=$F1885,'學員資料-三重商工'!$G$2:$G$472,""))</f>
        <v/>
      </c>
      <c r="T1885">
        <f t="shared" si="29"/>
        <v>1</v>
      </c>
    </row>
    <row r="1886" spans="1:20" ht="14.25" hidden="1" customHeight="1">
      <c r="A1886" s="15">
        <v>1885</v>
      </c>
      <c r="B1886" s="16" t="s">
        <v>5856</v>
      </c>
      <c r="C1886" s="17">
        <v>45574</v>
      </c>
      <c r="D1886" s="15" t="s">
        <v>5857</v>
      </c>
      <c r="E1886" s="18" t="s">
        <v>954</v>
      </c>
      <c r="F1886" s="19" t="s">
        <v>5564</v>
      </c>
      <c r="G1886" s="18" t="s">
        <v>5565</v>
      </c>
      <c r="H1886" s="20" t="s">
        <v>5131</v>
      </c>
      <c r="I1886" s="15">
        <v>1</v>
      </c>
      <c r="J1886" s="15" t="s">
        <v>24</v>
      </c>
      <c r="K1886" s="15"/>
      <c r="L1886" s="21" t="s">
        <v>16</v>
      </c>
      <c r="M1886" s="22">
        <v>0</v>
      </c>
      <c r="N1886" s="22">
        <v>0</v>
      </c>
      <c r="O1886" s="22">
        <v>7200</v>
      </c>
      <c r="P1886" s="22">
        <v>7200</v>
      </c>
      <c r="Q1886" t="str" cm="1">
        <f t="array" ref="Q1886">_xlfn.TEXTJOIN("、",TRUE,IF('學員資料-三民高中'!$B$2:$B$454=$F1886,'學員資料-三民高中'!$G$2:$G$454,""))</f>
        <v/>
      </c>
      <c r="R1886" t="str" cm="1">
        <f t="array" ref="R1886">_xlfn.TEXTJOIN("、",TRUE,IF('學員資料-新北高中'!$B$2:$B$583=$F1886,'學員資料-新北高中'!$G$2:$G$583,""))</f>
        <v>0952260875</v>
      </c>
      <c r="S1886" t="str" cm="1">
        <f t="array" ref="S1886">_xlfn.TEXTJOIN("、",TRUE,IF('學員資料-三重商工'!$B$2:$B$472=$F1886,'學員資料-三重商工'!$G$2:$G$472,""))</f>
        <v/>
      </c>
      <c r="T1886">
        <f t="shared" si="29"/>
        <v>1</v>
      </c>
    </row>
    <row r="1887" spans="1:20" ht="28.5" hidden="1" customHeight="1">
      <c r="A1887" s="15">
        <v>1886</v>
      </c>
      <c r="B1887" s="16" t="s">
        <v>5858</v>
      </c>
      <c r="C1887" s="17">
        <v>45573</v>
      </c>
      <c r="D1887" s="15" t="s">
        <v>5859</v>
      </c>
      <c r="E1887" s="18" t="s">
        <v>954</v>
      </c>
      <c r="F1887" s="19" t="s">
        <v>5860</v>
      </c>
      <c r="G1887" s="18" t="s">
        <v>5861</v>
      </c>
      <c r="H1887" s="20" t="s">
        <v>5263</v>
      </c>
      <c r="I1887" s="15">
        <v>2</v>
      </c>
      <c r="J1887" s="15" t="s">
        <v>25</v>
      </c>
      <c r="K1887" s="15"/>
      <c r="L1887" s="21" t="s">
        <v>16</v>
      </c>
      <c r="M1887" s="22">
        <v>0</v>
      </c>
      <c r="N1887" s="22">
        <v>-2160</v>
      </c>
      <c r="O1887" s="22">
        <v>15840</v>
      </c>
      <c r="P1887" s="22">
        <v>15840</v>
      </c>
      <c r="Q1887" t="str" cm="1">
        <f t="array" ref="Q1887">_xlfn.TEXTJOIN("、",TRUE,IF('學員資料-三民高中'!$B$2:$B$454=$F1887,'學員資料-三民高中'!$G$2:$G$454,""))</f>
        <v>0920637180</v>
      </c>
      <c r="R1887" t="str" cm="1">
        <f t="array" ref="R1887">_xlfn.TEXTJOIN("、",TRUE,IF('學員資料-新北高中'!$B$2:$B$583=$F1887,'學員資料-新北高中'!$G$2:$G$583,""))</f>
        <v/>
      </c>
      <c r="S1887" t="str" cm="1">
        <f t="array" ref="S1887">_xlfn.TEXTJOIN("、",TRUE,IF('學員資料-三重商工'!$B$2:$B$472=$F1887,'學員資料-三重商工'!$G$2:$G$472,""))</f>
        <v/>
      </c>
      <c r="T1887">
        <f t="shared" si="29"/>
        <v>1</v>
      </c>
    </row>
    <row r="1888" spans="1:20" ht="14.25" hidden="1" customHeight="1">
      <c r="A1888" s="15">
        <v>1887</v>
      </c>
      <c r="B1888" s="16" t="s">
        <v>5862</v>
      </c>
      <c r="C1888" s="17">
        <v>45573</v>
      </c>
      <c r="D1888" s="15" t="s">
        <v>5863</v>
      </c>
      <c r="E1888" s="18" t="s">
        <v>954</v>
      </c>
      <c r="F1888" s="19" t="s">
        <v>5864</v>
      </c>
      <c r="G1888" s="18" t="s">
        <v>5865</v>
      </c>
      <c r="H1888" s="20" t="s">
        <v>5131</v>
      </c>
      <c r="I1888" s="15">
        <v>1</v>
      </c>
      <c r="J1888" s="15" t="s">
        <v>24</v>
      </c>
      <c r="K1888" s="15"/>
      <c r="L1888" s="21" t="s">
        <v>16</v>
      </c>
      <c r="M1888" s="22">
        <v>0</v>
      </c>
      <c r="N1888" s="22">
        <v>0</v>
      </c>
      <c r="O1888" s="22">
        <v>7200</v>
      </c>
      <c r="P1888" s="22">
        <v>7200</v>
      </c>
      <c r="Q1888" t="str" cm="1">
        <f t="array" ref="Q1888">_xlfn.TEXTJOIN("、",TRUE,IF('學員資料-三民高中'!$B$2:$B$454=$F1888,'學員資料-三民高中'!$G$2:$G$454,""))</f>
        <v/>
      </c>
      <c r="R1888" t="str" cm="1">
        <f t="array" ref="R1888">_xlfn.TEXTJOIN("、",TRUE,IF('學員資料-新北高中'!$B$2:$B$583=$F1888,'學員資料-新北高中'!$G$2:$G$583,""))</f>
        <v/>
      </c>
      <c r="S1888" t="str" cm="1">
        <f t="array" ref="S1888">_xlfn.TEXTJOIN("、",TRUE,IF('學員資料-三重商工'!$B$2:$B$472=$F1888,'學員資料-三重商工'!$G$2:$G$472,""))</f>
        <v>0937293351</v>
      </c>
      <c r="T1888">
        <f t="shared" si="29"/>
        <v>1</v>
      </c>
    </row>
    <row r="1889" spans="1:20" ht="14.25" customHeight="1">
      <c r="A1889" s="15">
        <v>1888</v>
      </c>
      <c r="B1889" s="16" t="s">
        <v>5866</v>
      </c>
      <c r="C1889" s="17">
        <v>45573</v>
      </c>
      <c r="D1889" s="15" t="s">
        <v>5867</v>
      </c>
      <c r="E1889" s="18" t="s">
        <v>954</v>
      </c>
      <c r="F1889" s="19" t="s">
        <v>5421</v>
      </c>
      <c r="G1889" s="23"/>
      <c r="H1889" s="20" t="s">
        <v>5163</v>
      </c>
      <c r="I1889" s="15">
        <v>1</v>
      </c>
      <c r="J1889" s="15" t="s">
        <v>23</v>
      </c>
      <c r="K1889" s="15"/>
      <c r="L1889" s="21" t="s">
        <v>16</v>
      </c>
      <c r="M1889" s="22">
        <v>0</v>
      </c>
      <c r="N1889" s="22">
        <v>0</v>
      </c>
      <c r="O1889" s="22">
        <v>6600</v>
      </c>
      <c r="P1889" s="22">
        <v>6600</v>
      </c>
      <c r="Q1889" t="str" cm="1">
        <f t="array" ref="Q1889">_xlfn.TEXTJOIN("、",TRUE,IF('學員資料-三民高中'!$B$2:$B$454=$F1889,'學員資料-三民高中'!$G$2:$G$454,""))</f>
        <v/>
      </c>
      <c r="R1889" t="str" cm="1">
        <f t="array" ref="R1889">_xlfn.TEXTJOIN("、",TRUE,IF('學員資料-新北高中'!$B$2:$B$583=$F1889,'學員資料-新北高中'!$G$2:$G$583,""))</f>
        <v/>
      </c>
      <c r="S1889" t="str" cm="1">
        <f t="array" ref="S1889">_xlfn.TEXTJOIN("、",TRUE,IF('學員資料-三重商工'!$B$2:$B$472=$F1889,'學員資料-三重商工'!$G$2:$G$472,""))</f>
        <v/>
      </c>
      <c r="T1889">
        <f t="shared" si="29"/>
        <v>0</v>
      </c>
    </row>
    <row r="1890" spans="1:20" ht="14.25" customHeight="1">
      <c r="A1890" s="15">
        <v>1889</v>
      </c>
      <c r="B1890" s="16" t="s">
        <v>5868</v>
      </c>
      <c r="C1890" s="17">
        <v>45573</v>
      </c>
      <c r="D1890" s="15" t="s">
        <v>5869</v>
      </c>
      <c r="E1890" s="18" t="s">
        <v>954</v>
      </c>
      <c r="F1890" s="19" t="s">
        <v>5870</v>
      </c>
      <c r="G1890" s="23"/>
      <c r="H1890" s="20" t="s">
        <v>5148</v>
      </c>
      <c r="I1890" s="15">
        <v>1</v>
      </c>
      <c r="J1890" s="15" t="s">
        <v>25</v>
      </c>
      <c r="K1890" s="15"/>
      <c r="L1890" s="21" t="s">
        <v>16</v>
      </c>
      <c r="M1890" s="22">
        <v>0</v>
      </c>
      <c r="N1890" s="22">
        <v>0</v>
      </c>
      <c r="O1890" s="22">
        <v>9000</v>
      </c>
      <c r="P1890" s="22">
        <v>9000</v>
      </c>
      <c r="Q1890" t="str" cm="1">
        <f t="array" ref="Q1890">_xlfn.TEXTJOIN("、",TRUE,IF('學員資料-三民高中'!$B$2:$B$454=$F1890,'學員資料-三民高中'!$G$2:$G$454,""))</f>
        <v/>
      </c>
      <c r="R1890" t="str" cm="1">
        <f t="array" ref="R1890">_xlfn.TEXTJOIN("、",TRUE,IF('學員資料-新北高中'!$B$2:$B$583=$F1890,'學員資料-新北高中'!$G$2:$G$583,""))</f>
        <v/>
      </c>
      <c r="S1890" t="str" cm="1">
        <f t="array" ref="S1890">_xlfn.TEXTJOIN("、",TRUE,IF('學員資料-三重商工'!$B$2:$B$472=$F1890,'學員資料-三重商工'!$G$2:$G$472,""))</f>
        <v/>
      </c>
      <c r="T1890">
        <f t="shared" si="29"/>
        <v>0</v>
      </c>
    </row>
    <row r="1891" spans="1:20" ht="14.25" hidden="1" customHeight="1">
      <c r="A1891" s="15">
        <v>1890</v>
      </c>
      <c r="B1891" s="16" t="s">
        <v>5871</v>
      </c>
      <c r="C1891" s="17">
        <v>45572</v>
      </c>
      <c r="D1891" s="15" t="s">
        <v>5872</v>
      </c>
      <c r="E1891" s="18" t="s">
        <v>954</v>
      </c>
      <c r="F1891" s="19" t="s">
        <v>5873</v>
      </c>
      <c r="G1891" s="18" t="s">
        <v>5874</v>
      </c>
      <c r="H1891" s="20" t="s">
        <v>5163</v>
      </c>
      <c r="I1891" s="15">
        <v>1</v>
      </c>
      <c r="J1891" s="15" t="s">
        <v>23</v>
      </c>
      <c r="K1891" s="15"/>
      <c r="L1891" s="21" t="s">
        <v>16</v>
      </c>
      <c r="M1891" s="22">
        <v>0</v>
      </c>
      <c r="N1891" s="22">
        <v>0</v>
      </c>
      <c r="O1891" s="22">
        <v>6600</v>
      </c>
      <c r="P1891" s="22">
        <v>6600</v>
      </c>
      <c r="Q1891" t="str" cm="1">
        <f t="array" ref="Q1891">_xlfn.TEXTJOIN("、",TRUE,IF('學員資料-三民高中'!$B$2:$B$454=$F1891,'學員資料-三民高中'!$G$2:$G$454,""))</f>
        <v>0963236534</v>
      </c>
      <c r="R1891" t="str" cm="1">
        <f t="array" ref="R1891">_xlfn.TEXTJOIN("、",TRUE,IF('學員資料-新北高中'!$B$2:$B$583=$F1891,'學員資料-新北高中'!$G$2:$G$583,""))</f>
        <v/>
      </c>
      <c r="S1891" t="str" cm="1">
        <f t="array" ref="S1891">_xlfn.TEXTJOIN("、",TRUE,IF('學員資料-三重商工'!$B$2:$B$472=$F1891,'學員資料-三重商工'!$G$2:$G$472,""))</f>
        <v/>
      </c>
      <c r="T1891">
        <f t="shared" si="29"/>
        <v>1</v>
      </c>
    </row>
    <row r="1892" spans="1:20" ht="14.25" hidden="1" customHeight="1">
      <c r="A1892" s="15">
        <v>1891</v>
      </c>
      <c r="B1892" s="16" t="s">
        <v>5875</v>
      </c>
      <c r="C1892" s="17">
        <v>45572</v>
      </c>
      <c r="D1892" s="15" t="s">
        <v>5876</v>
      </c>
      <c r="E1892" s="18" t="s">
        <v>954</v>
      </c>
      <c r="F1892" s="19" t="s">
        <v>5877</v>
      </c>
      <c r="G1892" s="18" t="s">
        <v>5878</v>
      </c>
      <c r="H1892" s="20" t="s">
        <v>5340</v>
      </c>
      <c r="I1892" s="15">
        <v>1</v>
      </c>
      <c r="J1892" s="15" t="s">
        <v>27</v>
      </c>
      <c r="K1892" s="15"/>
      <c r="L1892" s="21" t="s">
        <v>16</v>
      </c>
      <c r="M1892" s="22">
        <v>0</v>
      </c>
      <c r="N1892" s="22">
        <v>-1620</v>
      </c>
      <c r="O1892" s="22">
        <v>11880</v>
      </c>
      <c r="P1892" s="22">
        <v>11880</v>
      </c>
      <c r="Q1892" t="str" cm="1">
        <f t="array" ref="Q1892">_xlfn.TEXTJOIN("、",TRUE,IF('學員資料-三民高中'!$B$2:$B$454=$F1892,'學員資料-三民高中'!$G$2:$G$454,""))</f>
        <v>0931327208</v>
      </c>
      <c r="R1892" t="str" cm="1">
        <f t="array" ref="R1892">_xlfn.TEXTJOIN("、",TRUE,IF('學員資料-新北高中'!$B$2:$B$583=$F1892,'學員資料-新北高中'!$G$2:$G$583,""))</f>
        <v/>
      </c>
      <c r="S1892" t="str" cm="1">
        <f t="array" ref="S1892">_xlfn.TEXTJOIN("、",TRUE,IF('學員資料-三重商工'!$B$2:$B$472=$F1892,'學員資料-三重商工'!$G$2:$G$472,""))</f>
        <v/>
      </c>
      <c r="T1892">
        <f t="shared" si="29"/>
        <v>1</v>
      </c>
    </row>
    <row r="1893" spans="1:20" ht="14.25" hidden="1" customHeight="1">
      <c r="A1893" s="15">
        <v>1892</v>
      </c>
      <c r="B1893" s="16" t="s">
        <v>5879</v>
      </c>
      <c r="C1893" s="17">
        <v>45572</v>
      </c>
      <c r="D1893" s="15" t="s">
        <v>3934</v>
      </c>
      <c r="E1893" s="18" t="s">
        <v>954</v>
      </c>
      <c r="F1893" s="19" t="s">
        <v>1875</v>
      </c>
      <c r="G1893" s="18" t="s">
        <v>1876</v>
      </c>
      <c r="H1893" s="20" t="s">
        <v>5131</v>
      </c>
      <c r="I1893" s="15">
        <v>1</v>
      </c>
      <c r="J1893" s="15" t="s">
        <v>24</v>
      </c>
      <c r="K1893" s="15"/>
      <c r="L1893" s="21" t="s">
        <v>16</v>
      </c>
      <c r="M1893" s="22">
        <v>0</v>
      </c>
      <c r="N1893" s="22">
        <v>0</v>
      </c>
      <c r="O1893" s="22">
        <v>7200</v>
      </c>
      <c r="P1893" s="22">
        <v>7200</v>
      </c>
      <c r="Q1893" t="str" cm="1">
        <f t="array" ref="Q1893">_xlfn.TEXTJOIN("、",TRUE,IF('學員資料-三民高中'!$B$2:$B$454=$F1893,'學員資料-三民高中'!$G$2:$G$454,""))</f>
        <v>0916331753</v>
      </c>
      <c r="R1893" t="str" cm="1">
        <f t="array" ref="R1893">_xlfn.TEXTJOIN("、",TRUE,IF('學員資料-新北高中'!$B$2:$B$583=$F1893,'學員資料-新北高中'!$G$2:$G$583,""))</f>
        <v/>
      </c>
      <c r="S1893" t="str" cm="1">
        <f t="array" ref="S1893">_xlfn.TEXTJOIN("、",TRUE,IF('學員資料-三重商工'!$B$2:$B$472=$F1893,'學員資料-三重商工'!$G$2:$G$472,""))</f>
        <v/>
      </c>
      <c r="T1893">
        <f t="shared" si="29"/>
        <v>1</v>
      </c>
    </row>
    <row r="1894" spans="1:20" ht="14.25" customHeight="1">
      <c r="A1894" s="15">
        <v>1893</v>
      </c>
      <c r="B1894" s="16" t="s">
        <v>5880</v>
      </c>
      <c r="C1894" s="17">
        <v>45572</v>
      </c>
      <c r="D1894" s="15" t="s">
        <v>5881</v>
      </c>
      <c r="E1894" s="18" t="s">
        <v>954</v>
      </c>
      <c r="F1894" s="19" t="s">
        <v>5882</v>
      </c>
      <c r="G1894" s="23"/>
      <c r="H1894" s="20" t="s">
        <v>5148</v>
      </c>
      <c r="I1894" s="15">
        <v>1</v>
      </c>
      <c r="J1894" s="15" t="s">
        <v>25</v>
      </c>
      <c r="K1894" s="15"/>
      <c r="L1894" s="21" t="s">
        <v>16</v>
      </c>
      <c r="M1894" s="22">
        <v>0</v>
      </c>
      <c r="N1894" s="22">
        <v>-1080</v>
      </c>
      <c r="O1894" s="22">
        <v>7920</v>
      </c>
      <c r="P1894" s="22">
        <v>7920</v>
      </c>
      <c r="Q1894" t="str" cm="1">
        <f t="array" ref="Q1894">_xlfn.TEXTJOIN("、",TRUE,IF('學員資料-三民高中'!$B$2:$B$454=$F1894,'學員資料-三民高中'!$G$2:$G$454,""))</f>
        <v/>
      </c>
      <c r="R1894" t="str" cm="1">
        <f t="array" ref="R1894">_xlfn.TEXTJOIN("、",TRUE,IF('學員資料-新北高中'!$B$2:$B$583=$F1894,'學員資料-新北高中'!$G$2:$G$583,""))</f>
        <v/>
      </c>
      <c r="S1894" t="str" cm="1">
        <f t="array" ref="S1894">_xlfn.TEXTJOIN("、",TRUE,IF('學員資料-三重商工'!$B$2:$B$472=$F1894,'學員資料-三重商工'!$G$2:$G$472,""))</f>
        <v/>
      </c>
      <c r="T1894">
        <f t="shared" si="29"/>
        <v>0</v>
      </c>
    </row>
    <row r="1895" spans="1:20" ht="14.25" hidden="1" customHeight="1">
      <c r="A1895" s="15">
        <v>1894</v>
      </c>
      <c r="B1895" s="16" t="s">
        <v>5883</v>
      </c>
      <c r="C1895" s="17">
        <v>45572</v>
      </c>
      <c r="D1895" s="15" t="s">
        <v>5884</v>
      </c>
      <c r="E1895" s="18" t="s">
        <v>954</v>
      </c>
      <c r="F1895" s="19" t="s">
        <v>5885</v>
      </c>
      <c r="G1895" s="18" t="s">
        <v>5886</v>
      </c>
      <c r="H1895" s="20" t="s">
        <v>5340</v>
      </c>
      <c r="I1895" s="15">
        <v>1</v>
      </c>
      <c r="J1895" s="15" t="s">
        <v>27</v>
      </c>
      <c r="K1895" s="15"/>
      <c r="L1895" s="21" t="s">
        <v>16</v>
      </c>
      <c r="M1895" s="22">
        <v>0</v>
      </c>
      <c r="N1895" s="22">
        <v>-1620</v>
      </c>
      <c r="O1895" s="22">
        <v>11880</v>
      </c>
      <c r="P1895" s="22">
        <v>11880</v>
      </c>
      <c r="Q1895" t="str" cm="1">
        <f t="array" ref="Q1895">_xlfn.TEXTJOIN("、",TRUE,IF('學員資料-三民高中'!$B$2:$B$454=$F1895,'學員資料-三民高中'!$G$2:$G$454,""))</f>
        <v>0953512477</v>
      </c>
      <c r="R1895" t="str" cm="1">
        <f t="array" ref="R1895">_xlfn.TEXTJOIN("、",TRUE,IF('學員資料-新北高中'!$B$2:$B$583=$F1895,'學員資料-新北高中'!$G$2:$G$583,""))</f>
        <v/>
      </c>
      <c r="S1895" t="str" cm="1">
        <f t="array" ref="S1895">_xlfn.TEXTJOIN("、",TRUE,IF('學員資料-三重商工'!$B$2:$B$472=$F1895,'學員資料-三重商工'!$G$2:$G$472,""))</f>
        <v/>
      </c>
      <c r="T1895">
        <f t="shared" si="29"/>
        <v>1</v>
      </c>
    </row>
    <row r="1896" spans="1:20" ht="14.25" hidden="1" customHeight="1">
      <c r="A1896" s="15">
        <v>1895</v>
      </c>
      <c r="B1896" s="16" t="s">
        <v>5887</v>
      </c>
      <c r="C1896" s="17">
        <v>45572</v>
      </c>
      <c r="D1896" s="15" t="s">
        <v>5888</v>
      </c>
      <c r="E1896" s="18" t="s">
        <v>954</v>
      </c>
      <c r="F1896" s="19" t="s">
        <v>5310</v>
      </c>
      <c r="G1896" s="18" t="s">
        <v>5311</v>
      </c>
      <c r="H1896" s="20" t="s">
        <v>5131</v>
      </c>
      <c r="I1896" s="15">
        <v>1</v>
      </c>
      <c r="J1896" s="15" t="s">
        <v>24</v>
      </c>
      <c r="K1896" s="15"/>
      <c r="L1896" s="21" t="s">
        <v>16</v>
      </c>
      <c r="M1896" s="22">
        <v>0</v>
      </c>
      <c r="N1896" s="22">
        <v>-720</v>
      </c>
      <c r="O1896" s="22">
        <v>6480</v>
      </c>
      <c r="P1896" s="22">
        <v>6480</v>
      </c>
      <c r="Q1896" t="str" cm="1">
        <f t="array" ref="Q1896">_xlfn.TEXTJOIN("、",TRUE,IF('學員資料-三民高中'!$B$2:$B$454=$F1896,'學員資料-三民高中'!$G$2:$G$454,""))</f>
        <v/>
      </c>
      <c r="R1896" t="str" cm="1">
        <f t="array" ref="R1896">_xlfn.TEXTJOIN("、",TRUE,IF('學員資料-新北高中'!$B$2:$B$583=$F1896,'學員資料-新北高中'!$G$2:$G$583,""))</f>
        <v>0910960516</v>
      </c>
      <c r="S1896" t="str" cm="1">
        <f t="array" ref="S1896">_xlfn.TEXTJOIN("、",TRUE,IF('學員資料-三重商工'!$B$2:$B$472=$F1896,'學員資料-三重商工'!$G$2:$G$472,""))</f>
        <v/>
      </c>
      <c r="T1896">
        <f t="shared" si="29"/>
        <v>1</v>
      </c>
    </row>
    <row r="1897" spans="1:20" ht="14.25" hidden="1" customHeight="1">
      <c r="A1897" s="15">
        <v>1896</v>
      </c>
      <c r="B1897" s="16" t="s">
        <v>5889</v>
      </c>
      <c r="C1897" s="17">
        <v>45572</v>
      </c>
      <c r="D1897" s="15" t="s">
        <v>5890</v>
      </c>
      <c r="E1897" s="18" t="s">
        <v>954</v>
      </c>
      <c r="F1897" s="19" t="s">
        <v>2910</v>
      </c>
      <c r="G1897" s="18" t="s">
        <v>2911</v>
      </c>
      <c r="H1897" s="20" t="s">
        <v>5148</v>
      </c>
      <c r="I1897" s="15">
        <v>1</v>
      </c>
      <c r="J1897" s="15" t="s">
        <v>25</v>
      </c>
      <c r="K1897" s="15"/>
      <c r="L1897" s="21" t="s">
        <v>16</v>
      </c>
      <c r="M1897" s="22">
        <v>0</v>
      </c>
      <c r="N1897" s="22">
        <v>0</v>
      </c>
      <c r="O1897" s="22">
        <v>9000</v>
      </c>
      <c r="P1897" s="22">
        <v>9000</v>
      </c>
      <c r="Q1897" t="str" cm="1">
        <f t="array" ref="Q1897">_xlfn.TEXTJOIN("、",TRUE,IF('學員資料-三民高中'!$B$2:$B$454=$F1897,'學員資料-三民高中'!$G$2:$G$454,""))</f>
        <v>0939918883</v>
      </c>
      <c r="R1897" t="str" cm="1">
        <f t="array" ref="R1897">_xlfn.TEXTJOIN("、",TRUE,IF('學員資料-新北高中'!$B$2:$B$583=$F1897,'學員資料-新北高中'!$G$2:$G$583,""))</f>
        <v/>
      </c>
      <c r="S1897" t="str" cm="1">
        <f t="array" ref="S1897">_xlfn.TEXTJOIN("、",TRUE,IF('學員資料-三重商工'!$B$2:$B$472=$F1897,'學員資料-三重商工'!$G$2:$G$472,""))</f>
        <v/>
      </c>
      <c r="T1897">
        <f t="shared" si="29"/>
        <v>1</v>
      </c>
    </row>
    <row r="1898" spans="1:20" ht="43.5" hidden="1" customHeight="1">
      <c r="A1898" s="15">
        <v>1897</v>
      </c>
      <c r="B1898" s="16" t="s">
        <v>5891</v>
      </c>
      <c r="C1898" s="17">
        <v>45572</v>
      </c>
      <c r="D1898" s="15" t="s">
        <v>5892</v>
      </c>
      <c r="E1898" s="18" t="s">
        <v>954</v>
      </c>
      <c r="F1898" s="19" t="s">
        <v>3281</v>
      </c>
      <c r="G1898" s="18" t="s">
        <v>3282</v>
      </c>
      <c r="H1898" s="20" t="s">
        <v>5128</v>
      </c>
      <c r="I1898" s="15">
        <v>3</v>
      </c>
      <c r="J1898" s="15" t="s">
        <v>25</v>
      </c>
      <c r="K1898" s="15"/>
      <c r="L1898" s="21" t="s">
        <v>16</v>
      </c>
      <c r="M1898" s="22">
        <v>0</v>
      </c>
      <c r="N1898" s="22">
        <v>-3240</v>
      </c>
      <c r="O1898" s="22">
        <v>23760</v>
      </c>
      <c r="P1898" s="22">
        <v>23760</v>
      </c>
      <c r="Q1898" t="str" cm="1">
        <f t="array" ref="Q1898">_xlfn.TEXTJOIN("、",TRUE,IF('學員資料-三民高中'!$B$2:$B$454=$F1898,'學員資料-三民高中'!$G$2:$G$454,""))</f>
        <v/>
      </c>
      <c r="R1898" t="str" cm="1">
        <f t="array" ref="R1898">_xlfn.TEXTJOIN("、",TRUE,IF('學員資料-新北高中'!$B$2:$B$583=$F1898,'學員資料-新北高中'!$G$2:$G$583,""))</f>
        <v>0920096096</v>
      </c>
      <c r="S1898" t="str" cm="1">
        <f t="array" ref="S1898">_xlfn.TEXTJOIN("、",TRUE,IF('學員資料-三重商工'!$B$2:$B$472=$F1898,'學員資料-三重商工'!$G$2:$G$472,""))</f>
        <v/>
      </c>
      <c r="T1898">
        <f t="shared" si="29"/>
        <v>1</v>
      </c>
    </row>
    <row r="1899" spans="1:20" ht="14.25" hidden="1" customHeight="1">
      <c r="A1899" s="15">
        <v>1898</v>
      </c>
      <c r="B1899" s="16" t="s">
        <v>5893</v>
      </c>
      <c r="C1899" s="17">
        <v>45571</v>
      </c>
      <c r="D1899" s="15" t="s">
        <v>5894</v>
      </c>
      <c r="E1899" s="18" t="s">
        <v>954</v>
      </c>
      <c r="F1899" s="19" t="s">
        <v>1320</v>
      </c>
      <c r="G1899" s="18" t="s">
        <v>1321</v>
      </c>
      <c r="H1899" s="20" t="s">
        <v>5131</v>
      </c>
      <c r="I1899" s="15">
        <v>1</v>
      </c>
      <c r="J1899" s="15" t="s">
        <v>24</v>
      </c>
      <c r="K1899" s="15"/>
      <c r="L1899" s="21" t="s">
        <v>16</v>
      </c>
      <c r="M1899" s="22">
        <v>0</v>
      </c>
      <c r="N1899" s="22">
        <v>0</v>
      </c>
      <c r="O1899" s="22">
        <v>7200</v>
      </c>
      <c r="P1899" s="22">
        <v>7200</v>
      </c>
      <c r="Q1899" t="str" cm="1">
        <f t="array" ref="Q1899">_xlfn.TEXTJOIN("、",TRUE,IF('學員資料-三民高中'!$B$2:$B$454=$F1899,'學員資料-三民高中'!$G$2:$G$454,""))</f>
        <v>0963394102</v>
      </c>
      <c r="R1899" t="str" cm="1">
        <f t="array" ref="R1899">_xlfn.TEXTJOIN("、",TRUE,IF('學員資料-新北高中'!$B$2:$B$583=$F1899,'學員資料-新北高中'!$G$2:$G$583,""))</f>
        <v/>
      </c>
      <c r="S1899" t="str" cm="1">
        <f t="array" ref="S1899">_xlfn.TEXTJOIN("、",TRUE,IF('學員資料-三重商工'!$B$2:$B$472=$F1899,'學員資料-三重商工'!$G$2:$G$472,""))</f>
        <v/>
      </c>
      <c r="T1899">
        <f t="shared" si="29"/>
        <v>1</v>
      </c>
    </row>
    <row r="1900" spans="1:20" ht="14.25" hidden="1" customHeight="1">
      <c r="A1900" s="15">
        <v>1899</v>
      </c>
      <c r="B1900" s="16" t="s">
        <v>5895</v>
      </c>
      <c r="C1900" s="17">
        <v>45571</v>
      </c>
      <c r="D1900" s="15" t="s">
        <v>5896</v>
      </c>
      <c r="E1900" s="18" t="s">
        <v>954</v>
      </c>
      <c r="F1900" s="19" t="s">
        <v>4288</v>
      </c>
      <c r="G1900" s="18" t="s">
        <v>4289</v>
      </c>
      <c r="H1900" s="20" t="s">
        <v>5163</v>
      </c>
      <c r="I1900" s="15">
        <v>1</v>
      </c>
      <c r="J1900" s="15" t="s">
        <v>23</v>
      </c>
      <c r="K1900" s="15"/>
      <c r="L1900" s="21" t="s">
        <v>16</v>
      </c>
      <c r="M1900" s="22">
        <v>0</v>
      </c>
      <c r="N1900" s="22">
        <v>0</v>
      </c>
      <c r="O1900" s="22">
        <v>6600</v>
      </c>
      <c r="P1900" s="22">
        <v>6600</v>
      </c>
      <c r="Q1900" t="str" cm="1">
        <f t="array" ref="Q1900">_xlfn.TEXTJOIN("、",TRUE,IF('學員資料-三民高中'!$B$2:$B$454=$F1900,'學員資料-三民高中'!$G$2:$G$454,""))</f>
        <v/>
      </c>
      <c r="R1900" t="str" cm="1">
        <f t="array" ref="R1900">_xlfn.TEXTJOIN("、",TRUE,IF('學員資料-新北高中'!$B$2:$B$583=$F1900,'學員資料-新北高中'!$G$2:$G$583,""))</f>
        <v>0912922986</v>
      </c>
      <c r="S1900" t="str" cm="1">
        <f t="array" ref="S1900">_xlfn.TEXTJOIN("、",TRUE,IF('學員資料-三重商工'!$B$2:$B$472=$F1900,'學員資料-三重商工'!$G$2:$G$472,""))</f>
        <v/>
      </c>
      <c r="T1900">
        <f t="shared" si="29"/>
        <v>1</v>
      </c>
    </row>
    <row r="1901" spans="1:20" ht="14.25" hidden="1" customHeight="1">
      <c r="A1901" s="15">
        <v>1900</v>
      </c>
      <c r="B1901" s="16" t="s">
        <v>5897</v>
      </c>
      <c r="C1901" s="17">
        <v>45570</v>
      </c>
      <c r="D1901" s="15" t="s">
        <v>5898</v>
      </c>
      <c r="E1901" s="18" t="s">
        <v>954</v>
      </c>
      <c r="F1901" s="19" t="s">
        <v>4618</v>
      </c>
      <c r="G1901" s="18" t="s">
        <v>4619</v>
      </c>
      <c r="H1901" s="20" t="s">
        <v>5246</v>
      </c>
      <c r="I1901" s="15">
        <v>1</v>
      </c>
      <c r="J1901" s="15" t="s">
        <v>23</v>
      </c>
      <c r="K1901" s="15"/>
      <c r="L1901" s="21" t="s">
        <v>16</v>
      </c>
      <c r="M1901" s="22">
        <v>0</v>
      </c>
      <c r="N1901" s="22">
        <v>0</v>
      </c>
      <c r="O1901" s="22">
        <v>7200</v>
      </c>
      <c r="P1901" s="22">
        <v>7200</v>
      </c>
      <c r="Q1901" t="str" cm="1">
        <f t="array" ref="Q1901">_xlfn.TEXTJOIN("、",TRUE,IF('學員資料-三民高中'!$B$2:$B$454=$F1901,'學員資料-三民高中'!$G$2:$G$454,""))</f>
        <v/>
      </c>
      <c r="R1901" t="str" cm="1">
        <f t="array" ref="R1901">_xlfn.TEXTJOIN("、",TRUE,IF('學員資料-新北高中'!$B$2:$B$583=$F1901,'學員資料-新北高中'!$G$2:$G$583,""))</f>
        <v/>
      </c>
      <c r="S1901" t="str" cm="1">
        <f t="array" ref="S1901">_xlfn.TEXTJOIN("、",TRUE,IF('學員資料-三重商工'!$B$2:$B$472=$F1901,'學員資料-三重商工'!$G$2:$G$472,""))</f>
        <v>0988305820</v>
      </c>
      <c r="T1901">
        <f t="shared" si="29"/>
        <v>1</v>
      </c>
    </row>
    <row r="1902" spans="1:20" ht="14.25" hidden="1" customHeight="1">
      <c r="A1902" s="15">
        <v>1901</v>
      </c>
      <c r="B1902" s="16" t="s">
        <v>5899</v>
      </c>
      <c r="C1902" s="17">
        <v>45570</v>
      </c>
      <c r="D1902" s="15" t="s">
        <v>5900</v>
      </c>
      <c r="E1902" s="18" t="s">
        <v>954</v>
      </c>
      <c r="F1902" s="19" t="s">
        <v>2136</v>
      </c>
      <c r="G1902" s="18" t="s">
        <v>2137</v>
      </c>
      <c r="H1902" s="20" t="s">
        <v>5131</v>
      </c>
      <c r="I1902" s="15">
        <v>1</v>
      </c>
      <c r="J1902" s="15" t="s">
        <v>24</v>
      </c>
      <c r="K1902" s="15"/>
      <c r="L1902" s="21" t="s">
        <v>16</v>
      </c>
      <c r="M1902" s="22">
        <v>0</v>
      </c>
      <c r="N1902" s="22">
        <v>0</v>
      </c>
      <c r="O1902" s="22">
        <v>7200</v>
      </c>
      <c r="P1902" s="22">
        <v>7200</v>
      </c>
      <c r="Q1902" t="str" cm="1">
        <f t="array" ref="Q1902">_xlfn.TEXTJOIN("、",TRUE,IF('學員資料-三民高中'!$B$2:$B$454=$F1902,'學員資料-三民高中'!$G$2:$G$454,""))</f>
        <v/>
      </c>
      <c r="R1902" t="str" cm="1">
        <f t="array" ref="R1902">_xlfn.TEXTJOIN("、",TRUE,IF('學員資料-新北高中'!$B$2:$B$583=$F1902,'學員資料-新北高中'!$G$2:$G$583,""))</f>
        <v/>
      </c>
      <c r="S1902" t="str" cm="1">
        <f t="array" ref="S1902">_xlfn.TEXTJOIN("、",TRUE,IF('學員資料-三重商工'!$B$2:$B$472=$F1902,'學員資料-三重商工'!$G$2:$G$472,""))</f>
        <v>0952322223</v>
      </c>
      <c r="T1902">
        <f t="shared" si="29"/>
        <v>1</v>
      </c>
    </row>
    <row r="1903" spans="1:20" ht="14.25" hidden="1" customHeight="1">
      <c r="A1903" s="15">
        <v>1902</v>
      </c>
      <c r="B1903" s="16" t="s">
        <v>5901</v>
      </c>
      <c r="C1903" s="17">
        <v>45570</v>
      </c>
      <c r="D1903" s="15" t="s">
        <v>5902</v>
      </c>
      <c r="E1903" s="18" t="s">
        <v>954</v>
      </c>
      <c r="F1903" s="19" t="s">
        <v>5903</v>
      </c>
      <c r="G1903" s="18" t="s">
        <v>5904</v>
      </c>
      <c r="H1903" s="20" t="s">
        <v>5163</v>
      </c>
      <c r="I1903" s="15">
        <v>1</v>
      </c>
      <c r="J1903" s="15" t="s">
        <v>23</v>
      </c>
      <c r="K1903" s="15"/>
      <c r="L1903" s="21" t="s">
        <v>16</v>
      </c>
      <c r="M1903" s="22">
        <v>0</v>
      </c>
      <c r="N1903" s="22">
        <v>0</v>
      </c>
      <c r="O1903" s="22">
        <v>6600</v>
      </c>
      <c r="P1903" s="22">
        <v>6600</v>
      </c>
      <c r="Q1903" t="str" cm="1">
        <f t="array" ref="Q1903">_xlfn.TEXTJOIN("、",TRUE,IF('學員資料-三民高中'!$B$2:$B$454=$F1903,'學員資料-三民高中'!$G$2:$G$454,""))</f>
        <v/>
      </c>
      <c r="R1903" t="str" cm="1">
        <f t="array" ref="R1903">_xlfn.TEXTJOIN("、",TRUE,IF('學員資料-新北高中'!$B$2:$B$583=$F1903,'學員資料-新北高中'!$G$2:$G$583,""))</f>
        <v/>
      </c>
      <c r="S1903" t="str" cm="1">
        <f t="array" ref="S1903">_xlfn.TEXTJOIN("、",TRUE,IF('學員資料-三重商工'!$B$2:$B$472=$F1903,'學員資料-三重商工'!$G$2:$G$472,""))</f>
        <v>0939599839</v>
      </c>
      <c r="T1903">
        <f t="shared" si="29"/>
        <v>1</v>
      </c>
    </row>
    <row r="1904" spans="1:20" ht="14.25" hidden="1" customHeight="1">
      <c r="A1904" s="15">
        <v>1903</v>
      </c>
      <c r="B1904" s="16" t="s">
        <v>5905</v>
      </c>
      <c r="C1904" s="17">
        <v>45570</v>
      </c>
      <c r="D1904" s="15" t="s">
        <v>5906</v>
      </c>
      <c r="E1904" s="18" t="s">
        <v>954</v>
      </c>
      <c r="F1904" s="19" t="s">
        <v>5854</v>
      </c>
      <c r="G1904" s="18" t="s">
        <v>5855</v>
      </c>
      <c r="H1904" s="20" t="s">
        <v>5163</v>
      </c>
      <c r="I1904" s="15">
        <v>1</v>
      </c>
      <c r="J1904" s="15" t="s">
        <v>23</v>
      </c>
      <c r="K1904" s="15"/>
      <c r="L1904" s="21" t="s">
        <v>16</v>
      </c>
      <c r="M1904" s="22">
        <v>0</v>
      </c>
      <c r="N1904" s="22">
        <v>0</v>
      </c>
      <c r="O1904" s="22">
        <v>6600</v>
      </c>
      <c r="P1904" s="22">
        <v>6600</v>
      </c>
      <c r="Q1904" t="str" cm="1">
        <f t="array" ref="Q1904">_xlfn.TEXTJOIN("、",TRUE,IF('學員資料-三民高中'!$B$2:$B$454=$F1904,'學員資料-三民高中'!$G$2:$G$454,""))</f>
        <v/>
      </c>
      <c r="R1904" t="str" cm="1">
        <f t="array" ref="R1904">_xlfn.TEXTJOIN("、",TRUE,IF('學員資料-新北高中'!$B$2:$B$583=$F1904,'學員資料-新北高中'!$G$2:$G$583,""))</f>
        <v>0918062933</v>
      </c>
      <c r="S1904" t="str" cm="1">
        <f t="array" ref="S1904">_xlfn.TEXTJOIN("、",TRUE,IF('學員資料-三重商工'!$B$2:$B$472=$F1904,'學員資料-三重商工'!$G$2:$G$472,""))</f>
        <v/>
      </c>
      <c r="T1904">
        <f t="shared" si="29"/>
        <v>1</v>
      </c>
    </row>
    <row r="1905" spans="1:20" ht="14.25" hidden="1" customHeight="1">
      <c r="A1905" s="15">
        <v>1904</v>
      </c>
      <c r="B1905" s="16" t="s">
        <v>5907</v>
      </c>
      <c r="C1905" s="17">
        <v>45570</v>
      </c>
      <c r="D1905" s="15" t="s">
        <v>5908</v>
      </c>
      <c r="E1905" s="18" t="s">
        <v>954</v>
      </c>
      <c r="F1905" s="19" t="s">
        <v>5909</v>
      </c>
      <c r="G1905" s="18" t="s">
        <v>5910</v>
      </c>
      <c r="H1905" s="20" t="s">
        <v>5131</v>
      </c>
      <c r="I1905" s="15">
        <v>1</v>
      </c>
      <c r="J1905" s="15" t="s">
        <v>24</v>
      </c>
      <c r="K1905" s="15"/>
      <c r="L1905" s="21" t="s">
        <v>16</v>
      </c>
      <c r="M1905" s="22">
        <v>0</v>
      </c>
      <c r="N1905" s="22">
        <v>-720</v>
      </c>
      <c r="O1905" s="22">
        <v>6480</v>
      </c>
      <c r="P1905" s="22">
        <v>6480</v>
      </c>
      <c r="Q1905" t="str" cm="1">
        <f t="array" ref="Q1905">_xlfn.TEXTJOIN("、",TRUE,IF('學員資料-三民高中'!$B$2:$B$454=$F1905,'學員資料-三民高中'!$G$2:$G$454,""))</f>
        <v/>
      </c>
      <c r="R1905" t="str" cm="1">
        <f t="array" ref="R1905">_xlfn.TEXTJOIN("、",TRUE,IF('學員資料-新北高中'!$B$2:$B$583=$F1905,'學員資料-新北高中'!$G$2:$G$583,""))</f>
        <v>0939908339</v>
      </c>
      <c r="S1905" t="str" cm="1">
        <f t="array" ref="S1905">_xlfn.TEXTJOIN("、",TRUE,IF('學員資料-三重商工'!$B$2:$B$472=$F1905,'學員資料-三重商工'!$G$2:$G$472,""))</f>
        <v/>
      </c>
      <c r="T1905">
        <f t="shared" si="29"/>
        <v>1</v>
      </c>
    </row>
    <row r="1906" spans="1:20" ht="14.25" hidden="1" customHeight="1">
      <c r="A1906" s="15">
        <v>1905</v>
      </c>
      <c r="B1906" s="16" t="s">
        <v>5911</v>
      </c>
      <c r="C1906" s="17">
        <v>45570</v>
      </c>
      <c r="D1906" s="15" t="s">
        <v>5912</v>
      </c>
      <c r="E1906" s="18" t="s">
        <v>954</v>
      </c>
      <c r="F1906" s="19" t="s">
        <v>5703</v>
      </c>
      <c r="G1906" s="18" t="s">
        <v>5704</v>
      </c>
      <c r="H1906" s="20" t="s">
        <v>5163</v>
      </c>
      <c r="I1906" s="15">
        <v>1</v>
      </c>
      <c r="J1906" s="15" t="s">
        <v>23</v>
      </c>
      <c r="K1906" s="15"/>
      <c r="L1906" s="21" t="s">
        <v>16</v>
      </c>
      <c r="M1906" s="22">
        <v>0</v>
      </c>
      <c r="N1906" s="22">
        <v>-660</v>
      </c>
      <c r="O1906" s="22">
        <v>5940</v>
      </c>
      <c r="P1906" s="22">
        <v>5940</v>
      </c>
      <c r="Q1906" t="str" cm="1">
        <f t="array" ref="Q1906">_xlfn.TEXTJOIN("、",TRUE,IF('學員資料-三民高中'!$B$2:$B$454=$F1906,'學員資料-三民高中'!$G$2:$G$454,""))</f>
        <v>0933765644</v>
      </c>
      <c r="R1906" t="str" cm="1">
        <f t="array" ref="R1906">_xlfn.TEXTJOIN("、",TRUE,IF('學員資料-新北高中'!$B$2:$B$583=$F1906,'學員資料-新北高中'!$G$2:$G$583,""))</f>
        <v/>
      </c>
      <c r="S1906" t="str" cm="1">
        <f t="array" ref="S1906">_xlfn.TEXTJOIN("、",TRUE,IF('學員資料-三重商工'!$B$2:$B$472=$F1906,'學員資料-三重商工'!$G$2:$G$472,""))</f>
        <v/>
      </c>
      <c r="T1906">
        <f t="shared" si="29"/>
        <v>1</v>
      </c>
    </row>
    <row r="1907" spans="1:20" ht="14.25" hidden="1" customHeight="1">
      <c r="A1907" s="15">
        <v>1906</v>
      </c>
      <c r="B1907" s="16" t="s">
        <v>5913</v>
      </c>
      <c r="C1907" s="17">
        <v>45570</v>
      </c>
      <c r="D1907" s="15" t="s">
        <v>5914</v>
      </c>
      <c r="E1907" s="18" t="s">
        <v>954</v>
      </c>
      <c r="F1907" s="19" t="s">
        <v>5915</v>
      </c>
      <c r="G1907" s="18" t="s">
        <v>5916</v>
      </c>
      <c r="H1907" s="20" t="s">
        <v>5131</v>
      </c>
      <c r="I1907" s="15">
        <v>1</v>
      </c>
      <c r="J1907" s="15" t="s">
        <v>24</v>
      </c>
      <c r="K1907" s="15"/>
      <c r="L1907" s="21" t="s">
        <v>16</v>
      </c>
      <c r="M1907" s="22">
        <v>0</v>
      </c>
      <c r="N1907" s="22">
        <v>-720</v>
      </c>
      <c r="O1907" s="22">
        <v>6480</v>
      </c>
      <c r="P1907" s="22">
        <v>6480</v>
      </c>
      <c r="Q1907" t="str" cm="1">
        <f t="array" ref="Q1907">_xlfn.TEXTJOIN("、",TRUE,IF('學員資料-三民高中'!$B$2:$B$454=$F1907,'學員資料-三民高中'!$G$2:$G$454,""))</f>
        <v/>
      </c>
      <c r="R1907" t="str" cm="1">
        <f t="array" ref="R1907">_xlfn.TEXTJOIN("、",TRUE,IF('學員資料-新北高中'!$B$2:$B$583=$F1907,'學員資料-新北高中'!$G$2:$G$583,""))</f>
        <v>0954026182</v>
      </c>
      <c r="S1907" t="str" cm="1">
        <f t="array" ref="S1907">_xlfn.TEXTJOIN("、",TRUE,IF('學員資料-三重商工'!$B$2:$B$472=$F1907,'學員資料-三重商工'!$G$2:$G$472,""))</f>
        <v/>
      </c>
      <c r="T1907">
        <f t="shared" si="29"/>
        <v>1</v>
      </c>
    </row>
    <row r="1908" spans="1:20" ht="14.25" hidden="1" customHeight="1">
      <c r="A1908" s="15">
        <v>1907</v>
      </c>
      <c r="B1908" s="16" t="s">
        <v>5917</v>
      </c>
      <c r="C1908" s="17">
        <v>45570</v>
      </c>
      <c r="D1908" s="15" t="s">
        <v>5918</v>
      </c>
      <c r="E1908" s="18" t="s">
        <v>954</v>
      </c>
      <c r="F1908" s="19" t="s">
        <v>5919</v>
      </c>
      <c r="G1908" s="18" t="s">
        <v>5920</v>
      </c>
      <c r="H1908" s="20" t="s">
        <v>5131</v>
      </c>
      <c r="I1908" s="15">
        <v>1</v>
      </c>
      <c r="J1908" s="15" t="s">
        <v>24</v>
      </c>
      <c r="K1908" s="15"/>
      <c r="L1908" s="21" t="s">
        <v>16</v>
      </c>
      <c r="M1908" s="22">
        <v>0</v>
      </c>
      <c r="N1908" s="22">
        <v>-720</v>
      </c>
      <c r="O1908" s="22">
        <v>6480</v>
      </c>
      <c r="P1908" s="22">
        <v>6480</v>
      </c>
      <c r="Q1908" t="str" cm="1">
        <f t="array" ref="Q1908">_xlfn.TEXTJOIN("、",TRUE,IF('學員資料-三民高中'!$B$2:$B$454=$F1908,'學員資料-三民高中'!$G$2:$G$454,""))</f>
        <v/>
      </c>
      <c r="R1908" t="str" cm="1">
        <f t="array" ref="R1908">_xlfn.TEXTJOIN("、",TRUE,IF('學員資料-新北高中'!$B$2:$B$583=$F1908,'學員資料-新北高中'!$G$2:$G$583,""))</f>
        <v>0926066162</v>
      </c>
      <c r="S1908" t="str" cm="1">
        <f t="array" ref="S1908">_xlfn.TEXTJOIN("、",TRUE,IF('學員資料-三重商工'!$B$2:$B$472=$F1908,'學員資料-三重商工'!$G$2:$G$472,""))</f>
        <v/>
      </c>
      <c r="T1908">
        <f t="shared" si="29"/>
        <v>1</v>
      </c>
    </row>
    <row r="1909" spans="1:20" ht="28.5" hidden="1" customHeight="1">
      <c r="A1909" s="15">
        <v>1908</v>
      </c>
      <c r="B1909" s="16" t="s">
        <v>5921</v>
      </c>
      <c r="C1909" s="17">
        <v>45570</v>
      </c>
      <c r="D1909" s="15" t="s">
        <v>5922</v>
      </c>
      <c r="E1909" s="18" t="s">
        <v>954</v>
      </c>
      <c r="F1909" s="19" t="s">
        <v>446</v>
      </c>
      <c r="G1909" s="18" t="s">
        <v>447</v>
      </c>
      <c r="H1909" s="20" t="s">
        <v>5206</v>
      </c>
      <c r="I1909" s="15">
        <v>2</v>
      </c>
      <c r="J1909" s="15" t="s">
        <v>23</v>
      </c>
      <c r="K1909" s="15"/>
      <c r="L1909" s="21" t="s">
        <v>16</v>
      </c>
      <c r="M1909" s="22">
        <v>0</v>
      </c>
      <c r="N1909" s="22">
        <v>-1320</v>
      </c>
      <c r="O1909" s="22">
        <v>11880</v>
      </c>
      <c r="P1909" s="22">
        <v>11880</v>
      </c>
      <c r="Q1909" t="str" cm="1">
        <f t="array" ref="Q1909">_xlfn.TEXTJOIN("、",TRUE,IF('學員資料-三民高中'!$B$2:$B$454=$F1909,'學員資料-三民高中'!$G$2:$G$454,""))</f>
        <v/>
      </c>
      <c r="R1909" t="str" cm="1">
        <f t="array" ref="R1909">_xlfn.TEXTJOIN("、",TRUE,IF('學員資料-新北高中'!$B$2:$B$583=$F1909,'學員資料-新北高中'!$G$2:$G$583,""))</f>
        <v>0928827113(2)</v>
      </c>
      <c r="S1909" t="str" cm="1">
        <f t="array" ref="S1909">_xlfn.TEXTJOIN("、",TRUE,IF('學員資料-三重商工'!$B$2:$B$472=$F1909,'學員資料-三重商工'!$G$2:$G$472,""))</f>
        <v/>
      </c>
      <c r="T1909">
        <f t="shared" si="29"/>
        <v>1</v>
      </c>
    </row>
    <row r="1910" spans="1:20" ht="14.25" hidden="1" customHeight="1">
      <c r="A1910" s="15">
        <v>1909</v>
      </c>
      <c r="B1910" s="16" t="s">
        <v>5923</v>
      </c>
      <c r="C1910" s="17">
        <v>45570</v>
      </c>
      <c r="D1910" s="15" t="s">
        <v>5924</v>
      </c>
      <c r="E1910" s="18" t="s">
        <v>954</v>
      </c>
      <c r="F1910" s="19" t="s">
        <v>675</v>
      </c>
      <c r="G1910" s="18" t="s">
        <v>676</v>
      </c>
      <c r="H1910" s="20" t="s">
        <v>5163</v>
      </c>
      <c r="I1910" s="15">
        <v>1</v>
      </c>
      <c r="J1910" s="15" t="s">
        <v>23</v>
      </c>
      <c r="K1910" s="15"/>
      <c r="L1910" s="21" t="s">
        <v>16</v>
      </c>
      <c r="M1910" s="22">
        <v>0</v>
      </c>
      <c r="N1910" s="22">
        <v>-660</v>
      </c>
      <c r="O1910" s="22">
        <v>5940</v>
      </c>
      <c r="P1910" s="22">
        <v>5940</v>
      </c>
      <c r="Q1910" t="str" cm="1">
        <f t="array" ref="Q1910">_xlfn.TEXTJOIN("、",TRUE,IF('學員資料-三民高中'!$B$2:$B$454=$F1910,'學員資料-三民高中'!$G$2:$G$454,""))</f>
        <v/>
      </c>
      <c r="R1910" t="str" cm="1">
        <f t="array" ref="R1910">_xlfn.TEXTJOIN("、",TRUE,IF('學員資料-新北高中'!$B$2:$B$583=$F1910,'學員資料-新北高中'!$G$2:$G$583,""))</f>
        <v>0953272736</v>
      </c>
      <c r="S1910" t="str" cm="1">
        <f t="array" ref="S1910">_xlfn.TEXTJOIN("、",TRUE,IF('學員資料-三重商工'!$B$2:$B$472=$F1910,'學員資料-三重商工'!$G$2:$G$472,""))</f>
        <v/>
      </c>
      <c r="T1910">
        <f t="shared" si="29"/>
        <v>1</v>
      </c>
    </row>
    <row r="1911" spans="1:20" ht="14.25" hidden="1" customHeight="1">
      <c r="A1911" s="15">
        <v>1910</v>
      </c>
      <c r="B1911" s="16" t="s">
        <v>5925</v>
      </c>
      <c r="C1911" s="17">
        <v>45570</v>
      </c>
      <c r="D1911" s="15" t="s">
        <v>5926</v>
      </c>
      <c r="E1911" s="18" t="s">
        <v>954</v>
      </c>
      <c r="F1911" s="19" t="s">
        <v>4805</v>
      </c>
      <c r="G1911" s="18" t="s">
        <v>4806</v>
      </c>
      <c r="H1911" s="20" t="s">
        <v>5163</v>
      </c>
      <c r="I1911" s="15">
        <v>1</v>
      </c>
      <c r="J1911" s="15" t="s">
        <v>23</v>
      </c>
      <c r="K1911" s="15"/>
      <c r="L1911" s="21" t="s">
        <v>16</v>
      </c>
      <c r="M1911" s="22">
        <v>0</v>
      </c>
      <c r="N1911" s="22">
        <v>0</v>
      </c>
      <c r="O1911" s="22">
        <v>6600</v>
      </c>
      <c r="P1911" s="22">
        <v>6600</v>
      </c>
      <c r="Q1911" t="str" cm="1">
        <f t="array" ref="Q1911">_xlfn.TEXTJOIN("、",TRUE,IF('學員資料-三民高中'!$B$2:$B$454=$F1911,'學員資料-三民高中'!$G$2:$G$454,""))</f>
        <v/>
      </c>
      <c r="R1911" t="str" cm="1">
        <f t="array" ref="R1911">_xlfn.TEXTJOIN("、",TRUE,IF('學員資料-新北高中'!$B$2:$B$583=$F1911,'學員資料-新北高中'!$G$2:$G$583,""))</f>
        <v>0939985581</v>
      </c>
      <c r="S1911" t="str" cm="1">
        <f t="array" ref="S1911">_xlfn.TEXTJOIN("、",TRUE,IF('學員資料-三重商工'!$B$2:$B$472=$F1911,'學員資料-三重商工'!$G$2:$G$472,""))</f>
        <v/>
      </c>
      <c r="T1911">
        <f t="shared" si="29"/>
        <v>1</v>
      </c>
    </row>
    <row r="1912" spans="1:20" ht="28.5" hidden="1" customHeight="1">
      <c r="A1912" s="15">
        <v>1911</v>
      </c>
      <c r="B1912" s="16" t="s">
        <v>5927</v>
      </c>
      <c r="C1912" s="17">
        <v>45570</v>
      </c>
      <c r="D1912" s="15" t="s">
        <v>5928</v>
      </c>
      <c r="E1912" s="18" t="s">
        <v>954</v>
      </c>
      <c r="F1912" s="19" t="s">
        <v>5929</v>
      </c>
      <c r="G1912" s="18" t="s">
        <v>5930</v>
      </c>
      <c r="H1912" s="20" t="s">
        <v>5154</v>
      </c>
      <c r="I1912" s="15">
        <v>2</v>
      </c>
      <c r="J1912" s="15" t="s">
        <v>24</v>
      </c>
      <c r="K1912" s="15"/>
      <c r="L1912" s="21" t="s">
        <v>16</v>
      </c>
      <c r="M1912" s="22">
        <v>0</v>
      </c>
      <c r="N1912" s="22">
        <v>-1440</v>
      </c>
      <c r="O1912" s="22">
        <v>12960</v>
      </c>
      <c r="P1912" s="22">
        <v>12960</v>
      </c>
      <c r="Q1912" t="str" cm="1">
        <f t="array" ref="Q1912">_xlfn.TEXTJOIN("、",TRUE,IF('學員資料-三民高中'!$B$2:$B$454=$F1912,'學員資料-三民高中'!$G$2:$G$454,""))</f>
        <v>0911956440</v>
      </c>
      <c r="R1912" t="str" cm="1">
        <f t="array" ref="R1912">_xlfn.TEXTJOIN("、",TRUE,IF('學員資料-新北高中'!$B$2:$B$583=$F1912,'學員資料-新北高中'!$G$2:$G$583,""))</f>
        <v/>
      </c>
      <c r="S1912" t="str" cm="1">
        <f t="array" ref="S1912">_xlfn.TEXTJOIN("、",TRUE,IF('學員資料-三重商工'!$B$2:$B$472=$F1912,'學員資料-三重商工'!$G$2:$G$472,""))</f>
        <v/>
      </c>
      <c r="T1912">
        <f t="shared" si="29"/>
        <v>1</v>
      </c>
    </row>
    <row r="1913" spans="1:20" ht="28.5" hidden="1" customHeight="1">
      <c r="A1913" s="15">
        <v>1912</v>
      </c>
      <c r="B1913" s="16" t="s">
        <v>5931</v>
      </c>
      <c r="C1913" s="17">
        <v>45570</v>
      </c>
      <c r="D1913" s="15" t="s">
        <v>5932</v>
      </c>
      <c r="E1913" s="18" t="s">
        <v>954</v>
      </c>
      <c r="F1913" s="19" t="s">
        <v>2760</v>
      </c>
      <c r="G1913" s="18" t="s">
        <v>2761</v>
      </c>
      <c r="H1913" s="20" t="s">
        <v>5206</v>
      </c>
      <c r="I1913" s="15">
        <v>2</v>
      </c>
      <c r="J1913" s="15" t="s">
        <v>23</v>
      </c>
      <c r="K1913" s="15"/>
      <c r="L1913" s="21" t="s">
        <v>16</v>
      </c>
      <c r="M1913" s="22">
        <v>0</v>
      </c>
      <c r="N1913" s="22">
        <v>-1320</v>
      </c>
      <c r="O1913" s="22">
        <v>11880</v>
      </c>
      <c r="P1913" s="22">
        <v>11880</v>
      </c>
      <c r="Q1913" t="str" cm="1">
        <f t="array" ref="Q1913">_xlfn.TEXTJOIN("、",TRUE,IF('學員資料-三民高中'!$B$2:$B$454=$F1913,'學員資料-三民高中'!$G$2:$G$454,""))</f>
        <v>0939623233</v>
      </c>
      <c r="R1913" t="str" cm="1">
        <f t="array" ref="R1913">_xlfn.TEXTJOIN("、",TRUE,IF('學員資料-新北高中'!$B$2:$B$583=$F1913,'學員資料-新北高中'!$G$2:$G$583,""))</f>
        <v/>
      </c>
      <c r="S1913" t="str" cm="1">
        <f t="array" ref="S1913">_xlfn.TEXTJOIN("、",TRUE,IF('學員資料-三重商工'!$B$2:$B$472=$F1913,'學員資料-三重商工'!$G$2:$G$472,""))</f>
        <v/>
      </c>
      <c r="T1913">
        <f t="shared" si="29"/>
        <v>1</v>
      </c>
    </row>
    <row r="1914" spans="1:20" ht="28.5" hidden="1" customHeight="1">
      <c r="A1914" s="15">
        <v>1913</v>
      </c>
      <c r="B1914" s="16" t="s">
        <v>5933</v>
      </c>
      <c r="C1914" s="17">
        <v>45570</v>
      </c>
      <c r="D1914" s="15" t="s">
        <v>5934</v>
      </c>
      <c r="E1914" s="18" t="s">
        <v>954</v>
      </c>
      <c r="F1914" s="19" t="s">
        <v>5935</v>
      </c>
      <c r="G1914" s="18" t="s">
        <v>5936</v>
      </c>
      <c r="H1914" s="20" t="s">
        <v>5206</v>
      </c>
      <c r="I1914" s="15">
        <v>2</v>
      </c>
      <c r="J1914" s="15" t="s">
        <v>23</v>
      </c>
      <c r="K1914" s="15"/>
      <c r="L1914" s="21" t="s">
        <v>16</v>
      </c>
      <c r="M1914" s="22">
        <v>0</v>
      </c>
      <c r="N1914" s="22">
        <v>-1320</v>
      </c>
      <c r="O1914" s="22">
        <v>11880</v>
      </c>
      <c r="P1914" s="22">
        <v>11880</v>
      </c>
      <c r="Q1914" t="str" cm="1">
        <f t="array" ref="Q1914">_xlfn.TEXTJOIN("、",TRUE,IF('學員資料-三民高中'!$B$2:$B$454=$F1914,'學員資料-三民高中'!$G$2:$G$454,""))</f>
        <v>0933526945</v>
      </c>
      <c r="R1914" t="str" cm="1">
        <f t="array" ref="R1914">_xlfn.TEXTJOIN("、",TRUE,IF('學員資料-新北高中'!$B$2:$B$583=$F1914,'學員資料-新北高中'!$G$2:$G$583,""))</f>
        <v/>
      </c>
      <c r="S1914" t="str" cm="1">
        <f t="array" ref="S1914">_xlfn.TEXTJOIN("、",TRUE,IF('學員資料-三重商工'!$B$2:$B$472=$F1914,'學員資料-三重商工'!$G$2:$G$472,""))</f>
        <v/>
      </c>
      <c r="T1914">
        <f t="shared" si="29"/>
        <v>1</v>
      </c>
    </row>
    <row r="1915" spans="1:20" ht="14.25" customHeight="1">
      <c r="A1915" s="15">
        <v>1914</v>
      </c>
      <c r="B1915" s="16" t="s">
        <v>5937</v>
      </c>
      <c r="C1915" s="17">
        <v>45569</v>
      </c>
      <c r="D1915" s="15" t="s">
        <v>5938</v>
      </c>
      <c r="E1915" s="18" t="s">
        <v>954</v>
      </c>
      <c r="F1915" s="19" t="s">
        <v>5939</v>
      </c>
      <c r="G1915" s="23"/>
      <c r="H1915" s="20" t="s">
        <v>5148</v>
      </c>
      <c r="I1915" s="15">
        <v>1</v>
      </c>
      <c r="J1915" s="15" t="s">
        <v>25</v>
      </c>
      <c r="K1915" s="15"/>
      <c r="L1915" s="21" t="s">
        <v>16</v>
      </c>
      <c r="M1915" s="22">
        <v>0</v>
      </c>
      <c r="N1915" s="22">
        <v>-1080</v>
      </c>
      <c r="O1915" s="22">
        <v>7920</v>
      </c>
      <c r="P1915" s="22">
        <v>7920</v>
      </c>
      <c r="Q1915" t="str" cm="1">
        <f t="array" ref="Q1915">_xlfn.TEXTJOIN("、",TRUE,IF('學員資料-三民高中'!$B$2:$B$454=$F1915,'學員資料-三民高中'!$G$2:$G$454,""))</f>
        <v/>
      </c>
      <c r="R1915" t="str" cm="1">
        <f t="array" ref="R1915">_xlfn.TEXTJOIN("、",TRUE,IF('學員資料-新北高中'!$B$2:$B$583=$F1915,'學員資料-新北高中'!$G$2:$G$583,""))</f>
        <v/>
      </c>
      <c r="S1915" t="str" cm="1">
        <f t="array" ref="S1915">_xlfn.TEXTJOIN("、",TRUE,IF('學員資料-三重商工'!$B$2:$B$472=$F1915,'學員資料-三重商工'!$G$2:$G$472,""))</f>
        <v/>
      </c>
      <c r="T1915">
        <f t="shared" si="29"/>
        <v>0</v>
      </c>
    </row>
    <row r="1916" spans="1:20" ht="14.25" hidden="1" customHeight="1">
      <c r="A1916" s="15">
        <v>1915</v>
      </c>
      <c r="B1916" s="16" t="s">
        <v>5940</v>
      </c>
      <c r="C1916" s="17">
        <v>45569</v>
      </c>
      <c r="D1916" s="15" t="s">
        <v>2560</v>
      </c>
      <c r="E1916" s="18" t="s">
        <v>3862</v>
      </c>
      <c r="F1916" s="19" t="s">
        <v>1603</v>
      </c>
      <c r="G1916" s="18" t="s">
        <v>1604</v>
      </c>
      <c r="H1916" s="20" t="s">
        <v>5131</v>
      </c>
      <c r="I1916" s="15">
        <v>1</v>
      </c>
      <c r="J1916" s="15" t="s">
        <v>24</v>
      </c>
      <c r="K1916" s="15"/>
      <c r="L1916" s="21" t="s">
        <v>16</v>
      </c>
      <c r="M1916" s="22">
        <v>0</v>
      </c>
      <c r="N1916" s="22">
        <v>-720</v>
      </c>
      <c r="O1916" s="22">
        <v>6480</v>
      </c>
      <c r="P1916" s="22">
        <v>6480</v>
      </c>
      <c r="Q1916" t="str" cm="1">
        <f t="array" ref="Q1916">_xlfn.TEXTJOIN("、",TRUE,IF('學員資料-三民高中'!$B$2:$B$454=$F1916,'學員資料-三民高中'!$G$2:$G$454,""))</f>
        <v>0915172967-1</v>
      </c>
      <c r="R1916" t="str" cm="1">
        <f t="array" ref="R1916">_xlfn.TEXTJOIN("、",TRUE,IF('學員資料-新北高中'!$B$2:$B$583=$F1916,'學員資料-新北高中'!$G$2:$G$583,""))</f>
        <v/>
      </c>
      <c r="S1916" t="str" cm="1">
        <f t="array" ref="S1916">_xlfn.TEXTJOIN("、",TRUE,IF('學員資料-三重商工'!$B$2:$B$472=$F1916,'學員資料-三重商工'!$G$2:$G$472,""))</f>
        <v/>
      </c>
      <c r="T1916">
        <f t="shared" si="29"/>
        <v>1</v>
      </c>
    </row>
    <row r="1917" spans="1:20" ht="14.25" hidden="1" customHeight="1">
      <c r="A1917" s="15">
        <v>1916</v>
      </c>
      <c r="B1917" s="16" t="s">
        <v>5941</v>
      </c>
      <c r="C1917" s="17">
        <v>45569</v>
      </c>
      <c r="D1917" s="15" t="s">
        <v>5942</v>
      </c>
      <c r="E1917" s="18" t="s">
        <v>954</v>
      </c>
      <c r="F1917" s="19" t="s">
        <v>5943</v>
      </c>
      <c r="G1917" s="18" t="s">
        <v>5944</v>
      </c>
      <c r="H1917" s="20" t="s">
        <v>5163</v>
      </c>
      <c r="I1917" s="15">
        <v>1</v>
      </c>
      <c r="J1917" s="15" t="s">
        <v>23</v>
      </c>
      <c r="K1917" s="15"/>
      <c r="L1917" s="21" t="s">
        <v>16</v>
      </c>
      <c r="M1917" s="22">
        <v>0</v>
      </c>
      <c r="N1917" s="22">
        <v>-660</v>
      </c>
      <c r="O1917" s="22">
        <v>5940</v>
      </c>
      <c r="P1917" s="22">
        <v>5940</v>
      </c>
      <c r="Q1917" t="str" cm="1">
        <f t="array" ref="Q1917">_xlfn.TEXTJOIN("、",TRUE,IF('學員資料-三民高中'!$B$2:$B$454=$F1917,'學員資料-三民高中'!$G$2:$G$454,""))</f>
        <v/>
      </c>
      <c r="R1917" t="str" cm="1">
        <f t="array" ref="R1917">_xlfn.TEXTJOIN("、",TRUE,IF('學員資料-新北高中'!$B$2:$B$583=$F1917,'學員資料-新北高中'!$G$2:$G$583,""))</f>
        <v>981383938</v>
      </c>
      <c r="S1917" t="str" cm="1">
        <f t="array" ref="S1917">_xlfn.TEXTJOIN("、",TRUE,IF('學員資料-三重商工'!$B$2:$B$472=$F1917,'學員資料-三重商工'!$G$2:$G$472,""))</f>
        <v/>
      </c>
      <c r="T1917">
        <f t="shared" si="29"/>
        <v>1</v>
      </c>
    </row>
    <row r="1918" spans="1:20" ht="28.5" hidden="1" customHeight="1">
      <c r="A1918" s="15">
        <v>1917</v>
      </c>
      <c r="B1918" s="16" t="s">
        <v>5945</v>
      </c>
      <c r="C1918" s="17">
        <v>45569</v>
      </c>
      <c r="D1918" s="15" t="s">
        <v>5946</v>
      </c>
      <c r="E1918" s="18" t="s">
        <v>954</v>
      </c>
      <c r="F1918" s="19" t="s">
        <v>5947</v>
      </c>
      <c r="G1918" s="18" t="s">
        <v>5948</v>
      </c>
      <c r="H1918" s="20" t="s">
        <v>5206</v>
      </c>
      <c r="I1918" s="15">
        <v>2</v>
      </c>
      <c r="J1918" s="15" t="s">
        <v>23</v>
      </c>
      <c r="K1918" s="15"/>
      <c r="L1918" s="21" t="s">
        <v>16</v>
      </c>
      <c r="M1918" s="22">
        <v>0</v>
      </c>
      <c r="N1918" s="22">
        <v>-1320</v>
      </c>
      <c r="O1918" s="22">
        <v>11880</v>
      </c>
      <c r="P1918" s="22">
        <v>11880</v>
      </c>
      <c r="Q1918" t="str" cm="1">
        <f t="array" ref="Q1918">_xlfn.TEXTJOIN("、",TRUE,IF('學員資料-三民高中'!$B$2:$B$454=$F1918,'學員資料-三民高中'!$G$2:$G$454,""))</f>
        <v/>
      </c>
      <c r="R1918" t="str" cm="1">
        <f t="array" ref="R1918">_xlfn.TEXTJOIN("、",TRUE,IF('學員資料-新北高中'!$B$2:$B$583=$F1918,'學員資料-新北高中'!$G$2:$G$583,""))</f>
        <v>0932453663</v>
      </c>
      <c r="S1918" t="str" cm="1">
        <f t="array" ref="S1918">_xlfn.TEXTJOIN("、",TRUE,IF('學員資料-三重商工'!$B$2:$B$472=$F1918,'學員資料-三重商工'!$G$2:$G$472,""))</f>
        <v/>
      </c>
      <c r="T1918">
        <f t="shared" si="29"/>
        <v>1</v>
      </c>
    </row>
    <row r="1919" spans="1:20" ht="14.25" hidden="1" customHeight="1">
      <c r="A1919" s="15">
        <v>1918</v>
      </c>
      <c r="B1919" s="16" t="s">
        <v>5949</v>
      </c>
      <c r="C1919" s="17">
        <v>45566</v>
      </c>
      <c r="D1919" s="15" t="s">
        <v>5950</v>
      </c>
      <c r="E1919" s="18" t="s">
        <v>954</v>
      </c>
      <c r="F1919" s="19" t="s">
        <v>5951</v>
      </c>
      <c r="G1919" s="18" t="s">
        <v>5952</v>
      </c>
      <c r="H1919" s="20" t="s">
        <v>5163</v>
      </c>
      <c r="I1919" s="15">
        <v>1</v>
      </c>
      <c r="J1919" s="15" t="s">
        <v>23</v>
      </c>
      <c r="K1919" s="15"/>
      <c r="L1919" s="21" t="s">
        <v>16</v>
      </c>
      <c r="M1919" s="22">
        <v>0</v>
      </c>
      <c r="N1919" s="22">
        <v>-2640</v>
      </c>
      <c r="O1919" s="22">
        <v>3960</v>
      </c>
      <c r="P1919" s="22">
        <v>3960</v>
      </c>
      <c r="Q1919" t="str" cm="1">
        <f t="array" ref="Q1919">_xlfn.TEXTJOIN("、",TRUE,IF('學員資料-三民高中'!$B$2:$B$454=$F1919,'學員資料-三民高中'!$G$2:$G$454,""))</f>
        <v/>
      </c>
      <c r="R1919" t="str" cm="1">
        <f t="array" ref="R1919">_xlfn.TEXTJOIN("、",TRUE,IF('學員資料-新北高中'!$B$2:$B$583=$F1919,'學員資料-新北高中'!$G$2:$G$583,""))</f>
        <v>0938201890</v>
      </c>
      <c r="S1919" t="str" cm="1">
        <f t="array" ref="S1919">_xlfn.TEXTJOIN("、",TRUE,IF('學員資料-三重商工'!$B$2:$B$472=$F1919,'學員資料-三重商工'!$G$2:$G$472,""))</f>
        <v/>
      </c>
      <c r="T1919">
        <f t="shared" si="29"/>
        <v>1</v>
      </c>
    </row>
    <row r="1920" spans="1:20" ht="14.25" hidden="1" customHeight="1">
      <c r="A1920" s="15">
        <v>1919</v>
      </c>
      <c r="B1920" s="16" t="s">
        <v>5953</v>
      </c>
      <c r="C1920" s="17">
        <v>45566</v>
      </c>
      <c r="D1920" s="15" t="s">
        <v>5954</v>
      </c>
      <c r="E1920" s="18" t="s">
        <v>954</v>
      </c>
      <c r="F1920" s="19" t="s">
        <v>5909</v>
      </c>
      <c r="G1920" s="18" t="s">
        <v>5910</v>
      </c>
      <c r="H1920" s="20" t="s">
        <v>5131</v>
      </c>
      <c r="I1920" s="15">
        <v>1</v>
      </c>
      <c r="J1920" s="15" t="s">
        <v>24</v>
      </c>
      <c r="K1920" s="15"/>
      <c r="L1920" s="21" t="s">
        <v>16</v>
      </c>
      <c r="M1920" s="22">
        <v>0</v>
      </c>
      <c r="N1920" s="22">
        <v>-720</v>
      </c>
      <c r="O1920" s="22">
        <v>6480</v>
      </c>
      <c r="P1920" s="22">
        <v>6480</v>
      </c>
      <c r="Q1920" t="str" cm="1">
        <f t="array" ref="Q1920">_xlfn.TEXTJOIN("、",TRUE,IF('學員資料-三民高中'!$B$2:$B$454=$F1920,'學員資料-三民高中'!$G$2:$G$454,""))</f>
        <v/>
      </c>
      <c r="R1920" t="str" cm="1">
        <f t="array" ref="R1920">_xlfn.TEXTJOIN("、",TRUE,IF('學員資料-新北高中'!$B$2:$B$583=$F1920,'學員資料-新北高中'!$G$2:$G$583,""))</f>
        <v>0939908339</v>
      </c>
      <c r="S1920" t="str" cm="1">
        <f t="array" ref="S1920">_xlfn.TEXTJOIN("、",TRUE,IF('學員資料-三重商工'!$B$2:$B$472=$F1920,'學員資料-三重商工'!$G$2:$G$472,""))</f>
        <v/>
      </c>
      <c r="T1920">
        <f t="shared" si="29"/>
        <v>1</v>
      </c>
    </row>
    <row r="1921" spans="1:20" ht="14.25" hidden="1" customHeight="1">
      <c r="A1921" s="15">
        <v>1920</v>
      </c>
      <c r="B1921" s="16" t="s">
        <v>5955</v>
      </c>
      <c r="C1921" s="17">
        <v>45566</v>
      </c>
      <c r="D1921" s="15" t="s">
        <v>5956</v>
      </c>
      <c r="E1921" s="18" t="s">
        <v>954</v>
      </c>
      <c r="F1921" s="19" t="s">
        <v>5957</v>
      </c>
      <c r="G1921" s="18" t="s">
        <v>5958</v>
      </c>
      <c r="H1921" s="20" t="s">
        <v>5163</v>
      </c>
      <c r="I1921" s="15">
        <v>1</v>
      </c>
      <c r="J1921" s="15" t="s">
        <v>23</v>
      </c>
      <c r="K1921" s="15"/>
      <c r="L1921" s="21" t="s">
        <v>16</v>
      </c>
      <c r="M1921" s="22">
        <v>0</v>
      </c>
      <c r="N1921" s="22">
        <v>-1200</v>
      </c>
      <c r="O1921" s="22">
        <v>5400</v>
      </c>
      <c r="P1921" s="22">
        <v>5400</v>
      </c>
      <c r="Q1921" t="str" cm="1">
        <f t="array" ref="Q1921">_xlfn.TEXTJOIN("、",TRUE,IF('學員資料-三民高中'!$B$2:$B$454=$F1921,'學員資料-三民高中'!$G$2:$G$454,""))</f>
        <v/>
      </c>
      <c r="R1921" t="str" cm="1">
        <f t="array" ref="R1921">_xlfn.TEXTJOIN("、",TRUE,IF('學員資料-新北高中'!$B$2:$B$583=$F1921,'學員資料-新北高中'!$G$2:$G$583,""))</f>
        <v>0919522885</v>
      </c>
      <c r="S1921" t="str" cm="1">
        <f t="array" ref="S1921">_xlfn.TEXTJOIN("、",TRUE,IF('學員資料-三重商工'!$B$2:$B$472=$F1921,'學員資料-三重商工'!$G$2:$G$472,""))</f>
        <v/>
      </c>
      <c r="T1921">
        <f t="shared" si="29"/>
        <v>1</v>
      </c>
    </row>
    <row r="1922" spans="1:20" ht="14.25" hidden="1" customHeight="1">
      <c r="A1922" s="15">
        <v>1921</v>
      </c>
      <c r="B1922" s="16" t="s">
        <v>5959</v>
      </c>
      <c r="C1922" s="17">
        <v>45566</v>
      </c>
      <c r="D1922" s="15" t="s">
        <v>5960</v>
      </c>
      <c r="E1922" s="18" t="s">
        <v>954</v>
      </c>
      <c r="F1922" s="19" t="s">
        <v>5909</v>
      </c>
      <c r="G1922" s="18" t="s">
        <v>5910</v>
      </c>
      <c r="H1922" s="20" t="s">
        <v>5131</v>
      </c>
      <c r="I1922" s="15">
        <v>1</v>
      </c>
      <c r="J1922" s="15" t="s">
        <v>24</v>
      </c>
      <c r="K1922" s="15"/>
      <c r="L1922" s="21" t="s">
        <v>16</v>
      </c>
      <c r="M1922" s="22">
        <v>0</v>
      </c>
      <c r="N1922" s="22">
        <v>-720</v>
      </c>
      <c r="O1922" s="22">
        <v>6480</v>
      </c>
      <c r="P1922" s="22">
        <v>6480</v>
      </c>
      <c r="Q1922" t="str" cm="1">
        <f t="array" ref="Q1922">_xlfn.TEXTJOIN("、",TRUE,IF('學員資料-三民高中'!$B$2:$B$454=$F1922,'學員資料-三民高中'!$G$2:$G$454,""))</f>
        <v/>
      </c>
      <c r="R1922" t="str" cm="1">
        <f t="array" ref="R1922">_xlfn.TEXTJOIN("、",TRUE,IF('學員資料-新北高中'!$B$2:$B$583=$F1922,'學員資料-新北高中'!$G$2:$G$583,""))</f>
        <v>0939908339</v>
      </c>
      <c r="S1922" t="str" cm="1">
        <f t="array" ref="S1922">_xlfn.TEXTJOIN("、",TRUE,IF('學員資料-三重商工'!$B$2:$B$472=$F1922,'學員資料-三重商工'!$G$2:$G$472,""))</f>
        <v/>
      </c>
      <c r="T1922">
        <f t="shared" si="29"/>
        <v>1</v>
      </c>
    </row>
    <row r="1923" spans="1:20" ht="14.25" hidden="1" customHeight="1">
      <c r="A1923" s="15">
        <v>1922</v>
      </c>
      <c r="B1923" s="16" t="s">
        <v>5961</v>
      </c>
      <c r="C1923" s="17">
        <v>45566</v>
      </c>
      <c r="D1923" s="15" t="s">
        <v>5962</v>
      </c>
      <c r="E1923" s="18" t="s">
        <v>954</v>
      </c>
      <c r="F1923" s="19" t="s">
        <v>5963</v>
      </c>
      <c r="G1923" s="18" t="s">
        <v>5964</v>
      </c>
      <c r="H1923" s="20" t="s">
        <v>5131</v>
      </c>
      <c r="I1923" s="15">
        <v>1</v>
      </c>
      <c r="J1923" s="15" t="s">
        <v>24</v>
      </c>
      <c r="K1923" s="15"/>
      <c r="L1923" s="21" t="s">
        <v>16</v>
      </c>
      <c r="M1923" s="22">
        <v>0</v>
      </c>
      <c r="N1923" s="22">
        <v>0</v>
      </c>
      <c r="O1923" s="22">
        <v>7200</v>
      </c>
      <c r="P1923" s="22">
        <v>7200</v>
      </c>
      <c r="Q1923" t="str" cm="1">
        <f t="array" ref="Q1923">_xlfn.TEXTJOIN("、",TRUE,IF('學員資料-三民高中'!$B$2:$B$454=$F1923,'學員資料-三民高中'!$G$2:$G$454,""))</f>
        <v/>
      </c>
      <c r="R1923" t="str" cm="1">
        <f t="array" ref="R1923">_xlfn.TEXTJOIN("、",TRUE,IF('學員資料-新北高中'!$B$2:$B$583=$F1923,'學員資料-新北高中'!$G$2:$G$583,""))</f>
        <v>0975606036</v>
      </c>
      <c r="S1923" t="str" cm="1">
        <f t="array" ref="S1923">_xlfn.TEXTJOIN("、",TRUE,IF('學員資料-三重商工'!$B$2:$B$472=$F1923,'學員資料-三重商工'!$G$2:$G$472,""))</f>
        <v/>
      </c>
      <c r="T1923">
        <f t="shared" ref="T1923:T1986" si="30">3-COUNTBLANK(Q1923:S1923)</f>
        <v>1</v>
      </c>
    </row>
    <row r="1924" spans="1:20" ht="43.5" hidden="1" customHeight="1">
      <c r="A1924" s="15">
        <v>1923</v>
      </c>
      <c r="B1924" s="16" t="s">
        <v>5965</v>
      </c>
      <c r="C1924" s="17">
        <v>45565</v>
      </c>
      <c r="D1924" s="15" t="s">
        <v>5966</v>
      </c>
      <c r="E1924" s="18" t="s">
        <v>954</v>
      </c>
      <c r="F1924" s="19" t="s">
        <v>5967</v>
      </c>
      <c r="G1924" s="18" t="s">
        <v>5968</v>
      </c>
      <c r="H1924" s="20" t="s">
        <v>5969</v>
      </c>
      <c r="I1924" s="15">
        <v>3</v>
      </c>
      <c r="J1924" s="15" t="s">
        <v>24</v>
      </c>
      <c r="K1924" s="21" t="s">
        <v>116</v>
      </c>
      <c r="L1924" s="21" t="s">
        <v>16</v>
      </c>
      <c r="M1924" s="22">
        <v>0</v>
      </c>
      <c r="N1924" s="22">
        <v>0</v>
      </c>
      <c r="O1924" s="22">
        <v>1800</v>
      </c>
      <c r="P1924" s="22">
        <v>1800</v>
      </c>
      <c r="Q1924" t="str" cm="1">
        <f t="array" ref="Q1924">_xlfn.TEXTJOIN("、",TRUE,IF('學員資料-三民高中'!$B$2:$B$454=$F1924,'學員資料-三民高中'!$G$2:$G$454,""))</f>
        <v>0958717168</v>
      </c>
      <c r="R1924" t="str" cm="1">
        <f t="array" ref="R1924">_xlfn.TEXTJOIN("、",TRUE,IF('學員資料-新北高中'!$B$2:$B$583=$F1924,'學員資料-新北高中'!$G$2:$G$583,""))</f>
        <v/>
      </c>
      <c r="S1924" t="str" cm="1">
        <f t="array" ref="S1924">_xlfn.TEXTJOIN("、",TRUE,IF('學員資料-三重商工'!$B$2:$B$472=$F1924,'學員資料-三重商工'!$G$2:$G$472,""))</f>
        <v/>
      </c>
      <c r="T1924">
        <f t="shared" si="30"/>
        <v>1</v>
      </c>
    </row>
    <row r="1925" spans="1:20" ht="14.25" hidden="1" customHeight="1">
      <c r="A1925" s="15">
        <v>1924</v>
      </c>
      <c r="B1925" s="16" t="s">
        <v>5970</v>
      </c>
      <c r="C1925" s="17">
        <v>45565</v>
      </c>
      <c r="D1925" s="15" t="s">
        <v>5971</v>
      </c>
      <c r="E1925" s="18" t="s">
        <v>954</v>
      </c>
      <c r="F1925" s="19" t="s">
        <v>5021</v>
      </c>
      <c r="G1925" s="18" t="s">
        <v>5022</v>
      </c>
      <c r="H1925" s="20" t="s">
        <v>5131</v>
      </c>
      <c r="I1925" s="15">
        <v>1</v>
      </c>
      <c r="J1925" s="15" t="s">
        <v>24</v>
      </c>
      <c r="K1925" s="15"/>
      <c r="L1925" s="21" t="s">
        <v>16</v>
      </c>
      <c r="M1925" s="22">
        <v>0</v>
      </c>
      <c r="N1925" s="22">
        <v>0</v>
      </c>
      <c r="O1925" s="22">
        <v>7200</v>
      </c>
      <c r="P1925" s="22">
        <v>7200</v>
      </c>
      <c r="Q1925" t="str" cm="1">
        <f t="array" ref="Q1925">_xlfn.TEXTJOIN("、",TRUE,IF('學員資料-三民高中'!$B$2:$B$454=$F1925,'學員資料-三民高中'!$G$2:$G$454,""))</f>
        <v/>
      </c>
      <c r="R1925" t="str" cm="1">
        <f t="array" ref="R1925">_xlfn.TEXTJOIN("、",TRUE,IF('學員資料-新北高中'!$B$2:$B$583=$F1925,'學員資料-新北高中'!$G$2:$G$583,""))</f>
        <v>0911221010</v>
      </c>
      <c r="S1925" t="str" cm="1">
        <f t="array" ref="S1925">_xlfn.TEXTJOIN("、",TRUE,IF('學員資料-三重商工'!$B$2:$B$472=$F1925,'學員資料-三重商工'!$G$2:$G$472,""))</f>
        <v/>
      </c>
      <c r="T1925">
        <f t="shared" si="30"/>
        <v>1</v>
      </c>
    </row>
    <row r="1926" spans="1:20" ht="14.25" hidden="1" customHeight="1">
      <c r="A1926" s="15">
        <v>1925</v>
      </c>
      <c r="B1926" s="16" t="s">
        <v>5972</v>
      </c>
      <c r="C1926" s="17">
        <v>45564</v>
      </c>
      <c r="D1926" s="15" t="s">
        <v>5973</v>
      </c>
      <c r="E1926" s="18" t="s">
        <v>954</v>
      </c>
      <c r="F1926" s="19" t="s">
        <v>5974</v>
      </c>
      <c r="G1926" s="18" t="s">
        <v>5975</v>
      </c>
      <c r="H1926" s="20" t="s">
        <v>5180</v>
      </c>
      <c r="I1926" s="15">
        <v>1</v>
      </c>
      <c r="J1926" s="15" t="s">
        <v>24</v>
      </c>
      <c r="K1926" s="15"/>
      <c r="L1926" s="21" t="s">
        <v>16</v>
      </c>
      <c r="M1926" s="22">
        <v>0</v>
      </c>
      <c r="N1926" s="22">
        <v>-3456</v>
      </c>
      <c r="O1926" s="22">
        <v>5184</v>
      </c>
      <c r="P1926" s="22">
        <v>5184</v>
      </c>
      <c r="Q1926" t="str" cm="1">
        <f t="array" ref="Q1926">_xlfn.TEXTJOIN("、",TRUE,IF('學員資料-三民高中'!$B$2:$B$454=$F1926,'學員資料-三民高中'!$G$2:$G$454,""))</f>
        <v/>
      </c>
      <c r="R1926" t="str" cm="1">
        <f t="array" ref="R1926">_xlfn.TEXTJOIN("、",TRUE,IF('學員資料-新北高中'!$B$2:$B$583=$F1926,'學員資料-新北高中'!$G$2:$G$583,""))</f>
        <v/>
      </c>
      <c r="S1926" t="str" cm="1">
        <f t="array" ref="S1926">_xlfn.TEXTJOIN("、",TRUE,IF('學員資料-三重商工'!$B$2:$B$472=$F1926,'學員資料-三重商工'!$G$2:$G$472,""))</f>
        <v>0968383395.1</v>
      </c>
      <c r="T1926">
        <f t="shared" si="30"/>
        <v>1</v>
      </c>
    </row>
    <row r="1927" spans="1:20" ht="14.25" hidden="1" customHeight="1">
      <c r="A1927" s="15">
        <v>1926</v>
      </c>
      <c r="B1927" s="16" t="s">
        <v>5976</v>
      </c>
      <c r="C1927" s="17">
        <v>45564</v>
      </c>
      <c r="D1927" s="15" t="s">
        <v>5977</v>
      </c>
      <c r="E1927" s="18" t="s">
        <v>954</v>
      </c>
      <c r="F1927" s="19" t="s">
        <v>5334</v>
      </c>
      <c r="G1927" s="18" t="s">
        <v>5335</v>
      </c>
      <c r="H1927" s="20" t="s">
        <v>5131</v>
      </c>
      <c r="I1927" s="15">
        <v>1</v>
      </c>
      <c r="J1927" s="15" t="s">
        <v>24</v>
      </c>
      <c r="K1927" s="15"/>
      <c r="L1927" s="21" t="s">
        <v>16</v>
      </c>
      <c r="M1927" s="22">
        <v>0</v>
      </c>
      <c r="N1927" s="22">
        <v>0</v>
      </c>
      <c r="O1927" s="22">
        <v>7200</v>
      </c>
      <c r="P1927" s="22">
        <v>7200</v>
      </c>
      <c r="Q1927" t="str" cm="1">
        <f t="array" ref="Q1927">_xlfn.TEXTJOIN("、",TRUE,IF('學員資料-三民高中'!$B$2:$B$454=$F1927,'學員資料-三民高中'!$G$2:$G$454,""))</f>
        <v/>
      </c>
      <c r="R1927" t="str" cm="1">
        <f t="array" ref="R1927">_xlfn.TEXTJOIN("、",TRUE,IF('學員資料-新北高中'!$B$2:$B$583=$F1927,'學員資料-新北高中'!$G$2:$G$583,""))</f>
        <v>0921866134</v>
      </c>
      <c r="S1927" t="str" cm="1">
        <f t="array" ref="S1927">_xlfn.TEXTJOIN("、",TRUE,IF('學員資料-三重商工'!$B$2:$B$472=$F1927,'學員資料-三重商工'!$G$2:$G$472,""))</f>
        <v/>
      </c>
      <c r="T1927">
        <f t="shared" si="30"/>
        <v>1</v>
      </c>
    </row>
    <row r="1928" spans="1:20" ht="14.25" hidden="1" customHeight="1">
      <c r="A1928" s="15">
        <v>1927</v>
      </c>
      <c r="B1928" s="16" t="s">
        <v>5978</v>
      </c>
      <c r="C1928" s="17">
        <v>45564</v>
      </c>
      <c r="D1928" s="15" t="s">
        <v>5979</v>
      </c>
      <c r="E1928" s="18" t="s">
        <v>954</v>
      </c>
      <c r="F1928" s="19" t="s">
        <v>2752</v>
      </c>
      <c r="G1928" s="18" t="s">
        <v>2753</v>
      </c>
      <c r="H1928" s="20" t="s">
        <v>5131</v>
      </c>
      <c r="I1928" s="15">
        <v>1</v>
      </c>
      <c r="J1928" s="15" t="s">
        <v>24</v>
      </c>
      <c r="K1928" s="15"/>
      <c r="L1928" s="21" t="s">
        <v>16</v>
      </c>
      <c r="M1928" s="22">
        <v>0</v>
      </c>
      <c r="N1928" s="22">
        <v>0</v>
      </c>
      <c r="O1928" s="22">
        <v>7200</v>
      </c>
      <c r="P1928" s="22">
        <v>7200</v>
      </c>
      <c r="Q1928" t="str" cm="1">
        <f t="array" ref="Q1928">_xlfn.TEXTJOIN("、",TRUE,IF('學員資料-三民高中'!$B$2:$B$454=$F1928,'學員資料-三民高中'!$G$2:$G$454,""))</f>
        <v/>
      </c>
      <c r="R1928" t="str" cm="1">
        <f t="array" ref="R1928">_xlfn.TEXTJOIN("、",TRUE,IF('學員資料-新北高中'!$B$2:$B$583=$F1928,'學員資料-新北高中'!$G$2:$G$583,""))</f>
        <v/>
      </c>
      <c r="S1928" t="str" cm="1">
        <f t="array" ref="S1928">_xlfn.TEXTJOIN("、",TRUE,IF('學員資料-三重商工'!$B$2:$B$472=$F1928,'學員資料-三重商工'!$G$2:$G$472,""))</f>
        <v>0963045255</v>
      </c>
      <c r="T1928">
        <f t="shared" si="30"/>
        <v>1</v>
      </c>
    </row>
    <row r="1929" spans="1:20" ht="14.25" hidden="1" customHeight="1">
      <c r="A1929" s="15">
        <v>1928</v>
      </c>
      <c r="B1929" s="16" t="s">
        <v>5980</v>
      </c>
      <c r="C1929" s="17">
        <v>45564</v>
      </c>
      <c r="D1929" s="15" t="s">
        <v>5981</v>
      </c>
      <c r="E1929" s="18" t="s">
        <v>954</v>
      </c>
      <c r="F1929" s="19" t="s">
        <v>5982</v>
      </c>
      <c r="G1929" s="18" t="s">
        <v>5983</v>
      </c>
      <c r="H1929" s="20" t="s">
        <v>5131</v>
      </c>
      <c r="I1929" s="15">
        <v>1</v>
      </c>
      <c r="J1929" s="15" t="s">
        <v>24</v>
      </c>
      <c r="K1929" s="15"/>
      <c r="L1929" s="21" t="s">
        <v>16</v>
      </c>
      <c r="M1929" s="22">
        <v>0</v>
      </c>
      <c r="N1929" s="22">
        <v>0</v>
      </c>
      <c r="O1929" s="22">
        <v>7200</v>
      </c>
      <c r="P1929" s="22">
        <v>7200</v>
      </c>
      <c r="Q1929" t="str" cm="1">
        <f t="array" ref="Q1929">_xlfn.TEXTJOIN("、",TRUE,IF('學員資料-三民高中'!$B$2:$B$454=$F1929,'學員資料-三民高中'!$G$2:$G$454,""))</f>
        <v>0921143106</v>
      </c>
      <c r="R1929" t="str" cm="1">
        <f t="array" ref="R1929">_xlfn.TEXTJOIN("、",TRUE,IF('學員資料-新北高中'!$B$2:$B$583=$F1929,'學員資料-新北高中'!$G$2:$G$583,""))</f>
        <v/>
      </c>
      <c r="S1929" t="str" cm="1">
        <f t="array" ref="S1929">_xlfn.TEXTJOIN("、",TRUE,IF('學員資料-三重商工'!$B$2:$B$472=$F1929,'學員資料-三重商工'!$G$2:$G$472,""))</f>
        <v/>
      </c>
      <c r="T1929">
        <f t="shared" si="30"/>
        <v>1</v>
      </c>
    </row>
    <row r="1930" spans="1:20" ht="14.25" hidden="1" customHeight="1">
      <c r="A1930" s="15">
        <v>1929</v>
      </c>
      <c r="B1930" s="16" t="s">
        <v>5984</v>
      </c>
      <c r="C1930" s="17">
        <v>45563</v>
      </c>
      <c r="D1930" s="15" t="s">
        <v>5985</v>
      </c>
      <c r="E1930" s="18" t="s">
        <v>954</v>
      </c>
      <c r="F1930" s="19" t="s">
        <v>1225</v>
      </c>
      <c r="G1930" s="18" t="s">
        <v>1226</v>
      </c>
      <c r="H1930" s="20" t="s">
        <v>5131</v>
      </c>
      <c r="I1930" s="15">
        <v>1</v>
      </c>
      <c r="J1930" s="15" t="s">
        <v>24</v>
      </c>
      <c r="K1930" s="15"/>
      <c r="L1930" s="21" t="s">
        <v>16</v>
      </c>
      <c r="M1930" s="22">
        <v>0</v>
      </c>
      <c r="N1930" s="22">
        <v>0</v>
      </c>
      <c r="O1930" s="22">
        <v>7200</v>
      </c>
      <c r="P1930" s="22">
        <v>7200</v>
      </c>
      <c r="Q1930" t="str" cm="1">
        <f t="array" ref="Q1930">_xlfn.TEXTJOIN("、",TRUE,IF('學員資料-三民高中'!$B$2:$B$454=$F1930,'學員資料-三民高中'!$G$2:$G$454,""))</f>
        <v>0983706127</v>
      </c>
      <c r="R1930" t="str" cm="1">
        <f t="array" ref="R1930">_xlfn.TEXTJOIN("、",TRUE,IF('學員資料-新北高中'!$B$2:$B$583=$F1930,'學員資料-新北高中'!$G$2:$G$583,""))</f>
        <v/>
      </c>
      <c r="S1930" t="str" cm="1">
        <f t="array" ref="S1930">_xlfn.TEXTJOIN("、",TRUE,IF('學員資料-三重商工'!$B$2:$B$472=$F1930,'學員資料-三重商工'!$G$2:$G$472,""))</f>
        <v/>
      </c>
      <c r="T1930">
        <f t="shared" si="30"/>
        <v>1</v>
      </c>
    </row>
    <row r="1931" spans="1:20" ht="14.25" hidden="1" customHeight="1">
      <c r="A1931" s="15">
        <v>1930</v>
      </c>
      <c r="B1931" s="16" t="s">
        <v>5986</v>
      </c>
      <c r="C1931" s="17">
        <v>45563</v>
      </c>
      <c r="D1931" s="15" t="s">
        <v>5987</v>
      </c>
      <c r="E1931" s="18" t="s">
        <v>954</v>
      </c>
      <c r="F1931" s="19" t="s">
        <v>5392</v>
      </c>
      <c r="G1931" s="18" t="s">
        <v>5393</v>
      </c>
      <c r="H1931" s="20" t="s">
        <v>5246</v>
      </c>
      <c r="I1931" s="15">
        <v>1</v>
      </c>
      <c r="J1931" s="15" t="s">
        <v>23</v>
      </c>
      <c r="K1931" s="15"/>
      <c r="L1931" s="21" t="s">
        <v>16</v>
      </c>
      <c r="M1931" s="22">
        <v>0</v>
      </c>
      <c r="N1931" s="22">
        <v>0</v>
      </c>
      <c r="O1931" s="22">
        <v>7200</v>
      </c>
      <c r="P1931" s="22">
        <v>7200</v>
      </c>
      <c r="Q1931" t="str" cm="1">
        <f t="array" ref="Q1931">_xlfn.TEXTJOIN("、",TRUE,IF('學員資料-三民高中'!$B$2:$B$454=$F1931,'學員資料-三民高中'!$G$2:$G$454,""))</f>
        <v/>
      </c>
      <c r="R1931" t="str" cm="1">
        <f t="array" ref="R1931">_xlfn.TEXTJOIN("、",TRUE,IF('學員資料-新北高中'!$B$2:$B$583=$F1931,'學員資料-新北高中'!$G$2:$G$583,""))</f>
        <v>0933092699</v>
      </c>
      <c r="S1931" t="str" cm="1">
        <f t="array" ref="S1931">_xlfn.TEXTJOIN("、",TRUE,IF('學員資料-三重商工'!$B$2:$B$472=$F1931,'學員資料-三重商工'!$G$2:$G$472,""))</f>
        <v/>
      </c>
      <c r="T1931">
        <f t="shared" si="30"/>
        <v>1</v>
      </c>
    </row>
    <row r="1932" spans="1:20" ht="14.25" hidden="1" customHeight="1">
      <c r="A1932" s="15">
        <v>1931</v>
      </c>
      <c r="B1932" s="16" t="s">
        <v>5988</v>
      </c>
      <c r="C1932" s="17">
        <v>45563</v>
      </c>
      <c r="D1932" s="15" t="s">
        <v>5989</v>
      </c>
      <c r="E1932" s="18" t="s">
        <v>954</v>
      </c>
      <c r="F1932" s="19" t="s">
        <v>5990</v>
      </c>
      <c r="G1932" s="18" t="s">
        <v>5991</v>
      </c>
      <c r="H1932" s="20" t="s">
        <v>5340</v>
      </c>
      <c r="I1932" s="15">
        <v>1</v>
      </c>
      <c r="J1932" s="15" t="s">
        <v>27</v>
      </c>
      <c r="K1932" s="15"/>
      <c r="L1932" s="21" t="s">
        <v>16</v>
      </c>
      <c r="M1932" s="22">
        <v>0</v>
      </c>
      <c r="N1932" s="22">
        <v>-1620</v>
      </c>
      <c r="O1932" s="22">
        <v>11880</v>
      </c>
      <c r="P1932" s="22">
        <v>11880</v>
      </c>
      <c r="Q1932" t="str" cm="1">
        <f t="array" ref="Q1932">_xlfn.TEXTJOIN("、",TRUE,IF('學員資料-三民高中'!$B$2:$B$454=$F1932,'學員資料-三民高中'!$G$2:$G$454,""))</f>
        <v>0934087068</v>
      </c>
      <c r="R1932" t="str" cm="1">
        <f t="array" ref="R1932">_xlfn.TEXTJOIN("、",TRUE,IF('學員資料-新北高中'!$B$2:$B$583=$F1932,'學員資料-新北高中'!$G$2:$G$583,""))</f>
        <v/>
      </c>
      <c r="S1932" t="str" cm="1">
        <f t="array" ref="S1932">_xlfn.TEXTJOIN("、",TRUE,IF('學員資料-三重商工'!$B$2:$B$472=$F1932,'學員資料-三重商工'!$G$2:$G$472,""))</f>
        <v/>
      </c>
      <c r="T1932">
        <f t="shared" si="30"/>
        <v>1</v>
      </c>
    </row>
    <row r="1933" spans="1:20" ht="14.25" customHeight="1">
      <c r="A1933" s="15">
        <v>1932</v>
      </c>
      <c r="B1933" s="16" t="s">
        <v>5992</v>
      </c>
      <c r="C1933" s="17">
        <v>45563</v>
      </c>
      <c r="D1933" s="15" t="s">
        <v>5993</v>
      </c>
      <c r="E1933" s="18" t="s">
        <v>954</v>
      </c>
      <c r="F1933" s="19" t="s">
        <v>5994</v>
      </c>
      <c r="G1933" s="23"/>
      <c r="H1933" s="20" t="s">
        <v>5211</v>
      </c>
      <c r="I1933" s="15">
        <v>1</v>
      </c>
      <c r="J1933" s="15" t="s">
        <v>26</v>
      </c>
      <c r="K1933" s="15"/>
      <c r="L1933" s="21" t="s">
        <v>16</v>
      </c>
      <c r="M1933" s="22">
        <v>0</v>
      </c>
      <c r="N1933" s="22">
        <v>-1296</v>
      </c>
      <c r="O1933" s="22">
        <v>9504</v>
      </c>
      <c r="P1933" s="22">
        <v>9504</v>
      </c>
      <c r="Q1933" t="str" cm="1">
        <f t="array" ref="Q1933">_xlfn.TEXTJOIN("、",TRUE,IF('學員資料-三民高中'!$B$2:$B$454=$F1933,'學員資料-三民高中'!$G$2:$G$454,""))</f>
        <v/>
      </c>
      <c r="R1933" t="str" cm="1">
        <f t="array" ref="R1933">_xlfn.TEXTJOIN("、",TRUE,IF('學員資料-新北高中'!$B$2:$B$583=$F1933,'學員資料-新北高中'!$G$2:$G$583,""))</f>
        <v/>
      </c>
      <c r="S1933" t="str" cm="1">
        <f t="array" ref="S1933">_xlfn.TEXTJOIN("、",TRUE,IF('學員資料-三重商工'!$B$2:$B$472=$F1933,'學員資料-三重商工'!$G$2:$G$472,""))</f>
        <v/>
      </c>
      <c r="T1933">
        <f t="shared" si="30"/>
        <v>0</v>
      </c>
    </row>
    <row r="1934" spans="1:20" ht="28.5" hidden="1" customHeight="1">
      <c r="A1934" s="15">
        <v>1933</v>
      </c>
      <c r="B1934" s="16" t="s">
        <v>5995</v>
      </c>
      <c r="C1934" s="17">
        <v>45563</v>
      </c>
      <c r="D1934" s="15" t="s">
        <v>5996</v>
      </c>
      <c r="E1934" s="18" t="s">
        <v>954</v>
      </c>
      <c r="F1934" s="19" t="s">
        <v>5997</v>
      </c>
      <c r="G1934" s="18" t="s">
        <v>5998</v>
      </c>
      <c r="H1934" s="20" t="s">
        <v>5154</v>
      </c>
      <c r="I1934" s="15">
        <v>2</v>
      </c>
      <c r="J1934" s="15" t="s">
        <v>24</v>
      </c>
      <c r="K1934" s="15"/>
      <c r="L1934" s="21" t="s">
        <v>16</v>
      </c>
      <c r="M1934" s="22">
        <v>0</v>
      </c>
      <c r="N1934" s="22">
        <v>-1440</v>
      </c>
      <c r="O1934" s="22">
        <v>12960</v>
      </c>
      <c r="P1934" s="22">
        <v>12960</v>
      </c>
      <c r="Q1934" t="str" cm="1">
        <f t="array" ref="Q1934">_xlfn.TEXTJOIN("、",TRUE,IF('學員資料-三民高中'!$B$2:$B$454=$F1934,'學員資料-三民高中'!$G$2:$G$454,""))</f>
        <v/>
      </c>
      <c r="R1934" t="str" cm="1">
        <f t="array" ref="R1934">_xlfn.TEXTJOIN("、",TRUE,IF('學員資料-新北高中'!$B$2:$B$583=$F1934,'學員資料-新北高中'!$G$2:$G$583,""))</f>
        <v>0958219319</v>
      </c>
      <c r="S1934" t="str" cm="1">
        <f t="array" ref="S1934">_xlfn.TEXTJOIN("、",TRUE,IF('學員資料-三重商工'!$B$2:$B$472=$F1934,'學員資料-三重商工'!$G$2:$G$472,""))</f>
        <v/>
      </c>
      <c r="T1934">
        <f t="shared" si="30"/>
        <v>1</v>
      </c>
    </row>
    <row r="1935" spans="1:20" ht="43.5" hidden="1" customHeight="1">
      <c r="A1935" s="15">
        <v>1934</v>
      </c>
      <c r="B1935" s="16" t="s">
        <v>5999</v>
      </c>
      <c r="C1935" s="17">
        <v>45563</v>
      </c>
      <c r="D1935" s="15" t="s">
        <v>6000</v>
      </c>
      <c r="E1935" s="18" t="s">
        <v>954</v>
      </c>
      <c r="F1935" s="19" t="s">
        <v>6001</v>
      </c>
      <c r="G1935" s="18" t="s">
        <v>6002</v>
      </c>
      <c r="H1935" s="20" t="s">
        <v>5128</v>
      </c>
      <c r="I1935" s="15">
        <v>3</v>
      </c>
      <c r="J1935" s="15" t="s">
        <v>25</v>
      </c>
      <c r="K1935" s="15"/>
      <c r="L1935" s="21" t="s">
        <v>16</v>
      </c>
      <c r="M1935" s="22">
        <v>0</v>
      </c>
      <c r="N1935" s="22">
        <v>-3240</v>
      </c>
      <c r="O1935" s="22">
        <v>23760</v>
      </c>
      <c r="P1935" s="22">
        <v>23760</v>
      </c>
      <c r="Q1935" t="str" cm="1">
        <f t="array" ref="Q1935">_xlfn.TEXTJOIN("、",TRUE,IF('學員資料-三民高中'!$B$2:$B$454=$F1935,'學員資料-三民高中'!$G$2:$G$454,""))</f>
        <v/>
      </c>
      <c r="R1935" t="str" cm="1">
        <f t="array" ref="R1935">_xlfn.TEXTJOIN("、",TRUE,IF('學員資料-新北高中'!$B$2:$B$583=$F1935,'學員資料-新北高中'!$G$2:$G$583,""))</f>
        <v>0927294690-1</v>
      </c>
      <c r="S1935" t="str" cm="1">
        <f t="array" ref="S1935">_xlfn.TEXTJOIN("、",TRUE,IF('學員資料-三重商工'!$B$2:$B$472=$F1935,'學員資料-三重商工'!$G$2:$G$472,""))</f>
        <v/>
      </c>
      <c r="T1935">
        <f t="shared" si="30"/>
        <v>1</v>
      </c>
    </row>
    <row r="1936" spans="1:20" ht="14.25" hidden="1" customHeight="1">
      <c r="A1936" s="15">
        <v>1935</v>
      </c>
      <c r="B1936" s="16" t="s">
        <v>6003</v>
      </c>
      <c r="C1936" s="17">
        <v>45563</v>
      </c>
      <c r="D1936" s="15" t="s">
        <v>6004</v>
      </c>
      <c r="E1936" s="18" t="s">
        <v>954</v>
      </c>
      <c r="F1936" s="19" t="s">
        <v>6005</v>
      </c>
      <c r="G1936" s="18" t="s">
        <v>6006</v>
      </c>
      <c r="H1936" s="20" t="s">
        <v>5211</v>
      </c>
      <c r="I1936" s="15">
        <v>1</v>
      </c>
      <c r="J1936" s="15" t="s">
        <v>26</v>
      </c>
      <c r="K1936" s="15"/>
      <c r="L1936" s="21" t="s">
        <v>16</v>
      </c>
      <c r="M1936" s="22">
        <v>0</v>
      </c>
      <c r="N1936" s="22">
        <v>-1296</v>
      </c>
      <c r="O1936" s="22">
        <v>9504</v>
      </c>
      <c r="P1936" s="22">
        <v>9504</v>
      </c>
      <c r="Q1936" t="str" cm="1">
        <f t="array" ref="Q1936">_xlfn.TEXTJOIN("、",TRUE,IF('學員資料-三民高中'!$B$2:$B$454=$F1936,'學員資料-三民高中'!$G$2:$G$454,""))</f>
        <v/>
      </c>
      <c r="R1936" t="str" cm="1">
        <f t="array" ref="R1936">_xlfn.TEXTJOIN("、",TRUE,IF('學員資料-新北高中'!$B$2:$B$583=$F1936,'學員資料-新北高中'!$G$2:$G$583,""))</f>
        <v>0927294690</v>
      </c>
      <c r="S1936" t="str" cm="1">
        <f t="array" ref="S1936">_xlfn.TEXTJOIN("、",TRUE,IF('學員資料-三重商工'!$B$2:$B$472=$F1936,'學員資料-三重商工'!$G$2:$G$472,""))</f>
        <v/>
      </c>
      <c r="T1936">
        <f t="shared" si="30"/>
        <v>1</v>
      </c>
    </row>
    <row r="1937" spans="1:20" ht="57.75" customHeight="1">
      <c r="A1937" s="15">
        <v>1936</v>
      </c>
      <c r="B1937" s="16" t="s">
        <v>6007</v>
      </c>
      <c r="C1937" s="17">
        <v>45563</v>
      </c>
      <c r="D1937" s="15" t="s">
        <v>6008</v>
      </c>
      <c r="E1937" s="18" t="s">
        <v>954</v>
      </c>
      <c r="F1937" s="19" t="s">
        <v>6009</v>
      </c>
      <c r="G1937" s="23"/>
      <c r="H1937" s="20" t="s">
        <v>5457</v>
      </c>
      <c r="I1937" s="15">
        <v>4</v>
      </c>
      <c r="J1937" s="15" t="s">
        <v>24</v>
      </c>
      <c r="K1937" s="15"/>
      <c r="L1937" s="21" t="s">
        <v>16</v>
      </c>
      <c r="M1937" s="22">
        <v>0</v>
      </c>
      <c r="N1937" s="22">
        <v>-2880</v>
      </c>
      <c r="O1937" s="22">
        <v>25920</v>
      </c>
      <c r="P1937" s="22">
        <v>25920</v>
      </c>
      <c r="Q1937" t="str" cm="1">
        <f t="array" ref="Q1937">_xlfn.TEXTJOIN("、",TRUE,IF('學員資料-三民高中'!$B$2:$B$454=$F1937,'學員資料-三民高中'!$G$2:$G$454,""))</f>
        <v/>
      </c>
      <c r="R1937" t="str" cm="1">
        <f t="array" ref="R1937">_xlfn.TEXTJOIN("、",TRUE,IF('學員資料-新北高中'!$B$2:$B$583=$F1937,'學員資料-新北高中'!$G$2:$G$583,""))</f>
        <v/>
      </c>
      <c r="S1937" t="str" cm="1">
        <f t="array" ref="S1937">_xlfn.TEXTJOIN("、",TRUE,IF('學員資料-三重商工'!$B$2:$B$472=$F1937,'學員資料-三重商工'!$G$2:$G$472,""))</f>
        <v/>
      </c>
      <c r="T1937">
        <f t="shared" si="30"/>
        <v>0</v>
      </c>
    </row>
    <row r="1938" spans="1:20" ht="14.25" customHeight="1">
      <c r="A1938" s="15">
        <v>1937</v>
      </c>
      <c r="B1938" s="16" t="s">
        <v>6010</v>
      </c>
      <c r="C1938" s="17">
        <v>45563</v>
      </c>
      <c r="D1938" s="15" t="s">
        <v>6011</v>
      </c>
      <c r="E1938" s="18" t="s">
        <v>3862</v>
      </c>
      <c r="F1938" s="19" t="s">
        <v>6012</v>
      </c>
      <c r="G1938" s="23"/>
      <c r="H1938" s="20" t="s">
        <v>5163</v>
      </c>
      <c r="I1938" s="15">
        <v>1</v>
      </c>
      <c r="J1938" s="15" t="s">
        <v>23</v>
      </c>
      <c r="K1938" s="15"/>
      <c r="L1938" s="21" t="s">
        <v>16</v>
      </c>
      <c r="M1938" s="22">
        <v>0</v>
      </c>
      <c r="N1938" s="22">
        <v>-660</v>
      </c>
      <c r="O1938" s="22">
        <v>5940</v>
      </c>
      <c r="P1938" s="22">
        <v>5940</v>
      </c>
      <c r="Q1938" t="str" cm="1">
        <f t="array" ref="Q1938">_xlfn.TEXTJOIN("、",TRUE,IF('學員資料-三民高中'!$B$2:$B$454=$F1938,'學員資料-三民高中'!$G$2:$G$454,""))</f>
        <v/>
      </c>
      <c r="R1938" t="str" cm="1">
        <f t="array" ref="R1938">_xlfn.TEXTJOIN("、",TRUE,IF('學員資料-新北高中'!$B$2:$B$583=$F1938,'學員資料-新北高中'!$G$2:$G$583,""))</f>
        <v/>
      </c>
      <c r="S1938" t="str" cm="1">
        <f t="array" ref="S1938">_xlfn.TEXTJOIN("、",TRUE,IF('學員資料-三重商工'!$B$2:$B$472=$F1938,'學員資料-三重商工'!$G$2:$G$472,""))</f>
        <v/>
      </c>
      <c r="T1938">
        <f t="shared" si="30"/>
        <v>0</v>
      </c>
    </row>
    <row r="1939" spans="1:20" ht="28.5" hidden="1" customHeight="1">
      <c r="A1939" s="15">
        <v>1938</v>
      </c>
      <c r="B1939" s="16" t="s">
        <v>6013</v>
      </c>
      <c r="C1939" s="17">
        <v>45563</v>
      </c>
      <c r="D1939" s="15" t="s">
        <v>6014</v>
      </c>
      <c r="E1939" s="18" t="s">
        <v>954</v>
      </c>
      <c r="F1939" s="19" t="s">
        <v>6015</v>
      </c>
      <c r="G1939" s="18" t="s">
        <v>6016</v>
      </c>
      <c r="H1939" s="20" t="s">
        <v>5154</v>
      </c>
      <c r="I1939" s="15">
        <v>2</v>
      </c>
      <c r="J1939" s="15" t="s">
        <v>24</v>
      </c>
      <c r="K1939" s="15"/>
      <c r="L1939" s="21" t="s">
        <v>16</v>
      </c>
      <c r="M1939" s="22">
        <v>0</v>
      </c>
      <c r="N1939" s="22">
        <v>-1440</v>
      </c>
      <c r="O1939" s="22">
        <v>12960</v>
      </c>
      <c r="P1939" s="22">
        <v>12960</v>
      </c>
      <c r="Q1939" t="str" cm="1">
        <f t="array" ref="Q1939">_xlfn.TEXTJOIN("、",TRUE,IF('學員資料-三民高中'!$B$2:$B$454=$F1939,'學員資料-三民高中'!$G$2:$G$454,""))</f>
        <v>0936805599</v>
      </c>
      <c r="R1939" t="str" cm="1">
        <f t="array" ref="R1939">_xlfn.TEXTJOIN("、",TRUE,IF('學員資料-新北高中'!$B$2:$B$583=$F1939,'學員資料-新北高中'!$G$2:$G$583,""))</f>
        <v/>
      </c>
      <c r="S1939" t="str" cm="1">
        <f t="array" ref="S1939">_xlfn.TEXTJOIN("、",TRUE,IF('學員資料-三重商工'!$B$2:$B$472=$F1939,'學員資料-三重商工'!$G$2:$G$472,""))</f>
        <v/>
      </c>
      <c r="T1939">
        <f t="shared" si="30"/>
        <v>1</v>
      </c>
    </row>
    <row r="1940" spans="1:20" ht="14.25" hidden="1" customHeight="1">
      <c r="A1940" s="15">
        <v>1939</v>
      </c>
      <c r="B1940" s="16" t="s">
        <v>6017</v>
      </c>
      <c r="C1940" s="17">
        <v>45563</v>
      </c>
      <c r="D1940" s="15" t="s">
        <v>6018</v>
      </c>
      <c r="E1940" s="18" t="s">
        <v>954</v>
      </c>
      <c r="F1940" s="19" t="s">
        <v>5885</v>
      </c>
      <c r="G1940" s="18" t="s">
        <v>5886</v>
      </c>
      <c r="H1940" s="20" t="s">
        <v>5340</v>
      </c>
      <c r="I1940" s="15">
        <v>1</v>
      </c>
      <c r="J1940" s="15" t="s">
        <v>27</v>
      </c>
      <c r="K1940" s="15"/>
      <c r="L1940" s="21" t="s">
        <v>16</v>
      </c>
      <c r="M1940" s="22">
        <v>0</v>
      </c>
      <c r="N1940" s="22">
        <v>-1620</v>
      </c>
      <c r="O1940" s="22">
        <v>11880</v>
      </c>
      <c r="P1940" s="22">
        <v>11880</v>
      </c>
      <c r="Q1940" t="str" cm="1">
        <f t="array" ref="Q1940">_xlfn.TEXTJOIN("、",TRUE,IF('學員資料-三民高中'!$B$2:$B$454=$F1940,'學員資料-三民高中'!$G$2:$G$454,""))</f>
        <v>0953512477</v>
      </c>
      <c r="R1940" t="str" cm="1">
        <f t="array" ref="R1940">_xlfn.TEXTJOIN("、",TRUE,IF('學員資料-新北高中'!$B$2:$B$583=$F1940,'學員資料-新北高中'!$G$2:$G$583,""))</f>
        <v/>
      </c>
      <c r="S1940" t="str" cm="1">
        <f t="array" ref="S1940">_xlfn.TEXTJOIN("、",TRUE,IF('學員資料-三重商工'!$B$2:$B$472=$F1940,'學員資料-三重商工'!$G$2:$G$472,""))</f>
        <v/>
      </c>
      <c r="T1940">
        <f t="shared" si="30"/>
        <v>1</v>
      </c>
    </row>
    <row r="1941" spans="1:20" ht="87" hidden="1" customHeight="1">
      <c r="A1941" s="15">
        <v>1940</v>
      </c>
      <c r="B1941" s="16" t="s">
        <v>6019</v>
      </c>
      <c r="C1941" s="17">
        <v>45562</v>
      </c>
      <c r="D1941" s="15" t="s">
        <v>6020</v>
      </c>
      <c r="E1941" s="18" t="s">
        <v>954</v>
      </c>
      <c r="F1941" s="19" t="s">
        <v>6021</v>
      </c>
      <c r="G1941" s="18" t="s">
        <v>6022</v>
      </c>
      <c r="H1941" s="20" t="s">
        <v>6023</v>
      </c>
      <c r="I1941" s="15">
        <v>6</v>
      </c>
      <c r="J1941" s="15" t="s">
        <v>25</v>
      </c>
      <c r="K1941" s="15"/>
      <c r="L1941" s="21" t="s">
        <v>16</v>
      </c>
      <c r="M1941" s="22">
        <v>0</v>
      </c>
      <c r="N1941" s="22">
        <v>-6480</v>
      </c>
      <c r="O1941" s="22">
        <v>47520</v>
      </c>
      <c r="P1941" s="22">
        <v>47520</v>
      </c>
      <c r="Q1941" t="str" cm="1">
        <f t="array" ref="Q1941">_xlfn.TEXTJOIN("、",TRUE,IF('學員資料-三民高中'!$B$2:$B$454=$F1941,'學員資料-三民高中'!$G$2:$G$454,""))</f>
        <v/>
      </c>
      <c r="R1941" t="str" cm="1">
        <f t="array" ref="R1941">_xlfn.TEXTJOIN("、",TRUE,IF('學員資料-新北高中'!$B$2:$B$583=$F1941,'學員資料-新北高中'!$G$2:$G$583,""))</f>
        <v>0910917501</v>
      </c>
      <c r="S1941" t="str" cm="1">
        <f t="array" ref="S1941">_xlfn.TEXTJOIN("、",TRUE,IF('學員資料-三重商工'!$B$2:$B$472=$F1941,'學員資料-三重商工'!$G$2:$G$472,""))</f>
        <v/>
      </c>
      <c r="T1941">
        <f t="shared" si="30"/>
        <v>1</v>
      </c>
    </row>
    <row r="1942" spans="1:20" ht="28.5" hidden="1" customHeight="1">
      <c r="A1942" s="15">
        <v>1941</v>
      </c>
      <c r="B1942" s="16" t="s">
        <v>6024</v>
      </c>
      <c r="C1942" s="17">
        <v>45562</v>
      </c>
      <c r="D1942" s="15" t="s">
        <v>6025</v>
      </c>
      <c r="E1942" s="18" t="s">
        <v>954</v>
      </c>
      <c r="F1942" s="19" t="s">
        <v>6026</v>
      </c>
      <c r="G1942" s="18" t="s">
        <v>6027</v>
      </c>
      <c r="H1942" s="20" t="s">
        <v>5729</v>
      </c>
      <c r="I1942" s="15">
        <v>2</v>
      </c>
      <c r="J1942" s="15" t="s">
        <v>26</v>
      </c>
      <c r="K1942" s="15"/>
      <c r="L1942" s="21" t="s">
        <v>16</v>
      </c>
      <c r="M1942" s="22">
        <v>0</v>
      </c>
      <c r="N1942" s="22">
        <v>-2592</v>
      </c>
      <c r="O1942" s="22">
        <v>19008</v>
      </c>
      <c r="P1942" s="22">
        <v>19008</v>
      </c>
      <c r="Q1942" t="str" cm="1">
        <f t="array" ref="Q1942">_xlfn.TEXTJOIN("、",TRUE,IF('學員資料-三民高中'!$B$2:$B$454=$F1942,'學員資料-三民高中'!$G$2:$G$454,""))</f>
        <v/>
      </c>
      <c r="R1942" t="str" cm="1">
        <f t="array" ref="R1942">_xlfn.TEXTJOIN("、",TRUE,IF('學員資料-新北高中'!$B$2:$B$583=$F1942,'學員資料-新北高中'!$G$2:$G$583,""))</f>
        <v>0920105812</v>
      </c>
      <c r="S1942" t="str" cm="1">
        <f t="array" ref="S1942">_xlfn.TEXTJOIN("、",TRUE,IF('學員資料-三重商工'!$B$2:$B$472=$F1942,'學員資料-三重商工'!$G$2:$G$472,""))</f>
        <v/>
      </c>
      <c r="T1942">
        <f t="shared" si="30"/>
        <v>1</v>
      </c>
    </row>
    <row r="1943" spans="1:20" ht="14.25" customHeight="1">
      <c r="A1943" s="15">
        <v>1942</v>
      </c>
      <c r="B1943" s="16" t="s">
        <v>6028</v>
      </c>
      <c r="C1943" s="17">
        <v>45562</v>
      </c>
      <c r="D1943" s="15" t="s">
        <v>6029</v>
      </c>
      <c r="E1943" s="18" t="s">
        <v>954</v>
      </c>
      <c r="F1943" s="19" t="s">
        <v>5882</v>
      </c>
      <c r="G1943" s="23"/>
      <c r="H1943" s="20" t="s">
        <v>5148</v>
      </c>
      <c r="I1943" s="15">
        <v>1</v>
      </c>
      <c r="J1943" s="15" t="s">
        <v>25</v>
      </c>
      <c r="K1943" s="15"/>
      <c r="L1943" s="21" t="s">
        <v>16</v>
      </c>
      <c r="M1943" s="22">
        <v>0</v>
      </c>
      <c r="N1943" s="22">
        <v>-1080</v>
      </c>
      <c r="O1943" s="22">
        <v>7920</v>
      </c>
      <c r="P1943" s="22">
        <v>7920</v>
      </c>
      <c r="Q1943" t="str" cm="1">
        <f t="array" ref="Q1943">_xlfn.TEXTJOIN("、",TRUE,IF('學員資料-三民高中'!$B$2:$B$454=$F1943,'學員資料-三民高中'!$G$2:$G$454,""))</f>
        <v/>
      </c>
      <c r="R1943" t="str" cm="1">
        <f t="array" ref="R1943">_xlfn.TEXTJOIN("、",TRUE,IF('學員資料-新北高中'!$B$2:$B$583=$F1943,'學員資料-新北高中'!$G$2:$G$583,""))</f>
        <v/>
      </c>
      <c r="S1943" t="str" cm="1">
        <f t="array" ref="S1943">_xlfn.TEXTJOIN("、",TRUE,IF('學員資料-三重商工'!$B$2:$B$472=$F1943,'學員資料-三重商工'!$G$2:$G$472,""))</f>
        <v/>
      </c>
      <c r="T1943">
        <f t="shared" si="30"/>
        <v>0</v>
      </c>
    </row>
    <row r="1944" spans="1:20" ht="14.25" hidden="1" customHeight="1">
      <c r="A1944" s="15">
        <v>1943</v>
      </c>
      <c r="B1944" s="16" t="s">
        <v>6030</v>
      </c>
      <c r="C1944" s="17">
        <v>45562</v>
      </c>
      <c r="D1944" s="15" t="s">
        <v>6031</v>
      </c>
      <c r="E1944" s="18" t="s">
        <v>954</v>
      </c>
      <c r="F1944" s="19" t="s">
        <v>5310</v>
      </c>
      <c r="G1944" s="18" t="s">
        <v>5311</v>
      </c>
      <c r="H1944" s="20" t="s">
        <v>5131</v>
      </c>
      <c r="I1944" s="15">
        <v>1</v>
      </c>
      <c r="J1944" s="15" t="s">
        <v>24</v>
      </c>
      <c r="K1944" s="15"/>
      <c r="L1944" s="21" t="s">
        <v>16</v>
      </c>
      <c r="M1944" s="22">
        <v>0</v>
      </c>
      <c r="N1944" s="22">
        <v>-720</v>
      </c>
      <c r="O1944" s="22">
        <v>6480</v>
      </c>
      <c r="P1944" s="22">
        <v>6480</v>
      </c>
      <c r="Q1944" t="str" cm="1">
        <f t="array" ref="Q1944">_xlfn.TEXTJOIN("、",TRUE,IF('學員資料-三民高中'!$B$2:$B$454=$F1944,'學員資料-三民高中'!$G$2:$G$454,""))</f>
        <v/>
      </c>
      <c r="R1944" t="str" cm="1">
        <f t="array" ref="R1944">_xlfn.TEXTJOIN("、",TRUE,IF('學員資料-新北高中'!$B$2:$B$583=$F1944,'學員資料-新北高中'!$G$2:$G$583,""))</f>
        <v>0910960516</v>
      </c>
      <c r="S1944" t="str" cm="1">
        <f t="array" ref="S1944">_xlfn.TEXTJOIN("、",TRUE,IF('學員資料-三重商工'!$B$2:$B$472=$F1944,'學員資料-三重商工'!$G$2:$G$472,""))</f>
        <v/>
      </c>
      <c r="T1944">
        <f t="shared" si="30"/>
        <v>1</v>
      </c>
    </row>
    <row r="1945" spans="1:20" ht="43.5" hidden="1" customHeight="1">
      <c r="A1945" s="15">
        <v>1944</v>
      </c>
      <c r="B1945" s="16" t="s">
        <v>6032</v>
      </c>
      <c r="C1945" s="17">
        <v>45562</v>
      </c>
      <c r="D1945" s="15" t="s">
        <v>6033</v>
      </c>
      <c r="E1945" s="18" t="s">
        <v>954</v>
      </c>
      <c r="F1945" s="19" t="s">
        <v>1629</v>
      </c>
      <c r="G1945" s="18" t="s">
        <v>1630</v>
      </c>
      <c r="H1945" s="20" t="s">
        <v>5128</v>
      </c>
      <c r="I1945" s="15">
        <v>3</v>
      </c>
      <c r="J1945" s="15" t="s">
        <v>25</v>
      </c>
      <c r="K1945" s="15"/>
      <c r="L1945" s="21" t="s">
        <v>16</v>
      </c>
      <c r="M1945" s="22">
        <v>0</v>
      </c>
      <c r="N1945" s="22">
        <v>-3240</v>
      </c>
      <c r="O1945" s="22">
        <v>23760</v>
      </c>
      <c r="P1945" s="22">
        <v>23760</v>
      </c>
      <c r="Q1945" t="str" cm="1">
        <f t="array" ref="Q1945">_xlfn.TEXTJOIN("、",TRUE,IF('學員資料-三民高中'!$B$2:$B$454=$F1945,'學員資料-三民高中'!$G$2:$G$454,""))</f>
        <v>0933137895</v>
      </c>
      <c r="R1945" t="str" cm="1">
        <f t="array" ref="R1945">_xlfn.TEXTJOIN("、",TRUE,IF('學員資料-新北高中'!$B$2:$B$583=$F1945,'學員資料-新北高中'!$G$2:$G$583,""))</f>
        <v/>
      </c>
      <c r="S1945" t="str" cm="1">
        <f t="array" ref="S1945">_xlfn.TEXTJOIN("、",TRUE,IF('學員資料-三重商工'!$B$2:$B$472=$F1945,'學員資料-三重商工'!$G$2:$G$472,""))</f>
        <v/>
      </c>
      <c r="T1945">
        <f t="shared" si="30"/>
        <v>1</v>
      </c>
    </row>
    <row r="1946" spans="1:20" ht="14.25" hidden="1" customHeight="1">
      <c r="A1946" s="15">
        <v>1945</v>
      </c>
      <c r="B1946" s="16" t="s">
        <v>6034</v>
      </c>
      <c r="C1946" s="17">
        <v>45561</v>
      </c>
      <c r="D1946" s="15" t="s">
        <v>6035</v>
      </c>
      <c r="E1946" s="18" t="s">
        <v>954</v>
      </c>
      <c r="F1946" s="19" t="s">
        <v>5564</v>
      </c>
      <c r="G1946" s="18" t="s">
        <v>5565</v>
      </c>
      <c r="H1946" s="20" t="s">
        <v>5131</v>
      </c>
      <c r="I1946" s="15">
        <v>1</v>
      </c>
      <c r="J1946" s="15" t="s">
        <v>24</v>
      </c>
      <c r="K1946" s="15"/>
      <c r="L1946" s="21" t="s">
        <v>16</v>
      </c>
      <c r="M1946" s="22">
        <v>0</v>
      </c>
      <c r="N1946" s="22">
        <v>0</v>
      </c>
      <c r="O1946" s="22">
        <v>7200</v>
      </c>
      <c r="P1946" s="22">
        <v>7200</v>
      </c>
      <c r="Q1946" t="str" cm="1">
        <f t="array" ref="Q1946">_xlfn.TEXTJOIN("、",TRUE,IF('學員資料-三民高中'!$B$2:$B$454=$F1946,'學員資料-三民高中'!$G$2:$G$454,""))</f>
        <v/>
      </c>
      <c r="R1946" t="str" cm="1">
        <f t="array" ref="R1946">_xlfn.TEXTJOIN("、",TRUE,IF('學員資料-新北高中'!$B$2:$B$583=$F1946,'學員資料-新北高中'!$G$2:$G$583,""))</f>
        <v>0952260875</v>
      </c>
      <c r="S1946" t="str" cm="1">
        <f t="array" ref="S1946">_xlfn.TEXTJOIN("、",TRUE,IF('學員資料-三重商工'!$B$2:$B$472=$F1946,'學員資料-三重商工'!$G$2:$G$472,""))</f>
        <v/>
      </c>
      <c r="T1946">
        <f t="shared" si="30"/>
        <v>1</v>
      </c>
    </row>
    <row r="1947" spans="1:20" ht="14.25" hidden="1" customHeight="1">
      <c r="A1947" s="15">
        <v>1946</v>
      </c>
      <c r="B1947" s="16" t="s">
        <v>6036</v>
      </c>
      <c r="C1947" s="17">
        <v>45560</v>
      </c>
      <c r="D1947" s="15" t="s">
        <v>6037</v>
      </c>
      <c r="E1947" s="18" t="s">
        <v>954</v>
      </c>
      <c r="F1947" s="19" t="s">
        <v>5370</v>
      </c>
      <c r="G1947" s="18" t="s">
        <v>5371</v>
      </c>
      <c r="H1947" s="20" t="s">
        <v>5211</v>
      </c>
      <c r="I1947" s="15">
        <v>1</v>
      </c>
      <c r="J1947" s="15" t="s">
        <v>26</v>
      </c>
      <c r="K1947" s="15"/>
      <c r="L1947" s="21" t="s">
        <v>16</v>
      </c>
      <c r="M1947" s="22">
        <v>0</v>
      </c>
      <c r="N1947" s="22">
        <v>-4320</v>
      </c>
      <c r="O1947" s="22">
        <v>6480</v>
      </c>
      <c r="P1947" s="22">
        <v>6480</v>
      </c>
      <c r="Q1947" t="str" cm="1">
        <f t="array" ref="Q1947">_xlfn.TEXTJOIN("、",TRUE,IF('學員資料-三民高中'!$B$2:$B$454=$F1947,'學員資料-三民高中'!$G$2:$G$454,""))</f>
        <v/>
      </c>
      <c r="R1947" t="str" cm="1">
        <f t="array" ref="R1947">_xlfn.TEXTJOIN("、",TRUE,IF('學員資料-新北高中'!$B$2:$B$583=$F1947,'學員資料-新北高中'!$G$2:$G$583,""))</f>
        <v>0922989892</v>
      </c>
      <c r="S1947" t="str" cm="1">
        <f t="array" ref="S1947">_xlfn.TEXTJOIN("、",TRUE,IF('學員資料-三重商工'!$B$2:$B$472=$F1947,'學員資料-三重商工'!$G$2:$G$472,""))</f>
        <v/>
      </c>
      <c r="T1947">
        <f t="shared" si="30"/>
        <v>1</v>
      </c>
    </row>
    <row r="1948" spans="1:20" ht="14.25" hidden="1" customHeight="1">
      <c r="A1948" s="15">
        <v>1947</v>
      </c>
      <c r="B1948" s="16" t="s">
        <v>6038</v>
      </c>
      <c r="C1948" s="17">
        <v>45560</v>
      </c>
      <c r="D1948" s="15" t="s">
        <v>6039</v>
      </c>
      <c r="E1948" s="18" t="s">
        <v>954</v>
      </c>
      <c r="F1948" s="19" t="s">
        <v>6040</v>
      </c>
      <c r="G1948" s="18" t="s">
        <v>6041</v>
      </c>
      <c r="H1948" s="20" t="s">
        <v>5163</v>
      </c>
      <c r="I1948" s="15">
        <v>1</v>
      </c>
      <c r="J1948" s="15" t="s">
        <v>23</v>
      </c>
      <c r="K1948" s="15"/>
      <c r="L1948" s="21" t="s">
        <v>16</v>
      </c>
      <c r="M1948" s="22">
        <v>0</v>
      </c>
      <c r="N1948" s="22">
        <v>-792</v>
      </c>
      <c r="O1948" s="22">
        <v>5808</v>
      </c>
      <c r="P1948" s="22">
        <v>5808</v>
      </c>
      <c r="Q1948" t="str" cm="1">
        <f t="array" ref="Q1948">_xlfn.TEXTJOIN("、",TRUE,IF('學員資料-三民高中'!$B$2:$B$454=$F1948,'學員資料-三民高中'!$G$2:$G$454,""))</f>
        <v/>
      </c>
      <c r="R1948" t="str" cm="1">
        <f t="array" ref="R1948">_xlfn.TEXTJOIN("、",TRUE,IF('學員資料-新北高中'!$B$2:$B$583=$F1948,'學員資料-新北高中'!$G$2:$G$583,""))</f>
        <v>0910000000</v>
      </c>
      <c r="S1948" t="str" cm="1">
        <f t="array" ref="S1948">_xlfn.TEXTJOIN("、",TRUE,IF('學員資料-三重商工'!$B$2:$B$472=$F1948,'學員資料-三重商工'!$G$2:$G$472,""))</f>
        <v/>
      </c>
      <c r="T1948">
        <f t="shared" si="30"/>
        <v>1</v>
      </c>
    </row>
    <row r="1949" spans="1:20" ht="14.25" hidden="1" customHeight="1">
      <c r="A1949" s="15">
        <v>1948</v>
      </c>
      <c r="B1949" s="16" t="s">
        <v>6042</v>
      </c>
      <c r="C1949" s="17">
        <v>45557</v>
      </c>
      <c r="D1949" s="15" t="s">
        <v>6043</v>
      </c>
      <c r="E1949" s="18" t="s">
        <v>954</v>
      </c>
      <c r="F1949" s="19" t="s">
        <v>5322</v>
      </c>
      <c r="G1949" s="18" t="s">
        <v>5323</v>
      </c>
      <c r="H1949" s="20" t="s">
        <v>5163</v>
      </c>
      <c r="I1949" s="15">
        <v>1</v>
      </c>
      <c r="J1949" s="15" t="s">
        <v>23</v>
      </c>
      <c r="K1949" s="15"/>
      <c r="L1949" s="21" t="s">
        <v>16</v>
      </c>
      <c r="M1949" s="22">
        <v>0</v>
      </c>
      <c r="N1949" s="22">
        <v>0</v>
      </c>
      <c r="O1949" s="22">
        <v>6600</v>
      </c>
      <c r="P1949" s="22">
        <v>6600</v>
      </c>
      <c r="Q1949" t="str" cm="1">
        <f t="array" ref="Q1949">_xlfn.TEXTJOIN("、",TRUE,IF('學員資料-三民高中'!$B$2:$B$454=$F1949,'學員資料-三民高中'!$G$2:$G$454,""))</f>
        <v>0972508298</v>
      </c>
      <c r="R1949" t="str" cm="1">
        <f t="array" ref="R1949">_xlfn.TEXTJOIN("、",TRUE,IF('學員資料-新北高中'!$B$2:$B$583=$F1949,'學員資料-新北高中'!$G$2:$G$583,""))</f>
        <v/>
      </c>
      <c r="S1949" t="str" cm="1">
        <f t="array" ref="S1949">_xlfn.TEXTJOIN("、",TRUE,IF('學員資料-三重商工'!$B$2:$B$472=$F1949,'學員資料-三重商工'!$G$2:$G$472,""))</f>
        <v/>
      </c>
      <c r="T1949">
        <f t="shared" si="30"/>
        <v>1</v>
      </c>
    </row>
    <row r="1950" spans="1:20" ht="14.25" hidden="1" customHeight="1">
      <c r="A1950" s="15">
        <v>1949</v>
      </c>
      <c r="B1950" s="16" t="s">
        <v>6044</v>
      </c>
      <c r="C1950" s="17">
        <v>45557</v>
      </c>
      <c r="D1950" s="15" t="s">
        <v>6045</v>
      </c>
      <c r="E1950" s="18" t="s">
        <v>954</v>
      </c>
      <c r="F1950" s="19" t="s">
        <v>5178</v>
      </c>
      <c r="G1950" s="18" t="s">
        <v>5179</v>
      </c>
      <c r="H1950" s="20" t="s">
        <v>5180</v>
      </c>
      <c r="I1950" s="15">
        <v>1</v>
      </c>
      <c r="J1950" s="15" t="s">
        <v>24</v>
      </c>
      <c r="K1950" s="15"/>
      <c r="L1950" s="21" t="s">
        <v>16</v>
      </c>
      <c r="M1950" s="22">
        <v>0</v>
      </c>
      <c r="N1950" s="22">
        <v>0</v>
      </c>
      <c r="O1950" s="22">
        <v>8640</v>
      </c>
      <c r="P1950" s="22">
        <v>8640</v>
      </c>
      <c r="Q1950" t="str" cm="1">
        <f t="array" ref="Q1950">_xlfn.TEXTJOIN("、",TRUE,IF('學員資料-三民高中'!$B$2:$B$454=$F1950,'學員資料-三民高中'!$G$2:$G$454,""))</f>
        <v/>
      </c>
      <c r="R1950" t="str" cm="1">
        <f t="array" ref="R1950">_xlfn.TEXTJOIN("、",TRUE,IF('學員資料-新北高中'!$B$2:$B$583=$F1950,'學員資料-新北高中'!$G$2:$G$583,""))</f>
        <v/>
      </c>
      <c r="S1950" t="str" cm="1">
        <f t="array" ref="S1950">_xlfn.TEXTJOIN("、",TRUE,IF('學員資料-三重商工'!$B$2:$B$472=$F1950,'學員資料-三重商工'!$G$2:$G$472,""))</f>
        <v>0983628635</v>
      </c>
      <c r="T1950">
        <f t="shared" si="30"/>
        <v>1</v>
      </c>
    </row>
    <row r="1951" spans="1:20" ht="14.25" hidden="1" customHeight="1">
      <c r="A1951" s="15">
        <v>1950</v>
      </c>
      <c r="B1951" s="16" t="s">
        <v>6046</v>
      </c>
      <c r="C1951" s="17">
        <v>45556</v>
      </c>
      <c r="D1951" s="15" t="s">
        <v>6047</v>
      </c>
      <c r="E1951" s="18" t="s">
        <v>954</v>
      </c>
      <c r="F1951" s="19" t="s">
        <v>1335</v>
      </c>
      <c r="G1951" s="18" t="s">
        <v>1336</v>
      </c>
      <c r="H1951" s="20" t="s">
        <v>5163</v>
      </c>
      <c r="I1951" s="15">
        <v>1</v>
      </c>
      <c r="J1951" s="15" t="s">
        <v>23</v>
      </c>
      <c r="K1951" s="15"/>
      <c r="L1951" s="21" t="s">
        <v>16</v>
      </c>
      <c r="M1951" s="22">
        <v>0</v>
      </c>
      <c r="N1951" s="22">
        <v>0</v>
      </c>
      <c r="O1951" s="22">
        <v>6600</v>
      </c>
      <c r="P1951" s="22">
        <v>6600</v>
      </c>
      <c r="Q1951" t="str" cm="1">
        <f t="array" ref="Q1951">_xlfn.TEXTJOIN("、",TRUE,IF('學員資料-三民高中'!$B$2:$B$454=$F1951,'學員資料-三民高中'!$G$2:$G$454,""))</f>
        <v/>
      </c>
      <c r="R1951" t="str" cm="1">
        <f t="array" ref="R1951">_xlfn.TEXTJOIN("、",TRUE,IF('學員資料-新北高中'!$B$2:$B$583=$F1951,'學員資料-新北高中'!$G$2:$G$583,""))</f>
        <v/>
      </c>
      <c r="S1951" t="str" cm="1">
        <f t="array" ref="S1951">_xlfn.TEXTJOIN("、",TRUE,IF('學員資料-三重商工'!$B$2:$B$472=$F1951,'學員資料-三重商工'!$G$2:$G$472,""))</f>
        <v>0932625033</v>
      </c>
      <c r="T1951">
        <f t="shared" si="30"/>
        <v>1</v>
      </c>
    </row>
    <row r="1952" spans="1:20" ht="14.25" hidden="1" customHeight="1">
      <c r="A1952" s="15">
        <v>1951</v>
      </c>
      <c r="B1952" s="16" t="s">
        <v>6048</v>
      </c>
      <c r="C1952" s="17">
        <v>45556</v>
      </c>
      <c r="D1952" s="15" t="s">
        <v>6049</v>
      </c>
      <c r="E1952" s="18" t="s">
        <v>954</v>
      </c>
      <c r="F1952" s="19" t="s">
        <v>554</v>
      </c>
      <c r="G1952" s="18" t="s">
        <v>555</v>
      </c>
      <c r="H1952" s="20" t="s">
        <v>5180</v>
      </c>
      <c r="I1952" s="15">
        <v>1</v>
      </c>
      <c r="J1952" s="15" t="s">
        <v>24</v>
      </c>
      <c r="K1952" s="15"/>
      <c r="L1952" s="21" t="s">
        <v>16</v>
      </c>
      <c r="M1952" s="22">
        <v>0</v>
      </c>
      <c r="N1952" s="22">
        <v>0</v>
      </c>
      <c r="O1952" s="22">
        <v>8640</v>
      </c>
      <c r="P1952" s="22">
        <v>8640</v>
      </c>
      <c r="Q1952" t="str" cm="1">
        <f t="array" ref="Q1952">_xlfn.TEXTJOIN("、",TRUE,IF('學員資料-三民高中'!$B$2:$B$454=$F1952,'學員資料-三民高中'!$G$2:$G$454,""))</f>
        <v/>
      </c>
      <c r="R1952" t="str" cm="1">
        <f t="array" ref="R1952">_xlfn.TEXTJOIN("、",TRUE,IF('學員資料-新北高中'!$B$2:$B$583=$F1952,'學員資料-新北高中'!$G$2:$G$583,""))</f>
        <v>0958920567</v>
      </c>
      <c r="S1952" t="str" cm="1">
        <f t="array" ref="S1952">_xlfn.TEXTJOIN("、",TRUE,IF('學員資料-三重商工'!$B$2:$B$472=$F1952,'學員資料-三重商工'!$G$2:$G$472,""))</f>
        <v/>
      </c>
      <c r="T1952">
        <f t="shared" si="30"/>
        <v>1</v>
      </c>
    </row>
    <row r="1953" spans="1:20" ht="14.25" hidden="1" customHeight="1">
      <c r="A1953" s="15">
        <v>1952</v>
      </c>
      <c r="B1953" s="16" t="s">
        <v>6050</v>
      </c>
      <c r="C1953" s="17">
        <v>45556</v>
      </c>
      <c r="D1953" s="15" t="s">
        <v>6051</v>
      </c>
      <c r="E1953" s="18" t="s">
        <v>954</v>
      </c>
      <c r="F1953" s="19" t="s">
        <v>2090</v>
      </c>
      <c r="G1953" s="18" t="s">
        <v>2091</v>
      </c>
      <c r="H1953" s="20" t="s">
        <v>5163</v>
      </c>
      <c r="I1953" s="15">
        <v>1</v>
      </c>
      <c r="J1953" s="15" t="s">
        <v>23</v>
      </c>
      <c r="K1953" s="15"/>
      <c r="L1953" s="21" t="s">
        <v>16</v>
      </c>
      <c r="M1953" s="22">
        <v>0</v>
      </c>
      <c r="N1953" s="22">
        <v>0</v>
      </c>
      <c r="O1953" s="22">
        <v>6600</v>
      </c>
      <c r="P1953" s="22">
        <v>6600</v>
      </c>
      <c r="Q1953" t="str" cm="1">
        <f t="array" ref="Q1953">_xlfn.TEXTJOIN("、",TRUE,IF('學員資料-三民高中'!$B$2:$B$454=$F1953,'學員資料-三民高中'!$G$2:$G$454,""))</f>
        <v/>
      </c>
      <c r="R1953" t="str" cm="1">
        <f t="array" ref="R1953">_xlfn.TEXTJOIN("、",TRUE,IF('學員資料-新北高中'!$B$2:$B$583=$F1953,'學員資料-新北高中'!$G$2:$G$583,""))</f>
        <v/>
      </c>
      <c r="S1953" t="str" cm="1">
        <f t="array" ref="S1953">_xlfn.TEXTJOIN("、",TRUE,IF('學員資料-三重商工'!$B$2:$B$472=$F1953,'學員資料-三重商工'!$G$2:$G$472,""))</f>
        <v>0926740107</v>
      </c>
      <c r="T1953">
        <f t="shared" si="30"/>
        <v>1</v>
      </c>
    </row>
    <row r="1954" spans="1:20" ht="43.5" hidden="1" customHeight="1">
      <c r="A1954" s="15">
        <v>1953</v>
      </c>
      <c r="B1954" s="16" t="s">
        <v>6052</v>
      </c>
      <c r="C1954" s="17">
        <v>45554</v>
      </c>
      <c r="D1954" s="15" t="s">
        <v>6053</v>
      </c>
      <c r="E1954" s="18" t="s">
        <v>954</v>
      </c>
      <c r="F1954" s="19" t="s">
        <v>6054</v>
      </c>
      <c r="G1954" s="18" t="s">
        <v>6055</v>
      </c>
      <c r="H1954" s="20" t="s">
        <v>5157</v>
      </c>
      <c r="I1954" s="15">
        <v>3</v>
      </c>
      <c r="J1954" s="15" t="s">
        <v>23</v>
      </c>
      <c r="K1954" s="15"/>
      <c r="L1954" s="21" t="s">
        <v>16</v>
      </c>
      <c r="M1954" s="22">
        <v>0</v>
      </c>
      <c r="N1954" s="22">
        <v>0</v>
      </c>
      <c r="O1954" s="22">
        <v>19800</v>
      </c>
      <c r="P1954" s="22">
        <v>19800</v>
      </c>
      <c r="Q1954" t="str" cm="1">
        <f t="array" ref="Q1954">_xlfn.TEXTJOIN("、",TRUE,IF('學員資料-三民高中'!$B$2:$B$454=$F1954,'學員資料-三民高中'!$G$2:$G$454,""))</f>
        <v/>
      </c>
      <c r="R1954" t="str" cm="1">
        <f t="array" ref="R1954">_xlfn.TEXTJOIN("、",TRUE,IF('學員資料-新北高中'!$B$2:$B$583=$F1954,'學員資料-新北高中'!$G$2:$G$583,""))</f>
        <v/>
      </c>
      <c r="S1954" t="str" cm="1">
        <f t="array" ref="S1954">_xlfn.TEXTJOIN("、",TRUE,IF('學員資料-三重商工'!$B$2:$B$472=$F1954,'學員資料-三重商工'!$G$2:$G$472,""))</f>
        <v>0933229999</v>
      </c>
      <c r="T1954">
        <f t="shared" si="30"/>
        <v>1</v>
      </c>
    </row>
    <row r="1955" spans="1:20" ht="14.25" hidden="1" customHeight="1">
      <c r="A1955" s="15">
        <v>1954</v>
      </c>
      <c r="B1955" s="16" t="s">
        <v>6056</v>
      </c>
      <c r="C1955" s="17">
        <v>45551</v>
      </c>
      <c r="D1955" s="15" t="s">
        <v>6057</v>
      </c>
      <c r="E1955" s="18" t="s">
        <v>954</v>
      </c>
      <c r="F1955" s="19" t="s">
        <v>5407</v>
      </c>
      <c r="G1955" s="18" t="s">
        <v>5408</v>
      </c>
      <c r="H1955" s="20" t="s">
        <v>5163</v>
      </c>
      <c r="I1955" s="15">
        <v>1</v>
      </c>
      <c r="J1955" s="15" t="s">
        <v>23</v>
      </c>
      <c r="K1955" s="15"/>
      <c r="L1955" s="21" t="s">
        <v>16</v>
      </c>
      <c r="M1955" s="22">
        <v>0</v>
      </c>
      <c r="N1955" s="22">
        <v>0</v>
      </c>
      <c r="O1955" s="22">
        <v>6600</v>
      </c>
      <c r="P1955" s="22">
        <v>6600</v>
      </c>
      <c r="Q1955" t="str" cm="1">
        <f t="array" ref="Q1955">_xlfn.TEXTJOIN("、",TRUE,IF('學員資料-三民高中'!$B$2:$B$454=$F1955,'學員資料-三民高中'!$G$2:$G$454,""))</f>
        <v/>
      </c>
      <c r="R1955" t="str" cm="1">
        <f t="array" ref="R1955">_xlfn.TEXTJOIN("、",TRUE,IF('學員資料-新北高中'!$B$2:$B$583=$F1955,'學員資料-新北高中'!$G$2:$G$583,""))</f>
        <v>0932460372</v>
      </c>
      <c r="S1955" t="str" cm="1">
        <f t="array" ref="S1955">_xlfn.TEXTJOIN("、",TRUE,IF('學員資料-三重商工'!$B$2:$B$472=$F1955,'學員資料-三重商工'!$G$2:$G$472,""))</f>
        <v/>
      </c>
      <c r="T1955">
        <f t="shared" si="30"/>
        <v>1</v>
      </c>
    </row>
    <row r="1956" spans="1:20" ht="14.25" hidden="1" customHeight="1">
      <c r="A1956" s="15">
        <v>1955</v>
      </c>
      <c r="B1956" s="16" t="s">
        <v>6058</v>
      </c>
      <c r="C1956" s="17">
        <v>45550</v>
      </c>
      <c r="D1956" s="15" t="s">
        <v>6059</v>
      </c>
      <c r="E1956" s="18" t="s">
        <v>954</v>
      </c>
      <c r="F1956" s="19" t="s">
        <v>304</v>
      </c>
      <c r="G1956" s="18" t="s">
        <v>305</v>
      </c>
      <c r="H1956" s="20" t="s">
        <v>5131</v>
      </c>
      <c r="I1956" s="15">
        <v>1</v>
      </c>
      <c r="J1956" s="15" t="s">
        <v>24</v>
      </c>
      <c r="K1956" s="15"/>
      <c r="L1956" s="21" t="s">
        <v>16</v>
      </c>
      <c r="M1956" s="22">
        <v>0</v>
      </c>
      <c r="N1956" s="22">
        <v>0</v>
      </c>
      <c r="O1956" s="22">
        <v>7200</v>
      </c>
      <c r="P1956" s="22">
        <v>7200</v>
      </c>
      <c r="Q1956" t="str" cm="1">
        <f t="array" ref="Q1956">_xlfn.TEXTJOIN("、",TRUE,IF('學員資料-三民高中'!$B$2:$B$454=$F1956,'學員資料-三民高中'!$G$2:$G$454,""))</f>
        <v>0956558987</v>
      </c>
      <c r="R1956" t="str" cm="1">
        <f t="array" ref="R1956">_xlfn.TEXTJOIN("、",TRUE,IF('學員資料-新北高中'!$B$2:$B$583=$F1956,'學員資料-新北高中'!$G$2:$G$583,""))</f>
        <v/>
      </c>
      <c r="S1956" t="str" cm="1">
        <f t="array" ref="S1956">_xlfn.TEXTJOIN("、",TRUE,IF('學員資料-三重商工'!$B$2:$B$472=$F1956,'學員資料-三重商工'!$G$2:$G$472,""))</f>
        <v/>
      </c>
      <c r="T1956">
        <f t="shared" si="30"/>
        <v>1</v>
      </c>
    </row>
    <row r="1957" spans="1:20" ht="14.25" hidden="1" customHeight="1">
      <c r="A1957" s="15">
        <v>1956</v>
      </c>
      <c r="B1957" s="16" t="s">
        <v>6060</v>
      </c>
      <c r="C1957" s="17">
        <v>45550</v>
      </c>
      <c r="D1957" s="15" t="s">
        <v>6061</v>
      </c>
      <c r="E1957" s="18" t="s">
        <v>954</v>
      </c>
      <c r="F1957" s="19" t="s">
        <v>550</v>
      </c>
      <c r="G1957" s="18" t="s">
        <v>551</v>
      </c>
      <c r="H1957" s="20" t="s">
        <v>5163</v>
      </c>
      <c r="I1957" s="15">
        <v>1</v>
      </c>
      <c r="J1957" s="15" t="s">
        <v>23</v>
      </c>
      <c r="K1957" s="15"/>
      <c r="L1957" s="21" t="s">
        <v>16</v>
      </c>
      <c r="M1957" s="22">
        <v>0</v>
      </c>
      <c r="N1957" s="22">
        <v>0</v>
      </c>
      <c r="O1957" s="22">
        <v>6600</v>
      </c>
      <c r="P1957" s="22">
        <v>6600</v>
      </c>
      <c r="Q1957" t="str" cm="1">
        <f t="array" ref="Q1957">_xlfn.TEXTJOIN("、",TRUE,IF('學員資料-三民高中'!$B$2:$B$454=$F1957,'學員資料-三民高中'!$G$2:$G$454,""))</f>
        <v/>
      </c>
      <c r="R1957" t="str" cm="1">
        <f t="array" ref="R1957">_xlfn.TEXTJOIN("、",TRUE,IF('學員資料-新北高中'!$B$2:$B$583=$F1957,'學員資料-新北高中'!$G$2:$G$583,""))</f>
        <v/>
      </c>
      <c r="S1957" t="str" cm="1">
        <f t="array" ref="S1957">_xlfn.TEXTJOIN("、",TRUE,IF('學員資料-三重商工'!$B$2:$B$472=$F1957,'學員資料-三重商工'!$G$2:$G$472,""))</f>
        <v>0933037462</v>
      </c>
      <c r="T1957">
        <f t="shared" si="30"/>
        <v>1</v>
      </c>
    </row>
    <row r="1958" spans="1:20" ht="14.25" hidden="1" customHeight="1">
      <c r="A1958" s="15">
        <v>1957</v>
      </c>
      <c r="B1958" s="16" t="s">
        <v>6062</v>
      </c>
      <c r="C1958" s="17">
        <v>45550</v>
      </c>
      <c r="D1958" s="15" t="s">
        <v>6063</v>
      </c>
      <c r="E1958" s="18" t="s">
        <v>954</v>
      </c>
      <c r="F1958" s="19" t="s">
        <v>4215</v>
      </c>
      <c r="G1958" s="18" t="s">
        <v>4216</v>
      </c>
      <c r="H1958" s="20" t="s">
        <v>5131</v>
      </c>
      <c r="I1958" s="15">
        <v>1</v>
      </c>
      <c r="J1958" s="15" t="s">
        <v>24</v>
      </c>
      <c r="K1958" s="15"/>
      <c r="L1958" s="21" t="s">
        <v>16</v>
      </c>
      <c r="M1958" s="22">
        <v>0</v>
      </c>
      <c r="N1958" s="22">
        <v>0</v>
      </c>
      <c r="O1958" s="22">
        <v>7200</v>
      </c>
      <c r="P1958" s="22">
        <v>7200</v>
      </c>
      <c r="Q1958" t="str" cm="1">
        <f t="array" ref="Q1958">_xlfn.TEXTJOIN("、",TRUE,IF('學員資料-三民高中'!$B$2:$B$454=$F1958,'學員資料-三民高中'!$G$2:$G$454,""))</f>
        <v/>
      </c>
      <c r="R1958" t="str" cm="1">
        <f t="array" ref="R1958">_xlfn.TEXTJOIN("、",TRUE,IF('學員資料-新北高中'!$B$2:$B$583=$F1958,'學員資料-新北高中'!$G$2:$G$583,""))</f>
        <v/>
      </c>
      <c r="S1958" t="str" cm="1">
        <f t="array" ref="S1958">_xlfn.TEXTJOIN("、",TRUE,IF('學員資料-三重商工'!$B$2:$B$472=$F1958,'學員資料-三重商工'!$G$2:$G$472,""))</f>
        <v>0934074923</v>
      </c>
      <c r="T1958">
        <f t="shared" si="30"/>
        <v>1</v>
      </c>
    </row>
    <row r="1959" spans="1:20" ht="14.25" hidden="1" customHeight="1">
      <c r="A1959" s="15">
        <v>1958</v>
      </c>
      <c r="B1959" s="16" t="s">
        <v>6064</v>
      </c>
      <c r="C1959" s="17">
        <v>45549</v>
      </c>
      <c r="D1959" s="15" t="s">
        <v>6065</v>
      </c>
      <c r="E1959" s="18" t="s">
        <v>954</v>
      </c>
      <c r="F1959" s="19" t="s">
        <v>6066</v>
      </c>
      <c r="G1959" s="18" t="s">
        <v>6067</v>
      </c>
      <c r="H1959" s="20" t="s">
        <v>5131</v>
      </c>
      <c r="I1959" s="15">
        <v>1</v>
      </c>
      <c r="J1959" s="15" t="s">
        <v>24</v>
      </c>
      <c r="K1959" s="15"/>
      <c r="L1959" s="21" t="s">
        <v>16</v>
      </c>
      <c r="M1959" s="22">
        <v>0</v>
      </c>
      <c r="N1959" s="22">
        <v>0</v>
      </c>
      <c r="O1959" s="22">
        <v>7200</v>
      </c>
      <c r="P1959" s="22">
        <v>7200</v>
      </c>
      <c r="Q1959" t="str" cm="1">
        <f t="array" ref="Q1959">_xlfn.TEXTJOIN("、",TRUE,IF('學員資料-三民高中'!$B$2:$B$454=$F1959,'學員資料-三民高中'!$G$2:$G$454,""))</f>
        <v/>
      </c>
      <c r="R1959" t="str" cm="1">
        <f t="array" ref="R1959">_xlfn.TEXTJOIN("、",TRUE,IF('學員資料-新北高中'!$B$2:$B$583=$F1959,'學員資料-新北高中'!$G$2:$G$583,""))</f>
        <v>0916023383</v>
      </c>
      <c r="S1959" t="str" cm="1">
        <f t="array" ref="S1959">_xlfn.TEXTJOIN("、",TRUE,IF('學員資料-三重商工'!$B$2:$B$472=$F1959,'學員資料-三重商工'!$G$2:$G$472,""))</f>
        <v/>
      </c>
      <c r="T1959">
        <f t="shared" si="30"/>
        <v>1</v>
      </c>
    </row>
    <row r="1960" spans="1:20" ht="14.25" hidden="1" customHeight="1">
      <c r="A1960" s="15">
        <v>1959</v>
      </c>
      <c r="B1960" s="16" t="s">
        <v>6068</v>
      </c>
      <c r="C1960" s="17">
        <v>45548</v>
      </c>
      <c r="D1960" s="15" t="s">
        <v>6069</v>
      </c>
      <c r="E1960" s="18" t="s">
        <v>954</v>
      </c>
      <c r="F1960" s="19" t="s">
        <v>6070</v>
      </c>
      <c r="G1960" s="18" t="s">
        <v>6071</v>
      </c>
      <c r="H1960" s="20" t="s">
        <v>5131</v>
      </c>
      <c r="I1960" s="15">
        <v>1</v>
      </c>
      <c r="J1960" s="15" t="s">
        <v>24</v>
      </c>
      <c r="K1960" s="15"/>
      <c r="L1960" s="21" t="s">
        <v>16</v>
      </c>
      <c r="M1960" s="22">
        <v>0</v>
      </c>
      <c r="N1960" s="22">
        <v>-720</v>
      </c>
      <c r="O1960" s="22">
        <v>6480</v>
      </c>
      <c r="P1960" s="22">
        <v>6480</v>
      </c>
      <c r="Q1960" t="str" cm="1">
        <f t="array" ref="Q1960">_xlfn.TEXTJOIN("、",TRUE,IF('學員資料-三民高中'!$B$2:$B$454=$F1960,'學員資料-三民高中'!$G$2:$G$454,""))</f>
        <v>0955845976</v>
      </c>
      <c r="R1960" t="str" cm="1">
        <f t="array" ref="R1960">_xlfn.TEXTJOIN("、",TRUE,IF('學員資料-新北高中'!$B$2:$B$583=$F1960,'學員資料-新北高中'!$G$2:$G$583,""))</f>
        <v/>
      </c>
      <c r="S1960" t="str" cm="1">
        <f t="array" ref="S1960">_xlfn.TEXTJOIN("、",TRUE,IF('學員資料-三重商工'!$B$2:$B$472=$F1960,'學員資料-三重商工'!$G$2:$G$472,""))</f>
        <v/>
      </c>
      <c r="T1960">
        <f t="shared" si="30"/>
        <v>1</v>
      </c>
    </row>
    <row r="1961" spans="1:20" ht="57.75" hidden="1" customHeight="1">
      <c r="A1961" s="15">
        <v>1960</v>
      </c>
      <c r="B1961" s="16" t="s">
        <v>6072</v>
      </c>
      <c r="C1961" s="17">
        <v>45547</v>
      </c>
      <c r="D1961" s="15" t="s">
        <v>6073</v>
      </c>
      <c r="E1961" s="18" t="s">
        <v>954</v>
      </c>
      <c r="F1961" s="19" t="s">
        <v>1847</v>
      </c>
      <c r="G1961" s="18" t="s">
        <v>1848</v>
      </c>
      <c r="H1961" s="20" t="s">
        <v>6074</v>
      </c>
      <c r="I1961" s="15">
        <v>4</v>
      </c>
      <c r="J1961" s="15" t="s">
        <v>23</v>
      </c>
      <c r="K1961" s="15"/>
      <c r="L1961" s="21" t="s">
        <v>16</v>
      </c>
      <c r="M1961" s="22">
        <v>0</v>
      </c>
      <c r="N1961" s="22">
        <v>-3600</v>
      </c>
      <c r="O1961" s="22">
        <v>32400</v>
      </c>
      <c r="P1961" s="22">
        <v>32400</v>
      </c>
      <c r="Q1961" t="str" cm="1">
        <f t="array" ref="Q1961">_xlfn.TEXTJOIN("、",TRUE,IF('學員資料-三民高中'!$B$2:$B$454=$F1961,'學員資料-三民高中'!$G$2:$G$454,""))</f>
        <v/>
      </c>
      <c r="R1961" t="str" cm="1">
        <f t="array" ref="R1961">_xlfn.TEXTJOIN("、",TRUE,IF('學員資料-新北高中'!$B$2:$B$583=$F1961,'學員資料-新北高中'!$G$2:$G$583,""))</f>
        <v>0955171617</v>
      </c>
      <c r="S1961" t="str" cm="1">
        <f t="array" ref="S1961">_xlfn.TEXTJOIN("、",TRUE,IF('學員資料-三重商工'!$B$2:$B$472=$F1961,'學員資料-三重商工'!$G$2:$G$472,""))</f>
        <v/>
      </c>
      <c r="T1961">
        <f t="shared" si="30"/>
        <v>1</v>
      </c>
    </row>
    <row r="1962" spans="1:20" ht="14.25" hidden="1" customHeight="1">
      <c r="A1962" s="15">
        <v>1961</v>
      </c>
      <c r="B1962" s="16" t="s">
        <v>6075</v>
      </c>
      <c r="C1962" s="17">
        <v>45547</v>
      </c>
      <c r="D1962" s="15" t="s">
        <v>6076</v>
      </c>
      <c r="E1962" s="18" t="s">
        <v>954</v>
      </c>
      <c r="F1962" s="19" t="s">
        <v>6077</v>
      </c>
      <c r="G1962" s="18" t="s">
        <v>6078</v>
      </c>
      <c r="H1962" s="20" t="s">
        <v>5131</v>
      </c>
      <c r="I1962" s="15">
        <v>1</v>
      </c>
      <c r="J1962" s="15" t="s">
        <v>24</v>
      </c>
      <c r="K1962" s="15"/>
      <c r="L1962" s="21" t="s">
        <v>16</v>
      </c>
      <c r="M1962" s="22">
        <v>0</v>
      </c>
      <c r="N1962" s="22">
        <v>-2880</v>
      </c>
      <c r="O1962" s="22">
        <v>4320</v>
      </c>
      <c r="P1962" s="22">
        <v>4320</v>
      </c>
      <c r="Q1962" t="str" cm="1">
        <f t="array" ref="Q1962">_xlfn.TEXTJOIN("、",TRUE,IF('學員資料-三民高中'!$B$2:$B$454=$F1962,'學員資料-三民高中'!$G$2:$G$454,""))</f>
        <v/>
      </c>
      <c r="R1962" t="str" cm="1">
        <f t="array" ref="R1962">_xlfn.TEXTJOIN("、",TRUE,IF('學員資料-新北高中'!$B$2:$B$583=$F1962,'學員資料-新北高中'!$G$2:$G$583,""))</f>
        <v>0976107080</v>
      </c>
      <c r="S1962" t="str" cm="1">
        <f t="array" ref="S1962">_xlfn.TEXTJOIN("、",TRUE,IF('學員資料-三重商工'!$B$2:$B$472=$F1962,'學員資料-三重商工'!$G$2:$G$472,""))</f>
        <v/>
      </c>
      <c r="T1962">
        <f t="shared" si="30"/>
        <v>1</v>
      </c>
    </row>
    <row r="1963" spans="1:20" ht="28.5" hidden="1" customHeight="1">
      <c r="A1963" s="15">
        <v>1962</v>
      </c>
      <c r="B1963" s="16" t="s">
        <v>6079</v>
      </c>
      <c r="C1963" s="17">
        <v>45547</v>
      </c>
      <c r="D1963" s="15" t="s">
        <v>6080</v>
      </c>
      <c r="E1963" s="18" t="s">
        <v>954</v>
      </c>
      <c r="F1963" s="19" t="s">
        <v>1512</v>
      </c>
      <c r="G1963" s="18" t="s">
        <v>1513</v>
      </c>
      <c r="H1963" s="20" t="s">
        <v>5154</v>
      </c>
      <c r="I1963" s="15">
        <v>2</v>
      </c>
      <c r="J1963" s="15" t="s">
        <v>24</v>
      </c>
      <c r="K1963" s="15"/>
      <c r="L1963" s="21" t="s">
        <v>16</v>
      </c>
      <c r="M1963" s="22">
        <v>0</v>
      </c>
      <c r="N1963" s="22">
        <v>0</v>
      </c>
      <c r="O1963" s="22">
        <v>14400</v>
      </c>
      <c r="P1963" s="22">
        <v>14400</v>
      </c>
      <c r="Q1963" t="str" cm="1">
        <f t="array" ref="Q1963">_xlfn.TEXTJOIN("、",TRUE,IF('學員資料-三民高中'!$B$2:$B$454=$F1963,'學員資料-三民高中'!$G$2:$G$454,""))</f>
        <v/>
      </c>
      <c r="R1963" t="str" cm="1">
        <f t="array" ref="R1963">_xlfn.TEXTJOIN("、",TRUE,IF('學員資料-新北高中'!$B$2:$B$583=$F1963,'學員資料-新北高中'!$G$2:$G$583,""))</f>
        <v/>
      </c>
      <c r="S1963" t="str" cm="1">
        <f t="array" ref="S1963">_xlfn.TEXTJOIN("、",TRUE,IF('學員資料-三重商工'!$B$2:$B$472=$F1963,'學員資料-三重商工'!$G$2:$G$472,""))</f>
        <v>0980018580</v>
      </c>
      <c r="T1963">
        <f t="shared" si="30"/>
        <v>1</v>
      </c>
    </row>
    <row r="1964" spans="1:20" ht="14.25" hidden="1" customHeight="1">
      <c r="A1964" s="15">
        <v>1963</v>
      </c>
      <c r="B1964" s="16" t="s">
        <v>6081</v>
      </c>
      <c r="C1964" s="17">
        <v>45547</v>
      </c>
      <c r="D1964" s="15" t="s">
        <v>6082</v>
      </c>
      <c r="E1964" s="18" t="s">
        <v>954</v>
      </c>
      <c r="F1964" s="19" t="s">
        <v>6083</v>
      </c>
      <c r="G1964" s="18" t="s">
        <v>6084</v>
      </c>
      <c r="H1964" s="20" t="s">
        <v>5148</v>
      </c>
      <c r="I1964" s="15">
        <v>1</v>
      </c>
      <c r="J1964" s="15" t="s">
        <v>25</v>
      </c>
      <c r="K1964" s="15"/>
      <c r="L1964" s="21" t="s">
        <v>16</v>
      </c>
      <c r="M1964" s="22">
        <v>0</v>
      </c>
      <c r="N1964" s="22">
        <v>0</v>
      </c>
      <c r="O1964" s="22">
        <v>9000</v>
      </c>
      <c r="P1964" s="22">
        <v>9000</v>
      </c>
      <c r="Q1964" t="str" cm="1">
        <f t="array" ref="Q1964">_xlfn.TEXTJOIN("、",TRUE,IF('學員資料-三民高中'!$B$2:$B$454=$F1964,'學員資料-三民高中'!$G$2:$G$454,""))</f>
        <v/>
      </c>
      <c r="R1964" t="str" cm="1">
        <f t="array" ref="R1964">_xlfn.TEXTJOIN("、",TRUE,IF('學員資料-新北高中'!$B$2:$B$583=$F1964,'學員資料-新北高中'!$G$2:$G$583,""))</f>
        <v>0900000111</v>
      </c>
      <c r="S1964" t="str" cm="1">
        <f t="array" ref="S1964">_xlfn.TEXTJOIN("、",TRUE,IF('學員資料-三重商工'!$B$2:$B$472=$F1964,'學員資料-三重商工'!$G$2:$G$472,""))</f>
        <v/>
      </c>
      <c r="T1964">
        <f t="shared" si="30"/>
        <v>1</v>
      </c>
    </row>
    <row r="1965" spans="1:20" ht="14.25" hidden="1" customHeight="1">
      <c r="A1965" s="15">
        <v>1964</v>
      </c>
      <c r="B1965" s="16" t="s">
        <v>6085</v>
      </c>
      <c r="C1965" s="17">
        <v>45547</v>
      </c>
      <c r="D1965" s="15" t="s">
        <v>6086</v>
      </c>
      <c r="E1965" s="18" t="s">
        <v>954</v>
      </c>
      <c r="F1965" s="19" t="s">
        <v>5072</v>
      </c>
      <c r="G1965" s="18" t="s">
        <v>5073</v>
      </c>
      <c r="H1965" s="20" t="s">
        <v>5148</v>
      </c>
      <c r="I1965" s="15">
        <v>1</v>
      </c>
      <c r="J1965" s="15" t="s">
        <v>25</v>
      </c>
      <c r="K1965" s="15"/>
      <c r="L1965" s="21" t="s">
        <v>16</v>
      </c>
      <c r="M1965" s="22">
        <v>0</v>
      </c>
      <c r="N1965" s="22">
        <v>0</v>
      </c>
      <c r="O1965" s="22">
        <v>9000</v>
      </c>
      <c r="P1965" s="22">
        <v>9000</v>
      </c>
      <c r="Q1965" t="str" cm="1">
        <f t="array" ref="Q1965">_xlfn.TEXTJOIN("、",TRUE,IF('學員資料-三民高中'!$B$2:$B$454=$F1965,'學員資料-三民高中'!$G$2:$G$454,""))</f>
        <v>0939237152</v>
      </c>
      <c r="R1965" t="str" cm="1">
        <f t="array" ref="R1965">_xlfn.TEXTJOIN("、",TRUE,IF('學員資料-新北高中'!$B$2:$B$583=$F1965,'學員資料-新北高中'!$G$2:$G$583,""))</f>
        <v/>
      </c>
      <c r="S1965" t="str" cm="1">
        <f t="array" ref="S1965">_xlfn.TEXTJOIN("、",TRUE,IF('學員資料-三重商工'!$B$2:$B$472=$F1965,'學員資料-三重商工'!$G$2:$G$472,""))</f>
        <v/>
      </c>
      <c r="T1965">
        <f t="shared" si="30"/>
        <v>1</v>
      </c>
    </row>
    <row r="1966" spans="1:20" ht="28.5" hidden="1" customHeight="1">
      <c r="A1966" s="15">
        <v>1965</v>
      </c>
      <c r="B1966" s="16" t="s">
        <v>6087</v>
      </c>
      <c r="C1966" s="17">
        <v>45546</v>
      </c>
      <c r="D1966" s="15" t="s">
        <v>6088</v>
      </c>
      <c r="E1966" s="18" t="s">
        <v>954</v>
      </c>
      <c r="F1966" s="19" t="s">
        <v>1811</v>
      </c>
      <c r="G1966" s="18" t="s">
        <v>1812</v>
      </c>
      <c r="H1966" s="20" t="s">
        <v>1985</v>
      </c>
      <c r="I1966" s="15">
        <v>2</v>
      </c>
      <c r="J1966" s="15" t="s">
        <v>23</v>
      </c>
      <c r="K1966" s="15"/>
      <c r="L1966" s="21" t="s">
        <v>16</v>
      </c>
      <c r="M1966" s="22">
        <v>0</v>
      </c>
      <c r="N1966" s="22">
        <v>-1800</v>
      </c>
      <c r="O1966" s="22">
        <v>16200</v>
      </c>
      <c r="P1966" s="22">
        <v>16200</v>
      </c>
      <c r="Q1966" t="str" cm="1">
        <f t="array" ref="Q1966">_xlfn.TEXTJOIN("、",TRUE,IF('學員資料-三民高中'!$B$2:$B$454=$F1966,'學員資料-三民高中'!$G$2:$G$454,""))</f>
        <v/>
      </c>
      <c r="R1966" t="str" cm="1">
        <f t="array" ref="R1966">_xlfn.TEXTJOIN("、",TRUE,IF('學員資料-新北高中'!$B$2:$B$583=$F1966,'學員資料-新北高中'!$G$2:$G$583,""))</f>
        <v>0921387692</v>
      </c>
      <c r="S1966" t="str" cm="1">
        <f t="array" ref="S1966">_xlfn.TEXTJOIN("、",TRUE,IF('學員資料-三重商工'!$B$2:$B$472=$F1966,'學員資料-三重商工'!$G$2:$G$472,""))</f>
        <v/>
      </c>
      <c r="T1966">
        <f t="shared" si="30"/>
        <v>1</v>
      </c>
    </row>
    <row r="1967" spans="1:20" ht="28.5" hidden="1" customHeight="1">
      <c r="A1967" s="15">
        <v>1966</v>
      </c>
      <c r="B1967" s="16" t="s">
        <v>6089</v>
      </c>
      <c r="C1967" s="17">
        <v>45546</v>
      </c>
      <c r="D1967" s="15" t="s">
        <v>6090</v>
      </c>
      <c r="E1967" s="18" t="s">
        <v>954</v>
      </c>
      <c r="F1967" s="19" t="s">
        <v>1819</v>
      </c>
      <c r="G1967" s="18" t="s">
        <v>1820</v>
      </c>
      <c r="H1967" s="20" t="s">
        <v>1838</v>
      </c>
      <c r="I1967" s="15">
        <v>2</v>
      </c>
      <c r="J1967" s="15" t="s">
        <v>24</v>
      </c>
      <c r="K1967" s="15"/>
      <c r="L1967" s="21" t="s">
        <v>16</v>
      </c>
      <c r="M1967" s="22">
        <v>0</v>
      </c>
      <c r="N1967" s="22">
        <v>-2160</v>
      </c>
      <c r="O1967" s="22">
        <v>19440</v>
      </c>
      <c r="P1967" s="22">
        <v>19440</v>
      </c>
      <c r="Q1967" t="str" cm="1">
        <f t="array" ref="Q1967">_xlfn.TEXTJOIN("、",TRUE,IF('學員資料-三民高中'!$B$2:$B$454=$F1967,'學員資料-三民高中'!$G$2:$G$454,""))</f>
        <v/>
      </c>
      <c r="R1967" t="str" cm="1">
        <f t="array" ref="R1967">_xlfn.TEXTJOIN("、",TRUE,IF('學員資料-新北高中'!$B$2:$B$583=$F1967,'學員資料-新北高中'!$G$2:$G$583,""))</f>
        <v>0958715328</v>
      </c>
      <c r="S1967" t="str" cm="1">
        <f t="array" ref="S1967">_xlfn.TEXTJOIN("、",TRUE,IF('學員資料-三重商工'!$B$2:$B$472=$F1967,'學員資料-三重商工'!$G$2:$G$472,""))</f>
        <v/>
      </c>
      <c r="T1967">
        <f t="shared" si="30"/>
        <v>1</v>
      </c>
    </row>
    <row r="1968" spans="1:20" ht="14.25" hidden="1" customHeight="1">
      <c r="A1968" s="15">
        <v>1967</v>
      </c>
      <c r="B1968" s="16" t="s">
        <v>6091</v>
      </c>
      <c r="C1968" s="17">
        <v>45546</v>
      </c>
      <c r="D1968" s="15" t="s">
        <v>6092</v>
      </c>
      <c r="E1968" s="18" t="s">
        <v>954</v>
      </c>
      <c r="F1968" s="19" t="s">
        <v>3313</v>
      </c>
      <c r="G1968" s="18" t="s">
        <v>3314</v>
      </c>
      <c r="H1968" s="20" t="s">
        <v>5163</v>
      </c>
      <c r="I1968" s="15">
        <v>1</v>
      </c>
      <c r="J1968" s="15" t="s">
        <v>23</v>
      </c>
      <c r="K1968" s="15"/>
      <c r="L1968" s="21" t="s">
        <v>16</v>
      </c>
      <c r="M1968" s="22">
        <v>0</v>
      </c>
      <c r="N1968" s="22">
        <v>0</v>
      </c>
      <c r="O1968" s="22">
        <v>6600</v>
      </c>
      <c r="P1968" s="22">
        <v>6600</v>
      </c>
      <c r="Q1968" t="str" cm="1">
        <f t="array" ref="Q1968">_xlfn.TEXTJOIN("、",TRUE,IF('學員資料-三民高中'!$B$2:$B$454=$F1968,'學員資料-三民高中'!$G$2:$G$454,""))</f>
        <v/>
      </c>
      <c r="R1968" t="str" cm="1">
        <f t="array" ref="R1968">_xlfn.TEXTJOIN("、",TRUE,IF('學員資料-新北高中'!$B$2:$B$583=$F1968,'學員資料-新北高中'!$G$2:$G$583,""))</f>
        <v/>
      </c>
      <c r="S1968" t="str" cm="1">
        <f t="array" ref="S1968">_xlfn.TEXTJOIN("、",TRUE,IF('學員資料-三重商工'!$B$2:$B$472=$F1968,'學員資料-三重商工'!$G$2:$G$472,""))</f>
        <v>0919501937.1</v>
      </c>
      <c r="T1968">
        <f t="shared" si="30"/>
        <v>1</v>
      </c>
    </row>
    <row r="1969" spans="1:20" ht="14.25" hidden="1" customHeight="1">
      <c r="A1969" s="15">
        <v>1968</v>
      </c>
      <c r="B1969" s="16" t="s">
        <v>6093</v>
      </c>
      <c r="C1969" s="17">
        <v>45546</v>
      </c>
      <c r="D1969" s="15" t="s">
        <v>6094</v>
      </c>
      <c r="E1969" s="18" t="s">
        <v>954</v>
      </c>
      <c r="F1969" s="19" t="s">
        <v>6095</v>
      </c>
      <c r="G1969" s="18" t="s">
        <v>6096</v>
      </c>
      <c r="H1969" s="20" t="s">
        <v>5246</v>
      </c>
      <c r="I1969" s="15">
        <v>1</v>
      </c>
      <c r="J1969" s="15" t="s">
        <v>23</v>
      </c>
      <c r="K1969" s="15"/>
      <c r="L1969" s="21" t="s">
        <v>16</v>
      </c>
      <c r="M1969" s="22">
        <v>0</v>
      </c>
      <c r="N1969" s="22">
        <v>-720</v>
      </c>
      <c r="O1969" s="22">
        <v>6480</v>
      </c>
      <c r="P1969" s="22">
        <v>6480</v>
      </c>
      <c r="Q1969" t="str" cm="1">
        <f t="array" ref="Q1969">_xlfn.TEXTJOIN("、",TRUE,IF('學員資料-三民高中'!$B$2:$B$454=$F1969,'學員資料-三民高中'!$G$2:$G$454,""))</f>
        <v>0920866498</v>
      </c>
      <c r="R1969" t="str" cm="1">
        <f t="array" ref="R1969">_xlfn.TEXTJOIN("、",TRUE,IF('學員資料-新北高中'!$B$2:$B$583=$F1969,'學員資料-新北高中'!$G$2:$G$583,""))</f>
        <v/>
      </c>
      <c r="S1969" t="str" cm="1">
        <f t="array" ref="S1969">_xlfn.TEXTJOIN("、",TRUE,IF('學員資料-三重商工'!$B$2:$B$472=$F1969,'學員資料-三重商工'!$G$2:$G$472,""))</f>
        <v/>
      </c>
      <c r="T1969">
        <f t="shared" si="30"/>
        <v>1</v>
      </c>
    </row>
    <row r="1970" spans="1:20" ht="14.25" hidden="1" customHeight="1">
      <c r="A1970" s="15">
        <v>1969</v>
      </c>
      <c r="B1970" s="16" t="s">
        <v>6097</v>
      </c>
      <c r="C1970" s="17">
        <v>45545</v>
      </c>
      <c r="D1970" s="15" t="s">
        <v>6098</v>
      </c>
      <c r="E1970" s="18" t="s">
        <v>954</v>
      </c>
      <c r="F1970" s="19" t="s">
        <v>4618</v>
      </c>
      <c r="G1970" s="18" t="s">
        <v>4619</v>
      </c>
      <c r="H1970" s="20" t="s">
        <v>5246</v>
      </c>
      <c r="I1970" s="15">
        <v>1</v>
      </c>
      <c r="J1970" s="15" t="s">
        <v>23</v>
      </c>
      <c r="K1970" s="15"/>
      <c r="L1970" s="21" t="s">
        <v>16</v>
      </c>
      <c r="M1970" s="22">
        <v>0</v>
      </c>
      <c r="N1970" s="22">
        <v>0</v>
      </c>
      <c r="O1970" s="22">
        <v>7200</v>
      </c>
      <c r="P1970" s="22">
        <v>7200</v>
      </c>
      <c r="Q1970" t="str" cm="1">
        <f t="array" ref="Q1970">_xlfn.TEXTJOIN("、",TRUE,IF('學員資料-三民高中'!$B$2:$B$454=$F1970,'學員資料-三民高中'!$G$2:$G$454,""))</f>
        <v/>
      </c>
      <c r="R1970" t="str" cm="1">
        <f t="array" ref="R1970">_xlfn.TEXTJOIN("、",TRUE,IF('學員資料-新北高中'!$B$2:$B$583=$F1970,'學員資料-新北高中'!$G$2:$G$583,""))</f>
        <v/>
      </c>
      <c r="S1970" t="str" cm="1">
        <f t="array" ref="S1970">_xlfn.TEXTJOIN("、",TRUE,IF('學員資料-三重商工'!$B$2:$B$472=$F1970,'學員資料-三重商工'!$G$2:$G$472,""))</f>
        <v>0988305820</v>
      </c>
      <c r="T1970">
        <f t="shared" si="30"/>
        <v>1</v>
      </c>
    </row>
    <row r="1971" spans="1:20" ht="14.25" hidden="1" customHeight="1">
      <c r="A1971" s="15">
        <v>1970</v>
      </c>
      <c r="B1971" s="16" t="s">
        <v>6099</v>
      </c>
      <c r="C1971" s="17">
        <v>45545</v>
      </c>
      <c r="D1971" s="15" t="s">
        <v>6100</v>
      </c>
      <c r="E1971" s="18" t="s">
        <v>954</v>
      </c>
      <c r="F1971" s="19" t="s">
        <v>3094</v>
      </c>
      <c r="G1971" s="18" t="s">
        <v>3095</v>
      </c>
      <c r="H1971" s="20" t="s">
        <v>5148</v>
      </c>
      <c r="I1971" s="15">
        <v>1</v>
      </c>
      <c r="J1971" s="15" t="s">
        <v>25</v>
      </c>
      <c r="K1971" s="15"/>
      <c r="L1971" s="21" t="s">
        <v>16</v>
      </c>
      <c r="M1971" s="22">
        <v>0</v>
      </c>
      <c r="N1971" s="22">
        <v>0</v>
      </c>
      <c r="O1971" s="22">
        <v>9000</v>
      </c>
      <c r="P1971" s="22">
        <v>9000</v>
      </c>
      <c r="Q1971" t="str" cm="1">
        <f t="array" ref="Q1971">_xlfn.TEXTJOIN("、",TRUE,IF('學員資料-三民高中'!$B$2:$B$454=$F1971,'學員資料-三民高中'!$G$2:$G$454,""))</f>
        <v/>
      </c>
      <c r="R1971" t="str" cm="1">
        <f t="array" ref="R1971">_xlfn.TEXTJOIN("、",TRUE,IF('學員資料-新北高中'!$B$2:$B$583=$F1971,'學員資料-新北高中'!$G$2:$G$583,""))</f>
        <v>0975001701</v>
      </c>
      <c r="S1971" t="str" cm="1">
        <f t="array" ref="S1971">_xlfn.TEXTJOIN("、",TRUE,IF('學員資料-三重商工'!$B$2:$B$472=$F1971,'學員資料-三重商工'!$G$2:$G$472,""))</f>
        <v/>
      </c>
      <c r="T1971">
        <f t="shared" si="30"/>
        <v>1</v>
      </c>
    </row>
    <row r="1972" spans="1:20" ht="14.25" hidden="1" customHeight="1">
      <c r="A1972" s="15">
        <v>1971</v>
      </c>
      <c r="B1972" s="16" t="s">
        <v>6101</v>
      </c>
      <c r="C1972" s="17">
        <v>45545</v>
      </c>
      <c r="D1972" s="15" t="s">
        <v>6102</v>
      </c>
      <c r="E1972" s="18" t="s">
        <v>954</v>
      </c>
      <c r="F1972" s="19" t="s">
        <v>1512</v>
      </c>
      <c r="G1972" s="18" t="s">
        <v>1513</v>
      </c>
      <c r="H1972" s="20" t="s">
        <v>5131</v>
      </c>
      <c r="I1972" s="15">
        <v>1</v>
      </c>
      <c r="J1972" s="15" t="s">
        <v>24</v>
      </c>
      <c r="K1972" s="15"/>
      <c r="L1972" s="21" t="s">
        <v>16</v>
      </c>
      <c r="M1972" s="22">
        <v>0</v>
      </c>
      <c r="N1972" s="22">
        <v>0</v>
      </c>
      <c r="O1972" s="22">
        <v>7200</v>
      </c>
      <c r="P1972" s="22">
        <v>7200</v>
      </c>
      <c r="Q1972" t="str" cm="1">
        <f t="array" ref="Q1972">_xlfn.TEXTJOIN("、",TRUE,IF('學員資料-三民高中'!$B$2:$B$454=$F1972,'學員資料-三民高中'!$G$2:$G$454,""))</f>
        <v/>
      </c>
      <c r="R1972" t="str" cm="1">
        <f t="array" ref="R1972">_xlfn.TEXTJOIN("、",TRUE,IF('學員資料-新北高中'!$B$2:$B$583=$F1972,'學員資料-新北高中'!$G$2:$G$583,""))</f>
        <v/>
      </c>
      <c r="S1972" t="str" cm="1">
        <f t="array" ref="S1972">_xlfn.TEXTJOIN("、",TRUE,IF('學員資料-三重商工'!$B$2:$B$472=$F1972,'學員資料-三重商工'!$G$2:$G$472,""))</f>
        <v>0980018580</v>
      </c>
      <c r="T1972">
        <f t="shared" si="30"/>
        <v>1</v>
      </c>
    </row>
    <row r="1973" spans="1:20" ht="14.25" hidden="1" customHeight="1">
      <c r="A1973" s="15">
        <v>1972</v>
      </c>
      <c r="B1973" s="16" t="s">
        <v>6103</v>
      </c>
      <c r="C1973" s="17">
        <v>45544</v>
      </c>
      <c r="D1973" s="15" t="s">
        <v>6104</v>
      </c>
      <c r="E1973" s="18" t="s">
        <v>954</v>
      </c>
      <c r="F1973" s="19" t="s">
        <v>5072</v>
      </c>
      <c r="G1973" s="18" t="s">
        <v>5073</v>
      </c>
      <c r="H1973" s="20" t="s">
        <v>5148</v>
      </c>
      <c r="I1973" s="15">
        <v>1</v>
      </c>
      <c r="J1973" s="15" t="s">
        <v>25</v>
      </c>
      <c r="K1973" s="15"/>
      <c r="L1973" s="21" t="s">
        <v>16</v>
      </c>
      <c r="M1973" s="22">
        <v>0</v>
      </c>
      <c r="N1973" s="22">
        <v>-900</v>
      </c>
      <c r="O1973" s="22">
        <v>8100</v>
      </c>
      <c r="P1973" s="22">
        <v>8100</v>
      </c>
      <c r="Q1973" t="str" cm="1">
        <f t="array" ref="Q1973">_xlfn.TEXTJOIN("、",TRUE,IF('學員資料-三民高中'!$B$2:$B$454=$F1973,'學員資料-三民高中'!$G$2:$G$454,""))</f>
        <v>0939237152</v>
      </c>
      <c r="R1973" t="str" cm="1">
        <f t="array" ref="R1973">_xlfn.TEXTJOIN("、",TRUE,IF('學員資料-新北高中'!$B$2:$B$583=$F1973,'學員資料-新北高中'!$G$2:$G$583,""))</f>
        <v/>
      </c>
      <c r="S1973" t="str" cm="1">
        <f t="array" ref="S1973">_xlfn.TEXTJOIN("、",TRUE,IF('學員資料-三重商工'!$B$2:$B$472=$F1973,'學員資料-三重商工'!$G$2:$G$472,""))</f>
        <v/>
      </c>
      <c r="T1973">
        <f t="shared" si="30"/>
        <v>1</v>
      </c>
    </row>
    <row r="1974" spans="1:20" ht="28.5" hidden="1" customHeight="1">
      <c r="A1974" s="15">
        <v>1973</v>
      </c>
      <c r="B1974" s="16" t="s">
        <v>6105</v>
      </c>
      <c r="C1974" s="17">
        <v>45544</v>
      </c>
      <c r="D1974" s="15" t="s">
        <v>6106</v>
      </c>
      <c r="E1974" s="18" t="s">
        <v>954</v>
      </c>
      <c r="F1974" s="19" t="s">
        <v>6107</v>
      </c>
      <c r="G1974" s="18" t="s">
        <v>6108</v>
      </c>
      <c r="H1974" s="20" t="s">
        <v>6109</v>
      </c>
      <c r="I1974" s="15">
        <v>2</v>
      </c>
      <c r="J1974" s="15" t="s">
        <v>24</v>
      </c>
      <c r="K1974" s="15"/>
      <c r="L1974" s="21" t="s">
        <v>16</v>
      </c>
      <c r="M1974" s="22">
        <v>0</v>
      </c>
      <c r="N1974" s="22">
        <v>-2340</v>
      </c>
      <c r="O1974" s="22">
        <v>13860</v>
      </c>
      <c r="P1974" s="22">
        <v>13860</v>
      </c>
      <c r="Q1974" t="str" cm="1">
        <f t="array" ref="Q1974">_xlfn.TEXTJOIN("、",TRUE,IF('學員資料-三民高中'!$B$2:$B$454=$F1974,'學員資料-三民高中'!$G$2:$G$454,""))</f>
        <v/>
      </c>
      <c r="R1974" t="str" cm="1">
        <f t="array" ref="R1974">_xlfn.TEXTJOIN("、",TRUE,IF('學員資料-新北高中'!$B$2:$B$583=$F1974,'學員資料-新北高中'!$G$2:$G$583,""))</f>
        <v>0926234093</v>
      </c>
      <c r="S1974" t="str" cm="1">
        <f t="array" ref="S1974">_xlfn.TEXTJOIN("、",TRUE,IF('學員資料-三重商工'!$B$2:$B$472=$F1974,'學員資料-三重商工'!$G$2:$G$472,""))</f>
        <v/>
      </c>
      <c r="T1974">
        <f t="shared" si="30"/>
        <v>1</v>
      </c>
    </row>
    <row r="1975" spans="1:20" ht="14.25" hidden="1" customHeight="1">
      <c r="A1975" s="15">
        <v>1974</v>
      </c>
      <c r="B1975" s="16" t="s">
        <v>6110</v>
      </c>
      <c r="C1975" s="17">
        <v>45544</v>
      </c>
      <c r="D1975" s="15" t="s">
        <v>6111</v>
      </c>
      <c r="E1975" s="18" t="s">
        <v>954</v>
      </c>
      <c r="F1975" s="19" t="s">
        <v>6112</v>
      </c>
      <c r="G1975" s="18" t="s">
        <v>6113</v>
      </c>
      <c r="H1975" s="20" t="s">
        <v>5163</v>
      </c>
      <c r="I1975" s="15">
        <v>1</v>
      </c>
      <c r="J1975" s="15" t="s">
        <v>23</v>
      </c>
      <c r="K1975" s="15"/>
      <c r="L1975" s="21" t="s">
        <v>16</v>
      </c>
      <c r="M1975" s="22">
        <v>0</v>
      </c>
      <c r="N1975" s="22">
        <v>0</v>
      </c>
      <c r="O1975" s="22">
        <v>6600</v>
      </c>
      <c r="P1975" s="22">
        <v>6600</v>
      </c>
      <c r="Q1975" t="str" cm="1">
        <f t="array" ref="Q1975">_xlfn.TEXTJOIN("、",TRUE,IF('學員資料-三民高中'!$B$2:$B$454=$F1975,'學員資料-三民高中'!$G$2:$G$454,""))</f>
        <v/>
      </c>
      <c r="R1975" t="str" cm="1">
        <f t="array" ref="R1975">_xlfn.TEXTJOIN("、",TRUE,IF('學員資料-新北高中'!$B$2:$B$583=$F1975,'學員資料-新北高中'!$G$2:$G$583,""))</f>
        <v/>
      </c>
      <c r="S1975" t="str" cm="1">
        <f t="array" ref="S1975">_xlfn.TEXTJOIN("、",TRUE,IF('學員資料-三重商工'!$B$2:$B$472=$F1975,'學員資料-三重商工'!$G$2:$G$472,""))</f>
        <v>0956039222</v>
      </c>
      <c r="T1975">
        <f t="shared" si="30"/>
        <v>1</v>
      </c>
    </row>
    <row r="1976" spans="1:20" ht="14.25" hidden="1" customHeight="1">
      <c r="A1976" s="15">
        <v>1975</v>
      </c>
      <c r="B1976" s="16" t="s">
        <v>6114</v>
      </c>
      <c r="C1976" s="17">
        <v>45543</v>
      </c>
      <c r="D1976" s="15" t="s">
        <v>6115</v>
      </c>
      <c r="E1976" s="18" t="s">
        <v>954</v>
      </c>
      <c r="F1976" s="19" t="s">
        <v>6116</v>
      </c>
      <c r="G1976" s="18" t="s">
        <v>6117</v>
      </c>
      <c r="H1976" s="20" t="s">
        <v>5180</v>
      </c>
      <c r="I1976" s="15">
        <v>1</v>
      </c>
      <c r="J1976" s="15" t="s">
        <v>24</v>
      </c>
      <c r="K1976" s="15"/>
      <c r="L1976" s="21" t="s">
        <v>16</v>
      </c>
      <c r="M1976" s="22">
        <v>0</v>
      </c>
      <c r="N1976" s="22">
        <v>0</v>
      </c>
      <c r="O1976" s="22">
        <v>8640</v>
      </c>
      <c r="P1976" s="22">
        <v>8640</v>
      </c>
      <c r="Q1976" t="str" cm="1">
        <f t="array" ref="Q1976">_xlfn.TEXTJOIN("、",TRUE,IF('學員資料-三民高中'!$B$2:$B$454=$F1976,'學員資料-三民高中'!$G$2:$G$454,""))</f>
        <v/>
      </c>
      <c r="R1976" t="str" cm="1">
        <f t="array" ref="R1976">_xlfn.TEXTJOIN("、",TRUE,IF('學員資料-新北高中'!$B$2:$B$583=$F1976,'學員資料-新北高中'!$G$2:$G$583,""))</f>
        <v/>
      </c>
      <c r="S1976" t="str" cm="1">
        <f t="array" ref="S1976">_xlfn.TEXTJOIN("、",TRUE,IF('學員資料-三重商工'!$B$2:$B$472=$F1976,'學員資料-三重商工'!$G$2:$G$472,""))</f>
        <v>0937469061</v>
      </c>
      <c r="T1976">
        <f t="shared" si="30"/>
        <v>1</v>
      </c>
    </row>
    <row r="1977" spans="1:20" ht="14.25" hidden="1" customHeight="1">
      <c r="A1977" s="15">
        <v>1976</v>
      </c>
      <c r="B1977" s="16" t="s">
        <v>6118</v>
      </c>
      <c r="C1977" s="17">
        <v>45543</v>
      </c>
      <c r="D1977" s="15" t="s">
        <v>6119</v>
      </c>
      <c r="E1977" s="18" t="s">
        <v>954</v>
      </c>
      <c r="F1977" s="19" t="s">
        <v>6120</v>
      </c>
      <c r="G1977" s="18" t="s">
        <v>6121</v>
      </c>
      <c r="H1977" s="20" t="s">
        <v>5180</v>
      </c>
      <c r="I1977" s="15">
        <v>1</v>
      </c>
      <c r="J1977" s="15" t="s">
        <v>24</v>
      </c>
      <c r="K1977" s="15"/>
      <c r="L1977" s="21" t="s">
        <v>16</v>
      </c>
      <c r="M1977" s="22">
        <v>0</v>
      </c>
      <c r="N1977" s="22">
        <v>-3456</v>
      </c>
      <c r="O1977" s="22">
        <v>5184</v>
      </c>
      <c r="P1977" s="22">
        <v>5184</v>
      </c>
      <c r="Q1977" t="str" cm="1">
        <f t="array" ref="Q1977">_xlfn.TEXTJOIN("、",TRUE,IF('學員資料-三民高中'!$B$2:$B$454=$F1977,'學員資料-三民高中'!$G$2:$G$454,""))</f>
        <v/>
      </c>
      <c r="R1977" t="str" cm="1">
        <f t="array" ref="R1977">_xlfn.TEXTJOIN("、",TRUE,IF('學員資料-新北高中'!$B$2:$B$583=$F1977,'學員資料-新北高中'!$G$2:$G$583,""))</f>
        <v/>
      </c>
      <c r="S1977" t="str" cm="1">
        <f t="array" ref="S1977">_xlfn.TEXTJOIN("、",TRUE,IF('學員資料-三重商工'!$B$2:$B$472=$F1977,'學員資料-三重商工'!$G$2:$G$472,""))</f>
        <v>0928730690</v>
      </c>
      <c r="T1977">
        <f t="shared" si="30"/>
        <v>1</v>
      </c>
    </row>
    <row r="1978" spans="1:20" ht="14.25" hidden="1" customHeight="1">
      <c r="A1978" s="15">
        <v>1977</v>
      </c>
      <c r="B1978" s="16" t="s">
        <v>6122</v>
      </c>
      <c r="C1978" s="17">
        <v>45543</v>
      </c>
      <c r="D1978" s="15" t="s">
        <v>6123</v>
      </c>
      <c r="E1978" s="18" t="s">
        <v>954</v>
      </c>
      <c r="F1978" s="19" t="s">
        <v>6124</v>
      </c>
      <c r="G1978" s="18" t="s">
        <v>6125</v>
      </c>
      <c r="H1978" s="20" t="s">
        <v>5163</v>
      </c>
      <c r="I1978" s="15">
        <v>1</v>
      </c>
      <c r="J1978" s="15" t="s">
        <v>23</v>
      </c>
      <c r="K1978" s="15"/>
      <c r="L1978" s="21" t="s">
        <v>16</v>
      </c>
      <c r="M1978" s="22">
        <v>0</v>
      </c>
      <c r="N1978" s="22">
        <v>0</v>
      </c>
      <c r="O1978" s="22">
        <v>6600</v>
      </c>
      <c r="P1978" s="22">
        <v>6600</v>
      </c>
      <c r="Q1978" t="str" cm="1">
        <f t="array" ref="Q1978">_xlfn.TEXTJOIN("、",TRUE,IF('學員資料-三民高中'!$B$2:$B$454=$F1978,'學員資料-三民高中'!$G$2:$G$454,""))</f>
        <v/>
      </c>
      <c r="R1978" t="str" cm="1">
        <f t="array" ref="R1978">_xlfn.TEXTJOIN("、",TRUE,IF('學員資料-新北高中'!$B$2:$B$583=$F1978,'學員資料-新北高中'!$G$2:$G$583,""))</f>
        <v/>
      </c>
      <c r="S1978" t="str" cm="1">
        <f t="array" ref="S1978">_xlfn.TEXTJOIN("、",TRUE,IF('學員資料-三重商工'!$B$2:$B$472=$F1978,'學員資料-三重商工'!$G$2:$G$472,""))</f>
        <v>0927885596</v>
      </c>
      <c r="T1978">
        <f t="shared" si="30"/>
        <v>1</v>
      </c>
    </row>
    <row r="1979" spans="1:20" ht="14.25" hidden="1" customHeight="1">
      <c r="A1979" s="15">
        <v>1978</v>
      </c>
      <c r="B1979" s="16" t="s">
        <v>6126</v>
      </c>
      <c r="C1979" s="17">
        <v>45543</v>
      </c>
      <c r="D1979" s="15" t="s">
        <v>6127</v>
      </c>
      <c r="E1979" s="18" t="s">
        <v>954</v>
      </c>
      <c r="F1979" s="19" t="s">
        <v>6124</v>
      </c>
      <c r="G1979" s="18" t="s">
        <v>6125</v>
      </c>
      <c r="H1979" s="20" t="s">
        <v>5163</v>
      </c>
      <c r="I1979" s="15">
        <v>1</v>
      </c>
      <c r="J1979" s="15" t="s">
        <v>23</v>
      </c>
      <c r="K1979" s="15"/>
      <c r="L1979" s="21" t="s">
        <v>16</v>
      </c>
      <c r="M1979" s="22">
        <v>0</v>
      </c>
      <c r="N1979" s="22">
        <v>0</v>
      </c>
      <c r="O1979" s="22">
        <v>6600</v>
      </c>
      <c r="P1979" s="22">
        <v>6600</v>
      </c>
      <c r="Q1979" t="str" cm="1">
        <f t="array" ref="Q1979">_xlfn.TEXTJOIN("、",TRUE,IF('學員資料-三民高中'!$B$2:$B$454=$F1979,'學員資料-三民高中'!$G$2:$G$454,""))</f>
        <v/>
      </c>
      <c r="R1979" t="str" cm="1">
        <f t="array" ref="R1979">_xlfn.TEXTJOIN("、",TRUE,IF('學員資料-新北高中'!$B$2:$B$583=$F1979,'學員資料-新北高中'!$G$2:$G$583,""))</f>
        <v/>
      </c>
      <c r="S1979" t="str" cm="1">
        <f t="array" ref="S1979">_xlfn.TEXTJOIN("、",TRUE,IF('學員資料-三重商工'!$B$2:$B$472=$F1979,'學員資料-三重商工'!$G$2:$G$472,""))</f>
        <v>0927885596</v>
      </c>
      <c r="T1979">
        <f t="shared" si="30"/>
        <v>1</v>
      </c>
    </row>
    <row r="1980" spans="1:20" ht="14.25" hidden="1" customHeight="1">
      <c r="A1980" s="15">
        <v>1979</v>
      </c>
      <c r="B1980" s="16" t="s">
        <v>6128</v>
      </c>
      <c r="C1980" s="17">
        <v>45543</v>
      </c>
      <c r="D1980" s="15" t="s">
        <v>6129</v>
      </c>
      <c r="E1980" s="18" t="s">
        <v>954</v>
      </c>
      <c r="F1980" s="19" t="s">
        <v>3391</v>
      </c>
      <c r="G1980" s="18" t="s">
        <v>3392</v>
      </c>
      <c r="H1980" s="20" t="s">
        <v>5131</v>
      </c>
      <c r="I1980" s="15">
        <v>1</v>
      </c>
      <c r="J1980" s="15" t="s">
        <v>24</v>
      </c>
      <c r="K1980" s="15"/>
      <c r="L1980" s="21" t="s">
        <v>16</v>
      </c>
      <c r="M1980" s="22">
        <v>0</v>
      </c>
      <c r="N1980" s="22">
        <v>-720</v>
      </c>
      <c r="O1980" s="22">
        <v>6480</v>
      </c>
      <c r="P1980" s="22">
        <v>6480</v>
      </c>
      <c r="Q1980" t="str" cm="1">
        <f t="array" ref="Q1980">_xlfn.TEXTJOIN("、",TRUE,IF('學員資料-三民高中'!$B$2:$B$454=$F1980,'學員資料-三民高中'!$G$2:$G$454,""))</f>
        <v/>
      </c>
      <c r="R1980" t="str" cm="1">
        <f t="array" ref="R1980">_xlfn.TEXTJOIN("、",TRUE,IF('學員資料-新北高中'!$B$2:$B$583=$F1980,'學員資料-新北高中'!$G$2:$G$583,""))</f>
        <v>0926281670</v>
      </c>
      <c r="S1980" t="str" cm="1">
        <f t="array" ref="S1980">_xlfn.TEXTJOIN("、",TRUE,IF('學員資料-三重商工'!$B$2:$B$472=$F1980,'學員資料-三重商工'!$G$2:$G$472,""))</f>
        <v/>
      </c>
      <c r="T1980">
        <f t="shared" si="30"/>
        <v>1</v>
      </c>
    </row>
    <row r="1981" spans="1:20" ht="28.5" hidden="1" customHeight="1">
      <c r="A1981" s="15">
        <v>1980</v>
      </c>
      <c r="B1981" s="16" t="s">
        <v>6130</v>
      </c>
      <c r="C1981" s="17">
        <v>45543</v>
      </c>
      <c r="D1981" s="15" t="s">
        <v>6131</v>
      </c>
      <c r="E1981" s="18" t="s">
        <v>954</v>
      </c>
      <c r="F1981" s="19" t="s">
        <v>6132</v>
      </c>
      <c r="G1981" s="18" t="s">
        <v>6133</v>
      </c>
      <c r="H1981" s="20" t="s">
        <v>1838</v>
      </c>
      <c r="I1981" s="15">
        <v>2</v>
      </c>
      <c r="J1981" s="15" t="s">
        <v>24</v>
      </c>
      <c r="K1981" s="15"/>
      <c r="L1981" s="21" t="s">
        <v>16</v>
      </c>
      <c r="M1981" s="22">
        <v>0</v>
      </c>
      <c r="N1981" s="22">
        <v>-2160</v>
      </c>
      <c r="O1981" s="22">
        <v>19440</v>
      </c>
      <c r="P1981" s="22">
        <v>19440</v>
      </c>
      <c r="Q1981" t="str" cm="1">
        <f t="array" ref="Q1981">_xlfn.TEXTJOIN("、",TRUE,IF('學員資料-三民高中'!$B$2:$B$454=$F1981,'學員資料-三民高中'!$G$2:$G$454,""))</f>
        <v/>
      </c>
      <c r="R1981" t="str" cm="1">
        <f t="array" ref="R1981">_xlfn.TEXTJOIN("、",TRUE,IF('學員資料-新北高中'!$B$2:$B$583=$F1981,'學員資料-新北高中'!$G$2:$G$583,""))</f>
        <v/>
      </c>
      <c r="S1981" t="str" cm="1">
        <f t="array" ref="S1981">_xlfn.TEXTJOIN("、",TRUE,IF('學員資料-三重商工'!$B$2:$B$472=$F1981,'學員資料-三重商工'!$G$2:$G$472,""))</f>
        <v>AQ0010</v>
      </c>
      <c r="T1981">
        <f t="shared" si="30"/>
        <v>1</v>
      </c>
    </row>
    <row r="1982" spans="1:20" ht="14.25" hidden="1" customHeight="1">
      <c r="A1982" s="15">
        <v>1981</v>
      </c>
      <c r="B1982" s="16" t="s">
        <v>6134</v>
      </c>
      <c r="C1982" s="17">
        <v>45542</v>
      </c>
      <c r="D1982" s="15" t="s">
        <v>1368</v>
      </c>
      <c r="E1982" s="18" t="s">
        <v>954</v>
      </c>
      <c r="F1982" s="19" t="s">
        <v>6135</v>
      </c>
      <c r="G1982" s="18" t="s">
        <v>6136</v>
      </c>
      <c r="H1982" s="20" t="s">
        <v>5211</v>
      </c>
      <c r="I1982" s="15">
        <v>1</v>
      </c>
      <c r="J1982" s="15" t="s">
        <v>26</v>
      </c>
      <c r="K1982" s="15"/>
      <c r="L1982" s="21" t="s">
        <v>16</v>
      </c>
      <c r="M1982" s="22">
        <v>0</v>
      </c>
      <c r="N1982" s="22">
        <v>0</v>
      </c>
      <c r="O1982" s="22">
        <v>10800</v>
      </c>
      <c r="P1982" s="22">
        <v>10800</v>
      </c>
      <c r="Q1982" t="str" cm="1">
        <f t="array" ref="Q1982">_xlfn.TEXTJOIN("、",TRUE,IF('學員資料-三民高中'!$B$2:$B$454=$F1982,'學員資料-三民高中'!$G$2:$G$454,""))</f>
        <v/>
      </c>
      <c r="R1982" t="str" cm="1">
        <f t="array" ref="R1982">_xlfn.TEXTJOIN("、",TRUE,IF('學員資料-新北高中'!$B$2:$B$583=$F1982,'學員資料-新北高中'!$G$2:$G$583,""))</f>
        <v/>
      </c>
      <c r="S1982" t="str" cm="1">
        <f t="array" ref="S1982">_xlfn.TEXTJOIN("、",TRUE,IF('學員資料-三重商工'!$B$2:$B$472=$F1982,'學員資料-三重商工'!$G$2:$G$472,""))</f>
        <v>0916982997</v>
      </c>
      <c r="T1982">
        <f t="shared" si="30"/>
        <v>1</v>
      </c>
    </row>
    <row r="1983" spans="1:20" ht="14.25" hidden="1" customHeight="1">
      <c r="A1983" s="15">
        <v>1982</v>
      </c>
      <c r="B1983" s="16" t="s">
        <v>6137</v>
      </c>
      <c r="C1983" s="17">
        <v>45542</v>
      </c>
      <c r="D1983" s="15" t="s">
        <v>6138</v>
      </c>
      <c r="E1983" s="18" t="s">
        <v>954</v>
      </c>
      <c r="F1983" s="19" t="s">
        <v>6077</v>
      </c>
      <c r="G1983" s="18" t="s">
        <v>6078</v>
      </c>
      <c r="H1983" s="20" t="s">
        <v>5131</v>
      </c>
      <c r="I1983" s="15">
        <v>1</v>
      </c>
      <c r="J1983" s="15" t="s">
        <v>24</v>
      </c>
      <c r="K1983" s="15"/>
      <c r="L1983" s="21" t="s">
        <v>16</v>
      </c>
      <c r="M1983" s="22">
        <v>0</v>
      </c>
      <c r="N1983" s="22">
        <v>0</v>
      </c>
      <c r="O1983" s="22">
        <v>7200</v>
      </c>
      <c r="P1983" s="22">
        <v>7200</v>
      </c>
      <c r="Q1983" t="str" cm="1">
        <f t="array" ref="Q1983">_xlfn.TEXTJOIN("、",TRUE,IF('學員資料-三民高中'!$B$2:$B$454=$F1983,'學員資料-三民高中'!$G$2:$G$454,""))</f>
        <v/>
      </c>
      <c r="R1983" t="str" cm="1">
        <f t="array" ref="R1983">_xlfn.TEXTJOIN("、",TRUE,IF('學員資料-新北高中'!$B$2:$B$583=$F1983,'學員資料-新北高中'!$G$2:$G$583,""))</f>
        <v>0976107080</v>
      </c>
      <c r="S1983" t="str" cm="1">
        <f t="array" ref="S1983">_xlfn.TEXTJOIN("、",TRUE,IF('學員資料-三重商工'!$B$2:$B$472=$F1983,'學員資料-三重商工'!$G$2:$G$472,""))</f>
        <v/>
      </c>
      <c r="T1983">
        <f t="shared" si="30"/>
        <v>1</v>
      </c>
    </row>
    <row r="1984" spans="1:20" ht="43.5" hidden="1" customHeight="1">
      <c r="A1984" s="15">
        <v>1983</v>
      </c>
      <c r="B1984" s="16" t="s">
        <v>6139</v>
      </c>
      <c r="C1984" s="17">
        <v>45542</v>
      </c>
      <c r="D1984" s="15" t="s">
        <v>6140</v>
      </c>
      <c r="E1984" s="18" t="s">
        <v>954</v>
      </c>
      <c r="F1984" s="19" t="s">
        <v>3191</v>
      </c>
      <c r="G1984" s="18" t="s">
        <v>3192</v>
      </c>
      <c r="H1984" s="20" t="s">
        <v>5436</v>
      </c>
      <c r="I1984" s="15">
        <v>3</v>
      </c>
      <c r="J1984" s="15" t="s">
        <v>24</v>
      </c>
      <c r="K1984" s="15"/>
      <c r="L1984" s="21" t="s">
        <v>16</v>
      </c>
      <c r="M1984" s="22">
        <v>0</v>
      </c>
      <c r="N1984" s="22">
        <v>0</v>
      </c>
      <c r="O1984" s="22">
        <v>21600</v>
      </c>
      <c r="P1984" s="22">
        <v>21600</v>
      </c>
      <c r="Q1984" t="str" cm="1">
        <f t="array" ref="Q1984">_xlfn.TEXTJOIN("、",TRUE,IF('學員資料-三民高中'!$B$2:$B$454=$F1984,'學員資料-三民高中'!$G$2:$G$454,""))</f>
        <v/>
      </c>
      <c r="R1984" t="str" cm="1">
        <f t="array" ref="R1984">_xlfn.TEXTJOIN("、",TRUE,IF('學員資料-新北高中'!$B$2:$B$583=$F1984,'學員資料-新北高中'!$G$2:$G$583,""))</f>
        <v/>
      </c>
      <c r="S1984" t="str" cm="1">
        <f t="array" ref="S1984">_xlfn.TEXTJOIN("、",TRUE,IF('學員資料-三重商工'!$B$2:$B$472=$F1984,'學員資料-三重商工'!$G$2:$G$472,""))</f>
        <v>0926368926</v>
      </c>
      <c r="T1984">
        <f t="shared" si="30"/>
        <v>1</v>
      </c>
    </row>
    <row r="1985" spans="1:20" ht="14.25" customHeight="1">
      <c r="A1985" s="15">
        <v>1984</v>
      </c>
      <c r="B1985" s="16" t="s">
        <v>6141</v>
      </c>
      <c r="C1985" s="17">
        <v>45542</v>
      </c>
      <c r="D1985" s="15" t="s">
        <v>6142</v>
      </c>
      <c r="E1985" s="18" t="s">
        <v>954</v>
      </c>
      <c r="F1985" s="19" t="s">
        <v>6012</v>
      </c>
      <c r="G1985" s="23"/>
      <c r="H1985" s="20" t="s">
        <v>5163</v>
      </c>
      <c r="I1985" s="15">
        <v>1</v>
      </c>
      <c r="J1985" s="15" t="s">
        <v>23</v>
      </c>
      <c r="K1985" s="15"/>
      <c r="L1985" s="21" t="s">
        <v>16</v>
      </c>
      <c r="M1985" s="22">
        <v>0</v>
      </c>
      <c r="N1985" s="22">
        <v>-660</v>
      </c>
      <c r="O1985" s="22">
        <v>5940</v>
      </c>
      <c r="P1985" s="22">
        <v>5940</v>
      </c>
      <c r="Q1985" t="str" cm="1">
        <f t="array" ref="Q1985">_xlfn.TEXTJOIN("、",TRUE,IF('學員資料-三民高中'!$B$2:$B$454=$F1985,'學員資料-三民高中'!$G$2:$G$454,""))</f>
        <v/>
      </c>
      <c r="R1985" t="str" cm="1">
        <f t="array" ref="R1985">_xlfn.TEXTJOIN("、",TRUE,IF('學員資料-新北高中'!$B$2:$B$583=$F1985,'學員資料-新北高中'!$G$2:$G$583,""))</f>
        <v/>
      </c>
      <c r="S1985" t="str" cm="1">
        <f t="array" ref="S1985">_xlfn.TEXTJOIN("、",TRUE,IF('學員資料-三重商工'!$B$2:$B$472=$F1985,'學員資料-三重商工'!$G$2:$G$472,""))</f>
        <v/>
      </c>
      <c r="T1985">
        <f t="shared" si="30"/>
        <v>0</v>
      </c>
    </row>
    <row r="1986" spans="1:20" ht="14.25" hidden="1" customHeight="1">
      <c r="A1986" s="15">
        <v>1985</v>
      </c>
      <c r="B1986" s="16" t="s">
        <v>6143</v>
      </c>
      <c r="C1986" s="17">
        <v>45542</v>
      </c>
      <c r="D1986" s="15" t="s">
        <v>6144</v>
      </c>
      <c r="E1986" s="18" t="s">
        <v>954</v>
      </c>
      <c r="F1986" s="19" t="s">
        <v>5982</v>
      </c>
      <c r="G1986" s="18" t="s">
        <v>5983</v>
      </c>
      <c r="H1986" s="20" t="s">
        <v>5131</v>
      </c>
      <c r="I1986" s="15">
        <v>1</v>
      </c>
      <c r="J1986" s="15" t="s">
        <v>24</v>
      </c>
      <c r="K1986" s="15"/>
      <c r="L1986" s="21" t="s">
        <v>16</v>
      </c>
      <c r="M1986" s="22">
        <v>0</v>
      </c>
      <c r="N1986" s="22">
        <v>-720</v>
      </c>
      <c r="O1986" s="22">
        <v>6480</v>
      </c>
      <c r="P1986" s="22">
        <v>6480</v>
      </c>
      <c r="Q1986" t="str" cm="1">
        <f t="array" ref="Q1986">_xlfn.TEXTJOIN("、",TRUE,IF('學員資料-三民高中'!$B$2:$B$454=$F1986,'學員資料-三民高中'!$G$2:$G$454,""))</f>
        <v>0921143106</v>
      </c>
      <c r="R1986" t="str" cm="1">
        <f t="array" ref="R1986">_xlfn.TEXTJOIN("、",TRUE,IF('學員資料-新北高中'!$B$2:$B$583=$F1986,'學員資料-新北高中'!$G$2:$G$583,""))</f>
        <v/>
      </c>
      <c r="S1986" t="str" cm="1">
        <f t="array" ref="S1986">_xlfn.TEXTJOIN("、",TRUE,IF('學員資料-三重商工'!$B$2:$B$472=$F1986,'學員資料-三重商工'!$G$2:$G$472,""))</f>
        <v/>
      </c>
      <c r="T1986">
        <f t="shared" si="30"/>
        <v>1</v>
      </c>
    </row>
    <row r="1987" spans="1:20" ht="14.25" hidden="1" customHeight="1">
      <c r="A1987" s="15">
        <v>1986</v>
      </c>
      <c r="B1987" s="16" t="s">
        <v>6145</v>
      </c>
      <c r="C1987" s="17">
        <v>45542</v>
      </c>
      <c r="D1987" s="15" t="s">
        <v>6146</v>
      </c>
      <c r="E1987" s="18" t="s">
        <v>954</v>
      </c>
      <c r="F1987" s="19" t="s">
        <v>3700</v>
      </c>
      <c r="G1987" s="18" t="s">
        <v>3701</v>
      </c>
      <c r="H1987" s="20" t="s">
        <v>5131</v>
      </c>
      <c r="I1987" s="15">
        <v>1</v>
      </c>
      <c r="J1987" s="15" t="s">
        <v>24</v>
      </c>
      <c r="K1987" s="15"/>
      <c r="L1987" s="21" t="s">
        <v>16</v>
      </c>
      <c r="M1987" s="22">
        <v>0</v>
      </c>
      <c r="N1987" s="22">
        <v>-720</v>
      </c>
      <c r="O1987" s="22">
        <v>6480</v>
      </c>
      <c r="P1987" s="22">
        <v>6480</v>
      </c>
      <c r="Q1987" t="str" cm="1">
        <f t="array" ref="Q1987">_xlfn.TEXTJOIN("、",TRUE,IF('學員資料-三民高中'!$B$2:$B$454=$F1987,'學員資料-三民高中'!$G$2:$G$454,""))</f>
        <v/>
      </c>
      <c r="R1987" t="str" cm="1">
        <f t="array" ref="R1987">_xlfn.TEXTJOIN("、",TRUE,IF('學員資料-新北高中'!$B$2:$B$583=$F1987,'學員資料-新北高中'!$G$2:$G$583,""))</f>
        <v>0910688530</v>
      </c>
      <c r="S1987" t="str" cm="1">
        <f t="array" ref="S1987">_xlfn.TEXTJOIN("、",TRUE,IF('學員資料-三重商工'!$B$2:$B$472=$F1987,'學員資料-三重商工'!$G$2:$G$472,""))</f>
        <v/>
      </c>
      <c r="T1987">
        <f t="shared" ref="T1987:T2050" si="31">3-COUNTBLANK(Q1987:S1987)</f>
        <v>1</v>
      </c>
    </row>
    <row r="1988" spans="1:20" ht="14.25" hidden="1" customHeight="1">
      <c r="A1988" s="15">
        <v>1987</v>
      </c>
      <c r="B1988" s="16" t="s">
        <v>6147</v>
      </c>
      <c r="C1988" s="17">
        <v>45542</v>
      </c>
      <c r="D1988" s="15" t="s">
        <v>6148</v>
      </c>
      <c r="E1988" s="18" t="s">
        <v>954</v>
      </c>
      <c r="F1988" s="19" t="s">
        <v>4864</v>
      </c>
      <c r="G1988" s="18" t="s">
        <v>4865</v>
      </c>
      <c r="H1988" s="20" t="s">
        <v>5163</v>
      </c>
      <c r="I1988" s="15">
        <v>1</v>
      </c>
      <c r="J1988" s="15" t="s">
        <v>23</v>
      </c>
      <c r="K1988" s="15"/>
      <c r="L1988" s="21" t="s">
        <v>16</v>
      </c>
      <c r="M1988" s="22">
        <v>0</v>
      </c>
      <c r="N1988" s="22">
        <v>-660</v>
      </c>
      <c r="O1988" s="22">
        <v>5940</v>
      </c>
      <c r="P1988" s="22">
        <v>5940</v>
      </c>
      <c r="Q1988" t="str" cm="1">
        <f t="array" ref="Q1988">_xlfn.TEXTJOIN("、",TRUE,IF('學員資料-三民高中'!$B$2:$B$454=$F1988,'學員資料-三民高中'!$G$2:$G$454,""))</f>
        <v/>
      </c>
      <c r="R1988" t="str" cm="1">
        <f t="array" ref="R1988">_xlfn.TEXTJOIN("、",TRUE,IF('學員資料-新北高中'!$B$2:$B$583=$F1988,'學員資料-新北高中'!$G$2:$G$583,""))</f>
        <v>0987308814</v>
      </c>
      <c r="S1988" t="str" cm="1">
        <f t="array" ref="S1988">_xlfn.TEXTJOIN("、",TRUE,IF('學員資料-三重商工'!$B$2:$B$472=$F1988,'學員資料-三重商工'!$G$2:$G$472,""))</f>
        <v/>
      </c>
      <c r="T1988">
        <f t="shared" si="31"/>
        <v>1</v>
      </c>
    </row>
    <row r="1989" spans="1:20" ht="14.25" hidden="1" customHeight="1">
      <c r="A1989" s="15">
        <v>1988</v>
      </c>
      <c r="B1989" s="16" t="s">
        <v>6149</v>
      </c>
      <c r="C1989" s="17">
        <v>45542</v>
      </c>
      <c r="D1989" s="15" t="s">
        <v>6150</v>
      </c>
      <c r="E1989" s="18" t="s">
        <v>954</v>
      </c>
      <c r="F1989" s="19" t="s">
        <v>3309</v>
      </c>
      <c r="G1989" s="18" t="s">
        <v>3310</v>
      </c>
      <c r="H1989" s="20" t="s">
        <v>5131</v>
      </c>
      <c r="I1989" s="15">
        <v>1</v>
      </c>
      <c r="J1989" s="15" t="s">
        <v>24</v>
      </c>
      <c r="K1989" s="15"/>
      <c r="L1989" s="21" t="s">
        <v>16</v>
      </c>
      <c r="M1989" s="22">
        <v>0</v>
      </c>
      <c r="N1989" s="22">
        <v>-720</v>
      </c>
      <c r="O1989" s="22">
        <v>6480</v>
      </c>
      <c r="P1989" s="22">
        <v>6480</v>
      </c>
      <c r="Q1989" t="str" cm="1">
        <f t="array" ref="Q1989">_xlfn.TEXTJOIN("、",TRUE,IF('學員資料-三民高中'!$B$2:$B$454=$F1989,'學員資料-三民高中'!$G$2:$G$454,""))</f>
        <v>0988523082</v>
      </c>
      <c r="R1989" t="str" cm="1">
        <f t="array" ref="R1989">_xlfn.TEXTJOIN("、",TRUE,IF('學員資料-新北高中'!$B$2:$B$583=$F1989,'學員資料-新北高中'!$G$2:$G$583,""))</f>
        <v/>
      </c>
      <c r="S1989" t="str" cm="1">
        <f t="array" ref="S1989">_xlfn.TEXTJOIN("、",TRUE,IF('學員資料-三重商工'!$B$2:$B$472=$F1989,'學員資料-三重商工'!$G$2:$G$472,""))</f>
        <v/>
      </c>
      <c r="T1989">
        <f t="shared" si="31"/>
        <v>1</v>
      </c>
    </row>
    <row r="1990" spans="1:20" ht="14.25" hidden="1" customHeight="1">
      <c r="A1990" s="15">
        <v>1989</v>
      </c>
      <c r="B1990" s="16" t="s">
        <v>6151</v>
      </c>
      <c r="C1990" s="17">
        <v>45542</v>
      </c>
      <c r="D1990" s="15" t="s">
        <v>6152</v>
      </c>
      <c r="E1990" s="18" t="s">
        <v>954</v>
      </c>
      <c r="F1990" s="19" t="s">
        <v>6153</v>
      </c>
      <c r="G1990" s="18" t="s">
        <v>6154</v>
      </c>
      <c r="H1990" s="20" t="s">
        <v>5148</v>
      </c>
      <c r="I1990" s="15">
        <v>1</v>
      </c>
      <c r="J1990" s="15" t="s">
        <v>25</v>
      </c>
      <c r="K1990" s="15"/>
      <c r="L1990" s="21" t="s">
        <v>16</v>
      </c>
      <c r="M1990" s="22">
        <v>0</v>
      </c>
      <c r="N1990" s="22">
        <v>-1080</v>
      </c>
      <c r="O1990" s="22">
        <v>7920</v>
      </c>
      <c r="P1990" s="22">
        <v>7920</v>
      </c>
      <c r="Q1990" t="str" cm="1">
        <f t="array" ref="Q1990">_xlfn.TEXTJOIN("、",TRUE,IF('學員資料-三民高中'!$B$2:$B$454=$F1990,'學員資料-三民高中'!$G$2:$G$454,""))</f>
        <v/>
      </c>
      <c r="R1990" t="str" cm="1">
        <f t="array" ref="R1990">_xlfn.TEXTJOIN("、",TRUE,IF('學員資料-新北高中'!$B$2:$B$583=$F1990,'學員資料-新北高中'!$G$2:$G$583,""))</f>
        <v>0910369779(1)</v>
      </c>
      <c r="S1990" t="str" cm="1">
        <f t="array" ref="S1990">_xlfn.TEXTJOIN("、",TRUE,IF('學員資料-三重商工'!$B$2:$B$472=$F1990,'學員資料-三重商工'!$G$2:$G$472,""))</f>
        <v/>
      </c>
      <c r="T1990">
        <f t="shared" si="31"/>
        <v>1</v>
      </c>
    </row>
    <row r="1991" spans="1:20" ht="14.25" hidden="1" customHeight="1">
      <c r="A1991" s="15">
        <v>1990</v>
      </c>
      <c r="B1991" s="16" t="s">
        <v>6155</v>
      </c>
      <c r="C1991" s="17">
        <v>45542</v>
      </c>
      <c r="D1991" s="15" t="s">
        <v>6156</v>
      </c>
      <c r="E1991" s="18" t="s">
        <v>954</v>
      </c>
      <c r="F1991" s="19" t="s">
        <v>6157</v>
      </c>
      <c r="G1991" s="18" t="s">
        <v>6158</v>
      </c>
      <c r="H1991" s="20" t="s">
        <v>5131</v>
      </c>
      <c r="I1991" s="15">
        <v>1</v>
      </c>
      <c r="J1991" s="15" t="s">
        <v>24</v>
      </c>
      <c r="K1991" s="15"/>
      <c r="L1991" s="21" t="s">
        <v>16</v>
      </c>
      <c r="M1991" s="22">
        <v>0</v>
      </c>
      <c r="N1991" s="22">
        <v>-720</v>
      </c>
      <c r="O1991" s="22">
        <v>6480</v>
      </c>
      <c r="P1991" s="22">
        <v>6480</v>
      </c>
      <c r="Q1991" t="str" cm="1">
        <f t="array" ref="Q1991">_xlfn.TEXTJOIN("、",TRUE,IF('學員資料-三民高中'!$B$2:$B$454=$F1991,'學員資料-三民高中'!$G$2:$G$454,""))</f>
        <v/>
      </c>
      <c r="R1991" t="str" cm="1">
        <f t="array" ref="R1991">_xlfn.TEXTJOIN("、",TRUE,IF('學員資料-新北高中'!$B$2:$B$583=$F1991,'學員資料-新北高中'!$G$2:$G$583,""))</f>
        <v>0920839382</v>
      </c>
      <c r="S1991" t="str" cm="1">
        <f t="array" ref="S1991">_xlfn.TEXTJOIN("、",TRUE,IF('學員資料-三重商工'!$B$2:$B$472=$F1991,'學員資料-三重商工'!$G$2:$G$472,""))</f>
        <v/>
      </c>
      <c r="T1991">
        <f t="shared" si="31"/>
        <v>1</v>
      </c>
    </row>
    <row r="1992" spans="1:20" ht="43.5" hidden="1" customHeight="1">
      <c r="A1992" s="15">
        <v>1991</v>
      </c>
      <c r="B1992" s="16" t="s">
        <v>6159</v>
      </c>
      <c r="C1992" s="17">
        <v>45542</v>
      </c>
      <c r="D1992" s="15" t="s">
        <v>6160</v>
      </c>
      <c r="E1992" s="18" t="s">
        <v>954</v>
      </c>
      <c r="F1992" s="19" t="s">
        <v>6161</v>
      </c>
      <c r="G1992" s="18" t="s">
        <v>6162</v>
      </c>
      <c r="H1992" s="20" t="s">
        <v>5436</v>
      </c>
      <c r="I1992" s="15">
        <v>3</v>
      </c>
      <c r="J1992" s="15" t="s">
        <v>24</v>
      </c>
      <c r="K1992" s="15"/>
      <c r="L1992" s="21" t="s">
        <v>16</v>
      </c>
      <c r="M1992" s="22">
        <v>0</v>
      </c>
      <c r="N1992" s="22">
        <v>-2160</v>
      </c>
      <c r="O1992" s="22">
        <v>19440</v>
      </c>
      <c r="P1992" s="22">
        <v>19440</v>
      </c>
      <c r="Q1992" t="str" cm="1">
        <f t="array" ref="Q1992">_xlfn.TEXTJOIN("、",TRUE,IF('學員資料-三民高中'!$B$2:$B$454=$F1992,'學員資料-三民高中'!$G$2:$G$454,""))</f>
        <v/>
      </c>
      <c r="R1992" t="str" cm="1">
        <f t="array" ref="R1992">_xlfn.TEXTJOIN("、",TRUE,IF('學員資料-新北高中'!$B$2:$B$583=$F1992,'學員資料-新北高中'!$G$2:$G$583,""))</f>
        <v>0919787983</v>
      </c>
      <c r="S1992" t="str" cm="1">
        <f t="array" ref="S1992">_xlfn.TEXTJOIN("、",TRUE,IF('學員資料-三重商工'!$B$2:$B$472=$F1992,'學員資料-三重商工'!$G$2:$G$472,""))</f>
        <v/>
      </c>
      <c r="T1992">
        <f t="shared" si="31"/>
        <v>1</v>
      </c>
    </row>
    <row r="1993" spans="1:20" ht="14.25" hidden="1" customHeight="1">
      <c r="A1993" s="15">
        <v>1992</v>
      </c>
      <c r="B1993" s="16" t="s">
        <v>6163</v>
      </c>
      <c r="C1993" s="17">
        <v>45542</v>
      </c>
      <c r="D1993" s="15" t="s">
        <v>6164</v>
      </c>
      <c r="E1993" s="18" t="s">
        <v>954</v>
      </c>
      <c r="F1993" s="19" t="s">
        <v>675</v>
      </c>
      <c r="G1993" s="18" t="s">
        <v>676</v>
      </c>
      <c r="H1993" s="20" t="s">
        <v>5163</v>
      </c>
      <c r="I1993" s="15">
        <v>1</v>
      </c>
      <c r="J1993" s="15" t="s">
        <v>23</v>
      </c>
      <c r="K1993" s="15"/>
      <c r="L1993" s="21" t="s">
        <v>16</v>
      </c>
      <c r="M1993" s="22">
        <v>0</v>
      </c>
      <c r="N1993" s="22">
        <v>-660</v>
      </c>
      <c r="O1993" s="22">
        <v>5940</v>
      </c>
      <c r="P1993" s="22">
        <v>5940</v>
      </c>
      <c r="Q1993" t="str" cm="1">
        <f t="array" ref="Q1993">_xlfn.TEXTJOIN("、",TRUE,IF('學員資料-三民高中'!$B$2:$B$454=$F1993,'學員資料-三民高中'!$G$2:$G$454,""))</f>
        <v/>
      </c>
      <c r="R1993" t="str" cm="1">
        <f t="array" ref="R1993">_xlfn.TEXTJOIN("、",TRUE,IF('學員資料-新北高中'!$B$2:$B$583=$F1993,'學員資料-新北高中'!$G$2:$G$583,""))</f>
        <v>0953272736</v>
      </c>
      <c r="S1993" t="str" cm="1">
        <f t="array" ref="S1993">_xlfn.TEXTJOIN("、",TRUE,IF('學員資料-三重商工'!$B$2:$B$472=$F1993,'學員資料-三重商工'!$G$2:$G$472,""))</f>
        <v/>
      </c>
      <c r="T1993">
        <f t="shared" si="31"/>
        <v>1</v>
      </c>
    </row>
    <row r="1994" spans="1:20" ht="28.5" hidden="1" customHeight="1">
      <c r="A1994" s="15">
        <v>1993</v>
      </c>
      <c r="B1994" s="16" t="s">
        <v>6165</v>
      </c>
      <c r="C1994" s="17">
        <v>45542</v>
      </c>
      <c r="D1994" s="15" t="s">
        <v>6166</v>
      </c>
      <c r="E1994" s="18" t="s">
        <v>954</v>
      </c>
      <c r="F1994" s="19" t="s">
        <v>446</v>
      </c>
      <c r="G1994" s="18" t="s">
        <v>447</v>
      </c>
      <c r="H1994" s="20" t="s">
        <v>5206</v>
      </c>
      <c r="I1994" s="15">
        <v>2</v>
      </c>
      <c r="J1994" s="15" t="s">
        <v>23</v>
      </c>
      <c r="K1994" s="15"/>
      <c r="L1994" s="21" t="s">
        <v>16</v>
      </c>
      <c r="M1994" s="22">
        <v>0</v>
      </c>
      <c r="N1994" s="22">
        <v>-1320</v>
      </c>
      <c r="O1994" s="22">
        <v>11880</v>
      </c>
      <c r="P1994" s="22">
        <v>11880</v>
      </c>
      <c r="Q1994" t="str" cm="1">
        <f t="array" ref="Q1994">_xlfn.TEXTJOIN("、",TRUE,IF('學員資料-三民高中'!$B$2:$B$454=$F1994,'學員資料-三民高中'!$G$2:$G$454,""))</f>
        <v/>
      </c>
      <c r="R1994" t="str" cm="1">
        <f t="array" ref="R1994">_xlfn.TEXTJOIN("、",TRUE,IF('學員資料-新北高中'!$B$2:$B$583=$F1994,'學員資料-新北高中'!$G$2:$G$583,""))</f>
        <v>0928827113(2)</v>
      </c>
      <c r="S1994" t="str" cm="1">
        <f t="array" ref="S1994">_xlfn.TEXTJOIN("、",TRUE,IF('學員資料-三重商工'!$B$2:$B$472=$F1994,'學員資料-三重商工'!$G$2:$G$472,""))</f>
        <v/>
      </c>
      <c r="T1994">
        <f t="shared" si="31"/>
        <v>1</v>
      </c>
    </row>
    <row r="1995" spans="1:20" ht="28.5" hidden="1" customHeight="1">
      <c r="A1995" s="15">
        <v>1994</v>
      </c>
      <c r="B1995" s="16" t="s">
        <v>6167</v>
      </c>
      <c r="C1995" s="17">
        <v>45542</v>
      </c>
      <c r="D1995" s="15" t="s">
        <v>6168</v>
      </c>
      <c r="E1995" s="18" t="s">
        <v>954</v>
      </c>
      <c r="F1995" s="19" t="s">
        <v>667</v>
      </c>
      <c r="G1995" s="18" t="s">
        <v>668</v>
      </c>
      <c r="H1995" s="20" t="s">
        <v>5206</v>
      </c>
      <c r="I1995" s="15">
        <v>2</v>
      </c>
      <c r="J1995" s="15" t="s">
        <v>23</v>
      </c>
      <c r="K1995" s="15"/>
      <c r="L1995" s="21" t="s">
        <v>16</v>
      </c>
      <c r="M1995" s="22">
        <v>0</v>
      </c>
      <c r="N1995" s="22">
        <v>-1320</v>
      </c>
      <c r="O1995" s="22">
        <v>11880</v>
      </c>
      <c r="P1995" s="22">
        <v>11880</v>
      </c>
      <c r="Q1995" t="str" cm="1">
        <f t="array" ref="Q1995">_xlfn.TEXTJOIN("、",TRUE,IF('學員資料-三民高中'!$B$2:$B$454=$F1995,'學員資料-三民高中'!$G$2:$G$454,""))</f>
        <v/>
      </c>
      <c r="R1995" t="str" cm="1">
        <f t="array" ref="R1995">_xlfn.TEXTJOIN("、",TRUE,IF('學員資料-新北高中'!$B$2:$B$583=$F1995,'學員資料-新北高中'!$G$2:$G$583,""))</f>
        <v>0928827113(1)</v>
      </c>
      <c r="S1995" t="str" cm="1">
        <f t="array" ref="S1995">_xlfn.TEXTJOIN("、",TRUE,IF('學員資料-三重商工'!$B$2:$B$472=$F1995,'學員資料-三重商工'!$G$2:$G$472,""))</f>
        <v/>
      </c>
      <c r="T1995">
        <f t="shared" si="31"/>
        <v>1</v>
      </c>
    </row>
    <row r="1996" spans="1:20" ht="14.25" hidden="1" customHeight="1">
      <c r="A1996" s="15">
        <v>1995</v>
      </c>
      <c r="B1996" s="16" t="s">
        <v>6169</v>
      </c>
      <c r="C1996" s="17">
        <v>45542</v>
      </c>
      <c r="D1996" s="15" t="s">
        <v>6170</v>
      </c>
      <c r="E1996" s="18" t="s">
        <v>954</v>
      </c>
      <c r="F1996" s="19" t="s">
        <v>6171</v>
      </c>
      <c r="G1996" s="18" t="s">
        <v>6172</v>
      </c>
      <c r="H1996" s="20" t="s">
        <v>5163</v>
      </c>
      <c r="I1996" s="15">
        <v>1</v>
      </c>
      <c r="J1996" s="15" t="s">
        <v>23</v>
      </c>
      <c r="K1996" s="15"/>
      <c r="L1996" s="21" t="s">
        <v>16</v>
      </c>
      <c r="M1996" s="22">
        <v>0</v>
      </c>
      <c r="N1996" s="22">
        <v>-660</v>
      </c>
      <c r="O1996" s="22">
        <v>5940</v>
      </c>
      <c r="P1996" s="22">
        <v>5940</v>
      </c>
      <c r="Q1996" t="str" cm="1">
        <f t="array" ref="Q1996">_xlfn.TEXTJOIN("、",TRUE,IF('學員資料-三民高中'!$B$2:$B$454=$F1996,'學員資料-三民高中'!$G$2:$G$454,""))</f>
        <v/>
      </c>
      <c r="R1996" t="str" cm="1">
        <f t="array" ref="R1996">_xlfn.TEXTJOIN("、",TRUE,IF('學員資料-新北高中'!$B$2:$B$583=$F1996,'學員資料-新北高中'!$G$2:$G$583,""))</f>
        <v>0912527224</v>
      </c>
      <c r="S1996" t="str" cm="1">
        <f t="array" ref="S1996">_xlfn.TEXTJOIN("、",TRUE,IF('學員資料-三重商工'!$B$2:$B$472=$F1996,'學員資料-三重商工'!$G$2:$G$472,""))</f>
        <v/>
      </c>
      <c r="T1996">
        <f t="shared" si="31"/>
        <v>1</v>
      </c>
    </row>
    <row r="1997" spans="1:20" ht="14.25" hidden="1" customHeight="1">
      <c r="A1997" s="15">
        <v>1996</v>
      </c>
      <c r="B1997" s="16" t="s">
        <v>6173</v>
      </c>
      <c r="C1997" s="17">
        <v>45542</v>
      </c>
      <c r="D1997" s="15" t="s">
        <v>6174</v>
      </c>
      <c r="E1997" s="18" t="s">
        <v>954</v>
      </c>
      <c r="F1997" s="19" t="s">
        <v>5919</v>
      </c>
      <c r="G1997" s="18" t="s">
        <v>5920</v>
      </c>
      <c r="H1997" s="20" t="s">
        <v>5131</v>
      </c>
      <c r="I1997" s="15">
        <v>1</v>
      </c>
      <c r="J1997" s="15" t="s">
        <v>24</v>
      </c>
      <c r="K1997" s="15"/>
      <c r="L1997" s="21" t="s">
        <v>16</v>
      </c>
      <c r="M1997" s="22">
        <v>0</v>
      </c>
      <c r="N1997" s="22">
        <v>-720</v>
      </c>
      <c r="O1997" s="22">
        <v>6480</v>
      </c>
      <c r="P1997" s="22">
        <v>6480</v>
      </c>
      <c r="Q1997" t="str" cm="1">
        <f t="array" ref="Q1997">_xlfn.TEXTJOIN("、",TRUE,IF('學員資料-三民高中'!$B$2:$B$454=$F1997,'學員資料-三民高中'!$G$2:$G$454,""))</f>
        <v/>
      </c>
      <c r="R1997" t="str" cm="1">
        <f t="array" ref="R1997">_xlfn.TEXTJOIN("、",TRUE,IF('學員資料-新北高中'!$B$2:$B$583=$F1997,'學員資料-新北高中'!$G$2:$G$583,""))</f>
        <v>0926066162</v>
      </c>
      <c r="S1997" t="str" cm="1">
        <f t="array" ref="S1997">_xlfn.TEXTJOIN("、",TRUE,IF('學員資料-三重商工'!$B$2:$B$472=$F1997,'學員資料-三重商工'!$G$2:$G$472,""))</f>
        <v/>
      </c>
      <c r="T1997">
        <f t="shared" si="31"/>
        <v>1</v>
      </c>
    </row>
    <row r="1998" spans="1:20" ht="28.5" hidden="1" customHeight="1">
      <c r="A1998" s="15">
        <v>1997</v>
      </c>
      <c r="B1998" s="16" t="s">
        <v>6175</v>
      </c>
      <c r="C1998" s="17">
        <v>45542</v>
      </c>
      <c r="D1998" s="15" t="s">
        <v>6176</v>
      </c>
      <c r="E1998" s="18" t="s">
        <v>954</v>
      </c>
      <c r="F1998" s="19" t="s">
        <v>6177</v>
      </c>
      <c r="G1998" s="18" t="s">
        <v>6178</v>
      </c>
      <c r="H1998" s="20" t="s">
        <v>5729</v>
      </c>
      <c r="I1998" s="15">
        <v>2</v>
      </c>
      <c r="J1998" s="15" t="s">
        <v>26</v>
      </c>
      <c r="K1998" s="15"/>
      <c r="L1998" s="21" t="s">
        <v>16</v>
      </c>
      <c r="M1998" s="22">
        <v>0</v>
      </c>
      <c r="N1998" s="22">
        <v>-2592</v>
      </c>
      <c r="O1998" s="22">
        <v>19008</v>
      </c>
      <c r="P1998" s="22">
        <v>19008</v>
      </c>
      <c r="Q1998" t="str" cm="1">
        <f t="array" ref="Q1998">_xlfn.TEXTJOIN("、",TRUE,IF('學員資料-三民高中'!$B$2:$B$454=$F1998,'學員資料-三民高中'!$G$2:$G$454,""))</f>
        <v/>
      </c>
      <c r="R1998" t="str" cm="1">
        <f t="array" ref="R1998">_xlfn.TEXTJOIN("、",TRUE,IF('學員資料-新北高中'!$B$2:$B$583=$F1998,'學員資料-新北高中'!$G$2:$G$583,""))</f>
        <v>0919563697</v>
      </c>
      <c r="S1998" t="str" cm="1">
        <f t="array" ref="S1998">_xlfn.TEXTJOIN("、",TRUE,IF('學員資料-三重商工'!$B$2:$B$472=$F1998,'學員資料-三重商工'!$G$2:$G$472,""))</f>
        <v/>
      </c>
      <c r="T1998">
        <f t="shared" si="31"/>
        <v>1</v>
      </c>
    </row>
    <row r="1999" spans="1:20" ht="14.25" hidden="1" customHeight="1">
      <c r="A1999" s="15">
        <v>1998</v>
      </c>
      <c r="B1999" s="16" t="s">
        <v>6179</v>
      </c>
      <c r="C1999" s="17">
        <v>45542</v>
      </c>
      <c r="D1999" s="15" t="s">
        <v>6180</v>
      </c>
      <c r="E1999" s="18" t="s">
        <v>954</v>
      </c>
      <c r="F1999" s="19" t="s">
        <v>5915</v>
      </c>
      <c r="G1999" s="18" t="s">
        <v>5916</v>
      </c>
      <c r="H1999" s="20" t="s">
        <v>5131</v>
      </c>
      <c r="I1999" s="15">
        <v>1</v>
      </c>
      <c r="J1999" s="15" t="s">
        <v>24</v>
      </c>
      <c r="K1999" s="15"/>
      <c r="L1999" s="21" t="s">
        <v>16</v>
      </c>
      <c r="M1999" s="22">
        <v>0</v>
      </c>
      <c r="N1999" s="22">
        <v>-720</v>
      </c>
      <c r="O1999" s="22">
        <v>6480</v>
      </c>
      <c r="P1999" s="22">
        <v>6480</v>
      </c>
      <c r="Q1999" t="str" cm="1">
        <f t="array" ref="Q1999">_xlfn.TEXTJOIN("、",TRUE,IF('學員資料-三民高中'!$B$2:$B$454=$F1999,'學員資料-三民高中'!$G$2:$G$454,""))</f>
        <v/>
      </c>
      <c r="R1999" t="str" cm="1">
        <f t="array" ref="R1999">_xlfn.TEXTJOIN("、",TRUE,IF('學員資料-新北高中'!$B$2:$B$583=$F1999,'學員資料-新北高中'!$G$2:$G$583,""))</f>
        <v>0954026182</v>
      </c>
      <c r="S1999" t="str" cm="1">
        <f t="array" ref="S1999">_xlfn.TEXTJOIN("、",TRUE,IF('學員資料-三重商工'!$B$2:$B$472=$F1999,'學員資料-三重商工'!$G$2:$G$472,""))</f>
        <v/>
      </c>
      <c r="T1999">
        <f t="shared" si="31"/>
        <v>1</v>
      </c>
    </row>
    <row r="2000" spans="1:20" ht="14.25" hidden="1" customHeight="1">
      <c r="A2000" s="15">
        <v>1999</v>
      </c>
      <c r="B2000" s="16" t="s">
        <v>6181</v>
      </c>
      <c r="C2000" s="17">
        <v>45542</v>
      </c>
      <c r="D2000" s="15" t="s">
        <v>6182</v>
      </c>
      <c r="E2000" s="18" t="s">
        <v>954</v>
      </c>
      <c r="F2000" s="19" t="s">
        <v>1339</v>
      </c>
      <c r="G2000" s="18" t="s">
        <v>1340</v>
      </c>
      <c r="H2000" s="20" t="s">
        <v>5131</v>
      </c>
      <c r="I2000" s="15">
        <v>1</v>
      </c>
      <c r="J2000" s="15" t="s">
        <v>24</v>
      </c>
      <c r="K2000" s="15"/>
      <c r="L2000" s="21" t="s">
        <v>16</v>
      </c>
      <c r="M2000" s="22">
        <v>0</v>
      </c>
      <c r="N2000" s="22">
        <v>-720</v>
      </c>
      <c r="O2000" s="22">
        <v>6480</v>
      </c>
      <c r="P2000" s="22">
        <v>6480</v>
      </c>
      <c r="Q2000" t="str" cm="1">
        <f t="array" ref="Q2000">_xlfn.TEXTJOIN("、",TRUE,IF('學員資料-三民高中'!$B$2:$B$454=$F2000,'學員資料-三民高中'!$G$2:$G$454,""))</f>
        <v/>
      </c>
      <c r="R2000" t="str" cm="1">
        <f t="array" ref="R2000">_xlfn.TEXTJOIN("、",TRUE,IF('學員資料-新北高中'!$B$2:$B$583=$F2000,'學員資料-新北高中'!$G$2:$G$583,""))</f>
        <v>0918352996</v>
      </c>
      <c r="S2000" t="str" cm="1">
        <f t="array" ref="S2000">_xlfn.TEXTJOIN("、",TRUE,IF('學員資料-三重商工'!$B$2:$B$472=$F2000,'學員資料-三重商工'!$G$2:$G$472,""))</f>
        <v/>
      </c>
      <c r="T2000">
        <f t="shared" si="31"/>
        <v>1</v>
      </c>
    </row>
    <row r="2001" spans="1:20" ht="14.25" hidden="1" customHeight="1">
      <c r="A2001" s="15">
        <v>2000</v>
      </c>
      <c r="B2001" s="16" t="s">
        <v>6183</v>
      </c>
      <c r="C2001" s="17">
        <v>45541</v>
      </c>
      <c r="D2001" s="15" t="s">
        <v>6184</v>
      </c>
      <c r="E2001" s="18" t="s">
        <v>954</v>
      </c>
      <c r="F2001" s="19" t="s">
        <v>6185</v>
      </c>
      <c r="G2001" s="18" t="s">
        <v>6186</v>
      </c>
      <c r="H2001" s="20" t="s">
        <v>5211</v>
      </c>
      <c r="I2001" s="15">
        <v>1</v>
      </c>
      <c r="J2001" s="15" t="s">
        <v>26</v>
      </c>
      <c r="K2001" s="15"/>
      <c r="L2001" s="21" t="s">
        <v>16</v>
      </c>
      <c r="M2001" s="22">
        <v>0</v>
      </c>
      <c r="N2001" s="22">
        <v>-4320</v>
      </c>
      <c r="O2001" s="22">
        <v>6480</v>
      </c>
      <c r="P2001" s="22">
        <v>6480</v>
      </c>
      <c r="Q2001" t="str" cm="1">
        <f t="array" ref="Q2001">_xlfn.TEXTJOIN("、",TRUE,IF('學員資料-三民高中'!$B$2:$B$454=$F2001,'學員資料-三民高中'!$G$2:$G$454,""))</f>
        <v/>
      </c>
      <c r="R2001" t="str" cm="1">
        <f t="array" ref="R2001">_xlfn.TEXTJOIN("、",TRUE,IF('學員資料-新北高中'!$B$2:$B$583=$F2001,'學員資料-新北高中'!$G$2:$G$583,""))</f>
        <v>1131208</v>
      </c>
      <c r="S2001" t="str" cm="1">
        <f t="array" ref="S2001">_xlfn.TEXTJOIN("、",TRUE,IF('學員資料-三重商工'!$B$2:$B$472=$F2001,'學員資料-三重商工'!$G$2:$G$472,""))</f>
        <v/>
      </c>
      <c r="T2001">
        <f t="shared" si="31"/>
        <v>1</v>
      </c>
    </row>
    <row r="2002" spans="1:20" ht="14.25" hidden="1" customHeight="1">
      <c r="A2002" s="15">
        <v>2001</v>
      </c>
      <c r="B2002" s="16" t="s">
        <v>6187</v>
      </c>
      <c r="C2002" s="17">
        <v>45541</v>
      </c>
      <c r="D2002" s="15" t="s">
        <v>6188</v>
      </c>
      <c r="E2002" s="18" t="s">
        <v>954</v>
      </c>
      <c r="F2002" s="19" t="s">
        <v>4797</v>
      </c>
      <c r="G2002" s="18" t="s">
        <v>4798</v>
      </c>
      <c r="H2002" s="20" t="s">
        <v>5131</v>
      </c>
      <c r="I2002" s="15">
        <v>1</v>
      </c>
      <c r="J2002" s="15" t="s">
        <v>24</v>
      </c>
      <c r="K2002" s="15"/>
      <c r="L2002" s="21" t="s">
        <v>16</v>
      </c>
      <c r="M2002" s="22">
        <v>0</v>
      </c>
      <c r="N2002" s="22">
        <v>0</v>
      </c>
      <c r="O2002" s="22">
        <v>7200</v>
      </c>
      <c r="P2002" s="22">
        <v>7200</v>
      </c>
      <c r="Q2002" t="str" cm="1">
        <f t="array" ref="Q2002">_xlfn.TEXTJOIN("、",TRUE,IF('學員資料-三民高中'!$B$2:$B$454=$F2002,'學員資料-三民高中'!$G$2:$G$454,""))</f>
        <v/>
      </c>
      <c r="R2002" t="str" cm="1">
        <f t="array" ref="R2002">_xlfn.TEXTJOIN("、",TRUE,IF('學員資料-新北高中'!$B$2:$B$583=$F2002,'學員資料-新北高中'!$G$2:$G$583,""))</f>
        <v>0926939361</v>
      </c>
      <c r="S2002" t="str" cm="1">
        <f t="array" ref="S2002">_xlfn.TEXTJOIN("、",TRUE,IF('學員資料-三重商工'!$B$2:$B$472=$F2002,'學員資料-三重商工'!$G$2:$G$472,""))</f>
        <v/>
      </c>
      <c r="T2002">
        <f t="shared" si="31"/>
        <v>1</v>
      </c>
    </row>
    <row r="2003" spans="1:20" ht="28.5" hidden="1" customHeight="1">
      <c r="A2003" s="15">
        <v>2002</v>
      </c>
      <c r="B2003" s="16" t="s">
        <v>6189</v>
      </c>
      <c r="C2003" s="17">
        <v>45541</v>
      </c>
      <c r="D2003" s="15" t="s">
        <v>6190</v>
      </c>
      <c r="E2003" s="18" t="s">
        <v>954</v>
      </c>
      <c r="F2003" s="19" t="s">
        <v>6191</v>
      </c>
      <c r="G2003" s="18" t="s">
        <v>6192</v>
      </c>
      <c r="H2003" s="20" t="s">
        <v>5206</v>
      </c>
      <c r="I2003" s="15">
        <v>2</v>
      </c>
      <c r="J2003" s="15" t="s">
        <v>23</v>
      </c>
      <c r="K2003" s="15"/>
      <c r="L2003" s="21" t="s">
        <v>16</v>
      </c>
      <c r="M2003" s="22">
        <v>0</v>
      </c>
      <c r="N2003" s="22">
        <v>-1980</v>
      </c>
      <c r="O2003" s="22">
        <v>11220</v>
      </c>
      <c r="P2003" s="22">
        <v>11220</v>
      </c>
      <c r="Q2003" t="str" cm="1">
        <f t="array" ref="Q2003">_xlfn.TEXTJOIN("、",TRUE,IF('學員資料-三民高中'!$B$2:$B$454=$F2003,'學員資料-三民高中'!$G$2:$G$454,""))</f>
        <v/>
      </c>
      <c r="R2003" t="str" cm="1">
        <f t="array" ref="R2003">_xlfn.TEXTJOIN("、",TRUE,IF('學員資料-新北高中'!$B$2:$B$583=$F2003,'學員資料-新北高中'!$G$2:$G$583,""))</f>
        <v>0953417659</v>
      </c>
      <c r="S2003" t="str" cm="1">
        <f t="array" ref="S2003">_xlfn.TEXTJOIN("、",TRUE,IF('學員資料-三重商工'!$B$2:$B$472=$F2003,'學員資料-三重商工'!$G$2:$G$472,""))</f>
        <v/>
      </c>
      <c r="T2003">
        <f t="shared" si="31"/>
        <v>1</v>
      </c>
    </row>
    <row r="2004" spans="1:20" ht="14.25" hidden="1" customHeight="1">
      <c r="A2004" s="15">
        <v>2003</v>
      </c>
      <c r="B2004" s="16" t="s">
        <v>6193</v>
      </c>
      <c r="C2004" s="17">
        <v>45541</v>
      </c>
      <c r="D2004" s="15" t="s">
        <v>6194</v>
      </c>
      <c r="E2004" s="18" t="s">
        <v>954</v>
      </c>
      <c r="F2004" s="19" t="s">
        <v>3309</v>
      </c>
      <c r="G2004" s="18" t="s">
        <v>3310</v>
      </c>
      <c r="H2004" s="20" t="s">
        <v>5131</v>
      </c>
      <c r="I2004" s="15">
        <v>1</v>
      </c>
      <c r="J2004" s="15" t="s">
        <v>24</v>
      </c>
      <c r="K2004" s="15"/>
      <c r="L2004" s="21" t="s">
        <v>16</v>
      </c>
      <c r="M2004" s="22">
        <v>0</v>
      </c>
      <c r="N2004" s="22">
        <v>-720</v>
      </c>
      <c r="O2004" s="22">
        <v>6480</v>
      </c>
      <c r="P2004" s="22">
        <v>6480</v>
      </c>
      <c r="Q2004" t="str" cm="1">
        <f t="array" ref="Q2004">_xlfn.TEXTJOIN("、",TRUE,IF('學員資料-三民高中'!$B$2:$B$454=$F2004,'學員資料-三民高中'!$G$2:$G$454,""))</f>
        <v>0988523082</v>
      </c>
      <c r="R2004" t="str" cm="1">
        <f t="array" ref="R2004">_xlfn.TEXTJOIN("、",TRUE,IF('學員資料-新北高中'!$B$2:$B$583=$F2004,'學員資料-新北高中'!$G$2:$G$583,""))</f>
        <v/>
      </c>
      <c r="S2004" t="str" cm="1">
        <f t="array" ref="S2004">_xlfn.TEXTJOIN("、",TRUE,IF('學員資料-三重商工'!$B$2:$B$472=$F2004,'學員資料-三重商工'!$G$2:$G$472,""))</f>
        <v/>
      </c>
      <c r="T2004">
        <f t="shared" si="31"/>
        <v>1</v>
      </c>
    </row>
    <row r="2005" spans="1:20" ht="14.25" hidden="1" customHeight="1">
      <c r="A2005" s="15">
        <v>2004</v>
      </c>
      <c r="B2005" s="16" t="s">
        <v>6195</v>
      </c>
      <c r="C2005" s="17">
        <v>45540</v>
      </c>
      <c r="D2005" s="15" t="s">
        <v>6196</v>
      </c>
      <c r="E2005" s="18" t="s">
        <v>954</v>
      </c>
      <c r="F2005" s="19" t="s">
        <v>4960</v>
      </c>
      <c r="G2005" s="18" t="s">
        <v>4961</v>
      </c>
      <c r="H2005" s="20" t="s">
        <v>5148</v>
      </c>
      <c r="I2005" s="15">
        <v>1</v>
      </c>
      <c r="J2005" s="15" t="s">
        <v>25</v>
      </c>
      <c r="K2005" s="15"/>
      <c r="L2005" s="21" t="s">
        <v>16</v>
      </c>
      <c r="M2005" s="22">
        <v>0</v>
      </c>
      <c r="N2005" s="22">
        <v>0</v>
      </c>
      <c r="O2005" s="22">
        <v>9000</v>
      </c>
      <c r="P2005" s="22">
        <v>9000</v>
      </c>
      <c r="Q2005" t="str" cm="1">
        <f t="array" ref="Q2005">_xlfn.TEXTJOIN("、",TRUE,IF('學員資料-三民高中'!$B$2:$B$454=$F2005,'學員資料-三民高中'!$G$2:$G$454,""))</f>
        <v/>
      </c>
      <c r="R2005" t="str" cm="1">
        <f t="array" ref="R2005">_xlfn.TEXTJOIN("、",TRUE,IF('學員資料-新北高中'!$B$2:$B$583=$F2005,'學員資料-新北高中'!$G$2:$G$583,""))</f>
        <v>0931143094</v>
      </c>
      <c r="S2005" t="str" cm="1">
        <f t="array" ref="S2005">_xlfn.TEXTJOIN("、",TRUE,IF('學員資料-三重商工'!$B$2:$B$472=$F2005,'學員資料-三重商工'!$G$2:$G$472,""))</f>
        <v/>
      </c>
      <c r="T2005">
        <f t="shared" si="31"/>
        <v>1</v>
      </c>
    </row>
    <row r="2006" spans="1:20" ht="14.25" hidden="1" customHeight="1">
      <c r="A2006" s="15">
        <v>2005</v>
      </c>
      <c r="B2006" s="16" t="s">
        <v>6197</v>
      </c>
      <c r="C2006" s="17">
        <v>45540</v>
      </c>
      <c r="D2006" s="15" t="s">
        <v>6198</v>
      </c>
      <c r="E2006" s="18" t="s">
        <v>954</v>
      </c>
      <c r="F2006" s="19" t="s">
        <v>6199</v>
      </c>
      <c r="G2006" s="18" t="s">
        <v>6200</v>
      </c>
      <c r="H2006" s="20" t="s">
        <v>5211</v>
      </c>
      <c r="I2006" s="15">
        <v>1</v>
      </c>
      <c r="J2006" s="15" t="s">
        <v>26</v>
      </c>
      <c r="K2006" s="15"/>
      <c r="L2006" s="21" t="s">
        <v>16</v>
      </c>
      <c r="M2006" s="22">
        <v>0</v>
      </c>
      <c r="N2006" s="22">
        <v>0</v>
      </c>
      <c r="O2006" s="22">
        <v>10800</v>
      </c>
      <c r="P2006" s="22">
        <v>10800</v>
      </c>
      <c r="Q2006" t="str" cm="1">
        <f t="array" ref="Q2006">_xlfn.TEXTJOIN("、",TRUE,IF('學員資料-三民高中'!$B$2:$B$454=$F2006,'學員資料-三民高中'!$G$2:$G$454,""))</f>
        <v/>
      </c>
      <c r="R2006" t="str" cm="1">
        <f t="array" ref="R2006">_xlfn.TEXTJOIN("、",TRUE,IF('學員資料-新北高中'!$B$2:$B$583=$F2006,'學員資料-新北高中'!$G$2:$G$583,""))</f>
        <v>0912231047</v>
      </c>
      <c r="S2006" t="str" cm="1">
        <f t="array" ref="S2006">_xlfn.TEXTJOIN("、",TRUE,IF('學員資料-三重商工'!$B$2:$B$472=$F2006,'學員資料-三重商工'!$G$2:$G$472,""))</f>
        <v/>
      </c>
      <c r="T2006">
        <f t="shared" si="31"/>
        <v>1</v>
      </c>
    </row>
    <row r="2007" spans="1:20" ht="14.25" hidden="1" customHeight="1">
      <c r="A2007" s="15">
        <v>2006</v>
      </c>
      <c r="B2007" s="16" t="s">
        <v>6201</v>
      </c>
      <c r="C2007" s="17">
        <v>45539</v>
      </c>
      <c r="D2007" s="15" t="s">
        <v>6202</v>
      </c>
      <c r="E2007" s="18" t="s">
        <v>954</v>
      </c>
      <c r="F2007" s="19" t="s">
        <v>6203</v>
      </c>
      <c r="G2007" s="18" t="s">
        <v>6204</v>
      </c>
      <c r="H2007" s="20" t="s">
        <v>5163</v>
      </c>
      <c r="I2007" s="15">
        <v>1</v>
      </c>
      <c r="J2007" s="15" t="s">
        <v>23</v>
      </c>
      <c r="K2007" s="15"/>
      <c r="L2007" s="21" t="s">
        <v>16</v>
      </c>
      <c r="M2007" s="22">
        <v>0</v>
      </c>
      <c r="N2007" s="22">
        <v>-660</v>
      </c>
      <c r="O2007" s="22">
        <v>5940</v>
      </c>
      <c r="P2007" s="22">
        <v>5940</v>
      </c>
      <c r="Q2007" t="str" cm="1">
        <f t="array" ref="Q2007">_xlfn.TEXTJOIN("、",TRUE,IF('學員資料-三民高中'!$B$2:$B$454=$F2007,'學員資料-三民高中'!$G$2:$G$454,""))</f>
        <v/>
      </c>
      <c r="R2007" t="str" cm="1">
        <f t="array" ref="R2007">_xlfn.TEXTJOIN("、",TRUE,IF('學員資料-新北高中'!$B$2:$B$583=$F2007,'學員資料-新北高中'!$G$2:$G$583,""))</f>
        <v/>
      </c>
      <c r="S2007" t="str" cm="1">
        <f t="array" ref="S2007">_xlfn.TEXTJOIN("、",TRUE,IF('學員資料-三重商工'!$B$2:$B$472=$F2007,'學員資料-三重商工'!$G$2:$G$472,""))</f>
        <v>0985762961</v>
      </c>
      <c r="T2007">
        <f t="shared" si="31"/>
        <v>1</v>
      </c>
    </row>
    <row r="2008" spans="1:20" ht="14.25" hidden="1" customHeight="1">
      <c r="A2008" s="15">
        <v>2007</v>
      </c>
      <c r="B2008" s="16" t="s">
        <v>6205</v>
      </c>
      <c r="C2008" s="17">
        <v>45539</v>
      </c>
      <c r="D2008" s="15" t="s">
        <v>2127</v>
      </c>
      <c r="E2008" s="18" t="s">
        <v>954</v>
      </c>
      <c r="F2008" s="19" t="s">
        <v>6206</v>
      </c>
      <c r="G2008" s="18" t="s">
        <v>6207</v>
      </c>
      <c r="H2008" s="20" t="s">
        <v>5131</v>
      </c>
      <c r="I2008" s="15">
        <v>1</v>
      </c>
      <c r="J2008" s="15" t="s">
        <v>24</v>
      </c>
      <c r="K2008" s="15"/>
      <c r="L2008" s="21" t="s">
        <v>16</v>
      </c>
      <c r="M2008" s="22">
        <v>0</v>
      </c>
      <c r="N2008" s="22">
        <v>0</v>
      </c>
      <c r="O2008" s="22">
        <v>7200</v>
      </c>
      <c r="P2008" s="22">
        <v>7200</v>
      </c>
      <c r="Q2008" t="str" cm="1">
        <f t="array" ref="Q2008">_xlfn.TEXTJOIN("、",TRUE,IF('學員資料-三民高中'!$B$2:$B$454=$F2008,'學員資料-三民高中'!$G$2:$G$454,""))</f>
        <v/>
      </c>
      <c r="R2008" t="str" cm="1">
        <f t="array" ref="R2008">_xlfn.TEXTJOIN("、",TRUE,IF('學員資料-新北高中'!$B$2:$B$583=$F2008,'學員資料-新北高中'!$G$2:$G$583,""))</f>
        <v>0952104288</v>
      </c>
      <c r="S2008" t="str" cm="1">
        <f t="array" ref="S2008">_xlfn.TEXTJOIN("、",TRUE,IF('學員資料-三重商工'!$B$2:$B$472=$F2008,'學員資料-三重商工'!$G$2:$G$472,""))</f>
        <v/>
      </c>
      <c r="T2008">
        <f t="shared" si="31"/>
        <v>1</v>
      </c>
    </row>
    <row r="2009" spans="1:20" ht="14.25" hidden="1" customHeight="1">
      <c r="A2009" s="15">
        <v>2008</v>
      </c>
      <c r="B2009" s="16" t="s">
        <v>6208</v>
      </c>
      <c r="C2009" s="17">
        <v>45539</v>
      </c>
      <c r="D2009" s="15" t="s">
        <v>6209</v>
      </c>
      <c r="E2009" s="18" t="s">
        <v>954</v>
      </c>
      <c r="F2009" s="19" t="s">
        <v>4995</v>
      </c>
      <c r="G2009" s="18" t="s">
        <v>4996</v>
      </c>
      <c r="H2009" s="20" t="s">
        <v>6210</v>
      </c>
      <c r="I2009" s="15">
        <v>1</v>
      </c>
      <c r="J2009" s="15" t="s">
        <v>25</v>
      </c>
      <c r="K2009" s="15"/>
      <c r="L2009" s="21" t="s">
        <v>16</v>
      </c>
      <c r="M2009" s="22">
        <v>0</v>
      </c>
      <c r="N2009" s="22">
        <v>0</v>
      </c>
      <c r="O2009" s="22">
        <v>12150</v>
      </c>
      <c r="P2009" s="22">
        <v>12150</v>
      </c>
      <c r="Q2009" t="str" cm="1">
        <f t="array" ref="Q2009">_xlfn.TEXTJOIN("、",TRUE,IF('學員資料-三民高中'!$B$2:$B$454=$F2009,'學員資料-三民高中'!$G$2:$G$454,""))</f>
        <v/>
      </c>
      <c r="R2009" t="str" cm="1">
        <f t="array" ref="R2009">_xlfn.TEXTJOIN("、",TRUE,IF('學員資料-新北高中'!$B$2:$B$583=$F2009,'學員資料-新北高中'!$G$2:$G$583,""))</f>
        <v>0935546212</v>
      </c>
      <c r="S2009" t="str" cm="1">
        <f t="array" ref="S2009">_xlfn.TEXTJOIN("、",TRUE,IF('學員資料-三重商工'!$B$2:$B$472=$F2009,'學員資料-三重商工'!$G$2:$G$472,""))</f>
        <v/>
      </c>
      <c r="T2009">
        <f t="shared" si="31"/>
        <v>1</v>
      </c>
    </row>
    <row r="2010" spans="1:20" ht="43.5" hidden="1" customHeight="1">
      <c r="A2010" s="15">
        <v>2009</v>
      </c>
      <c r="B2010" s="16" t="s">
        <v>6211</v>
      </c>
      <c r="C2010" s="17">
        <v>45539</v>
      </c>
      <c r="D2010" s="15" t="s">
        <v>6212</v>
      </c>
      <c r="E2010" s="18" t="s">
        <v>954</v>
      </c>
      <c r="F2010" s="19" t="s">
        <v>1373</v>
      </c>
      <c r="G2010" s="18" t="s">
        <v>1374</v>
      </c>
      <c r="H2010" s="20" t="s">
        <v>4391</v>
      </c>
      <c r="I2010" s="15">
        <v>3</v>
      </c>
      <c r="J2010" s="15" t="s">
        <v>23</v>
      </c>
      <c r="K2010" s="15"/>
      <c r="L2010" s="21" t="s">
        <v>16</v>
      </c>
      <c r="M2010" s="22">
        <v>0</v>
      </c>
      <c r="N2010" s="22">
        <v>-2700</v>
      </c>
      <c r="O2010" s="22">
        <v>24300</v>
      </c>
      <c r="P2010" s="22">
        <v>24300</v>
      </c>
      <c r="Q2010" t="str" cm="1">
        <f t="array" ref="Q2010">_xlfn.TEXTJOIN("、",TRUE,IF('學員資料-三民高中'!$B$2:$B$454=$F2010,'學員資料-三民高中'!$G$2:$G$454,""))</f>
        <v/>
      </c>
      <c r="R2010" t="str" cm="1">
        <f t="array" ref="R2010">_xlfn.TEXTJOIN("、",TRUE,IF('學員資料-新北高中'!$B$2:$B$583=$F2010,'學員資料-新北高中'!$G$2:$G$583,""))</f>
        <v>0973665687</v>
      </c>
      <c r="S2010" t="str" cm="1">
        <f t="array" ref="S2010">_xlfn.TEXTJOIN("、",TRUE,IF('學員資料-三重商工'!$B$2:$B$472=$F2010,'學員資料-三重商工'!$G$2:$G$472,""))</f>
        <v/>
      </c>
      <c r="T2010">
        <f t="shared" si="31"/>
        <v>1</v>
      </c>
    </row>
    <row r="2011" spans="1:20" ht="14.25" hidden="1" customHeight="1">
      <c r="A2011" s="15">
        <v>2010</v>
      </c>
      <c r="B2011" s="16" t="s">
        <v>6213</v>
      </c>
      <c r="C2011" s="17">
        <v>45539</v>
      </c>
      <c r="D2011" s="15" t="s">
        <v>6214</v>
      </c>
      <c r="E2011" s="18" t="s">
        <v>954</v>
      </c>
      <c r="F2011" s="19" t="s">
        <v>4340</v>
      </c>
      <c r="G2011" s="18" t="s">
        <v>4341</v>
      </c>
      <c r="H2011" s="20" t="s">
        <v>5211</v>
      </c>
      <c r="I2011" s="15">
        <v>1</v>
      </c>
      <c r="J2011" s="15" t="s">
        <v>26</v>
      </c>
      <c r="K2011" s="15"/>
      <c r="L2011" s="21" t="s">
        <v>16</v>
      </c>
      <c r="M2011" s="22">
        <v>0</v>
      </c>
      <c r="N2011" s="22">
        <v>0</v>
      </c>
      <c r="O2011" s="22">
        <v>10800</v>
      </c>
      <c r="P2011" s="22">
        <v>10800</v>
      </c>
      <c r="Q2011" t="str" cm="1">
        <f t="array" ref="Q2011">_xlfn.TEXTJOIN("、",TRUE,IF('學員資料-三民高中'!$B$2:$B$454=$F2011,'學員資料-三民高中'!$G$2:$G$454,""))</f>
        <v>0955181838</v>
      </c>
      <c r="R2011" t="str" cm="1">
        <f t="array" ref="R2011">_xlfn.TEXTJOIN("、",TRUE,IF('學員資料-新北高中'!$B$2:$B$583=$F2011,'學員資料-新北高中'!$G$2:$G$583,""))</f>
        <v/>
      </c>
      <c r="S2011" t="str" cm="1">
        <f t="array" ref="S2011">_xlfn.TEXTJOIN("、",TRUE,IF('學員資料-三重商工'!$B$2:$B$472=$F2011,'學員資料-三重商工'!$G$2:$G$472,""))</f>
        <v/>
      </c>
      <c r="T2011">
        <f t="shared" si="31"/>
        <v>1</v>
      </c>
    </row>
    <row r="2012" spans="1:20" ht="43.5" hidden="1" customHeight="1">
      <c r="A2012" s="15">
        <v>2011</v>
      </c>
      <c r="B2012" s="16" t="s">
        <v>6215</v>
      </c>
      <c r="C2012" s="17">
        <v>45539</v>
      </c>
      <c r="D2012" s="15" t="s">
        <v>6216</v>
      </c>
      <c r="E2012" s="18" t="s">
        <v>954</v>
      </c>
      <c r="F2012" s="19" t="s">
        <v>1524</v>
      </c>
      <c r="G2012" s="18" t="s">
        <v>1525</v>
      </c>
      <c r="H2012" s="20" t="s">
        <v>5157</v>
      </c>
      <c r="I2012" s="15">
        <v>3</v>
      </c>
      <c r="J2012" s="15" t="s">
        <v>23</v>
      </c>
      <c r="K2012" s="15"/>
      <c r="L2012" s="21" t="s">
        <v>16</v>
      </c>
      <c r="M2012" s="22">
        <v>0</v>
      </c>
      <c r="N2012" s="22">
        <v>-1980</v>
      </c>
      <c r="O2012" s="22">
        <v>17820</v>
      </c>
      <c r="P2012" s="22">
        <v>17820</v>
      </c>
      <c r="Q2012" t="str" cm="1">
        <f t="array" ref="Q2012">_xlfn.TEXTJOIN("、",TRUE,IF('學員資料-三民高中'!$B$2:$B$454=$F2012,'學員資料-三民高中'!$G$2:$G$454,""))</f>
        <v>0978726876-1</v>
      </c>
      <c r="R2012" t="str" cm="1">
        <f t="array" ref="R2012">_xlfn.TEXTJOIN("、",TRUE,IF('學員資料-新北高中'!$B$2:$B$583=$F2012,'學員資料-新北高中'!$G$2:$G$583,""))</f>
        <v/>
      </c>
      <c r="S2012" t="str" cm="1">
        <f t="array" ref="S2012">_xlfn.TEXTJOIN("、",TRUE,IF('學員資料-三重商工'!$B$2:$B$472=$F2012,'學員資料-三重商工'!$G$2:$G$472,""))</f>
        <v/>
      </c>
      <c r="T2012">
        <f t="shared" si="31"/>
        <v>1</v>
      </c>
    </row>
    <row r="2013" spans="1:20" ht="14.25" hidden="1" customHeight="1">
      <c r="A2013" s="15">
        <v>2012</v>
      </c>
      <c r="B2013" s="16" t="s">
        <v>6217</v>
      </c>
      <c r="C2013" s="17">
        <v>45538</v>
      </c>
      <c r="D2013" s="15" t="s">
        <v>6218</v>
      </c>
      <c r="E2013" s="18" t="s">
        <v>954</v>
      </c>
      <c r="F2013" s="19" t="s">
        <v>1085</v>
      </c>
      <c r="G2013" s="18" t="s">
        <v>6219</v>
      </c>
      <c r="H2013" s="20" t="s">
        <v>5340</v>
      </c>
      <c r="I2013" s="15">
        <v>1</v>
      </c>
      <c r="J2013" s="15" t="s">
        <v>27</v>
      </c>
      <c r="K2013" s="15"/>
      <c r="L2013" s="21" t="s">
        <v>16</v>
      </c>
      <c r="M2013" s="22">
        <v>0</v>
      </c>
      <c r="N2013" s="22">
        <v>-1620</v>
      </c>
      <c r="O2013" s="22">
        <v>11880</v>
      </c>
      <c r="P2013" s="22">
        <v>11880</v>
      </c>
      <c r="Q2013" t="str" cm="1">
        <f t="array" ref="Q2013">_xlfn.TEXTJOIN("、",TRUE,IF('學員資料-三民高中'!$B$2:$B$454=$F2013,'學員資料-三民高中'!$G$2:$G$454,""))</f>
        <v/>
      </c>
      <c r="R2013" t="str" cm="1">
        <f t="array" ref="R2013">_xlfn.TEXTJOIN("、",TRUE,IF('學員資料-新北高中'!$B$2:$B$583=$F2013,'學員資料-新北高中'!$G$2:$G$583,""))</f>
        <v/>
      </c>
      <c r="S2013" t="str" cm="1">
        <f t="array" ref="S2013">_xlfn.TEXTJOIN("、",TRUE,IF('學員資料-三重商工'!$B$2:$B$472=$F2013,'學員資料-三重商工'!$G$2:$G$472,""))</f>
        <v>0933818815</v>
      </c>
      <c r="T2013">
        <f t="shared" si="31"/>
        <v>1</v>
      </c>
    </row>
    <row r="2014" spans="1:20" ht="43.5" hidden="1" customHeight="1">
      <c r="A2014" s="15">
        <v>2013</v>
      </c>
      <c r="B2014" s="16" t="s">
        <v>6220</v>
      </c>
      <c r="C2014" s="17">
        <v>45538</v>
      </c>
      <c r="D2014" s="15" t="s">
        <v>6221</v>
      </c>
      <c r="E2014" s="18" t="s">
        <v>954</v>
      </c>
      <c r="F2014" s="19" t="s">
        <v>6222</v>
      </c>
      <c r="G2014" s="18" t="s">
        <v>6223</v>
      </c>
      <c r="H2014" s="20" t="s">
        <v>5192</v>
      </c>
      <c r="I2014" s="15">
        <v>3</v>
      </c>
      <c r="J2014" s="15" t="s">
        <v>26</v>
      </c>
      <c r="K2014" s="15"/>
      <c r="L2014" s="21" t="s">
        <v>16</v>
      </c>
      <c r="M2014" s="22">
        <v>0</v>
      </c>
      <c r="N2014" s="22">
        <v>-3888</v>
      </c>
      <c r="O2014" s="22">
        <v>28512</v>
      </c>
      <c r="P2014" s="22">
        <v>28512</v>
      </c>
      <c r="Q2014" t="str" cm="1">
        <f t="array" ref="Q2014">_xlfn.TEXTJOIN("、",TRUE,IF('學員資料-三民高中'!$B$2:$B$454=$F2014,'學員資料-三民高中'!$G$2:$G$454,""))</f>
        <v>0919987217-2</v>
      </c>
      <c r="R2014" t="str" cm="1">
        <f t="array" ref="R2014">_xlfn.TEXTJOIN("、",TRUE,IF('學員資料-新北高中'!$B$2:$B$583=$F2014,'學員資料-新北高中'!$G$2:$G$583,""))</f>
        <v/>
      </c>
      <c r="S2014" t="str" cm="1">
        <f t="array" ref="S2014">_xlfn.TEXTJOIN("、",TRUE,IF('學員資料-三重商工'!$B$2:$B$472=$F2014,'學員資料-三重商工'!$G$2:$G$472,""))</f>
        <v/>
      </c>
      <c r="T2014">
        <f t="shared" si="31"/>
        <v>1</v>
      </c>
    </row>
    <row r="2015" spans="1:20" ht="43.5" hidden="1" customHeight="1">
      <c r="A2015" s="15">
        <v>2014</v>
      </c>
      <c r="B2015" s="16" t="s">
        <v>6224</v>
      </c>
      <c r="C2015" s="17">
        <v>45538</v>
      </c>
      <c r="D2015" s="15" t="s">
        <v>6225</v>
      </c>
      <c r="E2015" s="18" t="s">
        <v>954</v>
      </c>
      <c r="F2015" s="19" t="s">
        <v>6226</v>
      </c>
      <c r="G2015" s="18" t="s">
        <v>6227</v>
      </c>
      <c r="H2015" s="20" t="s">
        <v>5128</v>
      </c>
      <c r="I2015" s="15">
        <v>3</v>
      </c>
      <c r="J2015" s="15" t="s">
        <v>25</v>
      </c>
      <c r="K2015" s="15"/>
      <c r="L2015" s="21" t="s">
        <v>16</v>
      </c>
      <c r="M2015" s="22">
        <v>0</v>
      </c>
      <c r="N2015" s="22">
        <v>-3240</v>
      </c>
      <c r="O2015" s="22">
        <v>23760</v>
      </c>
      <c r="P2015" s="22">
        <v>23760</v>
      </c>
      <c r="Q2015" t="str" cm="1">
        <f t="array" ref="Q2015">_xlfn.TEXTJOIN("、",TRUE,IF('學員資料-三民高中'!$B$2:$B$454=$F2015,'學員資料-三民高中'!$G$2:$G$454,""))</f>
        <v>0919987217-1</v>
      </c>
      <c r="R2015" t="str" cm="1">
        <f t="array" ref="R2015">_xlfn.TEXTJOIN("、",TRUE,IF('學員資料-新北高中'!$B$2:$B$583=$F2015,'學員資料-新北高中'!$G$2:$G$583,""))</f>
        <v/>
      </c>
      <c r="S2015" t="str" cm="1">
        <f t="array" ref="S2015">_xlfn.TEXTJOIN("、",TRUE,IF('學員資料-三重商工'!$B$2:$B$472=$F2015,'學員資料-三重商工'!$G$2:$G$472,""))</f>
        <v/>
      </c>
      <c r="T2015">
        <f t="shared" si="31"/>
        <v>1</v>
      </c>
    </row>
    <row r="2016" spans="1:20" ht="28.5" hidden="1" customHeight="1">
      <c r="A2016" s="15">
        <v>2015</v>
      </c>
      <c r="B2016" s="16" t="s">
        <v>6228</v>
      </c>
      <c r="C2016" s="17">
        <v>45538</v>
      </c>
      <c r="D2016" s="15" t="s">
        <v>6229</v>
      </c>
      <c r="E2016" s="18" t="s">
        <v>954</v>
      </c>
      <c r="F2016" s="19" t="s">
        <v>6230</v>
      </c>
      <c r="G2016" s="18" t="s">
        <v>6231</v>
      </c>
      <c r="H2016" s="20" t="s">
        <v>5154</v>
      </c>
      <c r="I2016" s="15">
        <v>2</v>
      </c>
      <c r="J2016" s="15" t="s">
        <v>24</v>
      </c>
      <c r="K2016" s="15"/>
      <c r="L2016" s="21" t="s">
        <v>16</v>
      </c>
      <c r="M2016" s="22">
        <v>0</v>
      </c>
      <c r="N2016" s="22">
        <v>-1440</v>
      </c>
      <c r="O2016" s="22">
        <v>12960</v>
      </c>
      <c r="P2016" s="22">
        <v>12960</v>
      </c>
      <c r="Q2016" t="str" cm="1">
        <f t="array" ref="Q2016">_xlfn.TEXTJOIN("、",TRUE,IF('學員資料-三民高中'!$B$2:$B$454=$F2016,'學員資料-三民高中'!$G$2:$G$454,""))</f>
        <v>0939310215</v>
      </c>
      <c r="R2016" t="str" cm="1">
        <f t="array" ref="R2016">_xlfn.TEXTJOIN("、",TRUE,IF('學員資料-新北高中'!$B$2:$B$583=$F2016,'學員資料-新北高中'!$G$2:$G$583,""))</f>
        <v/>
      </c>
      <c r="S2016" t="str" cm="1">
        <f t="array" ref="S2016">_xlfn.TEXTJOIN("、",TRUE,IF('學員資料-三重商工'!$B$2:$B$472=$F2016,'學員資料-三重商工'!$G$2:$G$472,""))</f>
        <v/>
      </c>
      <c r="T2016">
        <f t="shared" si="31"/>
        <v>1</v>
      </c>
    </row>
    <row r="2017" spans="1:20" ht="43.5" hidden="1" customHeight="1">
      <c r="A2017" s="15">
        <v>2016</v>
      </c>
      <c r="B2017" s="16" t="s">
        <v>6232</v>
      </c>
      <c r="C2017" s="17">
        <v>45538</v>
      </c>
      <c r="D2017" s="15" t="s">
        <v>6233</v>
      </c>
      <c r="E2017" s="18" t="s">
        <v>954</v>
      </c>
      <c r="F2017" s="19" t="s">
        <v>6234</v>
      </c>
      <c r="G2017" s="18" t="s">
        <v>6235</v>
      </c>
      <c r="H2017" s="20" t="s">
        <v>5436</v>
      </c>
      <c r="I2017" s="15">
        <v>3</v>
      </c>
      <c r="J2017" s="15" t="s">
        <v>24</v>
      </c>
      <c r="K2017" s="15"/>
      <c r="L2017" s="21" t="s">
        <v>16</v>
      </c>
      <c r="M2017" s="22">
        <v>0</v>
      </c>
      <c r="N2017" s="22">
        <v>-2160</v>
      </c>
      <c r="O2017" s="22">
        <v>19440</v>
      </c>
      <c r="P2017" s="22">
        <v>19440</v>
      </c>
      <c r="Q2017" t="str" cm="1">
        <f t="array" ref="Q2017">_xlfn.TEXTJOIN("、",TRUE,IF('學員資料-三民高中'!$B$2:$B$454=$F2017,'學員資料-三民高中'!$G$2:$G$454,""))</f>
        <v>0939235050-2</v>
      </c>
      <c r="R2017" t="str" cm="1">
        <f t="array" ref="R2017">_xlfn.TEXTJOIN("、",TRUE,IF('學員資料-新北高中'!$B$2:$B$583=$F2017,'學員資料-新北高中'!$G$2:$G$583,""))</f>
        <v/>
      </c>
      <c r="S2017" t="str" cm="1">
        <f t="array" ref="S2017">_xlfn.TEXTJOIN("、",TRUE,IF('學員資料-三重商工'!$B$2:$B$472=$F2017,'學員資料-三重商工'!$G$2:$G$472,""))</f>
        <v/>
      </c>
      <c r="T2017">
        <f t="shared" si="31"/>
        <v>1</v>
      </c>
    </row>
    <row r="2018" spans="1:20" ht="14.25" hidden="1" customHeight="1">
      <c r="A2018" s="15">
        <v>2017</v>
      </c>
      <c r="B2018" s="16" t="s">
        <v>6236</v>
      </c>
      <c r="C2018" s="17">
        <v>45538</v>
      </c>
      <c r="D2018" s="15" t="s">
        <v>6237</v>
      </c>
      <c r="E2018" s="18" t="s">
        <v>954</v>
      </c>
      <c r="F2018" s="19" t="s">
        <v>5468</v>
      </c>
      <c r="G2018" s="18" t="s">
        <v>5469</v>
      </c>
      <c r="H2018" s="20" t="s">
        <v>5131</v>
      </c>
      <c r="I2018" s="15">
        <v>1</v>
      </c>
      <c r="J2018" s="15" t="s">
        <v>24</v>
      </c>
      <c r="K2018" s="15"/>
      <c r="L2018" s="21" t="s">
        <v>16</v>
      </c>
      <c r="M2018" s="22">
        <v>0</v>
      </c>
      <c r="N2018" s="22">
        <v>-720</v>
      </c>
      <c r="O2018" s="22">
        <v>6480</v>
      </c>
      <c r="P2018" s="22">
        <v>6480</v>
      </c>
      <c r="Q2018" t="str" cm="1">
        <f t="array" ref="Q2018">_xlfn.TEXTJOIN("、",TRUE,IF('學員資料-三民高中'!$B$2:$B$454=$F2018,'學員資料-三民高中'!$G$2:$G$454,""))</f>
        <v>0988538010</v>
      </c>
      <c r="R2018" t="str" cm="1">
        <f t="array" ref="R2018">_xlfn.TEXTJOIN("、",TRUE,IF('學員資料-新北高中'!$B$2:$B$583=$F2018,'學員資料-新北高中'!$G$2:$G$583,""))</f>
        <v/>
      </c>
      <c r="S2018" t="str" cm="1">
        <f t="array" ref="S2018">_xlfn.TEXTJOIN("、",TRUE,IF('學員資料-三重商工'!$B$2:$B$472=$F2018,'學員資料-三重商工'!$G$2:$G$472,""))</f>
        <v/>
      </c>
      <c r="T2018">
        <f t="shared" si="31"/>
        <v>1</v>
      </c>
    </row>
    <row r="2019" spans="1:20" ht="14.25" hidden="1" customHeight="1">
      <c r="A2019" s="15">
        <v>2018</v>
      </c>
      <c r="B2019" s="16" t="s">
        <v>6238</v>
      </c>
      <c r="C2019" s="17">
        <v>45538</v>
      </c>
      <c r="D2019" s="15" t="s">
        <v>6239</v>
      </c>
      <c r="E2019" s="18" t="s">
        <v>954</v>
      </c>
      <c r="F2019" s="19" t="s">
        <v>2195</v>
      </c>
      <c r="G2019" s="18" t="s">
        <v>2196</v>
      </c>
      <c r="H2019" s="20" t="s">
        <v>5131</v>
      </c>
      <c r="I2019" s="15">
        <v>1</v>
      </c>
      <c r="J2019" s="15" t="s">
        <v>24</v>
      </c>
      <c r="K2019" s="15"/>
      <c r="L2019" s="21" t="s">
        <v>16</v>
      </c>
      <c r="M2019" s="22">
        <v>0</v>
      </c>
      <c r="N2019" s="22">
        <v>-720</v>
      </c>
      <c r="O2019" s="22">
        <v>6480</v>
      </c>
      <c r="P2019" s="22">
        <v>6480</v>
      </c>
      <c r="Q2019" t="str" cm="1">
        <f t="array" ref="Q2019">_xlfn.TEXTJOIN("、",TRUE,IF('學員資料-三民高中'!$B$2:$B$454=$F2019,'學員資料-三民高中'!$G$2:$G$454,""))</f>
        <v>0987870773</v>
      </c>
      <c r="R2019" t="str" cm="1">
        <f t="array" ref="R2019">_xlfn.TEXTJOIN("、",TRUE,IF('學員資料-新北高中'!$B$2:$B$583=$F2019,'學員資料-新北高中'!$G$2:$G$583,""))</f>
        <v/>
      </c>
      <c r="S2019" t="str" cm="1">
        <f t="array" ref="S2019">_xlfn.TEXTJOIN("、",TRUE,IF('學員資料-三重商工'!$B$2:$B$472=$F2019,'學員資料-三重商工'!$G$2:$G$472,""))</f>
        <v/>
      </c>
      <c r="T2019">
        <f t="shared" si="31"/>
        <v>1</v>
      </c>
    </row>
    <row r="2020" spans="1:20" ht="14.25" hidden="1" customHeight="1">
      <c r="A2020" s="15">
        <v>2019</v>
      </c>
      <c r="B2020" s="16" t="s">
        <v>6240</v>
      </c>
      <c r="C2020" s="17">
        <v>45538</v>
      </c>
      <c r="D2020" s="15" t="s">
        <v>6241</v>
      </c>
      <c r="E2020" s="18" t="s">
        <v>954</v>
      </c>
      <c r="F2020" s="19" t="s">
        <v>4813</v>
      </c>
      <c r="G2020" s="18" t="s">
        <v>4814</v>
      </c>
      <c r="H2020" s="20" t="s">
        <v>5163</v>
      </c>
      <c r="I2020" s="15">
        <v>1</v>
      </c>
      <c r="J2020" s="15" t="s">
        <v>23</v>
      </c>
      <c r="K2020" s="15"/>
      <c r="L2020" s="21" t="s">
        <v>16</v>
      </c>
      <c r="M2020" s="22">
        <v>0</v>
      </c>
      <c r="N2020" s="22">
        <v>-660</v>
      </c>
      <c r="O2020" s="22">
        <v>5940</v>
      </c>
      <c r="P2020" s="22">
        <v>5940</v>
      </c>
      <c r="Q2020" t="str" cm="1">
        <f t="array" ref="Q2020">_xlfn.TEXTJOIN("、",TRUE,IF('學員資料-三民高中'!$B$2:$B$454=$F2020,'學員資料-三民高中'!$G$2:$G$454,""))</f>
        <v>0926712731</v>
      </c>
      <c r="R2020" t="str" cm="1">
        <f t="array" ref="R2020">_xlfn.TEXTJOIN("、",TRUE,IF('學員資料-新北高中'!$B$2:$B$583=$F2020,'學員資料-新北高中'!$G$2:$G$583,""))</f>
        <v/>
      </c>
      <c r="S2020" t="str" cm="1">
        <f t="array" ref="S2020">_xlfn.TEXTJOIN("、",TRUE,IF('學員資料-三重商工'!$B$2:$B$472=$F2020,'學員資料-三重商工'!$G$2:$G$472,""))</f>
        <v/>
      </c>
      <c r="T2020">
        <f t="shared" si="31"/>
        <v>1</v>
      </c>
    </row>
    <row r="2021" spans="1:20" ht="14.25" hidden="1" customHeight="1">
      <c r="A2021" s="15">
        <v>2020</v>
      </c>
      <c r="B2021" s="16" t="s">
        <v>6242</v>
      </c>
      <c r="C2021" s="17">
        <v>45538</v>
      </c>
      <c r="D2021" s="15" t="s">
        <v>6243</v>
      </c>
      <c r="E2021" s="18" t="s">
        <v>954</v>
      </c>
      <c r="F2021" s="19" t="s">
        <v>4171</v>
      </c>
      <c r="G2021" s="18" t="s">
        <v>4172</v>
      </c>
      <c r="H2021" s="20" t="s">
        <v>5163</v>
      </c>
      <c r="I2021" s="15">
        <v>1</v>
      </c>
      <c r="J2021" s="15" t="s">
        <v>23</v>
      </c>
      <c r="K2021" s="15"/>
      <c r="L2021" s="21" t="s">
        <v>16</v>
      </c>
      <c r="M2021" s="22">
        <v>0</v>
      </c>
      <c r="N2021" s="22">
        <v>-660</v>
      </c>
      <c r="O2021" s="22">
        <v>5940</v>
      </c>
      <c r="P2021" s="22">
        <v>5940</v>
      </c>
      <c r="Q2021" t="str" cm="1">
        <f t="array" ref="Q2021">_xlfn.TEXTJOIN("、",TRUE,IF('學員資料-三民高中'!$B$2:$B$454=$F2021,'學員資料-三民高中'!$G$2:$G$454,""))</f>
        <v>0920828138</v>
      </c>
      <c r="R2021" t="str" cm="1">
        <f t="array" ref="R2021">_xlfn.TEXTJOIN("、",TRUE,IF('學員資料-新北高中'!$B$2:$B$583=$F2021,'學員資料-新北高中'!$G$2:$G$583,""))</f>
        <v/>
      </c>
      <c r="S2021" t="str" cm="1">
        <f t="array" ref="S2021">_xlfn.TEXTJOIN("、",TRUE,IF('學員資料-三重商工'!$B$2:$B$472=$F2021,'學員資料-三重商工'!$G$2:$G$472,""))</f>
        <v/>
      </c>
      <c r="T2021">
        <f t="shared" si="31"/>
        <v>1</v>
      </c>
    </row>
    <row r="2022" spans="1:20" ht="28.5" hidden="1" customHeight="1">
      <c r="A2022" s="15">
        <v>2021</v>
      </c>
      <c r="B2022" s="16" t="s">
        <v>6244</v>
      </c>
      <c r="C2022" s="17">
        <v>45538</v>
      </c>
      <c r="D2022" s="15" t="s">
        <v>6245</v>
      </c>
      <c r="E2022" s="18" t="s">
        <v>954</v>
      </c>
      <c r="F2022" s="19" t="s">
        <v>6246</v>
      </c>
      <c r="G2022" s="18" t="s">
        <v>6247</v>
      </c>
      <c r="H2022" s="20" t="s">
        <v>5154</v>
      </c>
      <c r="I2022" s="15">
        <v>2</v>
      </c>
      <c r="J2022" s="15" t="s">
        <v>24</v>
      </c>
      <c r="K2022" s="15"/>
      <c r="L2022" s="21" t="s">
        <v>16</v>
      </c>
      <c r="M2022" s="22">
        <v>0</v>
      </c>
      <c r="N2022" s="22">
        <v>-1440</v>
      </c>
      <c r="O2022" s="22">
        <v>12960</v>
      </c>
      <c r="P2022" s="22">
        <v>12960</v>
      </c>
      <c r="Q2022" t="str" cm="1">
        <f t="array" ref="Q2022">_xlfn.TEXTJOIN("、",TRUE,IF('學員資料-三民高中'!$B$2:$B$454=$F2022,'學員資料-三民高中'!$G$2:$G$454,""))</f>
        <v>0911290324</v>
      </c>
      <c r="R2022" t="str" cm="1">
        <f t="array" ref="R2022">_xlfn.TEXTJOIN("、",TRUE,IF('學員資料-新北高中'!$B$2:$B$583=$F2022,'學員資料-新北高中'!$G$2:$G$583,""))</f>
        <v/>
      </c>
      <c r="S2022" t="str" cm="1">
        <f t="array" ref="S2022">_xlfn.TEXTJOIN("、",TRUE,IF('學員資料-三重商工'!$B$2:$B$472=$F2022,'學員資料-三重商工'!$G$2:$G$472,""))</f>
        <v/>
      </c>
      <c r="T2022">
        <f t="shared" si="31"/>
        <v>1</v>
      </c>
    </row>
    <row r="2023" spans="1:20" ht="28.5" hidden="1" customHeight="1">
      <c r="A2023" s="15">
        <v>2022</v>
      </c>
      <c r="B2023" s="16" t="s">
        <v>6248</v>
      </c>
      <c r="C2023" s="17">
        <v>45538</v>
      </c>
      <c r="D2023" s="15" t="s">
        <v>6249</v>
      </c>
      <c r="E2023" s="18" t="s">
        <v>954</v>
      </c>
      <c r="F2023" s="19" t="s">
        <v>6250</v>
      </c>
      <c r="G2023" s="18" t="s">
        <v>6251</v>
      </c>
      <c r="H2023" s="20" t="s">
        <v>5154</v>
      </c>
      <c r="I2023" s="15">
        <v>2</v>
      </c>
      <c r="J2023" s="15" t="s">
        <v>24</v>
      </c>
      <c r="K2023" s="15"/>
      <c r="L2023" s="21" t="s">
        <v>16</v>
      </c>
      <c r="M2023" s="22">
        <v>0</v>
      </c>
      <c r="N2023" s="22">
        <v>-1440</v>
      </c>
      <c r="O2023" s="22">
        <v>12960</v>
      </c>
      <c r="P2023" s="22">
        <v>12960</v>
      </c>
      <c r="Q2023" t="str" cm="1">
        <f t="array" ref="Q2023">_xlfn.TEXTJOIN("、",TRUE,IF('學員資料-三民高中'!$B$2:$B$454=$F2023,'學員資料-三民高中'!$G$2:$G$454,""))</f>
        <v>0952708916</v>
      </c>
      <c r="R2023" t="str" cm="1">
        <f t="array" ref="R2023">_xlfn.TEXTJOIN("、",TRUE,IF('學員資料-新北高中'!$B$2:$B$583=$F2023,'學員資料-新北高中'!$G$2:$G$583,""))</f>
        <v/>
      </c>
      <c r="S2023" t="str" cm="1">
        <f t="array" ref="S2023">_xlfn.TEXTJOIN("、",TRUE,IF('學員資料-三重商工'!$B$2:$B$472=$F2023,'學員資料-三重商工'!$G$2:$G$472,""))</f>
        <v/>
      </c>
      <c r="T2023">
        <f t="shared" si="31"/>
        <v>1</v>
      </c>
    </row>
    <row r="2024" spans="1:20" ht="14.25" hidden="1" customHeight="1">
      <c r="A2024" s="15">
        <v>2023</v>
      </c>
      <c r="B2024" s="16" t="s">
        <v>6252</v>
      </c>
      <c r="C2024" s="17">
        <v>45538</v>
      </c>
      <c r="D2024" s="15" t="s">
        <v>6253</v>
      </c>
      <c r="E2024" s="18" t="s">
        <v>954</v>
      </c>
      <c r="F2024" s="19" t="s">
        <v>6254</v>
      </c>
      <c r="G2024" s="18" t="s">
        <v>6255</v>
      </c>
      <c r="H2024" s="20" t="s">
        <v>5148</v>
      </c>
      <c r="I2024" s="15">
        <v>1</v>
      </c>
      <c r="J2024" s="15" t="s">
        <v>25</v>
      </c>
      <c r="K2024" s="15"/>
      <c r="L2024" s="21" t="s">
        <v>16</v>
      </c>
      <c r="M2024" s="22">
        <v>0</v>
      </c>
      <c r="N2024" s="22">
        <v>-1080</v>
      </c>
      <c r="O2024" s="22">
        <v>7920</v>
      </c>
      <c r="P2024" s="22">
        <v>7920</v>
      </c>
      <c r="Q2024" t="str" cm="1">
        <f t="array" ref="Q2024">_xlfn.TEXTJOIN("、",TRUE,IF('學員資料-三民高中'!$B$2:$B$454=$F2024,'學員資料-三民高中'!$G$2:$G$454,""))</f>
        <v/>
      </c>
      <c r="R2024" t="str" cm="1">
        <f t="array" ref="R2024">_xlfn.TEXTJOIN("、",TRUE,IF('學員資料-新北高中'!$B$2:$B$583=$F2024,'學員資料-新北高中'!$G$2:$G$583,""))</f>
        <v/>
      </c>
      <c r="S2024" t="str" cm="1">
        <f t="array" ref="S2024">_xlfn.TEXTJOIN("、",TRUE,IF('學員資料-三重商工'!$B$2:$B$472=$F2024,'學員資料-三重商工'!$G$2:$G$472,""))</f>
        <v>0952189532-1</v>
      </c>
      <c r="T2024">
        <f t="shared" si="31"/>
        <v>1</v>
      </c>
    </row>
    <row r="2025" spans="1:20" ht="14.25" hidden="1" customHeight="1">
      <c r="A2025" s="15">
        <v>2024</v>
      </c>
      <c r="B2025" s="16" t="s">
        <v>6256</v>
      </c>
      <c r="C2025" s="17">
        <v>45538</v>
      </c>
      <c r="D2025" s="15" t="s">
        <v>6257</v>
      </c>
      <c r="E2025" s="18" t="s">
        <v>954</v>
      </c>
      <c r="F2025" s="19" t="s">
        <v>6258</v>
      </c>
      <c r="G2025" s="18" t="s">
        <v>6259</v>
      </c>
      <c r="H2025" s="20" t="s">
        <v>5163</v>
      </c>
      <c r="I2025" s="15">
        <v>1</v>
      </c>
      <c r="J2025" s="15" t="s">
        <v>23</v>
      </c>
      <c r="K2025" s="15"/>
      <c r="L2025" s="21" t="s">
        <v>16</v>
      </c>
      <c r="M2025" s="22">
        <v>0</v>
      </c>
      <c r="N2025" s="22">
        <v>-2640</v>
      </c>
      <c r="O2025" s="22">
        <v>3960</v>
      </c>
      <c r="P2025" s="22">
        <v>3960</v>
      </c>
      <c r="Q2025" t="str" cm="1">
        <f t="array" ref="Q2025">_xlfn.TEXTJOIN("、",TRUE,IF('學員資料-三民高中'!$B$2:$B$454=$F2025,'學員資料-三民高中'!$G$2:$G$454,""))</f>
        <v/>
      </c>
      <c r="R2025" t="str" cm="1">
        <f t="array" ref="R2025">_xlfn.TEXTJOIN("、",TRUE,IF('學員資料-新北高中'!$B$2:$B$583=$F2025,'學員資料-新北高中'!$G$2:$G$583,""))</f>
        <v/>
      </c>
      <c r="S2025" t="str" cm="1">
        <f t="array" ref="S2025">_xlfn.TEXTJOIN("、",TRUE,IF('學員資料-三重商工'!$B$2:$B$472=$F2025,'學員資料-三重商工'!$G$2:$G$472,""))</f>
        <v>0939662224</v>
      </c>
      <c r="T2025">
        <f t="shared" si="31"/>
        <v>1</v>
      </c>
    </row>
    <row r="2026" spans="1:20" ht="14.25" hidden="1" customHeight="1">
      <c r="A2026" s="15">
        <v>2025</v>
      </c>
      <c r="B2026" s="16" t="s">
        <v>6260</v>
      </c>
      <c r="C2026" s="17">
        <v>45538</v>
      </c>
      <c r="D2026" s="15" t="s">
        <v>6261</v>
      </c>
      <c r="E2026" s="18" t="s">
        <v>954</v>
      </c>
      <c r="F2026" s="19" t="s">
        <v>6262</v>
      </c>
      <c r="G2026" s="18" t="s">
        <v>6263</v>
      </c>
      <c r="H2026" s="20" t="s">
        <v>5131</v>
      </c>
      <c r="I2026" s="15">
        <v>1</v>
      </c>
      <c r="J2026" s="15" t="s">
        <v>24</v>
      </c>
      <c r="K2026" s="15"/>
      <c r="L2026" s="21" t="s">
        <v>16</v>
      </c>
      <c r="M2026" s="22">
        <v>0</v>
      </c>
      <c r="N2026" s="22">
        <v>-720</v>
      </c>
      <c r="O2026" s="22">
        <v>6480</v>
      </c>
      <c r="P2026" s="22">
        <v>6480</v>
      </c>
      <c r="Q2026" t="str" cm="1">
        <f t="array" ref="Q2026">_xlfn.TEXTJOIN("、",TRUE,IF('學員資料-三民高中'!$B$2:$B$454=$F2026,'學員資料-三民高中'!$G$2:$G$454,""))</f>
        <v/>
      </c>
      <c r="R2026" t="str" cm="1">
        <f t="array" ref="R2026">_xlfn.TEXTJOIN("、",TRUE,IF('學員資料-新北高中'!$B$2:$B$583=$F2026,'學員資料-新北高中'!$G$2:$G$583,""))</f>
        <v/>
      </c>
      <c r="S2026" t="str" cm="1">
        <f t="array" ref="S2026">_xlfn.TEXTJOIN("、",TRUE,IF('學員資料-三重商工'!$B$2:$B$472=$F2026,'學員資料-三重商工'!$G$2:$G$472,""))</f>
        <v>0905371750</v>
      </c>
      <c r="T2026">
        <f t="shared" si="31"/>
        <v>1</v>
      </c>
    </row>
    <row r="2027" spans="1:20" ht="14.25" hidden="1" customHeight="1">
      <c r="A2027" s="15">
        <v>2026</v>
      </c>
      <c r="B2027" s="16" t="s">
        <v>6264</v>
      </c>
      <c r="C2027" s="17">
        <v>45538</v>
      </c>
      <c r="D2027" s="15" t="s">
        <v>6265</v>
      </c>
      <c r="E2027" s="18" t="s">
        <v>954</v>
      </c>
      <c r="F2027" s="19" t="s">
        <v>4956</v>
      </c>
      <c r="G2027" s="18" t="s">
        <v>4957</v>
      </c>
      <c r="H2027" s="20" t="s">
        <v>5131</v>
      </c>
      <c r="I2027" s="15">
        <v>1</v>
      </c>
      <c r="J2027" s="15" t="s">
        <v>24</v>
      </c>
      <c r="K2027" s="15"/>
      <c r="L2027" s="21" t="s">
        <v>16</v>
      </c>
      <c r="M2027" s="22">
        <v>0</v>
      </c>
      <c r="N2027" s="22">
        <v>-720</v>
      </c>
      <c r="O2027" s="22">
        <v>6480</v>
      </c>
      <c r="P2027" s="22">
        <v>6480</v>
      </c>
      <c r="Q2027" t="str" cm="1">
        <f t="array" ref="Q2027">_xlfn.TEXTJOIN("、",TRUE,IF('學員資料-三民高中'!$B$2:$B$454=$F2027,'學員資料-三民高中'!$G$2:$G$454,""))</f>
        <v/>
      </c>
      <c r="R2027" t="str" cm="1">
        <f t="array" ref="R2027">_xlfn.TEXTJOIN("、",TRUE,IF('學員資料-新北高中'!$B$2:$B$583=$F2027,'學員資料-新北高中'!$G$2:$G$583,""))</f>
        <v/>
      </c>
      <c r="S2027" t="str" cm="1">
        <f t="array" ref="S2027">_xlfn.TEXTJOIN("、",TRUE,IF('學員資料-三重商工'!$B$2:$B$472=$F2027,'學員資料-三重商工'!$G$2:$G$472,""))</f>
        <v>0913635907</v>
      </c>
      <c r="T2027">
        <f t="shared" si="31"/>
        <v>1</v>
      </c>
    </row>
    <row r="2028" spans="1:20" ht="14.25" hidden="1" customHeight="1">
      <c r="A2028" s="15">
        <v>2027</v>
      </c>
      <c r="B2028" s="16" t="s">
        <v>6266</v>
      </c>
      <c r="C2028" s="17">
        <v>45538</v>
      </c>
      <c r="D2028" s="15" t="s">
        <v>1634</v>
      </c>
      <c r="E2028" s="18" t="s">
        <v>954</v>
      </c>
      <c r="F2028" s="19" t="s">
        <v>3484</v>
      </c>
      <c r="G2028" s="18" t="s">
        <v>3485</v>
      </c>
      <c r="H2028" s="20" t="s">
        <v>5131</v>
      </c>
      <c r="I2028" s="15">
        <v>1</v>
      </c>
      <c r="J2028" s="15" t="s">
        <v>24</v>
      </c>
      <c r="K2028" s="15"/>
      <c r="L2028" s="21" t="s">
        <v>16</v>
      </c>
      <c r="M2028" s="22">
        <v>0</v>
      </c>
      <c r="N2028" s="22">
        <v>-720</v>
      </c>
      <c r="O2028" s="22">
        <v>6480</v>
      </c>
      <c r="P2028" s="22">
        <v>6480</v>
      </c>
      <c r="Q2028" t="str" cm="1">
        <f t="array" ref="Q2028">_xlfn.TEXTJOIN("、",TRUE,IF('學員資料-三民高中'!$B$2:$B$454=$F2028,'學員資料-三民高中'!$G$2:$G$454,""))</f>
        <v/>
      </c>
      <c r="R2028" t="str" cm="1">
        <f t="array" ref="R2028">_xlfn.TEXTJOIN("、",TRUE,IF('學員資料-新北高中'!$B$2:$B$583=$F2028,'學員資料-新北高中'!$G$2:$G$583,""))</f>
        <v/>
      </c>
      <c r="S2028" t="str" cm="1">
        <f t="array" ref="S2028">_xlfn.TEXTJOIN("、",TRUE,IF('學員資料-三重商工'!$B$2:$B$472=$F2028,'學員資料-三重商工'!$G$2:$G$472,""))</f>
        <v>0919501937</v>
      </c>
      <c r="T2028">
        <f t="shared" si="31"/>
        <v>1</v>
      </c>
    </row>
    <row r="2029" spans="1:20" ht="72" hidden="1" customHeight="1">
      <c r="A2029" s="15">
        <v>2028</v>
      </c>
      <c r="B2029" s="16" t="s">
        <v>6267</v>
      </c>
      <c r="C2029" s="17">
        <v>45538</v>
      </c>
      <c r="D2029" s="15" t="s">
        <v>6268</v>
      </c>
      <c r="E2029" s="18" t="s">
        <v>954</v>
      </c>
      <c r="F2029" s="19" t="s">
        <v>6269</v>
      </c>
      <c r="G2029" s="18" t="s">
        <v>6270</v>
      </c>
      <c r="H2029" s="20" t="s">
        <v>5199</v>
      </c>
      <c r="I2029" s="15">
        <v>5</v>
      </c>
      <c r="J2029" s="15" t="s">
        <v>24</v>
      </c>
      <c r="K2029" s="15"/>
      <c r="L2029" s="21" t="s">
        <v>16</v>
      </c>
      <c r="M2029" s="22">
        <v>0</v>
      </c>
      <c r="N2029" s="22">
        <v>-4320</v>
      </c>
      <c r="O2029" s="22">
        <v>38880</v>
      </c>
      <c r="P2029" s="22">
        <v>38880</v>
      </c>
      <c r="Q2029" t="str" cm="1">
        <f t="array" ref="Q2029">_xlfn.TEXTJOIN("、",TRUE,IF('學員資料-三民高中'!$B$2:$B$454=$F2029,'學員資料-三民高中'!$G$2:$G$454,""))</f>
        <v/>
      </c>
      <c r="R2029" t="str" cm="1">
        <f t="array" ref="R2029">_xlfn.TEXTJOIN("、",TRUE,IF('學員資料-新北高中'!$B$2:$B$583=$F2029,'學員資料-新北高中'!$G$2:$G$583,""))</f>
        <v/>
      </c>
      <c r="S2029" t="str" cm="1">
        <f t="array" ref="S2029">_xlfn.TEXTJOIN("、",TRUE,IF('學員資料-三重商工'!$B$2:$B$472=$F2029,'學員資料-三重商工'!$G$2:$G$472,""))</f>
        <v>0937088872</v>
      </c>
      <c r="T2029">
        <f t="shared" si="31"/>
        <v>1</v>
      </c>
    </row>
    <row r="2030" spans="1:20" ht="14.25" hidden="1" customHeight="1">
      <c r="A2030" s="15">
        <v>2029</v>
      </c>
      <c r="B2030" s="16" t="s">
        <v>6271</v>
      </c>
      <c r="C2030" s="17">
        <v>45537</v>
      </c>
      <c r="D2030" s="15" t="s">
        <v>6272</v>
      </c>
      <c r="E2030" s="18" t="s">
        <v>954</v>
      </c>
      <c r="F2030" s="19" t="s">
        <v>6273</v>
      </c>
      <c r="G2030" s="18" t="s">
        <v>6274</v>
      </c>
      <c r="H2030" s="20" t="s">
        <v>5131</v>
      </c>
      <c r="I2030" s="15">
        <v>1</v>
      </c>
      <c r="J2030" s="15" t="s">
        <v>24</v>
      </c>
      <c r="K2030" s="15"/>
      <c r="L2030" s="21" t="s">
        <v>16</v>
      </c>
      <c r="M2030" s="22">
        <v>0</v>
      </c>
      <c r="N2030" s="22">
        <v>-720</v>
      </c>
      <c r="O2030" s="22">
        <v>6480</v>
      </c>
      <c r="P2030" s="22">
        <v>6480</v>
      </c>
      <c r="Q2030" t="str" cm="1">
        <f t="array" ref="Q2030">_xlfn.TEXTJOIN("、",TRUE,IF('學員資料-三民高中'!$B$2:$B$454=$F2030,'學員資料-三民高中'!$G$2:$G$454,""))</f>
        <v/>
      </c>
      <c r="R2030" t="str" cm="1">
        <f t="array" ref="R2030">_xlfn.TEXTJOIN("、",TRUE,IF('學員資料-新北高中'!$B$2:$B$583=$F2030,'學員資料-新北高中'!$G$2:$G$583,""))</f>
        <v>0933819916</v>
      </c>
      <c r="S2030" t="str" cm="1">
        <f t="array" ref="S2030">_xlfn.TEXTJOIN("、",TRUE,IF('學員資料-三重商工'!$B$2:$B$472=$F2030,'學員資料-三重商工'!$G$2:$G$472,""))</f>
        <v/>
      </c>
      <c r="T2030">
        <f t="shared" si="31"/>
        <v>1</v>
      </c>
    </row>
    <row r="2031" spans="1:20" ht="14.25" hidden="1" customHeight="1">
      <c r="A2031" s="15">
        <v>2030</v>
      </c>
      <c r="B2031" s="16" t="s">
        <v>6275</v>
      </c>
      <c r="C2031" s="17">
        <v>45537</v>
      </c>
      <c r="D2031" s="15" t="s">
        <v>6276</v>
      </c>
      <c r="E2031" s="18" t="s">
        <v>954</v>
      </c>
      <c r="F2031" s="19" t="s">
        <v>5122</v>
      </c>
      <c r="G2031" s="18" t="s">
        <v>5123</v>
      </c>
      <c r="H2031" s="20" t="s">
        <v>683</v>
      </c>
      <c r="I2031" s="15">
        <v>1</v>
      </c>
      <c r="J2031" s="15" t="s">
        <v>23</v>
      </c>
      <c r="K2031" s="15"/>
      <c r="L2031" s="21" t="s">
        <v>16</v>
      </c>
      <c r="M2031" s="22">
        <v>0</v>
      </c>
      <c r="N2031" s="22">
        <v>-900</v>
      </c>
      <c r="O2031" s="22">
        <v>8100</v>
      </c>
      <c r="P2031" s="22">
        <v>8100</v>
      </c>
      <c r="Q2031" t="str" cm="1">
        <f t="array" ref="Q2031">_xlfn.TEXTJOIN("、",TRUE,IF('學員資料-三民高中'!$B$2:$B$454=$F2031,'學員資料-三民高中'!$G$2:$G$454,""))</f>
        <v/>
      </c>
      <c r="R2031" t="str" cm="1">
        <f t="array" ref="R2031">_xlfn.TEXTJOIN("、",TRUE,IF('學員資料-新北高中'!$B$2:$B$583=$F2031,'學員資料-新北高中'!$G$2:$G$583,""))</f>
        <v/>
      </c>
      <c r="S2031" t="str" cm="1">
        <f t="array" ref="S2031">_xlfn.TEXTJOIN("、",TRUE,IF('學員資料-三重商工'!$B$2:$B$472=$F2031,'學員資料-三重商工'!$G$2:$G$472,""))</f>
        <v>0928817342</v>
      </c>
      <c r="T2031">
        <f t="shared" si="31"/>
        <v>1</v>
      </c>
    </row>
    <row r="2032" spans="1:20" ht="14.25" hidden="1" customHeight="1">
      <c r="A2032" s="15">
        <v>2031</v>
      </c>
      <c r="B2032" s="16" t="s">
        <v>6277</v>
      </c>
      <c r="C2032" s="17">
        <v>45537</v>
      </c>
      <c r="D2032" s="15" t="s">
        <v>6278</v>
      </c>
      <c r="E2032" s="18" t="s">
        <v>954</v>
      </c>
      <c r="F2032" s="19" t="s">
        <v>4864</v>
      </c>
      <c r="G2032" s="18" t="s">
        <v>4865</v>
      </c>
      <c r="H2032" s="20" t="s">
        <v>5163</v>
      </c>
      <c r="I2032" s="15">
        <v>1</v>
      </c>
      <c r="J2032" s="15" t="s">
        <v>23</v>
      </c>
      <c r="K2032" s="15"/>
      <c r="L2032" s="21" t="s">
        <v>16</v>
      </c>
      <c r="M2032" s="22">
        <v>0</v>
      </c>
      <c r="N2032" s="22">
        <v>-660</v>
      </c>
      <c r="O2032" s="22">
        <v>5940</v>
      </c>
      <c r="P2032" s="22">
        <v>5940</v>
      </c>
      <c r="Q2032" t="str" cm="1">
        <f t="array" ref="Q2032">_xlfn.TEXTJOIN("、",TRUE,IF('學員資料-三民高中'!$B$2:$B$454=$F2032,'學員資料-三民高中'!$G$2:$G$454,""))</f>
        <v/>
      </c>
      <c r="R2032" t="str" cm="1">
        <f t="array" ref="R2032">_xlfn.TEXTJOIN("、",TRUE,IF('學員資料-新北高中'!$B$2:$B$583=$F2032,'學員資料-新北高中'!$G$2:$G$583,""))</f>
        <v>0987308814</v>
      </c>
      <c r="S2032" t="str" cm="1">
        <f t="array" ref="S2032">_xlfn.TEXTJOIN("、",TRUE,IF('學員資料-三重商工'!$B$2:$B$472=$F2032,'學員資料-三重商工'!$G$2:$G$472,""))</f>
        <v/>
      </c>
      <c r="T2032">
        <f t="shared" si="31"/>
        <v>1</v>
      </c>
    </row>
    <row r="2033" spans="1:20" ht="43.5" hidden="1" customHeight="1">
      <c r="A2033" s="15">
        <v>2032</v>
      </c>
      <c r="B2033" s="16" t="s">
        <v>6279</v>
      </c>
      <c r="C2033" s="17">
        <v>45537</v>
      </c>
      <c r="D2033" s="15" t="s">
        <v>6280</v>
      </c>
      <c r="E2033" s="18" t="s">
        <v>954</v>
      </c>
      <c r="F2033" s="19" t="s">
        <v>6273</v>
      </c>
      <c r="G2033" s="18" t="s">
        <v>6274</v>
      </c>
      <c r="H2033" s="20" t="s">
        <v>5436</v>
      </c>
      <c r="I2033" s="15">
        <v>3</v>
      </c>
      <c r="J2033" s="15" t="s">
        <v>24</v>
      </c>
      <c r="K2033" s="15"/>
      <c r="L2033" s="21" t="s">
        <v>16</v>
      </c>
      <c r="M2033" s="22">
        <v>0</v>
      </c>
      <c r="N2033" s="22">
        <v>-2160</v>
      </c>
      <c r="O2033" s="22">
        <v>19440</v>
      </c>
      <c r="P2033" s="22">
        <v>19440</v>
      </c>
      <c r="Q2033" t="str" cm="1">
        <f t="array" ref="Q2033">_xlfn.TEXTJOIN("、",TRUE,IF('學員資料-三民高中'!$B$2:$B$454=$F2033,'學員資料-三民高中'!$G$2:$G$454,""))</f>
        <v/>
      </c>
      <c r="R2033" t="str" cm="1">
        <f t="array" ref="R2033">_xlfn.TEXTJOIN("、",TRUE,IF('學員資料-新北高中'!$B$2:$B$583=$F2033,'學員資料-新北高中'!$G$2:$G$583,""))</f>
        <v>0933819916</v>
      </c>
      <c r="S2033" t="str" cm="1">
        <f t="array" ref="S2033">_xlfn.TEXTJOIN("、",TRUE,IF('學員資料-三重商工'!$B$2:$B$472=$F2033,'學員資料-三重商工'!$G$2:$G$472,""))</f>
        <v/>
      </c>
      <c r="T2033">
        <f t="shared" si="31"/>
        <v>1</v>
      </c>
    </row>
    <row r="2034" spans="1:20" ht="14.25" hidden="1" customHeight="1">
      <c r="A2034" s="15">
        <v>2033</v>
      </c>
      <c r="B2034" s="16" t="s">
        <v>6281</v>
      </c>
      <c r="C2034" s="17">
        <v>45537</v>
      </c>
      <c r="D2034" s="15" t="s">
        <v>6282</v>
      </c>
      <c r="E2034" s="18" t="s">
        <v>3862</v>
      </c>
      <c r="F2034" s="19" t="s">
        <v>3696</v>
      </c>
      <c r="G2034" s="18" t="s">
        <v>6283</v>
      </c>
      <c r="H2034" s="20" t="s">
        <v>5211</v>
      </c>
      <c r="I2034" s="15">
        <v>1</v>
      </c>
      <c r="J2034" s="15" t="s">
        <v>26</v>
      </c>
      <c r="K2034" s="15"/>
      <c r="L2034" s="21" t="s">
        <v>16</v>
      </c>
      <c r="M2034" s="22">
        <v>0</v>
      </c>
      <c r="N2034" s="22">
        <v>-1296</v>
      </c>
      <c r="O2034" s="22">
        <v>9504</v>
      </c>
      <c r="P2034" s="22">
        <v>9504</v>
      </c>
      <c r="Q2034" t="str" cm="1">
        <f t="array" ref="Q2034">_xlfn.TEXTJOIN("、",TRUE,IF('學員資料-三民高中'!$B$2:$B$454=$F2034,'學員資料-三民高中'!$G$2:$G$454,""))</f>
        <v/>
      </c>
      <c r="R2034" t="str" cm="1">
        <f t="array" ref="R2034">_xlfn.TEXTJOIN("、",TRUE,IF('學員資料-新北高中'!$B$2:$B$583=$F2034,'學員資料-新北高中'!$G$2:$G$583,""))</f>
        <v>0918325831</v>
      </c>
      <c r="S2034" t="str" cm="1">
        <f t="array" ref="S2034">_xlfn.TEXTJOIN("、",TRUE,IF('學員資料-三重商工'!$B$2:$B$472=$F2034,'學員資料-三重商工'!$G$2:$G$472,""))</f>
        <v/>
      </c>
      <c r="T2034">
        <f t="shared" si="31"/>
        <v>1</v>
      </c>
    </row>
    <row r="2035" spans="1:20" ht="28.5" hidden="1" customHeight="1">
      <c r="A2035" s="15">
        <v>2034</v>
      </c>
      <c r="B2035" s="16" t="s">
        <v>6284</v>
      </c>
      <c r="C2035" s="17">
        <v>45537</v>
      </c>
      <c r="D2035" s="15" t="s">
        <v>6285</v>
      </c>
      <c r="E2035" s="18" t="s">
        <v>954</v>
      </c>
      <c r="F2035" s="19" t="s">
        <v>6286</v>
      </c>
      <c r="G2035" s="18" t="s">
        <v>6287</v>
      </c>
      <c r="H2035" s="20" t="s">
        <v>5154</v>
      </c>
      <c r="I2035" s="15">
        <v>2</v>
      </c>
      <c r="J2035" s="15" t="s">
        <v>24</v>
      </c>
      <c r="K2035" s="15"/>
      <c r="L2035" s="21" t="s">
        <v>16</v>
      </c>
      <c r="M2035" s="22">
        <v>0</v>
      </c>
      <c r="N2035" s="22">
        <v>-1440</v>
      </c>
      <c r="O2035" s="22">
        <v>12960</v>
      </c>
      <c r="P2035" s="22">
        <v>12960</v>
      </c>
      <c r="Q2035" t="str" cm="1">
        <f t="array" ref="Q2035">_xlfn.TEXTJOIN("、",TRUE,IF('學員資料-三民高中'!$B$2:$B$454=$F2035,'學員資料-三民高中'!$G$2:$G$454,""))</f>
        <v/>
      </c>
      <c r="R2035" t="str" cm="1">
        <f t="array" ref="R2035">_xlfn.TEXTJOIN("、",TRUE,IF('學員資料-新北高中'!$B$2:$B$583=$F2035,'學員資料-新北高中'!$G$2:$G$583,""))</f>
        <v>0922953465</v>
      </c>
      <c r="S2035" t="str" cm="1">
        <f t="array" ref="S2035">_xlfn.TEXTJOIN("、",TRUE,IF('學員資料-三重商工'!$B$2:$B$472=$F2035,'學員資料-三重商工'!$G$2:$G$472,""))</f>
        <v/>
      </c>
      <c r="T2035">
        <f t="shared" si="31"/>
        <v>1</v>
      </c>
    </row>
    <row r="2036" spans="1:20" ht="14.25" hidden="1" customHeight="1">
      <c r="A2036" s="15">
        <v>2035</v>
      </c>
      <c r="B2036" s="16" t="s">
        <v>6288</v>
      </c>
      <c r="C2036" s="17">
        <v>45537</v>
      </c>
      <c r="D2036" s="15" t="s">
        <v>6289</v>
      </c>
      <c r="E2036" s="18" t="s">
        <v>954</v>
      </c>
      <c r="F2036" s="19" t="s">
        <v>5021</v>
      </c>
      <c r="G2036" s="18" t="s">
        <v>5022</v>
      </c>
      <c r="H2036" s="20" t="s">
        <v>5131</v>
      </c>
      <c r="I2036" s="15">
        <v>1</v>
      </c>
      <c r="J2036" s="15" t="s">
        <v>24</v>
      </c>
      <c r="K2036" s="15"/>
      <c r="L2036" s="21" t="s">
        <v>16</v>
      </c>
      <c r="M2036" s="22">
        <v>0</v>
      </c>
      <c r="N2036" s="22">
        <v>-864</v>
      </c>
      <c r="O2036" s="22">
        <v>6336</v>
      </c>
      <c r="P2036" s="22">
        <v>6336</v>
      </c>
      <c r="Q2036" t="str" cm="1">
        <f t="array" ref="Q2036">_xlfn.TEXTJOIN("、",TRUE,IF('學員資料-三民高中'!$B$2:$B$454=$F2036,'學員資料-三民高中'!$G$2:$G$454,""))</f>
        <v/>
      </c>
      <c r="R2036" t="str" cm="1">
        <f t="array" ref="R2036">_xlfn.TEXTJOIN("、",TRUE,IF('學員資料-新北高中'!$B$2:$B$583=$F2036,'學員資料-新北高中'!$G$2:$G$583,""))</f>
        <v>0911221010</v>
      </c>
      <c r="S2036" t="str" cm="1">
        <f t="array" ref="S2036">_xlfn.TEXTJOIN("、",TRUE,IF('學員資料-三重商工'!$B$2:$B$472=$F2036,'學員資料-三重商工'!$G$2:$G$472,""))</f>
        <v/>
      </c>
      <c r="T2036">
        <f t="shared" si="31"/>
        <v>1</v>
      </c>
    </row>
    <row r="2037" spans="1:20" ht="14.25" hidden="1" customHeight="1">
      <c r="A2037" s="15">
        <v>2036</v>
      </c>
      <c r="B2037" s="16" t="s">
        <v>6290</v>
      </c>
      <c r="C2037" s="17">
        <v>45536</v>
      </c>
      <c r="D2037" s="15" t="s">
        <v>6291</v>
      </c>
      <c r="E2037" s="18" t="s">
        <v>954</v>
      </c>
      <c r="F2037" s="19" t="s">
        <v>6292</v>
      </c>
      <c r="G2037" s="18" t="s">
        <v>6293</v>
      </c>
      <c r="H2037" s="20" t="s">
        <v>5163</v>
      </c>
      <c r="I2037" s="15">
        <v>1</v>
      </c>
      <c r="J2037" s="15" t="s">
        <v>23</v>
      </c>
      <c r="K2037" s="15"/>
      <c r="L2037" s="21" t="s">
        <v>16</v>
      </c>
      <c r="M2037" s="22">
        <v>0</v>
      </c>
      <c r="N2037" s="22">
        <v>0</v>
      </c>
      <c r="O2037" s="22">
        <v>6600</v>
      </c>
      <c r="P2037" s="22">
        <v>6600</v>
      </c>
      <c r="Q2037" t="str" cm="1">
        <f t="array" ref="Q2037">_xlfn.TEXTJOIN("、",TRUE,IF('學員資料-三民高中'!$B$2:$B$454=$F2037,'學員資料-三民高中'!$G$2:$G$454,""))</f>
        <v/>
      </c>
      <c r="R2037" t="str" cm="1">
        <f t="array" ref="R2037">_xlfn.TEXTJOIN("、",TRUE,IF('學員資料-新北高中'!$B$2:$B$583=$F2037,'學員資料-新北高中'!$G$2:$G$583,""))</f>
        <v>0928802744</v>
      </c>
      <c r="S2037" t="str" cm="1">
        <f t="array" ref="S2037">_xlfn.TEXTJOIN("、",TRUE,IF('學員資料-三重商工'!$B$2:$B$472=$F2037,'學員資料-三重商工'!$G$2:$G$472,""))</f>
        <v/>
      </c>
      <c r="T2037">
        <f t="shared" si="31"/>
        <v>1</v>
      </c>
    </row>
    <row r="2038" spans="1:20" ht="28.5" hidden="1" customHeight="1">
      <c r="A2038" s="15">
        <v>2037</v>
      </c>
      <c r="B2038" s="16" t="s">
        <v>6294</v>
      </c>
      <c r="C2038" s="17">
        <v>45536</v>
      </c>
      <c r="D2038" s="15" t="s">
        <v>6295</v>
      </c>
      <c r="E2038" s="18" t="s">
        <v>954</v>
      </c>
      <c r="F2038" s="19" t="s">
        <v>6296</v>
      </c>
      <c r="G2038" s="18" t="s">
        <v>6297</v>
      </c>
      <c r="H2038" s="20" t="s">
        <v>5154</v>
      </c>
      <c r="I2038" s="15">
        <v>2</v>
      </c>
      <c r="J2038" s="15" t="s">
        <v>24</v>
      </c>
      <c r="K2038" s="15"/>
      <c r="L2038" s="21" t="s">
        <v>16</v>
      </c>
      <c r="M2038" s="22">
        <v>0</v>
      </c>
      <c r="N2038" s="22">
        <v>-1440</v>
      </c>
      <c r="O2038" s="22">
        <v>12960</v>
      </c>
      <c r="P2038" s="22">
        <v>12960</v>
      </c>
      <c r="Q2038" t="str" cm="1">
        <f t="array" ref="Q2038">_xlfn.TEXTJOIN("、",TRUE,IF('學員資料-三民高中'!$B$2:$B$454=$F2038,'學員資料-三民高中'!$G$2:$G$454,""))</f>
        <v/>
      </c>
      <c r="R2038" t="str" cm="1">
        <f t="array" ref="R2038">_xlfn.TEXTJOIN("、",TRUE,IF('學員資料-新北高中'!$B$2:$B$583=$F2038,'學員資料-新北高中'!$G$2:$G$583,""))</f>
        <v>07050422</v>
      </c>
      <c r="S2038" t="str" cm="1">
        <f t="array" ref="S2038">_xlfn.TEXTJOIN("、",TRUE,IF('學員資料-三重商工'!$B$2:$B$472=$F2038,'學員資料-三重商工'!$G$2:$G$472,""))</f>
        <v/>
      </c>
      <c r="T2038">
        <f t="shared" si="31"/>
        <v>1</v>
      </c>
    </row>
    <row r="2039" spans="1:20" ht="14.25" hidden="1" customHeight="1">
      <c r="A2039" s="15">
        <v>2038</v>
      </c>
      <c r="B2039" s="16" t="s">
        <v>6298</v>
      </c>
      <c r="C2039" s="17">
        <v>45536</v>
      </c>
      <c r="D2039" s="15" t="s">
        <v>6299</v>
      </c>
      <c r="E2039" s="18" t="s">
        <v>954</v>
      </c>
      <c r="F2039" s="19" t="s">
        <v>6300</v>
      </c>
      <c r="G2039" s="18" t="s">
        <v>6301</v>
      </c>
      <c r="H2039" s="20" t="s">
        <v>266</v>
      </c>
      <c r="I2039" s="15">
        <v>1</v>
      </c>
      <c r="J2039" s="15" t="s">
        <v>24</v>
      </c>
      <c r="K2039" s="15"/>
      <c r="L2039" s="21" t="s">
        <v>16</v>
      </c>
      <c r="M2039" s="22">
        <v>0</v>
      </c>
      <c r="N2039" s="22">
        <v>-1080</v>
      </c>
      <c r="O2039" s="22">
        <v>9720</v>
      </c>
      <c r="P2039" s="22">
        <v>9720</v>
      </c>
      <c r="Q2039" t="str" cm="1">
        <f t="array" ref="Q2039">_xlfn.TEXTJOIN("、",TRUE,IF('學員資料-三民高中'!$B$2:$B$454=$F2039,'學員資料-三民高中'!$G$2:$G$454,""))</f>
        <v/>
      </c>
      <c r="R2039" t="str" cm="1">
        <f t="array" ref="R2039">_xlfn.TEXTJOIN("、",TRUE,IF('學員資料-新北高中'!$B$2:$B$583=$F2039,'學員資料-新北高中'!$G$2:$G$583,""))</f>
        <v>0952117685</v>
      </c>
      <c r="S2039" t="str" cm="1">
        <f t="array" ref="S2039">_xlfn.TEXTJOIN("、",TRUE,IF('學員資料-三重商工'!$B$2:$B$472=$F2039,'學員資料-三重商工'!$G$2:$G$472,""))</f>
        <v/>
      </c>
      <c r="T2039">
        <f t="shared" si="31"/>
        <v>1</v>
      </c>
    </row>
    <row r="2040" spans="1:20" ht="14.25" hidden="1" customHeight="1">
      <c r="A2040" s="15">
        <v>2039</v>
      </c>
      <c r="B2040" s="16" t="s">
        <v>6302</v>
      </c>
      <c r="C2040" s="17">
        <v>45536</v>
      </c>
      <c r="D2040" s="15" t="s">
        <v>6303</v>
      </c>
      <c r="E2040" s="18" t="s">
        <v>954</v>
      </c>
      <c r="F2040" s="19" t="s">
        <v>5637</v>
      </c>
      <c r="G2040" s="18" t="s">
        <v>5638</v>
      </c>
      <c r="H2040" s="20" t="s">
        <v>5211</v>
      </c>
      <c r="I2040" s="15">
        <v>1</v>
      </c>
      <c r="J2040" s="15" t="s">
        <v>26</v>
      </c>
      <c r="K2040" s="15"/>
      <c r="L2040" s="21" t="s">
        <v>16</v>
      </c>
      <c r="M2040" s="22">
        <v>0</v>
      </c>
      <c r="N2040" s="22">
        <v>-1296</v>
      </c>
      <c r="O2040" s="22">
        <v>9504</v>
      </c>
      <c r="P2040" s="22">
        <v>9504</v>
      </c>
      <c r="Q2040" t="str" cm="1">
        <f t="array" ref="Q2040">_xlfn.TEXTJOIN("、",TRUE,IF('學員資料-三民高中'!$B$2:$B$454=$F2040,'學員資料-三民高中'!$G$2:$G$454,""))</f>
        <v/>
      </c>
      <c r="R2040" t="str" cm="1">
        <f t="array" ref="R2040">_xlfn.TEXTJOIN("、",TRUE,IF('學員資料-新北高中'!$B$2:$B$583=$F2040,'學員資料-新北高中'!$G$2:$G$583,""))</f>
        <v>0919176532</v>
      </c>
      <c r="S2040" t="str" cm="1">
        <f t="array" ref="S2040">_xlfn.TEXTJOIN("、",TRUE,IF('學員資料-三重商工'!$B$2:$B$472=$F2040,'學員資料-三重商工'!$G$2:$G$472,""))</f>
        <v/>
      </c>
      <c r="T2040">
        <f t="shared" si="31"/>
        <v>1</v>
      </c>
    </row>
    <row r="2041" spans="1:20" ht="14.25" hidden="1" customHeight="1">
      <c r="A2041" s="15">
        <v>2040</v>
      </c>
      <c r="B2041" s="16" t="s">
        <v>6304</v>
      </c>
      <c r="C2041" s="17">
        <v>45536</v>
      </c>
      <c r="D2041" s="15" t="s">
        <v>6305</v>
      </c>
      <c r="E2041" s="18" t="s">
        <v>954</v>
      </c>
      <c r="F2041" s="19" t="s">
        <v>6306</v>
      </c>
      <c r="G2041" s="18" t="s">
        <v>6307</v>
      </c>
      <c r="H2041" s="20" t="s">
        <v>266</v>
      </c>
      <c r="I2041" s="15">
        <v>1</v>
      </c>
      <c r="J2041" s="15" t="s">
        <v>24</v>
      </c>
      <c r="K2041" s="15"/>
      <c r="L2041" s="21" t="s">
        <v>16</v>
      </c>
      <c r="M2041" s="22">
        <v>0</v>
      </c>
      <c r="N2041" s="22">
        <v>-1080</v>
      </c>
      <c r="O2041" s="22">
        <v>9720</v>
      </c>
      <c r="P2041" s="22">
        <v>9720</v>
      </c>
      <c r="Q2041" t="str" cm="1">
        <f t="array" ref="Q2041">_xlfn.TEXTJOIN("、",TRUE,IF('學員資料-三民高中'!$B$2:$B$454=$F2041,'學員資料-三民高中'!$G$2:$G$454,""))</f>
        <v/>
      </c>
      <c r="R2041" t="str" cm="1">
        <f t="array" ref="R2041">_xlfn.TEXTJOIN("、",TRUE,IF('學員資料-新北高中'!$B$2:$B$583=$F2041,'學員資料-新北高中'!$G$2:$G$583,""))</f>
        <v>AQ0001</v>
      </c>
      <c r="S2041" t="str" cm="1">
        <f t="array" ref="S2041">_xlfn.TEXTJOIN("、",TRUE,IF('學員資料-三重商工'!$B$2:$B$472=$F2041,'學員資料-三重商工'!$G$2:$G$472,""))</f>
        <v/>
      </c>
      <c r="T2041">
        <f t="shared" si="31"/>
        <v>1</v>
      </c>
    </row>
    <row r="2042" spans="1:20" ht="14.25" hidden="1" customHeight="1">
      <c r="A2042" s="15">
        <v>2041</v>
      </c>
      <c r="B2042" s="16" t="s">
        <v>6308</v>
      </c>
      <c r="C2042" s="17">
        <v>45535</v>
      </c>
      <c r="D2042" s="15" t="s">
        <v>6309</v>
      </c>
      <c r="E2042" s="18" t="s">
        <v>954</v>
      </c>
      <c r="F2042" s="19" t="s">
        <v>667</v>
      </c>
      <c r="G2042" s="18" t="s">
        <v>668</v>
      </c>
      <c r="H2042" s="20" t="s">
        <v>5163</v>
      </c>
      <c r="I2042" s="15">
        <v>1</v>
      </c>
      <c r="J2042" s="15" t="s">
        <v>23</v>
      </c>
      <c r="K2042" s="15"/>
      <c r="L2042" s="21" t="s">
        <v>16</v>
      </c>
      <c r="M2042" s="22">
        <v>0</v>
      </c>
      <c r="N2042" s="22">
        <v>0</v>
      </c>
      <c r="O2042" s="22">
        <v>6600</v>
      </c>
      <c r="P2042" s="22">
        <v>6600</v>
      </c>
      <c r="Q2042" t="str" cm="1">
        <f t="array" ref="Q2042">_xlfn.TEXTJOIN("、",TRUE,IF('學員資料-三民高中'!$B$2:$B$454=$F2042,'學員資料-三民高中'!$G$2:$G$454,""))</f>
        <v/>
      </c>
      <c r="R2042" t="str" cm="1">
        <f t="array" ref="R2042">_xlfn.TEXTJOIN("、",TRUE,IF('學員資料-新北高中'!$B$2:$B$583=$F2042,'學員資料-新北高中'!$G$2:$G$583,""))</f>
        <v>0928827113(1)</v>
      </c>
      <c r="S2042" t="str" cm="1">
        <f t="array" ref="S2042">_xlfn.TEXTJOIN("、",TRUE,IF('學員資料-三重商工'!$B$2:$B$472=$F2042,'學員資料-三重商工'!$G$2:$G$472,""))</f>
        <v/>
      </c>
      <c r="T2042">
        <f t="shared" si="31"/>
        <v>1</v>
      </c>
    </row>
    <row r="2043" spans="1:20" ht="72" hidden="1" customHeight="1">
      <c r="A2043" s="15">
        <v>2042</v>
      </c>
      <c r="B2043" s="16" t="s">
        <v>6310</v>
      </c>
      <c r="C2043" s="17">
        <v>45535</v>
      </c>
      <c r="D2043" s="15" t="s">
        <v>6311</v>
      </c>
      <c r="E2043" s="18" t="s">
        <v>954</v>
      </c>
      <c r="F2043" s="19" t="s">
        <v>2104</v>
      </c>
      <c r="G2043" s="18" t="s">
        <v>2105</v>
      </c>
      <c r="H2043" s="20" t="s">
        <v>2033</v>
      </c>
      <c r="I2043" s="15">
        <v>5</v>
      </c>
      <c r="J2043" s="15" t="s">
        <v>23</v>
      </c>
      <c r="K2043" s="15"/>
      <c r="L2043" s="21" t="s">
        <v>16</v>
      </c>
      <c r="M2043" s="22">
        <v>0</v>
      </c>
      <c r="N2043" s="22">
        <v>0</v>
      </c>
      <c r="O2043" s="22">
        <v>45000</v>
      </c>
      <c r="P2043" s="22">
        <v>45000</v>
      </c>
      <c r="Q2043" t="str" cm="1">
        <f t="array" ref="Q2043">_xlfn.TEXTJOIN("、",TRUE,IF('學員資料-三民高中'!$B$2:$B$454=$F2043,'學員資料-三民高中'!$G$2:$G$454,""))</f>
        <v/>
      </c>
      <c r="R2043" t="str" cm="1">
        <f t="array" ref="R2043">_xlfn.TEXTJOIN("、",TRUE,IF('學員資料-新北高中'!$B$2:$B$583=$F2043,'學員資料-新北高中'!$G$2:$G$583,""))</f>
        <v>0916333432</v>
      </c>
      <c r="S2043" t="str" cm="1">
        <f t="array" ref="S2043">_xlfn.TEXTJOIN("、",TRUE,IF('學員資料-三重商工'!$B$2:$B$472=$F2043,'學員資料-三重商工'!$G$2:$G$472,""))</f>
        <v/>
      </c>
      <c r="T2043">
        <f t="shared" si="31"/>
        <v>1</v>
      </c>
    </row>
    <row r="2044" spans="1:20" ht="14.25" hidden="1" customHeight="1">
      <c r="A2044" s="15">
        <v>2043</v>
      </c>
      <c r="B2044" s="16" t="s">
        <v>6312</v>
      </c>
      <c r="C2044" s="17">
        <v>45535</v>
      </c>
      <c r="D2044" s="15" t="s">
        <v>6313</v>
      </c>
      <c r="E2044" s="18" t="s">
        <v>954</v>
      </c>
      <c r="F2044" s="19" t="s">
        <v>6314</v>
      </c>
      <c r="G2044" s="18" t="s">
        <v>6315</v>
      </c>
      <c r="H2044" s="20" t="s">
        <v>5163</v>
      </c>
      <c r="I2044" s="15">
        <v>1</v>
      </c>
      <c r="J2044" s="15" t="s">
        <v>23</v>
      </c>
      <c r="K2044" s="15"/>
      <c r="L2044" s="21" t="s">
        <v>16</v>
      </c>
      <c r="M2044" s="22">
        <v>0</v>
      </c>
      <c r="N2044" s="22">
        <v>0</v>
      </c>
      <c r="O2044" s="22">
        <v>6600</v>
      </c>
      <c r="P2044" s="22">
        <v>6600</v>
      </c>
      <c r="Q2044" t="str" cm="1">
        <f t="array" ref="Q2044">_xlfn.TEXTJOIN("、",TRUE,IF('學員資料-三民高中'!$B$2:$B$454=$F2044,'學員資料-三民高中'!$G$2:$G$454,""))</f>
        <v/>
      </c>
      <c r="R2044" t="str" cm="1">
        <f t="array" ref="R2044">_xlfn.TEXTJOIN("、",TRUE,IF('學員資料-新北高中'!$B$2:$B$583=$F2044,'學員資料-新北高中'!$G$2:$G$583,""))</f>
        <v>0953713335</v>
      </c>
      <c r="S2044" t="str" cm="1">
        <f t="array" ref="S2044">_xlfn.TEXTJOIN("、",TRUE,IF('學員資料-三重商工'!$B$2:$B$472=$F2044,'學員資料-三重商工'!$G$2:$G$472,""))</f>
        <v/>
      </c>
      <c r="T2044">
        <f t="shared" si="31"/>
        <v>1</v>
      </c>
    </row>
    <row r="2045" spans="1:20" ht="14.25" hidden="1" customHeight="1">
      <c r="A2045" s="15">
        <v>2044</v>
      </c>
      <c r="B2045" s="16" t="s">
        <v>6316</v>
      </c>
      <c r="C2045" s="17">
        <v>45535</v>
      </c>
      <c r="D2045" s="15" t="s">
        <v>6317</v>
      </c>
      <c r="E2045" s="18" t="s">
        <v>954</v>
      </c>
      <c r="F2045" s="19" t="s">
        <v>4533</v>
      </c>
      <c r="G2045" s="18" t="s">
        <v>4534</v>
      </c>
      <c r="H2045" s="20" t="s">
        <v>5131</v>
      </c>
      <c r="I2045" s="15">
        <v>1</v>
      </c>
      <c r="J2045" s="15" t="s">
        <v>24</v>
      </c>
      <c r="K2045" s="15"/>
      <c r="L2045" s="21" t="s">
        <v>16</v>
      </c>
      <c r="M2045" s="22">
        <v>0</v>
      </c>
      <c r="N2045" s="22">
        <v>0</v>
      </c>
      <c r="O2045" s="22">
        <v>7200</v>
      </c>
      <c r="P2045" s="22">
        <v>7200</v>
      </c>
      <c r="Q2045" t="str" cm="1">
        <f t="array" ref="Q2045">_xlfn.TEXTJOIN("、",TRUE,IF('學員資料-三民高中'!$B$2:$B$454=$F2045,'學員資料-三民高中'!$G$2:$G$454,""))</f>
        <v/>
      </c>
      <c r="R2045" t="str" cm="1">
        <f t="array" ref="R2045">_xlfn.TEXTJOIN("、",TRUE,IF('學員資料-新北高中'!$B$2:$B$583=$F2045,'學員資料-新北高中'!$G$2:$G$583,""))</f>
        <v>0939590106</v>
      </c>
      <c r="S2045" t="str" cm="1">
        <f t="array" ref="S2045">_xlfn.TEXTJOIN("、",TRUE,IF('學員資料-三重商工'!$B$2:$B$472=$F2045,'學員資料-三重商工'!$G$2:$G$472,""))</f>
        <v/>
      </c>
      <c r="T2045">
        <f t="shared" si="31"/>
        <v>1</v>
      </c>
    </row>
    <row r="2046" spans="1:20" ht="14.25" hidden="1" customHeight="1">
      <c r="A2046" s="15">
        <v>2045</v>
      </c>
      <c r="B2046" s="16" t="s">
        <v>6318</v>
      </c>
      <c r="C2046" s="17">
        <v>45535</v>
      </c>
      <c r="D2046" s="15" t="s">
        <v>6319</v>
      </c>
      <c r="E2046" s="18" t="s">
        <v>954</v>
      </c>
      <c r="F2046" s="19" t="s">
        <v>6320</v>
      </c>
      <c r="G2046" s="18" t="s">
        <v>6321</v>
      </c>
      <c r="H2046" s="20" t="s">
        <v>5131</v>
      </c>
      <c r="I2046" s="15">
        <v>1</v>
      </c>
      <c r="J2046" s="15" t="s">
        <v>24</v>
      </c>
      <c r="K2046" s="15"/>
      <c r="L2046" s="21" t="s">
        <v>16</v>
      </c>
      <c r="M2046" s="22">
        <v>0</v>
      </c>
      <c r="N2046" s="22">
        <v>0</v>
      </c>
      <c r="O2046" s="22">
        <v>7200</v>
      </c>
      <c r="P2046" s="22">
        <v>7200</v>
      </c>
      <c r="Q2046" t="str" cm="1">
        <f t="array" ref="Q2046">_xlfn.TEXTJOIN("、",TRUE,IF('學員資料-三民高中'!$B$2:$B$454=$F2046,'學員資料-三民高中'!$G$2:$G$454,""))</f>
        <v/>
      </c>
      <c r="R2046" t="str" cm="1">
        <f t="array" ref="R2046">_xlfn.TEXTJOIN("、",TRUE,IF('學員資料-新北高中'!$B$2:$B$583=$F2046,'學員資料-新北高中'!$G$2:$G$583,""))</f>
        <v>0928628132</v>
      </c>
      <c r="S2046" t="str" cm="1">
        <f t="array" ref="S2046">_xlfn.TEXTJOIN("、",TRUE,IF('學員資料-三重商工'!$B$2:$B$472=$F2046,'學員資料-三重商工'!$G$2:$G$472,""))</f>
        <v/>
      </c>
      <c r="T2046">
        <f t="shared" si="31"/>
        <v>1</v>
      </c>
    </row>
    <row r="2047" spans="1:20" ht="14.25" hidden="1" customHeight="1">
      <c r="A2047" s="15">
        <v>2046</v>
      </c>
      <c r="B2047" s="16" t="s">
        <v>6322</v>
      </c>
      <c r="C2047" s="17">
        <v>45535</v>
      </c>
      <c r="D2047" s="15" t="s">
        <v>6323</v>
      </c>
      <c r="E2047" s="18" t="s">
        <v>954</v>
      </c>
      <c r="F2047" s="19" t="s">
        <v>1027</v>
      </c>
      <c r="G2047" s="18" t="s">
        <v>1028</v>
      </c>
      <c r="H2047" s="20" t="s">
        <v>5131</v>
      </c>
      <c r="I2047" s="15">
        <v>1</v>
      </c>
      <c r="J2047" s="15" t="s">
        <v>24</v>
      </c>
      <c r="K2047" s="15"/>
      <c r="L2047" s="21" t="s">
        <v>16</v>
      </c>
      <c r="M2047" s="22">
        <v>0</v>
      </c>
      <c r="N2047" s="22">
        <v>0</v>
      </c>
      <c r="O2047" s="22">
        <v>7200</v>
      </c>
      <c r="P2047" s="22">
        <v>7200</v>
      </c>
      <c r="Q2047" t="str" cm="1">
        <f t="array" ref="Q2047">_xlfn.TEXTJOIN("、",TRUE,IF('學員資料-三民高中'!$B$2:$B$454=$F2047,'學員資料-三民高中'!$G$2:$G$454,""))</f>
        <v/>
      </c>
      <c r="R2047" t="str" cm="1">
        <f t="array" ref="R2047">_xlfn.TEXTJOIN("、",TRUE,IF('學員資料-新北高中'!$B$2:$B$583=$F2047,'學員資料-新北高中'!$G$2:$G$583,""))</f>
        <v>0958657336</v>
      </c>
      <c r="S2047" t="str" cm="1">
        <f t="array" ref="S2047">_xlfn.TEXTJOIN("、",TRUE,IF('學員資料-三重商工'!$B$2:$B$472=$F2047,'學員資料-三重商工'!$G$2:$G$472,""))</f>
        <v/>
      </c>
      <c r="T2047">
        <f t="shared" si="31"/>
        <v>1</v>
      </c>
    </row>
    <row r="2048" spans="1:20" ht="14.25" hidden="1" customHeight="1">
      <c r="A2048" s="15">
        <v>2047</v>
      </c>
      <c r="B2048" s="16" t="s">
        <v>6324</v>
      </c>
      <c r="C2048" s="17">
        <v>45535</v>
      </c>
      <c r="D2048" s="15" t="s">
        <v>6325</v>
      </c>
      <c r="E2048" s="18" t="s">
        <v>954</v>
      </c>
      <c r="F2048" s="19" t="s">
        <v>6040</v>
      </c>
      <c r="G2048" s="18" t="s">
        <v>6041</v>
      </c>
      <c r="H2048" s="20" t="s">
        <v>5163</v>
      </c>
      <c r="I2048" s="15">
        <v>1</v>
      </c>
      <c r="J2048" s="15" t="s">
        <v>23</v>
      </c>
      <c r="K2048" s="15"/>
      <c r="L2048" s="21" t="s">
        <v>16</v>
      </c>
      <c r="M2048" s="22">
        <v>0</v>
      </c>
      <c r="N2048" s="22">
        <v>0</v>
      </c>
      <c r="O2048" s="22">
        <v>6600</v>
      </c>
      <c r="P2048" s="22">
        <v>6600</v>
      </c>
      <c r="Q2048" t="str" cm="1">
        <f t="array" ref="Q2048">_xlfn.TEXTJOIN("、",TRUE,IF('學員資料-三民高中'!$B$2:$B$454=$F2048,'學員資料-三民高中'!$G$2:$G$454,""))</f>
        <v/>
      </c>
      <c r="R2048" t="str" cm="1">
        <f t="array" ref="R2048">_xlfn.TEXTJOIN("、",TRUE,IF('學員資料-新北高中'!$B$2:$B$583=$F2048,'學員資料-新北高中'!$G$2:$G$583,""))</f>
        <v>0910000000</v>
      </c>
      <c r="S2048" t="str" cm="1">
        <f t="array" ref="S2048">_xlfn.TEXTJOIN("、",TRUE,IF('學員資料-三重商工'!$B$2:$B$472=$F2048,'學員資料-三重商工'!$G$2:$G$472,""))</f>
        <v/>
      </c>
      <c r="T2048">
        <f t="shared" si="31"/>
        <v>1</v>
      </c>
    </row>
    <row r="2049" spans="1:20" ht="28.5" hidden="1" customHeight="1">
      <c r="A2049" s="15">
        <v>2048</v>
      </c>
      <c r="B2049" s="16" t="s">
        <v>6326</v>
      </c>
      <c r="C2049" s="17">
        <v>45535</v>
      </c>
      <c r="D2049" s="15" t="s">
        <v>6327</v>
      </c>
      <c r="E2049" s="18" t="s">
        <v>954</v>
      </c>
      <c r="F2049" s="19" t="s">
        <v>6328</v>
      </c>
      <c r="G2049" s="18" t="s">
        <v>6329</v>
      </c>
      <c r="H2049" s="20" t="s">
        <v>5729</v>
      </c>
      <c r="I2049" s="15">
        <v>2</v>
      </c>
      <c r="J2049" s="15" t="s">
        <v>26</v>
      </c>
      <c r="K2049" s="15"/>
      <c r="L2049" s="21" t="s">
        <v>16</v>
      </c>
      <c r="M2049" s="22">
        <v>0</v>
      </c>
      <c r="N2049" s="22">
        <v>0</v>
      </c>
      <c r="O2049" s="22">
        <v>21600</v>
      </c>
      <c r="P2049" s="22">
        <v>21600</v>
      </c>
      <c r="Q2049" t="str" cm="1">
        <f t="array" ref="Q2049">_xlfn.TEXTJOIN("、",TRUE,IF('學員資料-三民高中'!$B$2:$B$454=$F2049,'學員資料-三民高中'!$G$2:$G$454,""))</f>
        <v/>
      </c>
      <c r="R2049" t="str" cm="1">
        <f t="array" ref="R2049">_xlfn.TEXTJOIN("、",TRUE,IF('學員資料-新北高中'!$B$2:$B$583=$F2049,'學員資料-新北高中'!$G$2:$G$583,""))</f>
        <v>0963093938-1</v>
      </c>
      <c r="S2049" t="str" cm="1">
        <f t="array" ref="S2049">_xlfn.TEXTJOIN("、",TRUE,IF('學員資料-三重商工'!$B$2:$B$472=$F2049,'學員資料-三重商工'!$G$2:$G$472,""))</f>
        <v/>
      </c>
      <c r="T2049">
        <f t="shared" si="31"/>
        <v>1</v>
      </c>
    </row>
    <row r="2050" spans="1:20" ht="14.25" hidden="1" customHeight="1">
      <c r="A2050" s="15">
        <v>2049</v>
      </c>
      <c r="B2050" s="16" t="s">
        <v>6330</v>
      </c>
      <c r="C2050" s="17">
        <v>45534</v>
      </c>
      <c r="D2050" s="15" t="s">
        <v>6331</v>
      </c>
      <c r="E2050" s="18" t="s">
        <v>954</v>
      </c>
      <c r="F2050" s="19" t="s">
        <v>6332</v>
      </c>
      <c r="G2050" s="18" t="s">
        <v>6333</v>
      </c>
      <c r="H2050" s="20" t="s">
        <v>6334</v>
      </c>
      <c r="I2050" s="15">
        <v>1</v>
      </c>
      <c r="J2050" s="15" t="s">
        <v>28</v>
      </c>
      <c r="K2050" s="15"/>
      <c r="L2050" s="21" t="s">
        <v>16</v>
      </c>
      <c r="M2050" s="22">
        <v>0</v>
      </c>
      <c r="N2050" s="22">
        <v>-2592</v>
      </c>
      <c r="O2050" s="22">
        <v>19008</v>
      </c>
      <c r="P2050" s="22">
        <v>19008</v>
      </c>
      <c r="Q2050" t="str" cm="1">
        <f t="array" ref="Q2050">_xlfn.TEXTJOIN("、",TRUE,IF('學員資料-三民高中'!$B$2:$B$454=$F2050,'學員資料-三民高中'!$G$2:$G$454,""))</f>
        <v/>
      </c>
      <c r="R2050" t="str" cm="1">
        <f t="array" ref="R2050">_xlfn.TEXTJOIN("、",TRUE,IF('學員資料-新北高中'!$B$2:$B$583=$F2050,'學員資料-新北高中'!$G$2:$G$583,""))</f>
        <v>AQ0005</v>
      </c>
      <c r="S2050" t="str" cm="1">
        <f t="array" ref="S2050">_xlfn.TEXTJOIN("、",TRUE,IF('學員資料-三重商工'!$B$2:$B$472=$F2050,'學員資料-三重商工'!$G$2:$G$472,""))</f>
        <v/>
      </c>
      <c r="T2050">
        <f t="shared" si="31"/>
        <v>1</v>
      </c>
    </row>
    <row r="2051" spans="1:20" ht="14.25" hidden="1" customHeight="1">
      <c r="A2051" s="15">
        <v>2050</v>
      </c>
      <c r="B2051" s="16" t="s">
        <v>6335</v>
      </c>
      <c r="C2051" s="17">
        <v>45534</v>
      </c>
      <c r="D2051" s="15" t="s">
        <v>1084</v>
      </c>
      <c r="E2051" s="18" t="s">
        <v>954</v>
      </c>
      <c r="F2051" s="19" t="s">
        <v>6336</v>
      </c>
      <c r="G2051" s="18" t="s">
        <v>6337</v>
      </c>
      <c r="H2051" s="20" t="s">
        <v>6338</v>
      </c>
      <c r="I2051" s="15">
        <v>1</v>
      </c>
      <c r="J2051" s="15" t="s">
        <v>26</v>
      </c>
      <c r="K2051" s="15"/>
      <c r="L2051" s="21" t="s">
        <v>16</v>
      </c>
      <c r="M2051" s="22">
        <v>0</v>
      </c>
      <c r="N2051" s="22">
        <v>-1728</v>
      </c>
      <c r="O2051" s="22">
        <v>12672</v>
      </c>
      <c r="P2051" s="22">
        <v>12672</v>
      </c>
      <c r="Q2051" t="str" cm="1">
        <f t="array" ref="Q2051">_xlfn.TEXTJOIN("、",TRUE,IF('學員資料-三民高中'!$B$2:$B$454=$F2051,'學員資料-三民高中'!$G$2:$G$454,""))</f>
        <v/>
      </c>
      <c r="R2051" t="str" cm="1">
        <f t="array" ref="R2051">_xlfn.TEXTJOIN("、",TRUE,IF('學員資料-新北高中'!$B$2:$B$583=$F2051,'學員資料-新北高中'!$G$2:$G$583,""))</f>
        <v>AQ0007</v>
      </c>
      <c r="S2051" t="str" cm="1">
        <f t="array" ref="S2051">_xlfn.TEXTJOIN("、",TRUE,IF('學員資料-三重商工'!$B$2:$B$472=$F2051,'學員資料-三重商工'!$G$2:$G$472,""))</f>
        <v/>
      </c>
      <c r="T2051">
        <f t="shared" ref="T2051:T2114" si="32">3-COUNTBLANK(Q2051:S2051)</f>
        <v>1</v>
      </c>
    </row>
    <row r="2052" spans="1:20" ht="43.5" hidden="1" customHeight="1">
      <c r="A2052" s="15">
        <v>2051</v>
      </c>
      <c r="B2052" s="16" t="s">
        <v>6339</v>
      </c>
      <c r="C2052" s="17">
        <v>45534</v>
      </c>
      <c r="D2052" s="15" t="s">
        <v>6340</v>
      </c>
      <c r="E2052" s="18" t="s">
        <v>954</v>
      </c>
      <c r="F2052" s="19" t="s">
        <v>1349</v>
      </c>
      <c r="G2052" s="18" t="s">
        <v>1350</v>
      </c>
      <c r="H2052" s="20" t="s">
        <v>1531</v>
      </c>
      <c r="I2052" s="15">
        <v>3</v>
      </c>
      <c r="J2052" s="15" t="s">
        <v>24</v>
      </c>
      <c r="K2052" s="15"/>
      <c r="L2052" s="21" t="s">
        <v>16</v>
      </c>
      <c r="M2052" s="22">
        <v>0</v>
      </c>
      <c r="N2052" s="22">
        <v>-3240</v>
      </c>
      <c r="O2052" s="22">
        <v>29160</v>
      </c>
      <c r="P2052" s="22">
        <v>29160</v>
      </c>
      <c r="Q2052" t="str" cm="1">
        <f t="array" ref="Q2052">_xlfn.TEXTJOIN("、",TRUE,IF('學員資料-三民高中'!$B$2:$B$454=$F2052,'學員資料-三民高中'!$G$2:$G$454,""))</f>
        <v/>
      </c>
      <c r="R2052" t="str" cm="1">
        <f t="array" ref="R2052">_xlfn.TEXTJOIN("、",TRUE,IF('學員資料-新北高中'!$B$2:$B$583=$F2052,'學員資料-新北高中'!$G$2:$G$583,""))</f>
        <v>0932313729</v>
      </c>
      <c r="S2052" t="str" cm="1">
        <f t="array" ref="S2052">_xlfn.TEXTJOIN("、",TRUE,IF('學員資料-三重商工'!$B$2:$B$472=$F2052,'學員資料-三重商工'!$G$2:$G$472,""))</f>
        <v/>
      </c>
      <c r="T2052">
        <f t="shared" si="32"/>
        <v>1</v>
      </c>
    </row>
    <row r="2053" spans="1:20" ht="14.25" hidden="1" customHeight="1">
      <c r="A2053" s="15">
        <v>2052</v>
      </c>
      <c r="B2053" s="16" t="s">
        <v>6341</v>
      </c>
      <c r="C2053" s="17">
        <v>45534</v>
      </c>
      <c r="D2053" s="15" t="s">
        <v>6342</v>
      </c>
      <c r="E2053" s="18" t="s">
        <v>954</v>
      </c>
      <c r="F2053" s="19" t="s">
        <v>5823</v>
      </c>
      <c r="G2053" s="18" t="s">
        <v>5824</v>
      </c>
      <c r="H2053" s="20" t="s">
        <v>5211</v>
      </c>
      <c r="I2053" s="15">
        <v>1</v>
      </c>
      <c r="J2053" s="15" t="s">
        <v>26</v>
      </c>
      <c r="K2053" s="15"/>
      <c r="L2053" s="21" t="s">
        <v>16</v>
      </c>
      <c r="M2053" s="22">
        <v>0</v>
      </c>
      <c r="N2053" s="22">
        <v>0</v>
      </c>
      <c r="O2053" s="22">
        <v>10800</v>
      </c>
      <c r="P2053" s="22">
        <v>10800</v>
      </c>
      <c r="Q2053" t="str" cm="1">
        <f t="array" ref="Q2053">_xlfn.TEXTJOIN("、",TRUE,IF('學員資料-三民高中'!$B$2:$B$454=$F2053,'學員資料-三民高中'!$G$2:$G$454,""))</f>
        <v/>
      </c>
      <c r="R2053" t="str" cm="1">
        <f t="array" ref="R2053">_xlfn.TEXTJOIN("、",TRUE,IF('學員資料-新北高中'!$B$2:$B$583=$F2053,'學員資料-新北高中'!$G$2:$G$583,""))</f>
        <v/>
      </c>
      <c r="S2053" t="str" cm="1">
        <f t="array" ref="S2053">_xlfn.TEXTJOIN("、",TRUE,IF('學員資料-三重商工'!$B$2:$B$472=$F2053,'學員資料-三重商工'!$G$2:$G$472,""))</f>
        <v>0919708307</v>
      </c>
      <c r="T2053">
        <f t="shared" si="32"/>
        <v>1</v>
      </c>
    </row>
    <row r="2054" spans="1:20" ht="14.25" hidden="1" customHeight="1">
      <c r="A2054" s="15">
        <v>2053</v>
      </c>
      <c r="B2054" s="16" t="s">
        <v>6343</v>
      </c>
      <c r="C2054" s="17">
        <v>45534</v>
      </c>
      <c r="D2054" s="15" t="s">
        <v>6344</v>
      </c>
      <c r="E2054" s="18" t="s">
        <v>954</v>
      </c>
      <c r="F2054" s="19" t="s">
        <v>6345</v>
      </c>
      <c r="G2054" s="18" t="s">
        <v>6346</v>
      </c>
      <c r="H2054" s="20" t="s">
        <v>5131</v>
      </c>
      <c r="I2054" s="15">
        <v>1</v>
      </c>
      <c r="J2054" s="15" t="s">
        <v>24</v>
      </c>
      <c r="K2054" s="15"/>
      <c r="L2054" s="21" t="s">
        <v>16</v>
      </c>
      <c r="M2054" s="22">
        <v>0</v>
      </c>
      <c r="N2054" s="22">
        <v>-720</v>
      </c>
      <c r="O2054" s="22">
        <v>6480</v>
      </c>
      <c r="P2054" s="22">
        <v>6480</v>
      </c>
      <c r="Q2054" t="str" cm="1">
        <f t="array" ref="Q2054">_xlfn.TEXTJOIN("、",TRUE,IF('學員資料-三民高中'!$B$2:$B$454=$F2054,'學員資料-三民高中'!$G$2:$G$454,""))</f>
        <v/>
      </c>
      <c r="R2054" t="str" cm="1">
        <f t="array" ref="R2054">_xlfn.TEXTJOIN("、",TRUE,IF('學員資料-新北高中'!$B$2:$B$583=$F2054,'學員資料-新北高中'!$G$2:$G$583,""))</f>
        <v>0952967789</v>
      </c>
      <c r="S2054" t="str" cm="1">
        <f t="array" ref="S2054">_xlfn.TEXTJOIN("、",TRUE,IF('學員資料-三重商工'!$B$2:$B$472=$F2054,'學員資料-三重商工'!$G$2:$G$472,""))</f>
        <v/>
      </c>
      <c r="T2054">
        <f t="shared" si="32"/>
        <v>1</v>
      </c>
    </row>
    <row r="2055" spans="1:20" ht="14.25" hidden="1" customHeight="1">
      <c r="A2055" s="15">
        <v>2054</v>
      </c>
      <c r="B2055" s="16" t="s">
        <v>6347</v>
      </c>
      <c r="C2055" s="17">
        <v>45533</v>
      </c>
      <c r="D2055" s="15" t="s">
        <v>1091</v>
      </c>
      <c r="E2055" s="18" t="s">
        <v>954</v>
      </c>
      <c r="F2055" s="19" t="s">
        <v>5185</v>
      </c>
      <c r="G2055" s="18" t="s">
        <v>5186</v>
      </c>
      <c r="H2055" s="20" t="s">
        <v>5246</v>
      </c>
      <c r="I2055" s="15">
        <v>1</v>
      </c>
      <c r="J2055" s="15" t="s">
        <v>23</v>
      </c>
      <c r="K2055" s="15"/>
      <c r="L2055" s="21" t="s">
        <v>16</v>
      </c>
      <c r="M2055" s="22">
        <v>0</v>
      </c>
      <c r="N2055" s="22">
        <v>-720</v>
      </c>
      <c r="O2055" s="22">
        <v>6480</v>
      </c>
      <c r="P2055" s="22">
        <v>6480</v>
      </c>
      <c r="Q2055" t="str" cm="1">
        <f t="array" ref="Q2055">_xlfn.TEXTJOIN("、",TRUE,IF('學員資料-三民高中'!$B$2:$B$454=$F2055,'學員資料-三民高中'!$G$2:$G$454,""))</f>
        <v/>
      </c>
      <c r="R2055" t="str" cm="1">
        <f t="array" ref="R2055">_xlfn.TEXTJOIN("、",TRUE,IF('學員資料-新北高中'!$B$2:$B$583=$F2055,'學員資料-新北高中'!$G$2:$G$583,""))</f>
        <v/>
      </c>
      <c r="S2055" t="str" cm="1">
        <f t="array" ref="S2055">_xlfn.TEXTJOIN("、",TRUE,IF('學員資料-三重商工'!$B$2:$B$472=$F2055,'學員資料-三重商工'!$G$2:$G$472,""))</f>
        <v>0939933381</v>
      </c>
      <c r="T2055">
        <f t="shared" si="32"/>
        <v>1</v>
      </c>
    </row>
    <row r="2056" spans="1:20" ht="14.25" hidden="1" customHeight="1">
      <c r="A2056" s="15">
        <v>2055</v>
      </c>
      <c r="B2056" s="16" t="s">
        <v>6348</v>
      </c>
      <c r="C2056" s="17">
        <v>45532</v>
      </c>
      <c r="D2056" s="15" t="s">
        <v>6349</v>
      </c>
      <c r="E2056" s="18" t="s">
        <v>954</v>
      </c>
      <c r="F2056" s="19" t="s">
        <v>6350</v>
      </c>
      <c r="G2056" s="18" t="s">
        <v>6351</v>
      </c>
      <c r="H2056" s="20" t="s">
        <v>5163</v>
      </c>
      <c r="I2056" s="15">
        <v>1</v>
      </c>
      <c r="J2056" s="15" t="s">
        <v>23</v>
      </c>
      <c r="K2056" s="15"/>
      <c r="L2056" s="21" t="s">
        <v>16</v>
      </c>
      <c r="M2056" s="22">
        <v>0</v>
      </c>
      <c r="N2056" s="22">
        <v>-660</v>
      </c>
      <c r="O2056" s="22">
        <v>5940</v>
      </c>
      <c r="P2056" s="22">
        <v>5940</v>
      </c>
      <c r="Q2056" t="str" cm="1">
        <f t="array" ref="Q2056">_xlfn.TEXTJOIN("、",TRUE,IF('學員資料-三民高中'!$B$2:$B$454=$F2056,'學員資料-三民高中'!$G$2:$G$454,""))</f>
        <v/>
      </c>
      <c r="R2056" t="str" cm="1">
        <f t="array" ref="R2056">_xlfn.TEXTJOIN("、",TRUE,IF('學員資料-新北高中'!$B$2:$B$583=$F2056,'學員資料-新北高中'!$G$2:$G$583,""))</f>
        <v/>
      </c>
      <c r="S2056" t="str" cm="1">
        <f t="array" ref="S2056">_xlfn.TEXTJOIN("、",TRUE,IF('學員資料-三重商工'!$B$2:$B$472=$F2056,'學員資料-三重商工'!$G$2:$G$472,""))</f>
        <v>0955532032</v>
      </c>
      <c r="T2056">
        <f t="shared" si="32"/>
        <v>1</v>
      </c>
    </row>
    <row r="2057" spans="1:20" ht="14.25" hidden="1" customHeight="1">
      <c r="A2057" s="15">
        <v>2056</v>
      </c>
      <c r="B2057" s="16" t="s">
        <v>6352</v>
      </c>
      <c r="C2057" s="17">
        <v>45532</v>
      </c>
      <c r="D2057" s="15" t="s">
        <v>6353</v>
      </c>
      <c r="E2057" s="18" t="s">
        <v>954</v>
      </c>
      <c r="F2057" s="19" t="s">
        <v>6354</v>
      </c>
      <c r="G2057" s="18" t="s">
        <v>6355</v>
      </c>
      <c r="H2057" s="20" t="s">
        <v>5246</v>
      </c>
      <c r="I2057" s="15">
        <v>1</v>
      </c>
      <c r="J2057" s="15" t="s">
        <v>23</v>
      </c>
      <c r="K2057" s="15"/>
      <c r="L2057" s="21" t="s">
        <v>16</v>
      </c>
      <c r="M2057" s="22">
        <v>0</v>
      </c>
      <c r="N2057" s="22">
        <v>-720</v>
      </c>
      <c r="O2057" s="22">
        <v>6480</v>
      </c>
      <c r="P2057" s="22">
        <v>6480</v>
      </c>
      <c r="Q2057" t="str" cm="1">
        <f t="array" ref="Q2057">_xlfn.TEXTJOIN("、",TRUE,IF('學員資料-三民高中'!$B$2:$B$454=$F2057,'學員資料-三民高中'!$G$2:$G$454,""))</f>
        <v/>
      </c>
      <c r="R2057" t="str" cm="1">
        <f t="array" ref="R2057">_xlfn.TEXTJOIN("、",TRUE,IF('學員資料-新北高中'!$B$2:$B$583=$F2057,'學員資料-新北高中'!$G$2:$G$583,""))</f>
        <v/>
      </c>
      <c r="S2057" t="str" cm="1">
        <f t="array" ref="S2057">_xlfn.TEXTJOIN("、",TRUE,IF('學員資料-三重商工'!$B$2:$B$472=$F2057,'學員資料-三重商工'!$G$2:$G$472,""))</f>
        <v>0926999648</v>
      </c>
      <c r="T2057">
        <f t="shared" si="32"/>
        <v>1</v>
      </c>
    </row>
    <row r="2058" spans="1:20" ht="14.25" hidden="1" customHeight="1">
      <c r="A2058" s="15">
        <v>2057</v>
      </c>
      <c r="B2058" s="16" t="s">
        <v>6356</v>
      </c>
      <c r="C2058" s="17">
        <v>45530</v>
      </c>
      <c r="D2058" s="15" t="s">
        <v>6357</v>
      </c>
      <c r="E2058" s="18" t="s">
        <v>954</v>
      </c>
      <c r="F2058" s="19" t="s">
        <v>6358</v>
      </c>
      <c r="G2058" s="18" t="s">
        <v>6359</v>
      </c>
      <c r="H2058" s="20" t="s">
        <v>5163</v>
      </c>
      <c r="I2058" s="15">
        <v>1</v>
      </c>
      <c r="J2058" s="15" t="s">
        <v>23</v>
      </c>
      <c r="K2058" s="15"/>
      <c r="L2058" s="21" t="s">
        <v>16</v>
      </c>
      <c r="M2058" s="22">
        <v>0</v>
      </c>
      <c r="N2058" s="22">
        <v>-660</v>
      </c>
      <c r="O2058" s="22">
        <v>5940</v>
      </c>
      <c r="P2058" s="22">
        <v>5940</v>
      </c>
      <c r="Q2058" t="str" cm="1">
        <f t="array" ref="Q2058">_xlfn.TEXTJOIN("、",TRUE,IF('學員資料-三民高中'!$B$2:$B$454=$F2058,'學員資料-三民高中'!$G$2:$G$454,""))</f>
        <v/>
      </c>
      <c r="R2058" t="str" cm="1">
        <f t="array" ref="R2058">_xlfn.TEXTJOIN("、",TRUE,IF('學員資料-新北高中'!$B$2:$B$583=$F2058,'學員資料-新北高中'!$G$2:$G$583,""))</f>
        <v/>
      </c>
      <c r="S2058" t="str" cm="1">
        <f t="array" ref="S2058">_xlfn.TEXTJOIN("、",TRUE,IF('學員資料-三重商工'!$B$2:$B$472=$F2058,'學員資料-三重商工'!$G$2:$G$472,""))</f>
        <v>0937056326</v>
      </c>
      <c r="T2058">
        <f t="shared" si="32"/>
        <v>1</v>
      </c>
    </row>
    <row r="2059" spans="1:20" ht="43.5" hidden="1" customHeight="1">
      <c r="A2059" s="15">
        <v>2058</v>
      </c>
      <c r="B2059" s="16" t="s">
        <v>6360</v>
      </c>
      <c r="C2059" s="17">
        <v>45530</v>
      </c>
      <c r="D2059" s="15" t="s">
        <v>6361</v>
      </c>
      <c r="E2059" s="18" t="s">
        <v>954</v>
      </c>
      <c r="F2059" s="19" t="s">
        <v>2467</v>
      </c>
      <c r="G2059" s="18" t="s">
        <v>2468</v>
      </c>
      <c r="H2059" s="20" t="s">
        <v>5436</v>
      </c>
      <c r="I2059" s="15">
        <v>3</v>
      </c>
      <c r="J2059" s="15" t="s">
        <v>24</v>
      </c>
      <c r="K2059" s="15"/>
      <c r="L2059" s="21" t="s">
        <v>16</v>
      </c>
      <c r="M2059" s="22">
        <v>0</v>
      </c>
      <c r="N2059" s="22">
        <v>-2160</v>
      </c>
      <c r="O2059" s="22">
        <v>19440</v>
      </c>
      <c r="P2059" s="22">
        <v>19440</v>
      </c>
      <c r="Q2059" t="str" cm="1">
        <f t="array" ref="Q2059">_xlfn.TEXTJOIN("、",TRUE,IF('學員資料-三民高中'!$B$2:$B$454=$F2059,'學員資料-三民高中'!$G$2:$G$454,""))</f>
        <v/>
      </c>
      <c r="R2059" t="str" cm="1">
        <f t="array" ref="R2059">_xlfn.TEXTJOIN("、",TRUE,IF('學員資料-新北高中'!$B$2:$B$583=$F2059,'學員資料-新北高中'!$G$2:$G$583,""))</f>
        <v/>
      </c>
      <c r="S2059" t="str" cm="1">
        <f t="array" ref="S2059">_xlfn.TEXTJOIN("、",TRUE,IF('學員資料-三重商工'!$B$2:$B$472=$F2059,'學員資料-三重商工'!$G$2:$G$472,""))</f>
        <v>0953212011</v>
      </c>
      <c r="T2059">
        <f t="shared" si="32"/>
        <v>1</v>
      </c>
    </row>
    <row r="2060" spans="1:20" ht="14.25" hidden="1" customHeight="1">
      <c r="A2060" s="15">
        <v>2059</v>
      </c>
      <c r="B2060" s="16" t="s">
        <v>6362</v>
      </c>
      <c r="C2060" s="17">
        <v>45530</v>
      </c>
      <c r="D2060" s="15" t="s">
        <v>6363</v>
      </c>
      <c r="E2060" s="18" t="s">
        <v>954</v>
      </c>
      <c r="F2060" s="19" t="s">
        <v>6364</v>
      </c>
      <c r="G2060" s="18" t="s">
        <v>6365</v>
      </c>
      <c r="H2060" s="20" t="s">
        <v>5131</v>
      </c>
      <c r="I2060" s="15">
        <v>1</v>
      </c>
      <c r="J2060" s="15" t="s">
        <v>24</v>
      </c>
      <c r="K2060" s="15"/>
      <c r="L2060" s="21" t="s">
        <v>16</v>
      </c>
      <c r="M2060" s="22">
        <v>0</v>
      </c>
      <c r="N2060" s="22">
        <v>-720</v>
      </c>
      <c r="O2060" s="22">
        <v>6480</v>
      </c>
      <c r="P2060" s="22">
        <v>6480</v>
      </c>
      <c r="Q2060" t="str" cm="1">
        <f t="array" ref="Q2060">_xlfn.TEXTJOIN("、",TRUE,IF('學員資料-三民高中'!$B$2:$B$454=$F2060,'學員資料-三民高中'!$G$2:$G$454,""))</f>
        <v/>
      </c>
      <c r="R2060" t="str" cm="1">
        <f t="array" ref="R2060">_xlfn.TEXTJOIN("、",TRUE,IF('學員資料-新北高中'!$B$2:$B$583=$F2060,'學員資料-新北高中'!$G$2:$G$583,""))</f>
        <v/>
      </c>
      <c r="S2060" t="str" cm="1">
        <f t="array" ref="S2060">_xlfn.TEXTJOIN("、",TRUE,IF('學員資料-三重商工'!$B$2:$B$472=$F2060,'學員資料-三重商工'!$G$2:$G$472,""))</f>
        <v>0938221247</v>
      </c>
      <c r="T2060">
        <f t="shared" si="32"/>
        <v>1</v>
      </c>
    </row>
    <row r="2061" spans="1:20" ht="14.25" hidden="1" customHeight="1">
      <c r="A2061" s="15">
        <v>2060</v>
      </c>
      <c r="B2061" s="16" t="s">
        <v>6366</v>
      </c>
      <c r="C2061" s="17">
        <v>45530</v>
      </c>
      <c r="D2061" s="15" t="s">
        <v>6367</v>
      </c>
      <c r="E2061" s="18" t="s">
        <v>954</v>
      </c>
      <c r="F2061" s="19" t="s">
        <v>5066</v>
      </c>
      <c r="G2061" s="18" t="s">
        <v>5067</v>
      </c>
      <c r="H2061" s="20" t="s">
        <v>5131</v>
      </c>
      <c r="I2061" s="15">
        <v>1</v>
      </c>
      <c r="J2061" s="15" t="s">
        <v>24</v>
      </c>
      <c r="K2061" s="15"/>
      <c r="L2061" s="21" t="s">
        <v>16</v>
      </c>
      <c r="M2061" s="22">
        <v>0</v>
      </c>
      <c r="N2061" s="22">
        <v>-720</v>
      </c>
      <c r="O2061" s="22">
        <v>6480</v>
      </c>
      <c r="P2061" s="22">
        <v>6480</v>
      </c>
      <c r="Q2061" t="str" cm="1">
        <f t="array" ref="Q2061">_xlfn.TEXTJOIN("、",TRUE,IF('學員資料-三民高中'!$B$2:$B$454=$F2061,'學員資料-三民高中'!$G$2:$G$454,""))</f>
        <v/>
      </c>
      <c r="R2061" t="str" cm="1">
        <f t="array" ref="R2061">_xlfn.TEXTJOIN("、",TRUE,IF('學員資料-新北高中'!$B$2:$B$583=$F2061,'學員資料-新北高中'!$G$2:$G$583,""))</f>
        <v>0933872983</v>
      </c>
      <c r="S2061" t="str" cm="1">
        <f t="array" ref="S2061">_xlfn.TEXTJOIN("、",TRUE,IF('學員資料-三重商工'!$B$2:$B$472=$F2061,'學員資料-三重商工'!$G$2:$G$472,""))</f>
        <v/>
      </c>
      <c r="T2061">
        <f t="shared" si="32"/>
        <v>1</v>
      </c>
    </row>
    <row r="2062" spans="1:20" ht="14.25" hidden="1" customHeight="1">
      <c r="A2062" s="15">
        <v>2061</v>
      </c>
      <c r="B2062" s="16" t="s">
        <v>6368</v>
      </c>
      <c r="C2062" s="17">
        <v>45530</v>
      </c>
      <c r="D2062" s="15" t="s">
        <v>6369</v>
      </c>
      <c r="E2062" s="18" t="s">
        <v>954</v>
      </c>
      <c r="F2062" s="19" t="s">
        <v>6370</v>
      </c>
      <c r="G2062" s="18" t="s">
        <v>6371</v>
      </c>
      <c r="H2062" s="20" t="s">
        <v>5148</v>
      </c>
      <c r="I2062" s="15">
        <v>1</v>
      </c>
      <c r="J2062" s="15" t="s">
        <v>25</v>
      </c>
      <c r="K2062" s="15"/>
      <c r="L2062" s="21" t="s">
        <v>16</v>
      </c>
      <c r="M2062" s="22">
        <v>0</v>
      </c>
      <c r="N2062" s="22">
        <v>-1080</v>
      </c>
      <c r="O2062" s="22">
        <v>7920</v>
      </c>
      <c r="P2062" s="22">
        <v>7920</v>
      </c>
      <c r="Q2062" t="str" cm="1">
        <f t="array" ref="Q2062">_xlfn.TEXTJOIN("、",TRUE,IF('學員資料-三民高中'!$B$2:$B$454=$F2062,'學員資料-三民高中'!$G$2:$G$454,""))</f>
        <v/>
      </c>
      <c r="R2062" t="str" cm="1">
        <f t="array" ref="R2062">_xlfn.TEXTJOIN("、",TRUE,IF('學員資料-新北高中'!$B$2:$B$583=$F2062,'學員資料-新北高中'!$G$2:$G$583,""))</f>
        <v>0952176277</v>
      </c>
      <c r="S2062" t="str" cm="1">
        <f t="array" ref="S2062">_xlfn.TEXTJOIN("、",TRUE,IF('學員資料-三重商工'!$B$2:$B$472=$F2062,'學員資料-三重商工'!$G$2:$G$472,""))</f>
        <v/>
      </c>
      <c r="T2062">
        <f t="shared" si="32"/>
        <v>1</v>
      </c>
    </row>
    <row r="2063" spans="1:20" ht="14.25" hidden="1" customHeight="1">
      <c r="A2063" s="15">
        <v>2062</v>
      </c>
      <c r="B2063" s="16" t="s">
        <v>6372</v>
      </c>
      <c r="C2063" s="17">
        <v>45530</v>
      </c>
      <c r="D2063" s="15" t="s">
        <v>6373</v>
      </c>
      <c r="E2063" s="18" t="s">
        <v>954</v>
      </c>
      <c r="F2063" s="19" t="s">
        <v>6124</v>
      </c>
      <c r="G2063" s="18" t="s">
        <v>6125</v>
      </c>
      <c r="H2063" s="20" t="s">
        <v>5163</v>
      </c>
      <c r="I2063" s="15">
        <v>1</v>
      </c>
      <c r="J2063" s="15" t="s">
        <v>23</v>
      </c>
      <c r="K2063" s="15"/>
      <c r="L2063" s="21" t="s">
        <v>16</v>
      </c>
      <c r="M2063" s="22">
        <v>0</v>
      </c>
      <c r="N2063" s="22">
        <v>-660</v>
      </c>
      <c r="O2063" s="22">
        <v>5940</v>
      </c>
      <c r="P2063" s="22">
        <v>5940</v>
      </c>
      <c r="Q2063" t="str" cm="1">
        <f t="array" ref="Q2063">_xlfn.TEXTJOIN("、",TRUE,IF('學員資料-三民高中'!$B$2:$B$454=$F2063,'學員資料-三民高中'!$G$2:$G$454,""))</f>
        <v/>
      </c>
      <c r="R2063" t="str" cm="1">
        <f t="array" ref="R2063">_xlfn.TEXTJOIN("、",TRUE,IF('學員資料-新北高中'!$B$2:$B$583=$F2063,'學員資料-新北高中'!$G$2:$G$583,""))</f>
        <v/>
      </c>
      <c r="S2063" t="str" cm="1">
        <f t="array" ref="S2063">_xlfn.TEXTJOIN("、",TRUE,IF('學員資料-三重商工'!$B$2:$B$472=$F2063,'學員資料-三重商工'!$G$2:$G$472,""))</f>
        <v>0927885596</v>
      </c>
      <c r="T2063">
        <f t="shared" si="32"/>
        <v>1</v>
      </c>
    </row>
    <row r="2064" spans="1:20" ht="14.25" hidden="1" customHeight="1">
      <c r="A2064" s="15">
        <v>2063</v>
      </c>
      <c r="B2064" s="16" t="s">
        <v>6374</v>
      </c>
      <c r="C2064" s="17">
        <v>45530</v>
      </c>
      <c r="D2064" s="15" t="s">
        <v>6375</v>
      </c>
      <c r="E2064" s="18" t="s">
        <v>954</v>
      </c>
      <c r="F2064" s="19" t="s">
        <v>6376</v>
      </c>
      <c r="G2064" s="18" t="s">
        <v>6377</v>
      </c>
      <c r="H2064" s="20" t="s">
        <v>5148</v>
      </c>
      <c r="I2064" s="15">
        <v>1</v>
      </c>
      <c r="J2064" s="15" t="s">
        <v>25</v>
      </c>
      <c r="K2064" s="15"/>
      <c r="L2064" s="21" t="s">
        <v>16</v>
      </c>
      <c r="M2064" s="22">
        <v>0</v>
      </c>
      <c r="N2064" s="22">
        <v>-1080</v>
      </c>
      <c r="O2064" s="22">
        <v>7920</v>
      </c>
      <c r="P2064" s="22">
        <v>7920</v>
      </c>
      <c r="Q2064" t="str" cm="1">
        <f t="array" ref="Q2064">_xlfn.TEXTJOIN("、",TRUE,IF('學員資料-三民高中'!$B$2:$B$454=$F2064,'學員資料-三民高中'!$G$2:$G$454,""))</f>
        <v>0963001667</v>
      </c>
      <c r="R2064" t="str" cm="1">
        <f t="array" ref="R2064">_xlfn.TEXTJOIN("、",TRUE,IF('學員資料-新北高中'!$B$2:$B$583=$F2064,'學員資料-新北高中'!$G$2:$G$583,""))</f>
        <v/>
      </c>
      <c r="S2064" t="str" cm="1">
        <f t="array" ref="S2064">_xlfn.TEXTJOIN("、",TRUE,IF('學員資料-三重商工'!$B$2:$B$472=$F2064,'學員資料-三重商工'!$G$2:$G$472,""))</f>
        <v/>
      </c>
      <c r="T2064">
        <f t="shared" si="32"/>
        <v>1</v>
      </c>
    </row>
    <row r="2065" spans="1:20" ht="28.5" hidden="1" customHeight="1">
      <c r="A2065" s="15">
        <v>2064</v>
      </c>
      <c r="B2065" s="16" t="s">
        <v>6378</v>
      </c>
      <c r="C2065" s="17">
        <v>45530</v>
      </c>
      <c r="D2065" s="15" t="s">
        <v>6379</v>
      </c>
      <c r="E2065" s="18" t="s">
        <v>954</v>
      </c>
      <c r="F2065" s="19" t="s">
        <v>6380</v>
      </c>
      <c r="G2065" s="18" t="s">
        <v>6381</v>
      </c>
      <c r="H2065" s="20" t="s">
        <v>5206</v>
      </c>
      <c r="I2065" s="15">
        <v>2</v>
      </c>
      <c r="J2065" s="15" t="s">
        <v>23</v>
      </c>
      <c r="K2065" s="15"/>
      <c r="L2065" s="21" t="s">
        <v>16</v>
      </c>
      <c r="M2065" s="22">
        <v>0</v>
      </c>
      <c r="N2065" s="22">
        <v>-1320</v>
      </c>
      <c r="O2065" s="22">
        <v>11880</v>
      </c>
      <c r="P2065" s="22">
        <v>11880</v>
      </c>
      <c r="Q2065" t="str" cm="1">
        <f t="array" ref="Q2065">_xlfn.TEXTJOIN("、",TRUE,IF('學員資料-三民高中'!$B$2:$B$454=$F2065,'學員資料-三民高中'!$G$2:$G$454,""))</f>
        <v>0975867688</v>
      </c>
      <c r="R2065" t="str" cm="1">
        <f t="array" ref="R2065">_xlfn.TEXTJOIN("、",TRUE,IF('學員資料-新北高中'!$B$2:$B$583=$F2065,'學員資料-新北高中'!$G$2:$G$583,""))</f>
        <v/>
      </c>
      <c r="S2065" t="str" cm="1">
        <f t="array" ref="S2065">_xlfn.TEXTJOIN("、",TRUE,IF('學員資料-三重商工'!$B$2:$B$472=$F2065,'學員資料-三重商工'!$G$2:$G$472,""))</f>
        <v/>
      </c>
      <c r="T2065">
        <f t="shared" si="32"/>
        <v>1</v>
      </c>
    </row>
    <row r="2066" spans="1:20" ht="14.25" hidden="1" customHeight="1">
      <c r="A2066" s="15">
        <v>2065</v>
      </c>
      <c r="B2066" s="16" t="s">
        <v>6382</v>
      </c>
      <c r="C2066" s="17">
        <v>45530</v>
      </c>
      <c r="D2066" s="15" t="s">
        <v>6383</v>
      </c>
      <c r="E2066" s="18" t="s">
        <v>954</v>
      </c>
      <c r="F2066" s="19" t="s">
        <v>1482</v>
      </c>
      <c r="G2066" s="18" t="s">
        <v>1483</v>
      </c>
      <c r="H2066" s="20" t="s">
        <v>5180</v>
      </c>
      <c r="I2066" s="15">
        <v>1</v>
      </c>
      <c r="J2066" s="15" t="s">
        <v>24</v>
      </c>
      <c r="K2066" s="15"/>
      <c r="L2066" s="21" t="s">
        <v>16</v>
      </c>
      <c r="M2066" s="22">
        <v>0</v>
      </c>
      <c r="N2066" s="22">
        <v>-864</v>
      </c>
      <c r="O2066" s="22">
        <v>7776</v>
      </c>
      <c r="P2066" s="22">
        <v>7776</v>
      </c>
      <c r="Q2066" t="str" cm="1">
        <f t="array" ref="Q2066">_xlfn.TEXTJOIN("、",TRUE,IF('學員資料-三民高中'!$B$2:$B$454=$F2066,'學員資料-三民高中'!$G$2:$G$454,""))</f>
        <v/>
      </c>
      <c r="R2066" t="str" cm="1">
        <f t="array" ref="R2066">_xlfn.TEXTJOIN("、",TRUE,IF('學員資料-新北高中'!$B$2:$B$583=$F2066,'學員資料-新北高中'!$G$2:$G$583,""))</f>
        <v/>
      </c>
      <c r="S2066" t="str" cm="1">
        <f t="array" ref="S2066">_xlfn.TEXTJOIN("、",TRUE,IF('學員資料-三重商工'!$B$2:$B$472=$F2066,'學員資料-三重商工'!$G$2:$G$472,""))</f>
        <v>0958264081</v>
      </c>
      <c r="T2066">
        <f t="shared" si="32"/>
        <v>1</v>
      </c>
    </row>
    <row r="2067" spans="1:20" ht="28.5" hidden="1" customHeight="1">
      <c r="A2067" s="15">
        <v>2066</v>
      </c>
      <c r="B2067" s="16" t="s">
        <v>6384</v>
      </c>
      <c r="C2067" s="17">
        <v>45530</v>
      </c>
      <c r="D2067" s="15" t="s">
        <v>6385</v>
      </c>
      <c r="E2067" s="18" t="s">
        <v>954</v>
      </c>
      <c r="F2067" s="19" t="s">
        <v>6386</v>
      </c>
      <c r="G2067" s="18" t="s">
        <v>6387</v>
      </c>
      <c r="H2067" s="20" t="s">
        <v>5154</v>
      </c>
      <c r="I2067" s="15">
        <v>2</v>
      </c>
      <c r="J2067" s="15" t="s">
        <v>24</v>
      </c>
      <c r="K2067" s="15"/>
      <c r="L2067" s="21" t="s">
        <v>16</v>
      </c>
      <c r="M2067" s="22">
        <v>0</v>
      </c>
      <c r="N2067" s="22">
        <v>-1440</v>
      </c>
      <c r="O2067" s="22">
        <v>12960</v>
      </c>
      <c r="P2067" s="22">
        <v>12960</v>
      </c>
      <c r="Q2067" t="str" cm="1">
        <f t="array" ref="Q2067">_xlfn.TEXTJOIN("、",TRUE,IF('學員資料-三民高中'!$B$2:$B$454=$F2067,'學員資料-三民高中'!$G$2:$G$454,""))</f>
        <v>0970212588</v>
      </c>
      <c r="R2067" t="str" cm="1">
        <f t="array" ref="R2067">_xlfn.TEXTJOIN("、",TRUE,IF('學員資料-新北高中'!$B$2:$B$583=$F2067,'學員資料-新北高中'!$G$2:$G$583,""))</f>
        <v/>
      </c>
      <c r="S2067" t="str" cm="1">
        <f t="array" ref="S2067">_xlfn.TEXTJOIN("、",TRUE,IF('學員資料-三重商工'!$B$2:$B$472=$F2067,'學員資料-三重商工'!$G$2:$G$472,""))</f>
        <v/>
      </c>
      <c r="T2067">
        <f t="shared" si="32"/>
        <v>1</v>
      </c>
    </row>
    <row r="2068" spans="1:20" ht="14.25" hidden="1" customHeight="1">
      <c r="A2068" s="15">
        <v>2067</v>
      </c>
      <c r="B2068" s="16" t="s">
        <v>6388</v>
      </c>
      <c r="C2068" s="17">
        <v>45530</v>
      </c>
      <c r="D2068" s="15" t="s">
        <v>6389</v>
      </c>
      <c r="E2068" s="18" t="s">
        <v>954</v>
      </c>
      <c r="F2068" s="19" t="s">
        <v>6390</v>
      </c>
      <c r="G2068" s="18" t="s">
        <v>6391</v>
      </c>
      <c r="H2068" s="20" t="s">
        <v>5340</v>
      </c>
      <c r="I2068" s="15">
        <v>1</v>
      </c>
      <c r="J2068" s="15" t="s">
        <v>27</v>
      </c>
      <c r="K2068" s="15"/>
      <c r="L2068" s="21" t="s">
        <v>16</v>
      </c>
      <c r="M2068" s="22">
        <v>0</v>
      </c>
      <c r="N2068" s="22">
        <v>-3888</v>
      </c>
      <c r="O2068" s="22">
        <v>9612</v>
      </c>
      <c r="P2068" s="22">
        <v>9612</v>
      </c>
      <c r="Q2068" t="str" cm="1">
        <f t="array" ref="Q2068">_xlfn.TEXTJOIN("、",TRUE,IF('學員資料-三民高中'!$B$2:$B$454=$F2068,'學員資料-三民高中'!$G$2:$G$454,""))</f>
        <v>0955055565</v>
      </c>
      <c r="R2068" t="str" cm="1">
        <f t="array" ref="R2068">_xlfn.TEXTJOIN("、",TRUE,IF('學員資料-新北高中'!$B$2:$B$583=$F2068,'學員資料-新北高中'!$G$2:$G$583,""))</f>
        <v/>
      </c>
      <c r="S2068" t="str" cm="1">
        <f t="array" ref="S2068">_xlfn.TEXTJOIN("、",TRUE,IF('學員資料-三重商工'!$B$2:$B$472=$F2068,'學員資料-三重商工'!$G$2:$G$472,""))</f>
        <v/>
      </c>
      <c r="T2068">
        <f t="shared" si="32"/>
        <v>1</v>
      </c>
    </row>
    <row r="2069" spans="1:20" ht="14.25" hidden="1" customHeight="1">
      <c r="A2069" s="15">
        <v>2068</v>
      </c>
      <c r="B2069" s="16" t="s">
        <v>6392</v>
      </c>
      <c r="C2069" s="17">
        <v>45530</v>
      </c>
      <c r="D2069" s="15" t="s">
        <v>6393</v>
      </c>
      <c r="E2069" s="18" t="s">
        <v>954</v>
      </c>
      <c r="F2069" s="19" t="s">
        <v>5748</v>
      </c>
      <c r="G2069" s="18" t="s">
        <v>5749</v>
      </c>
      <c r="H2069" s="20" t="s">
        <v>5163</v>
      </c>
      <c r="I2069" s="15">
        <v>1</v>
      </c>
      <c r="J2069" s="15" t="s">
        <v>23</v>
      </c>
      <c r="K2069" s="15"/>
      <c r="L2069" s="21" t="s">
        <v>16</v>
      </c>
      <c r="M2069" s="22">
        <v>0</v>
      </c>
      <c r="N2069" s="22">
        <v>-660</v>
      </c>
      <c r="O2069" s="22">
        <v>5940</v>
      </c>
      <c r="P2069" s="22">
        <v>5940</v>
      </c>
      <c r="Q2069" t="str" cm="1">
        <f t="array" ref="Q2069">_xlfn.TEXTJOIN("、",TRUE,IF('學員資料-三民高中'!$B$2:$B$454=$F2069,'學員資料-三民高中'!$G$2:$G$454,""))</f>
        <v/>
      </c>
      <c r="R2069" t="str" cm="1">
        <f t="array" ref="R2069">_xlfn.TEXTJOIN("、",TRUE,IF('學員資料-新北高中'!$B$2:$B$583=$F2069,'學員資料-新北高中'!$G$2:$G$583,""))</f>
        <v>0909654903</v>
      </c>
      <c r="S2069" t="str" cm="1">
        <f t="array" ref="S2069">_xlfn.TEXTJOIN("、",TRUE,IF('學員資料-三重商工'!$B$2:$B$472=$F2069,'學員資料-三重商工'!$G$2:$G$472,""))</f>
        <v/>
      </c>
      <c r="T2069">
        <f t="shared" si="32"/>
        <v>1</v>
      </c>
    </row>
    <row r="2070" spans="1:20" ht="14.25" hidden="1" customHeight="1">
      <c r="A2070" s="15">
        <v>2069</v>
      </c>
      <c r="B2070" s="16" t="s">
        <v>6394</v>
      </c>
      <c r="C2070" s="17">
        <v>45530</v>
      </c>
      <c r="D2070" s="15" t="s">
        <v>6395</v>
      </c>
      <c r="E2070" s="18" t="s">
        <v>954</v>
      </c>
      <c r="F2070" s="19" t="s">
        <v>3138</v>
      </c>
      <c r="G2070" s="18" t="s">
        <v>3139</v>
      </c>
      <c r="H2070" s="20" t="s">
        <v>5131</v>
      </c>
      <c r="I2070" s="15">
        <v>1</v>
      </c>
      <c r="J2070" s="15" t="s">
        <v>24</v>
      </c>
      <c r="K2070" s="15"/>
      <c r="L2070" s="21" t="s">
        <v>16</v>
      </c>
      <c r="M2070" s="22">
        <v>0</v>
      </c>
      <c r="N2070" s="22">
        <v>-720</v>
      </c>
      <c r="O2070" s="22">
        <v>6480</v>
      </c>
      <c r="P2070" s="22">
        <v>6480</v>
      </c>
      <c r="Q2070" t="str" cm="1">
        <f t="array" ref="Q2070">_xlfn.TEXTJOIN("、",TRUE,IF('學員資料-三民高中'!$B$2:$B$454=$F2070,'學員資料-三民高中'!$G$2:$G$454,""))</f>
        <v/>
      </c>
      <c r="R2070" t="str" cm="1">
        <f t="array" ref="R2070">_xlfn.TEXTJOIN("、",TRUE,IF('學員資料-新北高中'!$B$2:$B$583=$F2070,'學員資料-新北高中'!$G$2:$G$583,""))</f>
        <v>0916760790</v>
      </c>
      <c r="S2070" t="str" cm="1">
        <f t="array" ref="S2070">_xlfn.TEXTJOIN("、",TRUE,IF('學員資料-三重商工'!$B$2:$B$472=$F2070,'學員資料-三重商工'!$G$2:$G$472,""))</f>
        <v/>
      </c>
      <c r="T2070">
        <f t="shared" si="32"/>
        <v>1</v>
      </c>
    </row>
    <row r="2071" spans="1:20" ht="57.75" hidden="1" customHeight="1">
      <c r="A2071" s="15">
        <v>2070</v>
      </c>
      <c r="B2071" s="16" t="s">
        <v>6396</v>
      </c>
      <c r="C2071" s="17">
        <v>45530</v>
      </c>
      <c r="D2071" s="15" t="s">
        <v>6397</v>
      </c>
      <c r="E2071" s="18" t="s">
        <v>954</v>
      </c>
      <c r="F2071" s="19" t="s">
        <v>2776</v>
      </c>
      <c r="G2071" s="18" t="s">
        <v>2777</v>
      </c>
      <c r="H2071" s="20" t="s">
        <v>6398</v>
      </c>
      <c r="I2071" s="15">
        <v>4</v>
      </c>
      <c r="J2071" s="15" t="s">
        <v>23</v>
      </c>
      <c r="K2071" s="15"/>
      <c r="L2071" s="21" t="s">
        <v>16</v>
      </c>
      <c r="M2071" s="22">
        <v>0</v>
      </c>
      <c r="N2071" s="22">
        <v>-2640</v>
      </c>
      <c r="O2071" s="22">
        <v>23760</v>
      </c>
      <c r="P2071" s="22">
        <v>23760</v>
      </c>
      <c r="Q2071" t="str" cm="1">
        <f t="array" ref="Q2071">_xlfn.TEXTJOIN("、",TRUE,IF('學員資料-三民高中'!$B$2:$B$454=$F2071,'學員資料-三民高中'!$G$2:$G$454,""))</f>
        <v>0953305887</v>
      </c>
      <c r="R2071" t="str" cm="1">
        <f t="array" ref="R2071">_xlfn.TEXTJOIN("、",TRUE,IF('學員資料-新北高中'!$B$2:$B$583=$F2071,'學員資料-新北高中'!$G$2:$G$583,""))</f>
        <v/>
      </c>
      <c r="S2071" t="str" cm="1">
        <f t="array" ref="S2071">_xlfn.TEXTJOIN("、",TRUE,IF('學員資料-三重商工'!$B$2:$B$472=$F2071,'學員資料-三重商工'!$G$2:$G$472,""))</f>
        <v/>
      </c>
      <c r="T2071">
        <f t="shared" si="32"/>
        <v>1</v>
      </c>
    </row>
    <row r="2072" spans="1:20" ht="14.25" hidden="1" customHeight="1">
      <c r="A2072" s="15">
        <v>2071</v>
      </c>
      <c r="B2072" s="16" t="s">
        <v>6399</v>
      </c>
      <c r="C2072" s="17">
        <v>45530</v>
      </c>
      <c r="D2072" s="15" t="s">
        <v>6400</v>
      </c>
      <c r="E2072" s="18" t="s">
        <v>954</v>
      </c>
      <c r="F2072" s="19" t="s">
        <v>6401</v>
      </c>
      <c r="G2072" s="18" t="s">
        <v>6402</v>
      </c>
      <c r="H2072" s="20" t="s">
        <v>266</v>
      </c>
      <c r="I2072" s="15">
        <v>1</v>
      </c>
      <c r="J2072" s="15" t="s">
        <v>24</v>
      </c>
      <c r="K2072" s="15"/>
      <c r="L2072" s="21" t="s">
        <v>16</v>
      </c>
      <c r="M2072" s="22">
        <v>0</v>
      </c>
      <c r="N2072" s="22">
        <v>-1080</v>
      </c>
      <c r="O2072" s="22">
        <v>9720</v>
      </c>
      <c r="P2072" s="22">
        <v>9720</v>
      </c>
      <c r="Q2072" t="str" cm="1">
        <f t="array" ref="Q2072">_xlfn.TEXTJOIN("、",TRUE,IF('學員資料-三民高中'!$B$2:$B$454=$F2072,'學員資料-三民高中'!$G$2:$G$454,""))</f>
        <v>0977061353</v>
      </c>
      <c r="R2072" t="str" cm="1">
        <f t="array" ref="R2072">_xlfn.TEXTJOIN("、",TRUE,IF('學員資料-新北高中'!$B$2:$B$583=$F2072,'學員資料-新北高中'!$G$2:$G$583,""))</f>
        <v/>
      </c>
      <c r="S2072" t="str" cm="1">
        <f t="array" ref="S2072">_xlfn.TEXTJOIN("、",TRUE,IF('學員資料-三重商工'!$B$2:$B$472=$F2072,'學員資料-三重商工'!$G$2:$G$472,""))</f>
        <v/>
      </c>
      <c r="T2072">
        <f t="shared" si="32"/>
        <v>1</v>
      </c>
    </row>
    <row r="2073" spans="1:20" ht="14.25" hidden="1" customHeight="1">
      <c r="A2073" s="15">
        <v>2072</v>
      </c>
      <c r="B2073" s="16" t="s">
        <v>6403</v>
      </c>
      <c r="C2073" s="17">
        <v>45530</v>
      </c>
      <c r="D2073" s="15" t="s">
        <v>6404</v>
      </c>
      <c r="E2073" s="18" t="s">
        <v>954</v>
      </c>
      <c r="F2073" s="19" t="s">
        <v>4167</v>
      </c>
      <c r="G2073" s="18" t="s">
        <v>4168</v>
      </c>
      <c r="H2073" s="20" t="s">
        <v>5163</v>
      </c>
      <c r="I2073" s="15">
        <v>1</v>
      </c>
      <c r="J2073" s="15" t="s">
        <v>23</v>
      </c>
      <c r="K2073" s="15"/>
      <c r="L2073" s="21" t="s">
        <v>16</v>
      </c>
      <c r="M2073" s="22">
        <v>0</v>
      </c>
      <c r="N2073" s="22">
        <v>-660</v>
      </c>
      <c r="O2073" s="22">
        <v>5940</v>
      </c>
      <c r="P2073" s="22">
        <v>5940</v>
      </c>
      <c r="Q2073" t="str" cm="1">
        <f t="array" ref="Q2073">_xlfn.TEXTJOIN("、",TRUE,IF('學員資料-三民高中'!$B$2:$B$454=$F2073,'學員資料-三民高中'!$G$2:$G$454,""))</f>
        <v>0922355333</v>
      </c>
      <c r="R2073" t="str" cm="1">
        <f t="array" ref="R2073">_xlfn.TEXTJOIN("、",TRUE,IF('學員資料-新北高中'!$B$2:$B$583=$F2073,'學員資料-新北高中'!$G$2:$G$583,""))</f>
        <v/>
      </c>
      <c r="S2073" t="str" cm="1">
        <f t="array" ref="S2073">_xlfn.TEXTJOIN("、",TRUE,IF('學員資料-三重商工'!$B$2:$B$472=$F2073,'學員資料-三重商工'!$G$2:$G$472,""))</f>
        <v/>
      </c>
      <c r="T2073">
        <f t="shared" si="32"/>
        <v>1</v>
      </c>
    </row>
    <row r="2074" spans="1:20" ht="14.25" hidden="1" customHeight="1">
      <c r="A2074" s="15">
        <v>2073</v>
      </c>
      <c r="B2074" s="16" t="s">
        <v>6405</v>
      </c>
      <c r="C2074" s="17">
        <v>45530</v>
      </c>
      <c r="D2074" s="15" t="s">
        <v>6406</v>
      </c>
      <c r="E2074" s="18" t="s">
        <v>954</v>
      </c>
      <c r="F2074" s="19" t="s">
        <v>6407</v>
      </c>
      <c r="G2074" s="18" t="s">
        <v>6408</v>
      </c>
      <c r="H2074" s="20" t="s">
        <v>5246</v>
      </c>
      <c r="I2074" s="15">
        <v>1</v>
      </c>
      <c r="J2074" s="15" t="s">
        <v>23</v>
      </c>
      <c r="K2074" s="15"/>
      <c r="L2074" s="21" t="s">
        <v>16</v>
      </c>
      <c r="M2074" s="22">
        <v>0</v>
      </c>
      <c r="N2074" s="22">
        <v>-720</v>
      </c>
      <c r="O2074" s="22">
        <v>6480</v>
      </c>
      <c r="P2074" s="22">
        <v>6480</v>
      </c>
      <c r="Q2074" t="str" cm="1">
        <f t="array" ref="Q2074">_xlfn.TEXTJOIN("、",TRUE,IF('學員資料-三民高中'!$B$2:$B$454=$F2074,'學員資料-三民高中'!$G$2:$G$454,""))</f>
        <v/>
      </c>
      <c r="R2074" t="str" cm="1">
        <f t="array" ref="R2074">_xlfn.TEXTJOIN("、",TRUE,IF('學員資料-新北高中'!$B$2:$B$583=$F2074,'學員資料-新北高中'!$G$2:$G$583,""))</f>
        <v/>
      </c>
      <c r="S2074" t="str" cm="1">
        <f t="array" ref="S2074">_xlfn.TEXTJOIN("、",TRUE,IF('學員資料-三重商工'!$B$2:$B$472=$F2074,'學員資料-三重商工'!$G$2:$G$472,""))</f>
        <v>0917417688</v>
      </c>
      <c r="T2074">
        <f t="shared" si="32"/>
        <v>1</v>
      </c>
    </row>
    <row r="2075" spans="1:20" ht="14.25" hidden="1" customHeight="1">
      <c r="A2075" s="15">
        <v>2074</v>
      </c>
      <c r="B2075" s="16" t="s">
        <v>6409</v>
      </c>
      <c r="C2075" s="17">
        <v>45530</v>
      </c>
      <c r="D2075" s="15" t="s">
        <v>6410</v>
      </c>
      <c r="E2075" s="18" t="s">
        <v>954</v>
      </c>
      <c r="F2075" s="19" t="s">
        <v>6411</v>
      </c>
      <c r="G2075" s="18" t="s">
        <v>6412</v>
      </c>
      <c r="H2075" s="20" t="s">
        <v>5246</v>
      </c>
      <c r="I2075" s="15">
        <v>1</v>
      </c>
      <c r="J2075" s="15" t="s">
        <v>23</v>
      </c>
      <c r="K2075" s="15"/>
      <c r="L2075" s="21" t="s">
        <v>16</v>
      </c>
      <c r="M2075" s="22">
        <v>0</v>
      </c>
      <c r="N2075" s="22">
        <v>-3600</v>
      </c>
      <c r="O2075" s="22">
        <v>3600</v>
      </c>
      <c r="P2075" s="22">
        <v>3600</v>
      </c>
      <c r="Q2075" t="str" cm="1">
        <f t="array" ref="Q2075">_xlfn.TEXTJOIN("、",TRUE,IF('學員資料-三民高中'!$B$2:$B$454=$F2075,'學員資料-三民高中'!$G$2:$G$454,""))</f>
        <v/>
      </c>
      <c r="R2075" t="str" cm="1">
        <f t="array" ref="R2075">_xlfn.TEXTJOIN("、",TRUE,IF('學員資料-新北高中'!$B$2:$B$583=$F2075,'學員資料-新北高中'!$G$2:$G$583,""))</f>
        <v/>
      </c>
      <c r="S2075" t="str" cm="1">
        <f t="array" ref="S2075">_xlfn.TEXTJOIN("、",TRUE,IF('學員資料-三重商工'!$B$2:$B$472=$F2075,'學員資料-三重商工'!$G$2:$G$472,""))</f>
        <v>0958274081</v>
      </c>
      <c r="T2075">
        <f t="shared" si="32"/>
        <v>1</v>
      </c>
    </row>
    <row r="2076" spans="1:20" ht="14.25" hidden="1" customHeight="1">
      <c r="A2076" s="15">
        <v>2075</v>
      </c>
      <c r="B2076" s="16" t="s">
        <v>6413</v>
      </c>
      <c r="C2076" s="17">
        <v>45530</v>
      </c>
      <c r="D2076" s="15" t="s">
        <v>6414</v>
      </c>
      <c r="E2076" s="18" t="s">
        <v>954</v>
      </c>
      <c r="F2076" s="19" t="s">
        <v>6415</v>
      </c>
      <c r="G2076" s="18" t="s">
        <v>6416</v>
      </c>
      <c r="H2076" s="20" t="s">
        <v>5131</v>
      </c>
      <c r="I2076" s="15">
        <v>1</v>
      </c>
      <c r="J2076" s="15" t="s">
        <v>24</v>
      </c>
      <c r="K2076" s="15"/>
      <c r="L2076" s="21" t="s">
        <v>16</v>
      </c>
      <c r="M2076" s="22">
        <v>0</v>
      </c>
      <c r="N2076" s="22">
        <v>-1440</v>
      </c>
      <c r="O2076" s="22">
        <v>5760</v>
      </c>
      <c r="P2076" s="22">
        <v>5760</v>
      </c>
      <c r="Q2076" t="str" cm="1">
        <f t="array" ref="Q2076">_xlfn.TEXTJOIN("、",TRUE,IF('學員資料-三民高中'!$B$2:$B$454=$F2076,'學員資料-三民高中'!$G$2:$G$454,""))</f>
        <v/>
      </c>
      <c r="R2076" t="str" cm="1">
        <f t="array" ref="R2076">_xlfn.TEXTJOIN("、",TRUE,IF('學員資料-新北高中'!$B$2:$B$583=$F2076,'學員資料-新北高中'!$G$2:$G$583,""))</f>
        <v/>
      </c>
      <c r="S2076" t="str" cm="1">
        <f t="array" ref="S2076">_xlfn.TEXTJOIN("、",TRUE,IF('學員資料-三重商工'!$B$2:$B$472=$F2076,'學員資料-三重商工'!$G$2:$G$472,""))</f>
        <v>0921622688</v>
      </c>
      <c r="T2076">
        <f t="shared" si="32"/>
        <v>1</v>
      </c>
    </row>
    <row r="2077" spans="1:20" ht="14.25" hidden="1" customHeight="1">
      <c r="A2077" s="15">
        <v>2076</v>
      </c>
      <c r="B2077" s="16" t="s">
        <v>6417</v>
      </c>
      <c r="C2077" s="17">
        <v>45529</v>
      </c>
      <c r="D2077" s="15" t="s">
        <v>6418</v>
      </c>
      <c r="E2077" s="18" t="s">
        <v>954</v>
      </c>
      <c r="F2077" s="19" t="s">
        <v>2321</v>
      </c>
      <c r="G2077" s="18" t="s">
        <v>2322</v>
      </c>
      <c r="H2077" s="20" t="s">
        <v>5131</v>
      </c>
      <c r="I2077" s="15">
        <v>1</v>
      </c>
      <c r="J2077" s="15" t="s">
        <v>24</v>
      </c>
      <c r="K2077" s="15"/>
      <c r="L2077" s="21" t="s">
        <v>16</v>
      </c>
      <c r="M2077" s="22">
        <v>0</v>
      </c>
      <c r="N2077" s="22">
        <v>-720</v>
      </c>
      <c r="O2077" s="22">
        <v>6480</v>
      </c>
      <c r="P2077" s="22">
        <v>6480</v>
      </c>
      <c r="Q2077" t="str" cm="1">
        <f t="array" ref="Q2077">_xlfn.TEXTJOIN("、",TRUE,IF('學員資料-三民高中'!$B$2:$B$454=$F2077,'學員資料-三民高中'!$G$2:$G$454,""))</f>
        <v/>
      </c>
      <c r="R2077" t="str" cm="1">
        <f t="array" ref="R2077">_xlfn.TEXTJOIN("、",TRUE,IF('學員資料-新北高中'!$B$2:$B$583=$F2077,'學員資料-新北高中'!$G$2:$G$583,""))</f>
        <v>0970061461</v>
      </c>
      <c r="S2077" t="str" cm="1">
        <f t="array" ref="S2077">_xlfn.TEXTJOIN("、",TRUE,IF('學員資料-三重商工'!$B$2:$B$472=$F2077,'學員資料-三重商工'!$G$2:$G$472,""))</f>
        <v/>
      </c>
      <c r="T2077">
        <f t="shared" si="32"/>
        <v>1</v>
      </c>
    </row>
    <row r="2078" spans="1:20" ht="14.25" hidden="1" customHeight="1">
      <c r="A2078" s="15">
        <v>2077</v>
      </c>
      <c r="B2078" s="16" t="s">
        <v>6419</v>
      </c>
      <c r="C2078" s="17">
        <v>45529</v>
      </c>
      <c r="D2078" s="15" t="s">
        <v>6420</v>
      </c>
      <c r="E2078" s="18" t="s">
        <v>954</v>
      </c>
      <c r="F2078" s="19" t="s">
        <v>4759</v>
      </c>
      <c r="G2078" s="18" t="s">
        <v>4760</v>
      </c>
      <c r="H2078" s="20" t="s">
        <v>5340</v>
      </c>
      <c r="I2078" s="15">
        <v>1</v>
      </c>
      <c r="J2078" s="15" t="s">
        <v>27</v>
      </c>
      <c r="K2078" s="15"/>
      <c r="L2078" s="21" t="s">
        <v>16</v>
      </c>
      <c r="M2078" s="22">
        <v>0</v>
      </c>
      <c r="N2078" s="22">
        <v>-1620</v>
      </c>
      <c r="O2078" s="22">
        <v>11880</v>
      </c>
      <c r="P2078" s="22">
        <v>11880</v>
      </c>
      <c r="Q2078" t="str" cm="1">
        <f t="array" ref="Q2078">_xlfn.TEXTJOIN("、",TRUE,IF('學員資料-三民高中'!$B$2:$B$454=$F2078,'學員資料-三民高中'!$G$2:$G$454,""))</f>
        <v/>
      </c>
      <c r="R2078" t="str" cm="1">
        <f t="array" ref="R2078">_xlfn.TEXTJOIN("、",TRUE,IF('學員資料-新北高中'!$B$2:$B$583=$F2078,'學員資料-新北高中'!$G$2:$G$583,""))</f>
        <v/>
      </c>
      <c r="S2078" t="str" cm="1">
        <f t="array" ref="S2078">_xlfn.TEXTJOIN("、",TRUE,IF('學員資料-三重商工'!$B$2:$B$472=$F2078,'學員資料-三重商工'!$G$2:$G$472,""))</f>
        <v>09709449310</v>
      </c>
      <c r="T2078">
        <f t="shared" si="32"/>
        <v>1</v>
      </c>
    </row>
    <row r="2079" spans="1:20" ht="14.25" hidden="1" customHeight="1">
      <c r="A2079" s="15">
        <v>2078</v>
      </c>
      <c r="B2079" s="16" t="s">
        <v>6421</v>
      </c>
      <c r="C2079" s="17">
        <v>45529</v>
      </c>
      <c r="D2079" s="15" t="s">
        <v>6422</v>
      </c>
      <c r="E2079" s="18" t="s">
        <v>954</v>
      </c>
      <c r="F2079" s="19" t="s">
        <v>6423</v>
      </c>
      <c r="G2079" s="18" t="s">
        <v>6424</v>
      </c>
      <c r="H2079" s="20" t="s">
        <v>5148</v>
      </c>
      <c r="I2079" s="15">
        <v>1</v>
      </c>
      <c r="J2079" s="15" t="s">
        <v>25</v>
      </c>
      <c r="K2079" s="15"/>
      <c r="L2079" s="21" t="s">
        <v>16</v>
      </c>
      <c r="M2079" s="22">
        <v>0</v>
      </c>
      <c r="N2079" s="22">
        <v>-1800</v>
      </c>
      <c r="O2079" s="22">
        <v>7200</v>
      </c>
      <c r="P2079" s="22">
        <v>7200</v>
      </c>
      <c r="Q2079" t="str" cm="1">
        <f t="array" ref="Q2079">_xlfn.TEXTJOIN("、",TRUE,IF('學員資料-三民高中'!$B$2:$B$454=$F2079,'學員資料-三民高中'!$G$2:$G$454,""))</f>
        <v/>
      </c>
      <c r="R2079" t="str" cm="1">
        <f t="array" ref="R2079">_xlfn.TEXTJOIN("、",TRUE,IF('學員資料-新北高中'!$B$2:$B$583=$F2079,'學員資料-新北高中'!$G$2:$G$583,""))</f>
        <v/>
      </c>
      <c r="S2079" t="str" cm="1">
        <f t="array" ref="S2079">_xlfn.TEXTJOIN("、",TRUE,IF('學員資料-三重商工'!$B$2:$B$472=$F2079,'學員資料-三重商工'!$G$2:$G$472,""))</f>
        <v>0965123828</v>
      </c>
      <c r="T2079">
        <f t="shared" si="32"/>
        <v>1</v>
      </c>
    </row>
    <row r="2080" spans="1:20" ht="43.5" hidden="1" customHeight="1">
      <c r="A2080" s="15">
        <v>2079</v>
      </c>
      <c r="B2080" s="16" t="s">
        <v>6425</v>
      </c>
      <c r="C2080" s="17">
        <v>45529</v>
      </c>
      <c r="D2080" s="15" t="s">
        <v>6426</v>
      </c>
      <c r="E2080" s="18" t="s">
        <v>954</v>
      </c>
      <c r="F2080" s="19" t="s">
        <v>4733</v>
      </c>
      <c r="G2080" s="18" t="s">
        <v>4734</v>
      </c>
      <c r="H2080" s="20" t="s">
        <v>5157</v>
      </c>
      <c r="I2080" s="15">
        <v>3</v>
      </c>
      <c r="J2080" s="15" t="s">
        <v>23</v>
      </c>
      <c r="K2080" s="15"/>
      <c r="L2080" s="21" t="s">
        <v>16</v>
      </c>
      <c r="M2080" s="22">
        <v>0</v>
      </c>
      <c r="N2080" s="22">
        <v>-1980</v>
      </c>
      <c r="O2080" s="22">
        <v>17820</v>
      </c>
      <c r="P2080" s="22">
        <v>17820</v>
      </c>
      <c r="Q2080" t="str" cm="1">
        <f t="array" ref="Q2080">_xlfn.TEXTJOIN("、",TRUE,IF('學員資料-三民高中'!$B$2:$B$454=$F2080,'學員資料-三民高中'!$G$2:$G$454,""))</f>
        <v/>
      </c>
      <c r="R2080" t="str" cm="1">
        <f t="array" ref="R2080">_xlfn.TEXTJOIN("、",TRUE,IF('學員資料-新北高中'!$B$2:$B$583=$F2080,'學員資料-新北高中'!$G$2:$G$583,""))</f>
        <v/>
      </c>
      <c r="S2080" t="str" cm="1">
        <f t="array" ref="S2080">_xlfn.TEXTJOIN("、",TRUE,IF('學員資料-三重商工'!$B$2:$B$472=$F2080,'學員資料-三重商工'!$G$2:$G$472,""))</f>
        <v>0911685342</v>
      </c>
      <c r="T2080">
        <f t="shared" si="32"/>
        <v>1</v>
      </c>
    </row>
    <row r="2081" spans="1:20" ht="43.5" hidden="1" customHeight="1">
      <c r="A2081" s="15">
        <v>2080</v>
      </c>
      <c r="B2081" s="16" t="s">
        <v>6427</v>
      </c>
      <c r="C2081" s="17">
        <v>45529</v>
      </c>
      <c r="D2081" s="15" t="s">
        <v>6428</v>
      </c>
      <c r="E2081" s="18" t="s">
        <v>954</v>
      </c>
      <c r="F2081" s="19" t="s">
        <v>6429</v>
      </c>
      <c r="G2081" s="18" t="s">
        <v>6430</v>
      </c>
      <c r="H2081" s="20" t="s">
        <v>5157</v>
      </c>
      <c r="I2081" s="15">
        <v>3</v>
      </c>
      <c r="J2081" s="15" t="s">
        <v>23</v>
      </c>
      <c r="K2081" s="15"/>
      <c r="L2081" s="21" t="s">
        <v>16</v>
      </c>
      <c r="M2081" s="22">
        <v>0</v>
      </c>
      <c r="N2081" s="22">
        <v>-1980</v>
      </c>
      <c r="O2081" s="22">
        <v>17820</v>
      </c>
      <c r="P2081" s="22">
        <v>17820</v>
      </c>
      <c r="Q2081" t="str" cm="1">
        <f t="array" ref="Q2081">_xlfn.TEXTJOIN("、",TRUE,IF('學員資料-三民高中'!$B$2:$B$454=$F2081,'學員資料-三民高中'!$G$2:$G$454,""))</f>
        <v/>
      </c>
      <c r="R2081" t="str" cm="1">
        <f t="array" ref="R2081">_xlfn.TEXTJOIN("、",TRUE,IF('學員資料-新北高中'!$B$2:$B$583=$F2081,'學員資料-新北高中'!$G$2:$G$583,""))</f>
        <v/>
      </c>
      <c r="S2081" t="str" cm="1">
        <f t="array" ref="S2081">_xlfn.TEXTJOIN("、",TRUE,IF('學員資料-三重商工'!$B$2:$B$472=$F2081,'學員資料-三重商工'!$G$2:$G$472,""))</f>
        <v>0928576279</v>
      </c>
      <c r="T2081">
        <f t="shared" si="32"/>
        <v>1</v>
      </c>
    </row>
    <row r="2082" spans="1:20" ht="14.25" hidden="1" customHeight="1">
      <c r="A2082" s="15">
        <v>2081</v>
      </c>
      <c r="B2082" s="16" t="s">
        <v>6431</v>
      </c>
      <c r="C2082" s="17">
        <v>45529</v>
      </c>
      <c r="D2082" s="15" t="s">
        <v>6432</v>
      </c>
      <c r="E2082" s="18" t="s">
        <v>954</v>
      </c>
      <c r="F2082" s="19" t="s">
        <v>6433</v>
      </c>
      <c r="G2082" s="18" t="s">
        <v>6434</v>
      </c>
      <c r="H2082" s="20" t="s">
        <v>5148</v>
      </c>
      <c r="I2082" s="15">
        <v>1</v>
      </c>
      <c r="J2082" s="15" t="s">
        <v>25</v>
      </c>
      <c r="K2082" s="15"/>
      <c r="L2082" s="21" t="s">
        <v>16</v>
      </c>
      <c r="M2082" s="22">
        <v>0</v>
      </c>
      <c r="N2082" s="22">
        <v>-1080</v>
      </c>
      <c r="O2082" s="22">
        <v>7920</v>
      </c>
      <c r="P2082" s="22">
        <v>7920</v>
      </c>
      <c r="Q2082" t="str" cm="1">
        <f t="array" ref="Q2082">_xlfn.TEXTJOIN("、",TRUE,IF('學員資料-三民高中'!$B$2:$B$454=$F2082,'學員資料-三民高中'!$G$2:$G$454,""))</f>
        <v/>
      </c>
      <c r="R2082" t="str" cm="1">
        <f t="array" ref="R2082">_xlfn.TEXTJOIN("、",TRUE,IF('學員資料-新北高中'!$B$2:$B$583=$F2082,'學員資料-新北高中'!$G$2:$G$583,""))</f>
        <v>0919438560-1</v>
      </c>
      <c r="S2082" t="str" cm="1">
        <f t="array" ref="S2082">_xlfn.TEXTJOIN("、",TRUE,IF('學員資料-三重商工'!$B$2:$B$472=$F2082,'學員資料-三重商工'!$G$2:$G$472,""))</f>
        <v/>
      </c>
      <c r="T2082">
        <f t="shared" si="32"/>
        <v>1</v>
      </c>
    </row>
    <row r="2083" spans="1:20" ht="14.25" hidden="1" customHeight="1">
      <c r="A2083" s="15">
        <v>2082</v>
      </c>
      <c r="B2083" s="16" t="s">
        <v>6435</v>
      </c>
      <c r="C2083" s="17">
        <v>45529</v>
      </c>
      <c r="D2083" s="15" t="s">
        <v>6436</v>
      </c>
      <c r="E2083" s="18" t="s">
        <v>954</v>
      </c>
      <c r="F2083" s="19" t="s">
        <v>6437</v>
      </c>
      <c r="G2083" s="18" t="s">
        <v>6438</v>
      </c>
      <c r="H2083" s="20" t="s">
        <v>5340</v>
      </c>
      <c r="I2083" s="15">
        <v>1</v>
      </c>
      <c r="J2083" s="15" t="s">
        <v>27</v>
      </c>
      <c r="K2083" s="15"/>
      <c r="L2083" s="21" t="s">
        <v>16</v>
      </c>
      <c r="M2083" s="22">
        <v>0</v>
      </c>
      <c r="N2083" s="22">
        <v>-1620</v>
      </c>
      <c r="O2083" s="22">
        <v>11880</v>
      </c>
      <c r="P2083" s="22">
        <v>11880</v>
      </c>
      <c r="Q2083" t="str" cm="1">
        <f t="array" ref="Q2083">_xlfn.TEXTJOIN("、",TRUE,IF('學員資料-三民高中'!$B$2:$B$454=$F2083,'學員資料-三民高中'!$G$2:$G$454,""))</f>
        <v/>
      </c>
      <c r="R2083" t="str" cm="1">
        <f t="array" ref="R2083">_xlfn.TEXTJOIN("、",TRUE,IF('學員資料-新北高中'!$B$2:$B$583=$F2083,'學員資料-新北高中'!$G$2:$G$583,""))</f>
        <v>0919438560-2</v>
      </c>
      <c r="S2083" t="str" cm="1">
        <f t="array" ref="S2083">_xlfn.TEXTJOIN("、",TRUE,IF('學員資料-三重商工'!$B$2:$B$472=$F2083,'學員資料-三重商工'!$G$2:$G$472,""))</f>
        <v/>
      </c>
      <c r="T2083">
        <f t="shared" si="32"/>
        <v>1</v>
      </c>
    </row>
    <row r="2084" spans="1:20" ht="14.25" hidden="1" customHeight="1">
      <c r="A2084" s="15">
        <v>2083</v>
      </c>
      <c r="B2084" s="16" t="s">
        <v>6439</v>
      </c>
      <c r="C2084" s="17">
        <v>45529</v>
      </c>
      <c r="D2084" s="15" t="s">
        <v>6440</v>
      </c>
      <c r="E2084" s="18" t="s">
        <v>954</v>
      </c>
      <c r="F2084" s="19" t="s">
        <v>6441</v>
      </c>
      <c r="G2084" s="18" t="s">
        <v>6442</v>
      </c>
      <c r="H2084" s="20" t="s">
        <v>5211</v>
      </c>
      <c r="I2084" s="15">
        <v>1</v>
      </c>
      <c r="J2084" s="15" t="s">
        <v>26</v>
      </c>
      <c r="K2084" s="15"/>
      <c r="L2084" s="21" t="s">
        <v>16</v>
      </c>
      <c r="M2084" s="22">
        <v>0</v>
      </c>
      <c r="N2084" s="22">
        <v>-1296</v>
      </c>
      <c r="O2084" s="22">
        <v>9504</v>
      </c>
      <c r="P2084" s="22">
        <v>9504</v>
      </c>
      <c r="Q2084" t="str" cm="1">
        <f t="array" ref="Q2084">_xlfn.TEXTJOIN("、",TRUE,IF('學員資料-三民高中'!$B$2:$B$454=$F2084,'學員資料-三民高中'!$G$2:$G$454,""))</f>
        <v>0972239268</v>
      </c>
      <c r="R2084" t="str" cm="1">
        <f t="array" ref="R2084">_xlfn.TEXTJOIN("、",TRUE,IF('學員資料-新北高中'!$B$2:$B$583=$F2084,'學員資料-新北高中'!$G$2:$G$583,""))</f>
        <v/>
      </c>
      <c r="S2084" t="str" cm="1">
        <f t="array" ref="S2084">_xlfn.TEXTJOIN("、",TRUE,IF('學員資料-三重商工'!$B$2:$B$472=$F2084,'學員資料-三重商工'!$G$2:$G$472,""))</f>
        <v/>
      </c>
      <c r="T2084">
        <f t="shared" si="32"/>
        <v>1</v>
      </c>
    </row>
    <row r="2085" spans="1:20" ht="14.25" hidden="1" customHeight="1">
      <c r="A2085" s="15">
        <v>2084</v>
      </c>
      <c r="B2085" s="16" t="s">
        <v>6443</v>
      </c>
      <c r="C2085" s="17">
        <v>45529</v>
      </c>
      <c r="D2085" s="15" t="s">
        <v>6444</v>
      </c>
      <c r="E2085" s="18" t="s">
        <v>954</v>
      </c>
      <c r="F2085" s="19" t="s">
        <v>6445</v>
      </c>
      <c r="G2085" s="18" t="s">
        <v>6446</v>
      </c>
      <c r="H2085" s="20" t="s">
        <v>5131</v>
      </c>
      <c r="I2085" s="15">
        <v>1</v>
      </c>
      <c r="J2085" s="15" t="s">
        <v>24</v>
      </c>
      <c r="K2085" s="15"/>
      <c r="L2085" s="21" t="s">
        <v>16</v>
      </c>
      <c r="M2085" s="22">
        <v>0</v>
      </c>
      <c r="N2085" s="22">
        <v>-720</v>
      </c>
      <c r="O2085" s="22">
        <v>6480</v>
      </c>
      <c r="P2085" s="22">
        <v>6480</v>
      </c>
      <c r="Q2085" t="str" cm="1">
        <f t="array" ref="Q2085">_xlfn.TEXTJOIN("、",TRUE,IF('學員資料-三民高中'!$B$2:$B$454=$F2085,'學員資料-三民高中'!$G$2:$G$454,""))</f>
        <v>0905580274-1</v>
      </c>
      <c r="R2085" t="str" cm="1">
        <f t="array" ref="R2085">_xlfn.TEXTJOIN("、",TRUE,IF('學員資料-新北高中'!$B$2:$B$583=$F2085,'學員資料-新北高中'!$G$2:$G$583,""))</f>
        <v/>
      </c>
      <c r="S2085" t="str" cm="1">
        <f t="array" ref="S2085">_xlfn.TEXTJOIN("、",TRUE,IF('學員資料-三重商工'!$B$2:$B$472=$F2085,'學員資料-三重商工'!$G$2:$G$472,""))</f>
        <v/>
      </c>
      <c r="T2085">
        <f t="shared" si="32"/>
        <v>1</v>
      </c>
    </row>
    <row r="2086" spans="1:20" ht="14.25" hidden="1" customHeight="1">
      <c r="A2086" s="15">
        <v>2085</v>
      </c>
      <c r="B2086" s="16" t="s">
        <v>6447</v>
      </c>
      <c r="C2086" s="17">
        <v>45529</v>
      </c>
      <c r="D2086" s="15" t="s">
        <v>6448</v>
      </c>
      <c r="E2086" s="18" t="s">
        <v>954</v>
      </c>
      <c r="F2086" s="19" t="s">
        <v>6449</v>
      </c>
      <c r="G2086" s="18" t="s">
        <v>6450</v>
      </c>
      <c r="H2086" s="20" t="s">
        <v>5246</v>
      </c>
      <c r="I2086" s="15">
        <v>1</v>
      </c>
      <c r="J2086" s="15" t="s">
        <v>23</v>
      </c>
      <c r="K2086" s="15"/>
      <c r="L2086" s="21" t="s">
        <v>16</v>
      </c>
      <c r="M2086" s="22">
        <v>0</v>
      </c>
      <c r="N2086" s="22">
        <v>-720</v>
      </c>
      <c r="O2086" s="22">
        <v>6480</v>
      </c>
      <c r="P2086" s="22">
        <v>6480</v>
      </c>
      <c r="Q2086" t="str" cm="1">
        <f t="array" ref="Q2086">_xlfn.TEXTJOIN("、",TRUE,IF('學員資料-三民高中'!$B$2:$B$454=$F2086,'學員資料-三民高中'!$G$2:$G$454,""))</f>
        <v/>
      </c>
      <c r="R2086" t="str" cm="1">
        <f t="array" ref="R2086">_xlfn.TEXTJOIN("、",TRUE,IF('學員資料-新北高中'!$B$2:$B$583=$F2086,'學員資料-新北高中'!$G$2:$G$583,""))</f>
        <v/>
      </c>
      <c r="S2086" t="str" cm="1">
        <f t="array" ref="S2086">_xlfn.TEXTJOIN("、",TRUE,IF('學員資料-三重商工'!$B$2:$B$472=$F2086,'學員資料-三重商工'!$G$2:$G$472,""))</f>
        <v>0982296197</v>
      </c>
      <c r="T2086">
        <f t="shared" si="32"/>
        <v>1</v>
      </c>
    </row>
    <row r="2087" spans="1:20" ht="43.5" hidden="1" customHeight="1">
      <c r="A2087" s="15">
        <v>2086</v>
      </c>
      <c r="B2087" s="16" t="s">
        <v>6451</v>
      </c>
      <c r="C2087" s="17">
        <v>45529</v>
      </c>
      <c r="D2087" s="15" t="s">
        <v>6452</v>
      </c>
      <c r="E2087" s="18" t="s">
        <v>954</v>
      </c>
      <c r="F2087" s="19" t="s">
        <v>2957</v>
      </c>
      <c r="G2087" s="18" t="s">
        <v>2958</v>
      </c>
      <c r="H2087" s="20" t="s">
        <v>4391</v>
      </c>
      <c r="I2087" s="15">
        <v>3</v>
      </c>
      <c r="J2087" s="15" t="s">
        <v>23</v>
      </c>
      <c r="K2087" s="15"/>
      <c r="L2087" s="21" t="s">
        <v>16</v>
      </c>
      <c r="M2087" s="22">
        <v>0</v>
      </c>
      <c r="N2087" s="22">
        <v>-2700</v>
      </c>
      <c r="O2087" s="22">
        <v>24300</v>
      </c>
      <c r="P2087" s="22">
        <v>24300</v>
      </c>
      <c r="Q2087" t="str" cm="1">
        <f t="array" ref="Q2087">_xlfn.TEXTJOIN("、",TRUE,IF('學員資料-三民高中'!$B$2:$B$454=$F2087,'學員資料-三民高中'!$G$2:$G$454,""))</f>
        <v/>
      </c>
      <c r="R2087" t="str" cm="1">
        <f t="array" ref="R2087">_xlfn.TEXTJOIN("、",TRUE,IF('學員資料-新北高中'!$B$2:$B$583=$F2087,'學員資料-新北高中'!$G$2:$G$583,""))</f>
        <v>0933025041</v>
      </c>
      <c r="S2087" t="str" cm="1">
        <f t="array" ref="S2087">_xlfn.TEXTJOIN("、",TRUE,IF('學員資料-三重商工'!$B$2:$B$472=$F2087,'學員資料-三重商工'!$G$2:$G$472,""))</f>
        <v/>
      </c>
      <c r="T2087">
        <f t="shared" si="32"/>
        <v>1</v>
      </c>
    </row>
    <row r="2088" spans="1:20" ht="28.5" hidden="1" customHeight="1">
      <c r="A2088" s="15">
        <v>2087</v>
      </c>
      <c r="B2088" s="16" t="s">
        <v>6453</v>
      </c>
      <c r="C2088" s="17">
        <v>45529</v>
      </c>
      <c r="D2088" s="15" t="s">
        <v>6454</v>
      </c>
      <c r="E2088" s="18" t="s">
        <v>954</v>
      </c>
      <c r="F2088" s="19" t="s">
        <v>4443</v>
      </c>
      <c r="G2088" s="18" t="s">
        <v>4444</v>
      </c>
      <c r="H2088" s="20" t="s">
        <v>5154</v>
      </c>
      <c r="I2088" s="15">
        <v>2</v>
      </c>
      <c r="J2088" s="15" t="s">
        <v>24</v>
      </c>
      <c r="K2088" s="15"/>
      <c r="L2088" s="21" t="s">
        <v>16</v>
      </c>
      <c r="M2088" s="22">
        <v>0</v>
      </c>
      <c r="N2088" s="22">
        <v>-1440</v>
      </c>
      <c r="O2088" s="22">
        <v>12960</v>
      </c>
      <c r="P2088" s="22">
        <v>12960</v>
      </c>
      <c r="Q2088" t="str" cm="1">
        <f t="array" ref="Q2088">_xlfn.TEXTJOIN("、",TRUE,IF('學員資料-三民高中'!$B$2:$B$454=$F2088,'學員資料-三民高中'!$G$2:$G$454,""))</f>
        <v/>
      </c>
      <c r="R2088" t="str" cm="1">
        <f t="array" ref="R2088">_xlfn.TEXTJOIN("、",TRUE,IF('學員資料-新北高中'!$B$2:$B$583=$F2088,'學員資料-新北高中'!$G$2:$G$583,""))</f>
        <v/>
      </c>
      <c r="S2088" t="str" cm="1">
        <f t="array" ref="S2088">_xlfn.TEXTJOIN("、",TRUE,IF('學員資料-三重商工'!$B$2:$B$472=$F2088,'學員資料-三重商工'!$G$2:$G$472,""))</f>
        <v>0935323195</v>
      </c>
      <c r="T2088">
        <f t="shared" si="32"/>
        <v>1</v>
      </c>
    </row>
    <row r="2089" spans="1:20" ht="28.5" hidden="1" customHeight="1">
      <c r="A2089" s="15">
        <v>2088</v>
      </c>
      <c r="B2089" s="16" t="s">
        <v>6455</v>
      </c>
      <c r="C2089" s="17">
        <v>45529</v>
      </c>
      <c r="D2089" s="15" t="s">
        <v>6456</v>
      </c>
      <c r="E2089" s="18" t="s">
        <v>954</v>
      </c>
      <c r="F2089" s="19" t="s">
        <v>4566</v>
      </c>
      <c r="G2089" s="18" t="s">
        <v>4567</v>
      </c>
      <c r="H2089" s="20" t="s">
        <v>5154</v>
      </c>
      <c r="I2089" s="15">
        <v>2</v>
      </c>
      <c r="J2089" s="15" t="s">
        <v>24</v>
      </c>
      <c r="K2089" s="15"/>
      <c r="L2089" s="21" t="s">
        <v>16</v>
      </c>
      <c r="M2089" s="22">
        <v>0</v>
      </c>
      <c r="N2089" s="22">
        <v>-1440</v>
      </c>
      <c r="O2089" s="22">
        <v>12960</v>
      </c>
      <c r="P2089" s="22">
        <v>12960</v>
      </c>
      <c r="Q2089" t="str" cm="1">
        <f t="array" ref="Q2089">_xlfn.TEXTJOIN("、",TRUE,IF('學員資料-三民高中'!$B$2:$B$454=$F2089,'學員資料-三民高中'!$G$2:$G$454,""))</f>
        <v/>
      </c>
      <c r="R2089" t="str" cm="1">
        <f t="array" ref="R2089">_xlfn.TEXTJOIN("、",TRUE,IF('學員資料-新北高中'!$B$2:$B$583=$F2089,'學員資料-新北高中'!$G$2:$G$583,""))</f>
        <v/>
      </c>
      <c r="S2089" t="str" cm="1">
        <f t="array" ref="S2089">_xlfn.TEXTJOIN("、",TRUE,IF('學員資料-三重商工'!$B$2:$B$472=$F2089,'學員資料-三重商工'!$G$2:$G$472,""))</f>
        <v>0939287997</v>
      </c>
      <c r="T2089">
        <f t="shared" si="32"/>
        <v>1</v>
      </c>
    </row>
    <row r="2090" spans="1:20" ht="14.25" hidden="1" customHeight="1">
      <c r="A2090" s="15">
        <v>2089</v>
      </c>
      <c r="B2090" s="16" t="s">
        <v>6457</v>
      </c>
      <c r="C2090" s="17">
        <v>45529</v>
      </c>
      <c r="D2090" s="15" t="s">
        <v>6458</v>
      </c>
      <c r="E2090" s="18" t="s">
        <v>954</v>
      </c>
      <c r="F2090" s="19" t="s">
        <v>3983</v>
      </c>
      <c r="G2090" s="18" t="s">
        <v>3984</v>
      </c>
      <c r="H2090" s="20" t="s">
        <v>5148</v>
      </c>
      <c r="I2090" s="15">
        <v>1</v>
      </c>
      <c r="J2090" s="15" t="s">
        <v>25</v>
      </c>
      <c r="K2090" s="15"/>
      <c r="L2090" s="21" t="s">
        <v>16</v>
      </c>
      <c r="M2090" s="22">
        <v>0</v>
      </c>
      <c r="N2090" s="22">
        <v>-1080</v>
      </c>
      <c r="O2090" s="22">
        <v>7920</v>
      </c>
      <c r="P2090" s="22">
        <v>7920</v>
      </c>
      <c r="Q2090" t="str" cm="1">
        <f t="array" ref="Q2090">_xlfn.TEXTJOIN("、",TRUE,IF('學員資料-三民高中'!$B$2:$B$454=$F2090,'學員資料-三民高中'!$G$2:$G$454,""))</f>
        <v/>
      </c>
      <c r="R2090" t="str" cm="1">
        <f t="array" ref="R2090">_xlfn.TEXTJOIN("、",TRUE,IF('學員資料-新北高中'!$B$2:$B$583=$F2090,'學員資料-新北高中'!$G$2:$G$583,""))</f>
        <v/>
      </c>
      <c r="S2090" t="str" cm="1">
        <f t="array" ref="S2090">_xlfn.TEXTJOIN("、",TRUE,IF('學員資料-三重商工'!$B$2:$B$472=$F2090,'學員資料-三重商工'!$G$2:$G$472,""))</f>
        <v>0919173769</v>
      </c>
      <c r="T2090">
        <f t="shared" si="32"/>
        <v>1</v>
      </c>
    </row>
    <row r="2091" spans="1:20" ht="14.25" hidden="1" customHeight="1">
      <c r="A2091" s="15">
        <v>2090</v>
      </c>
      <c r="B2091" s="16" t="s">
        <v>6459</v>
      </c>
      <c r="C2091" s="17">
        <v>45529</v>
      </c>
      <c r="D2091" s="15" t="s">
        <v>6460</v>
      </c>
      <c r="E2091" s="18" t="s">
        <v>954</v>
      </c>
      <c r="F2091" s="19" t="s">
        <v>6461</v>
      </c>
      <c r="G2091" s="18" t="s">
        <v>6462</v>
      </c>
      <c r="H2091" s="20" t="s">
        <v>5246</v>
      </c>
      <c r="I2091" s="15">
        <v>1</v>
      </c>
      <c r="J2091" s="15" t="s">
        <v>23</v>
      </c>
      <c r="K2091" s="15"/>
      <c r="L2091" s="21" t="s">
        <v>16</v>
      </c>
      <c r="M2091" s="22">
        <v>0</v>
      </c>
      <c r="N2091" s="22">
        <v>-720</v>
      </c>
      <c r="O2091" s="22">
        <v>6480</v>
      </c>
      <c r="P2091" s="22">
        <v>6480</v>
      </c>
      <c r="Q2091" t="str" cm="1">
        <f t="array" ref="Q2091">_xlfn.TEXTJOIN("、",TRUE,IF('學員資料-三民高中'!$B$2:$B$454=$F2091,'學員資料-三民高中'!$G$2:$G$454,""))</f>
        <v/>
      </c>
      <c r="R2091" t="str" cm="1">
        <f t="array" ref="R2091">_xlfn.TEXTJOIN("、",TRUE,IF('學員資料-新北高中'!$B$2:$B$583=$F2091,'學員資料-新北高中'!$G$2:$G$583,""))</f>
        <v/>
      </c>
      <c r="S2091" t="str" cm="1">
        <f t="array" ref="S2091">_xlfn.TEXTJOIN("、",TRUE,IF('學員資料-三重商工'!$B$2:$B$472=$F2091,'學員資料-三重商工'!$G$2:$G$472,""))</f>
        <v>0925158179</v>
      </c>
      <c r="T2091">
        <f t="shared" si="32"/>
        <v>1</v>
      </c>
    </row>
    <row r="2092" spans="1:20" ht="28.5" hidden="1" customHeight="1">
      <c r="A2092" s="15">
        <v>2091</v>
      </c>
      <c r="B2092" s="16" t="s">
        <v>6463</v>
      </c>
      <c r="C2092" s="17">
        <v>45529</v>
      </c>
      <c r="D2092" s="15" t="s">
        <v>6464</v>
      </c>
      <c r="E2092" s="18" t="s">
        <v>954</v>
      </c>
      <c r="F2092" s="19" t="s">
        <v>6465</v>
      </c>
      <c r="G2092" s="18" t="s">
        <v>6466</v>
      </c>
      <c r="H2092" s="20" t="s">
        <v>5154</v>
      </c>
      <c r="I2092" s="15">
        <v>2</v>
      </c>
      <c r="J2092" s="15" t="s">
        <v>24</v>
      </c>
      <c r="K2092" s="15"/>
      <c r="L2092" s="21" t="s">
        <v>16</v>
      </c>
      <c r="M2092" s="22">
        <v>0</v>
      </c>
      <c r="N2092" s="22">
        <v>-1440</v>
      </c>
      <c r="O2092" s="22">
        <v>12960</v>
      </c>
      <c r="P2092" s="22">
        <v>12960</v>
      </c>
      <c r="Q2092" t="str" cm="1">
        <f t="array" ref="Q2092">_xlfn.TEXTJOIN("、",TRUE,IF('學員資料-三民高中'!$B$2:$B$454=$F2092,'學員資料-三民高中'!$G$2:$G$454,""))</f>
        <v>0978157660-1</v>
      </c>
      <c r="R2092" t="str" cm="1">
        <f t="array" ref="R2092">_xlfn.TEXTJOIN("、",TRUE,IF('學員資料-新北高中'!$B$2:$B$583=$F2092,'學員資料-新北高中'!$G$2:$G$583,""))</f>
        <v/>
      </c>
      <c r="S2092" t="str" cm="1">
        <f t="array" ref="S2092">_xlfn.TEXTJOIN("、",TRUE,IF('學員資料-三重商工'!$B$2:$B$472=$F2092,'學員資料-三重商工'!$G$2:$G$472,""))</f>
        <v/>
      </c>
      <c r="T2092">
        <f t="shared" si="32"/>
        <v>1</v>
      </c>
    </row>
    <row r="2093" spans="1:20" ht="28.5" hidden="1" customHeight="1">
      <c r="A2093" s="15">
        <v>2092</v>
      </c>
      <c r="B2093" s="16" t="s">
        <v>6467</v>
      </c>
      <c r="C2093" s="17">
        <v>45529</v>
      </c>
      <c r="D2093" s="15" t="s">
        <v>6468</v>
      </c>
      <c r="E2093" s="18" t="s">
        <v>954</v>
      </c>
      <c r="F2093" s="19" t="s">
        <v>6469</v>
      </c>
      <c r="G2093" s="18" t="s">
        <v>6470</v>
      </c>
      <c r="H2093" s="20" t="s">
        <v>5154</v>
      </c>
      <c r="I2093" s="15">
        <v>2</v>
      </c>
      <c r="J2093" s="15" t="s">
        <v>24</v>
      </c>
      <c r="K2093" s="15"/>
      <c r="L2093" s="21" t="s">
        <v>16</v>
      </c>
      <c r="M2093" s="22">
        <v>0</v>
      </c>
      <c r="N2093" s="22">
        <v>-1440</v>
      </c>
      <c r="O2093" s="22">
        <v>12960</v>
      </c>
      <c r="P2093" s="22">
        <v>12960</v>
      </c>
      <c r="Q2093" t="str" cm="1">
        <f t="array" ref="Q2093">_xlfn.TEXTJOIN("、",TRUE,IF('學員資料-三民高中'!$B$2:$B$454=$F2093,'學員資料-三民高中'!$G$2:$G$454,""))</f>
        <v/>
      </c>
      <c r="R2093" t="str" cm="1">
        <f t="array" ref="R2093">_xlfn.TEXTJOIN("、",TRUE,IF('學員資料-新北高中'!$B$2:$B$583=$F2093,'學員資料-新北高中'!$G$2:$G$583,""))</f>
        <v/>
      </c>
      <c r="S2093" t="str" cm="1">
        <f t="array" ref="S2093">_xlfn.TEXTJOIN("、",TRUE,IF('學員資料-三重商工'!$B$2:$B$472=$F2093,'學員資料-三重商工'!$G$2:$G$472,""))</f>
        <v>0958934008</v>
      </c>
      <c r="T2093">
        <f t="shared" si="32"/>
        <v>1</v>
      </c>
    </row>
    <row r="2094" spans="1:20" ht="14.25" hidden="1" customHeight="1">
      <c r="A2094" s="15">
        <v>2093</v>
      </c>
      <c r="B2094" s="16" t="s">
        <v>6471</v>
      </c>
      <c r="C2094" s="17">
        <v>45529</v>
      </c>
      <c r="D2094" s="15" t="s">
        <v>6472</v>
      </c>
      <c r="E2094" s="18" t="s">
        <v>954</v>
      </c>
      <c r="F2094" s="19" t="s">
        <v>6473</v>
      </c>
      <c r="G2094" s="18" t="s">
        <v>6474</v>
      </c>
      <c r="H2094" s="20" t="s">
        <v>5180</v>
      </c>
      <c r="I2094" s="15">
        <v>1</v>
      </c>
      <c r="J2094" s="15" t="s">
        <v>24</v>
      </c>
      <c r="K2094" s="15"/>
      <c r="L2094" s="21" t="s">
        <v>16</v>
      </c>
      <c r="M2094" s="22">
        <v>0</v>
      </c>
      <c r="N2094" s="22">
        <v>-864</v>
      </c>
      <c r="O2094" s="22">
        <v>7776</v>
      </c>
      <c r="P2094" s="22">
        <v>7776</v>
      </c>
      <c r="Q2094" t="str" cm="1">
        <f t="array" ref="Q2094">_xlfn.TEXTJOIN("、",TRUE,IF('學員資料-三民高中'!$B$2:$B$454=$F2094,'學員資料-三民高中'!$G$2:$G$454,""))</f>
        <v/>
      </c>
      <c r="R2094" t="str" cm="1">
        <f t="array" ref="R2094">_xlfn.TEXTJOIN("、",TRUE,IF('學員資料-新北高中'!$B$2:$B$583=$F2094,'學員資料-新北高中'!$G$2:$G$583,""))</f>
        <v/>
      </c>
      <c r="S2094" t="str" cm="1">
        <f t="array" ref="S2094">_xlfn.TEXTJOIN("、",TRUE,IF('學員資料-三重商工'!$B$2:$B$472=$F2094,'學員資料-三重商工'!$G$2:$G$472,""))</f>
        <v>0933047061</v>
      </c>
      <c r="T2094">
        <f t="shared" si="32"/>
        <v>1</v>
      </c>
    </row>
    <row r="2095" spans="1:20" ht="14.25" hidden="1" customHeight="1">
      <c r="A2095" s="15">
        <v>2094</v>
      </c>
      <c r="B2095" s="16" t="s">
        <v>6475</v>
      </c>
      <c r="C2095" s="17">
        <v>45529</v>
      </c>
      <c r="D2095" s="15" t="s">
        <v>6476</v>
      </c>
      <c r="E2095" s="18" t="s">
        <v>954</v>
      </c>
      <c r="F2095" s="19" t="s">
        <v>4142</v>
      </c>
      <c r="G2095" s="18" t="s">
        <v>4143</v>
      </c>
      <c r="H2095" s="20" t="s">
        <v>5131</v>
      </c>
      <c r="I2095" s="15">
        <v>1</v>
      </c>
      <c r="J2095" s="15" t="s">
        <v>24</v>
      </c>
      <c r="K2095" s="15"/>
      <c r="L2095" s="21" t="s">
        <v>16</v>
      </c>
      <c r="M2095" s="22">
        <v>0</v>
      </c>
      <c r="N2095" s="22">
        <v>-720</v>
      </c>
      <c r="O2095" s="22">
        <v>6480</v>
      </c>
      <c r="P2095" s="22">
        <v>6480</v>
      </c>
      <c r="Q2095" t="str" cm="1">
        <f t="array" ref="Q2095">_xlfn.TEXTJOIN("、",TRUE,IF('學員資料-三民高中'!$B$2:$B$454=$F2095,'學員資料-三民高中'!$G$2:$G$454,""))</f>
        <v>0937745921</v>
      </c>
      <c r="R2095" t="str" cm="1">
        <f t="array" ref="R2095">_xlfn.TEXTJOIN("、",TRUE,IF('學員資料-新北高中'!$B$2:$B$583=$F2095,'學員資料-新北高中'!$G$2:$G$583,""))</f>
        <v/>
      </c>
      <c r="S2095" t="str" cm="1">
        <f t="array" ref="S2095">_xlfn.TEXTJOIN("、",TRUE,IF('學員資料-三重商工'!$B$2:$B$472=$F2095,'學員資料-三重商工'!$G$2:$G$472,""))</f>
        <v/>
      </c>
      <c r="T2095">
        <f t="shared" si="32"/>
        <v>1</v>
      </c>
    </row>
    <row r="2096" spans="1:20" ht="14.25" hidden="1" customHeight="1">
      <c r="A2096" s="15">
        <v>2095</v>
      </c>
      <c r="B2096" s="16" t="s">
        <v>6477</v>
      </c>
      <c r="C2096" s="17">
        <v>45529</v>
      </c>
      <c r="D2096" s="15" t="s">
        <v>6478</v>
      </c>
      <c r="E2096" s="18" t="s">
        <v>954</v>
      </c>
      <c r="F2096" s="19" t="s">
        <v>675</v>
      </c>
      <c r="G2096" s="18" t="s">
        <v>676</v>
      </c>
      <c r="H2096" s="20" t="s">
        <v>5163</v>
      </c>
      <c r="I2096" s="15">
        <v>1</v>
      </c>
      <c r="J2096" s="15" t="s">
        <v>23</v>
      </c>
      <c r="K2096" s="15"/>
      <c r="L2096" s="21" t="s">
        <v>16</v>
      </c>
      <c r="M2096" s="22">
        <v>0</v>
      </c>
      <c r="N2096" s="22">
        <v>-660</v>
      </c>
      <c r="O2096" s="22">
        <v>5940</v>
      </c>
      <c r="P2096" s="22">
        <v>5940</v>
      </c>
      <c r="Q2096" t="str" cm="1">
        <f t="array" ref="Q2096">_xlfn.TEXTJOIN("、",TRUE,IF('學員資料-三民高中'!$B$2:$B$454=$F2096,'學員資料-三民高中'!$G$2:$G$454,""))</f>
        <v/>
      </c>
      <c r="R2096" t="str" cm="1">
        <f t="array" ref="R2096">_xlfn.TEXTJOIN("、",TRUE,IF('學員資料-新北高中'!$B$2:$B$583=$F2096,'學員資料-新北高中'!$G$2:$G$583,""))</f>
        <v>0953272736</v>
      </c>
      <c r="S2096" t="str" cm="1">
        <f t="array" ref="S2096">_xlfn.TEXTJOIN("、",TRUE,IF('學員資料-三重商工'!$B$2:$B$472=$F2096,'學員資料-三重商工'!$G$2:$G$472,""))</f>
        <v/>
      </c>
      <c r="T2096">
        <f t="shared" si="32"/>
        <v>1</v>
      </c>
    </row>
    <row r="2097" spans="1:20" ht="28.5" hidden="1" customHeight="1">
      <c r="A2097" s="15">
        <v>2096</v>
      </c>
      <c r="B2097" s="16" t="s">
        <v>6479</v>
      </c>
      <c r="C2097" s="17">
        <v>45529</v>
      </c>
      <c r="D2097" s="15" t="s">
        <v>6480</v>
      </c>
      <c r="E2097" s="18" t="s">
        <v>954</v>
      </c>
      <c r="F2097" s="19" t="s">
        <v>3094</v>
      </c>
      <c r="G2097" s="18" t="s">
        <v>3095</v>
      </c>
      <c r="H2097" s="20" t="s">
        <v>5263</v>
      </c>
      <c r="I2097" s="15">
        <v>2</v>
      </c>
      <c r="J2097" s="15" t="s">
        <v>25</v>
      </c>
      <c r="K2097" s="15"/>
      <c r="L2097" s="21" t="s">
        <v>16</v>
      </c>
      <c r="M2097" s="22">
        <v>0</v>
      </c>
      <c r="N2097" s="22">
        <v>-2160</v>
      </c>
      <c r="O2097" s="22">
        <v>15840</v>
      </c>
      <c r="P2097" s="22">
        <v>15840</v>
      </c>
      <c r="Q2097" t="str" cm="1">
        <f t="array" ref="Q2097">_xlfn.TEXTJOIN("、",TRUE,IF('學員資料-三民高中'!$B$2:$B$454=$F2097,'學員資料-三民高中'!$G$2:$G$454,""))</f>
        <v/>
      </c>
      <c r="R2097" t="str" cm="1">
        <f t="array" ref="R2097">_xlfn.TEXTJOIN("、",TRUE,IF('學員資料-新北高中'!$B$2:$B$583=$F2097,'學員資料-新北高中'!$G$2:$G$583,""))</f>
        <v>0975001701</v>
      </c>
      <c r="S2097" t="str" cm="1">
        <f t="array" ref="S2097">_xlfn.TEXTJOIN("、",TRUE,IF('學員資料-三重商工'!$B$2:$B$472=$F2097,'學員資料-三重商工'!$G$2:$G$472,""))</f>
        <v/>
      </c>
      <c r="T2097">
        <f t="shared" si="32"/>
        <v>1</v>
      </c>
    </row>
    <row r="2098" spans="1:20" ht="14.25" hidden="1" customHeight="1">
      <c r="A2098" s="15">
        <v>2097</v>
      </c>
      <c r="B2098" s="16" t="s">
        <v>6481</v>
      </c>
      <c r="C2098" s="17">
        <v>45529</v>
      </c>
      <c r="D2098" s="15" t="s">
        <v>6482</v>
      </c>
      <c r="E2098" s="18" t="s">
        <v>954</v>
      </c>
      <c r="F2098" s="19" t="s">
        <v>4876</v>
      </c>
      <c r="G2098" s="18" t="s">
        <v>4877</v>
      </c>
      <c r="H2098" s="20" t="s">
        <v>5131</v>
      </c>
      <c r="I2098" s="15">
        <v>1</v>
      </c>
      <c r="J2098" s="15" t="s">
        <v>24</v>
      </c>
      <c r="K2098" s="15"/>
      <c r="L2098" s="21" t="s">
        <v>16</v>
      </c>
      <c r="M2098" s="22">
        <v>0</v>
      </c>
      <c r="N2098" s="22">
        <v>-720</v>
      </c>
      <c r="O2098" s="22">
        <v>6480</v>
      </c>
      <c r="P2098" s="22">
        <v>6480</v>
      </c>
      <c r="Q2098" t="str" cm="1">
        <f t="array" ref="Q2098">_xlfn.TEXTJOIN("、",TRUE,IF('學員資料-三民高中'!$B$2:$B$454=$F2098,'學員資料-三民高中'!$G$2:$G$454,""))</f>
        <v/>
      </c>
      <c r="R2098" t="str" cm="1">
        <f t="array" ref="R2098">_xlfn.TEXTJOIN("、",TRUE,IF('學員資料-新北高中'!$B$2:$B$583=$F2098,'學員資料-新北高中'!$G$2:$G$583,""))</f>
        <v/>
      </c>
      <c r="S2098" t="str" cm="1">
        <f t="array" ref="S2098">_xlfn.TEXTJOIN("、",TRUE,IF('學員資料-三重商工'!$B$2:$B$472=$F2098,'學員資料-三重商工'!$G$2:$G$472,""))</f>
        <v>0933237828</v>
      </c>
      <c r="T2098">
        <f t="shared" si="32"/>
        <v>1</v>
      </c>
    </row>
    <row r="2099" spans="1:20" ht="14.25" hidden="1" customHeight="1">
      <c r="A2099" s="15">
        <v>2098</v>
      </c>
      <c r="B2099" s="16" t="s">
        <v>6483</v>
      </c>
      <c r="C2099" s="17">
        <v>45529</v>
      </c>
      <c r="D2099" s="15" t="s">
        <v>6484</v>
      </c>
      <c r="E2099" s="18" t="s">
        <v>3862</v>
      </c>
      <c r="F2099" s="19" t="s">
        <v>6485</v>
      </c>
      <c r="G2099" s="18" t="s">
        <v>6486</v>
      </c>
      <c r="H2099" s="20" t="s">
        <v>5148</v>
      </c>
      <c r="I2099" s="15">
        <v>1</v>
      </c>
      <c r="J2099" s="15" t="s">
        <v>25</v>
      </c>
      <c r="K2099" s="15"/>
      <c r="L2099" s="21" t="s">
        <v>16</v>
      </c>
      <c r="M2099" s="22">
        <v>0</v>
      </c>
      <c r="N2099" s="22">
        <v>-1080</v>
      </c>
      <c r="O2099" s="22">
        <v>7920</v>
      </c>
      <c r="P2099" s="22">
        <v>7920</v>
      </c>
      <c r="Q2099" t="str" cm="1">
        <f t="array" ref="Q2099">_xlfn.TEXTJOIN("、",TRUE,IF('學員資料-三民高中'!$B$2:$B$454=$F2099,'學員資料-三民高中'!$G$2:$G$454,""))</f>
        <v>0952986590</v>
      </c>
      <c r="R2099" t="str" cm="1">
        <f t="array" ref="R2099">_xlfn.TEXTJOIN("、",TRUE,IF('學員資料-新北高中'!$B$2:$B$583=$F2099,'學員資料-新北高中'!$G$2:$G$583,""))</f>
        <v/>
      </c>
      <c r="S2099" t="str" cm="1">
        <f t="array" ref="S2099">_xlfn.TEXTJOIN("、",TRUE,IF('學員資料-三重商工'!$B$2:$B$472=$F2099,'學員資料-三重商工'!$G$2:$G$472,""))</f>
        <v/>
      </c>
      <c r="T2099">
        <f t="shared" si="32"/>
        <v>1</v>
      </c>
    </row>
    <row r="2100" spans="1:20" ht="28.5" hidden="1" customHeight="1">
      <c r="A2100" s="15">
        <v>2099</v>
      </c>
      <c r="B2100" s="16" t="s">
        <v>6487</v>
      </c>
      <c r="C2100" s="17">
        <v>45529</v>
      </c>
      <c r="D2100" s="15" t="s">
        <v>6488</v>
      </c>
      <c r="E2100" s="18" t="s">
        <v>954</v>
      </c>
      <c r="F2100" s="19" t="s">
        <v>2720</v>
      </c>
      <c r="G2100" s="18" t="s">
        <v>2721</v>
      </c>
      <c r="H2100" s="20" t="s">
        <v>5138</v>
      </c>
      <c r="I2100" s="15">
        <v>2</v>
      </c>
      <c r="J2100" s="15" t="s">
        <v>23</v>
      </c>
      <c r="K2100" s="15"/>
      <c r="L2100" s="21" t="s">
        <v>16</v>
      </c>
      <c r="M2100" s="22">
        <v>0</v>
      </c>
      <c r="N2100" s="22">
        <v>-1440</v>
      </c>
      <c r="O2100" s="22">
        <v>12960</v>
      </c>
      <c r="P2100" s="22">
        <v>12960</v>
      </c>
      <c r="Q2100" t="str" cm="1">
        <f t="array" ref="Q2100">_xlfn.TEXTJOIN("、",TRUE,IF('學員資料-三民高中'!$B$2:$B$454=$F2100,'學員資料-三民高中'!$G$2:$G$454,""))</f>
        <v/>
      </c>
      <c r="R2100" t="str" cm="1">
        <f t="array" ref="R2100">_xlfn.TEXTJOIN("、",TRUE,IF('學員資料-新北高中'!$B$2:$B$583=$F2100,'學員資料-新北高中'!$G$2:$G$583,""))</f>
        <v/>
      </c>
      <c r="S2100" t="str" cm="1">
        <f t="array" ref="S2100">_xlfn.TEXTJOIN("、",TRUE,IF('學員資料-三重商工'!$B$2:$B$472=$F2100,'學員資料-三重商工'!$G$2:$G$472,""))</f>
        <v>0955810184</v>
      </c>
      <c r="T2100">
        <f t="shared" si="32"/>
        <v>1</v>
      </c>
    </row>
    <row r="2101" spans="1:20" ht="14.25" hidden="1" customHeight="1">
      <c r="A2101" s="15">
        <v>2100</v>
      </c>
      <c r="B2101" s="16" t="s">
        <v>6489</v>
      </c>
      <c r="C2101" s="17">
        <v>45529</v>
      </c>
      <c r="D2101" s="15" t="s">
        <v>6490</v>
      </c>
      <c r="E2101" s="18" t="s">
        <v>954</v>
      </c>
      <c r="F2101" s="19" t="s">
        <v>2529</v>
      </c>
      <c r="G2101" s="18" t="s">
        <v>2530</v>
      </c>
      <c r="H2101" s="20" t="s">
        <v>5131</v>
      </c>
      <c r="I2101" s="15">
        <v>1</v>
      </c>
      <c r="J2101" s="15" t="s">
        <v>24</v>
      </c>
      <c r="K2101" s="15"/>
      <c r="L2101" s="21" t="s">
        <v>16</v>
      </c>
      <c r="M2101" s="22">
        <v>0</v>
      </c>
      <c r="N2101" s="22">
        <v>-720</v>
      </c>
      <c r="O2101" s="22">
        <v>6480</v>
      </c>
      <c r="P2101" s="22">
        <v>6480</v>
      </c>
      <c r="Q2101" t="str" cm="1">
        <f t="array" ref="Q2101">_xlfn.TEXTJOIN("、",TRUE,IF('學員資料-三民高中'!$B$2:$B$454=$F2101,'學員資料-三民高中'!$G$2:$G$454,""))</f>
        <v>0975928981-1</v>
      </c>
      <c r="R2101" t="str" cm="1">
        <f t="array" ref="R2101">_xlfn.TEXTJOIN("、",TRUE,IF('學員資料-新北高中'!$B$2:$B$583=$F2101,'學員資料-新北高中'!$G$2:$G$583,""))</f>
        <v/>
      </c>
      <c r="S2101" t="str" cm="1">
        <f t="array" ref="S2101">_xlfn.TEXTJOIN("、",TRUE,IF('學員資料-三重商工'!$B$2:$B$472=$F2101,'學員資料-三重商工'!$G$2:$G$472,""))</f>
        <v/>
      </c>
      <c r="T2101">
        <f t="shared" si="32"/>
        <v>1</v>
      </c>
    </row>
    <row r="2102" spans="1:20" ht="14.25" hidden="1" customHeight="1">
      <c r="A2102" s="15">
        <v>2101</v>
      </c>
      <c r="B2102" s="16" t="s">
        <v>6491</v>
      </c>
      <c r="C2102" s="17">
        <v>45529</v>
      </c>
      <c r="D2102" s="15" t="s">
        <v>6492</v>
      </c>
      <c r="E2102" s="18" t="s">
        <v>954</v>
      </c>
      <c r="F2102" s="19" t="s">
        <v>6493</v>
      </c>
      <c r="G2102" s="18" t="s">
        <v>6494</v>
      </c>
      <c r="H2102" s="20" t="s">
        <v>5148</v>
      </c>
      <c r="I2102" s="15">
        <v>1</v>
      </c>
      <c r="J2102" s="15" t="s">
        <v>25</v>
      </c>
      <c r="K2102" s="15"/>
      <c r="L2102" s="21" t="s">
        <v>16</v>
      </c>
      <c r="M2102" s="22">
        <v>0</v>
      </c>
      <c r="N2102" s="22">
        <v>-1080</v>
      </c>
      <c r="O2102" s="22">
        <v>7920</v>
      </c>
      <c r="P2102" s="22">
        <v>7920</v>
      </c>
      <c r="Q2102" t="str" cm="1">
        <f t="array" ref="Q2102">_xlfn.TEXTJOIN("、",TRUE,IF('學員資料-三民高中'!$B$2:$B$454=$F2102,'學員資料-三民高中'!$G$2:$G$454,""))</f>
        <v>0975928981</v>
      </c>
      <c r="R2102" t="str" cm="1">
        <f t="array" ref="R2102">_xlfn.TEXTJOIN("、",TRUE,IF('學員資料-新北高中'!$B$2:$B$583=$F2102,'學員資料-新北高中'!$G$2:$G$583,""))</f>
        <v/>
      </c>
      <c r="S2102" t="str" cm="1">
        <f t="array" ref="S2102">_xlfn.TEXTJOIN("、",TRUE,IF('學員資料-三重商工'!$B$2:$B$472=$F2102,'學員資料-三重商工'!$G$2:$G$472,""))</f>
        <v/>
      </c>
      <c r="T2102">
        <f t="shared" si="32"/>
        <v>1</v>
      </c>
    </row>
    <row r="2103" spans="1:20" ht="14.25" hidden="1" customHeight="1">
      <c r="A2103" s="15">
        <v>2102</v>
      </c>
      <c r="B2103" s="16" t="s">
        <v>6495</v>
      </c>
      <c r="C2103" s="17">
        <v>45529</v>
      </c>
      <c r="D2103" s="15" t="s">
        <v>6496</v>
      </c>
      <c r="E2103" s="18" t="s">
        <v>954</v>
      </c>
      <c r="F2103" s="19" t="s">
        <v>6497</v>
      </c>
      <c r="G2103" s="18" t="s">
        <v>6498</v>
      </c>
      <c r="H2103" s="20" t="s">
        <v>5131</v>
      </c>
      <c r="I2103" s="15">
        <v>1</v>
      </c>
      <c r="J2103" s="15" t="s">
        <v>24</v>
      </c>
      <c r="K2103" s="15"/>
      <c r="L2103" s="21" t="s">
        <v>16</v>
      </c>
      <c r="M2103" s="22">
        <v>0</v>
      </c>
      <c r="N2103" s="22">
        <v>-720</v>
      </c>
      <c r="O2103" s="22">
        <v>6480</v>
      </c>
      <c r="P2103" s="22">
        <v>6480</v>
      </c>
      <c r="Q2103" t="str" cm="1">
        <f t="array" ref="Q2103">_xlfn.TEXTJOIN("、",TRUE,IF('學員資料-三民高中'!$B$2:$B$454=$F2103,'學員資料-三民高中'!$G$2:$G$454,""))</f>
        <v>0965162262</v>
      </c>
      <c r="R2103" t="str" cm="1">
        <f t="array" ref="R2103">_xlfn.TEXTJOIN("、",TRUE,IF('學員資料-新北高中'!$B$2:$B$583=$F2103,'學員資料-新北高中'!$G$2:$G$583,""))</f>
        <v/>
      </c>
      <c r="S2103" t="str" cm="1">
        <f t="array" ref="S2103">_xlfn.TEXTJOIN("、",TRUE,IF('學員資料-三重商工'!$B$2:$B$472=$F2103,'學員資料-三重商工'!$G$2:$G$472,""))</f>
        <v/>
      </c>
      <c r="T2103">
        <f t="shared" si="32"/>
        <v>1</v>
      </c>
    </row>
    <row r="2104" spans="1:20" ht="14.25" hidden="1" customHeight="1">
      <c r="A2104" s="15">
        <v>2103</v>
      </c>
      <c r="B2104" s="16" t="s">
        <v>6499</v>
      </c>
      <c r="C2104" s="17">
        <v>45529</v>
      </c>
      <c r="D2104" s="15" t="s">
        <v>6500</v>
      </c>
      <c r="E2104" s="18" t="s">
        <v>954</v>
      </c>
      <c r="F2104" s="19" t="s">
        <v>1887</v>
      </c>
      <c r="G2104" s="18" t="s">
        <v>1888</v>
      </c>
      <c r="H2104" s="20" t="s">
        <v>5163</v>
      </c>
      <c r="I2104" s="15">
        <v>1</v>
      </c>
      <c r="J2104" s="15" t="s">
        <v>23</v>
      </c>
      <c r="K2104" s="15"/>
      <c r="L2104" s="21" t="s">
        <v>16</v>
      </c>
      <c r="M2104" s="22">
        <v>0</v>
      </c>
      <c r="N2104" s="22">
        <v>-660</v>
      </c>
      <c r="O2104" s="22">
        <v>5940</v>
      </c>
      <c r="P2104" s="22">
        <v>5940</v>
      </c>
      <c r="Q2104" t="str" cm="1">
        <f t="array" ref="Q2104">_xlfn.TEXTJOIN("、",TRUE,IF('學員資料-三民高中'!$B$2:$B$454=$F2104,'學員資料-三民高中'!$G$2:$G$454,""))</f>
        <v>0935716123</v>
      </c>
      <c r="R2104" t="str" cm="1">
        <f t="array" ref="R2104">_xlfn.TEXTJOIN("、",TRUE,IF('學員資料-新北高中'!$B$2:$B$583=$F2104,'學員資料-新北高中'!$G$2:$G$583,""))</f>
        <v/>
      </c>
      <c r="S2104" t="str" cm="1">
        <f t="array" ref="S2104">_xlfn.TEXTJOIN("、",TRUE,IF('學員資料-三重商工'!$B$2:$B$472=$F2104,'學員資料-三重商工'!$G$2:$G$472,""))</f>
        <v/>
      </c>
      <c r="T2104">
        <f t="shared" si="32"/>
        <v>1</v>
      </c>
    </row>
    <row r="2105" spans="1:20" ht="43.5" hidden="1" customHeight="1">
      <c r="A2105" s="15">
        <v>2104</v>
      </c>
      <c r="B2105" s="16" t="s">
        <v>6501</v>
      </c>
      <c r="C2105" s="17">
        <v>45529</v>
      </c>
      <c r="D2105" s="15" t="s">
        <v>6502</v>
      </c>
      <c r="E2105" s="18" t="s">
        <v>954</v>
      </c>
      <c r="F2105" s="19" t="s">
        <v>1891</v>
      </c>
      <c r="G2105" s="18" t="s">
        <v>1892</v>
      </c>
      <c r="H2105" s="20" t="s">
        <v>5436</v>
      </c>
      <c r="I2105" s="15">
        <v>3</v>
      </c>
      <c r="J2105" s="15" t="s">
        <v>24</v>
      </c>
      <c r="K2105" s="15"/>
      <c r="L2105" s="21" t="s">
        <v>16</v>
      </c>
      <c r="M2105" s="22">
        <v>0</v>
      </c>
      <c r="N2105" s="22">
        <v>-2160</v>
      </c>
      <c r="O2105" s="22">
        <v>19440</v>
      </c>
      <c r="P2105" s="22">
        <v>19440</v>
      </c>
      <c r="Q2105" t="str" cm="1">
        <f t="array" ref="Q2105">_xlfn.TEXTJOIN("、",TRUE,IF('學員資料-三民高中'!$B$2:$B$454=$F2105,'學員資料-三民高中'!$G$2:$G$454,""))</f>
        <v>0921856822</v>
      </c>
      <c r="R2105" t="str" cm="1">
        <f t="array" ref="R2105">_xlfn.TEXTJOIN("、",TRUE,IF('學員資料-新北高中'!$B$2:$B$583=$F2105,'學員資料-新北高中'!$G$2:$G$583,""))</f>
        <v/>
      </c>
      <c r="S2105" t="str" cm="1">
        <f t="array" ref="S2105">_xlfn.TEXTJOIN("、",TRUE,IF('學員資料-三重商工'!$B$2:$B$472=$F2105,'學員資料-三重商工'!$G$2:$G$472,""))</f>
        <v/>
      </c>
      <c r="T2105">
        <f t="shared" si="32"/>
        <v>1</v>
      </c>
    </row>
    <row r="2106" spans="1:20" ht="14.25" hidden="1" customHeight="1">
      <c r="A2106" s="15">
        <v>2105</v>
      </c>
      <c r="B2106" s="16" t="s">
        <v>6503</v>
      </c>
      <c r="C2106" s="17">
        <v>45529</v>
      </c>
      <c r="D2106" s="15" t="s">
        <v>6504</v>
      </c>
      <c r="E2106" s="18" t="s">
        <v>954</v>
      </c>
      <c r="F2106" s="19" t="s">
        <v>4596</v>
      </c>
      <c r="G2106" s="18" t="s">
        <v>4597</v>
      </c>
      <c r="H2106" s="20" t="s">
        <v>5131</v>
      </c>
      <c r="I2106" s="15">
        <v>1</v>
      </c>
      <c r="J2106" s="15" t="s">
        <v>24</v>
      </c>
      <c r="K2106" s="15"/>
      <c r="L2106" s="21" t="s">
        <v>16</v>
      </c>
      <c r="M2106" s="22">
        <v>0</v>
      </c>
      <c r="N2106" s="22">
        <v>-720</v>
      </c>
      <c r="O2106" s="22">
        <v>6480</v>
      </c>
      <c r="P2106" s="22">
        <v>6480</v>
      </c>
      <c r="Q2106" t="str" cm="1">
        <f t="array" ref="Q2106">_xlfn.TEXTJOIN("、",TRUE,IF('學員資料-三民高中'!$B$2:$B$454=$F2106,'學員資料-三民高中'!$G$2:$G$454,""))</f>
        <v/>
      </c>
      <c r="R2106" t="str" cm="1">
        <f t="array" ref="R2106">_xlfn.TEXTJOIN("、",TRUE,IF('學員資料-新北高中'!$B$2:$B$583=$F2106,'學員資料-新北高中'!$G$2:$G$583,""))</f>
        <v/>
      </c>
      <c r="S2106" t="str" cm="1">
        <f t="array" ref="S2106">_xlfn.TEXTJOIN("、",TRUE,IF('學員資料-三重商工'!$B$2:$B$472=$F2106,'學員資料-三重商工'!$G$2:$G$472,""))</f>
        <v>097866626</v>
      </c>
      <c r="T2106">
        <f t="shared" si="32"/>
        <v>1</v>
      </c>
    </row>
    <row r="2107" spans="1:20" ht="14.25" hidden="1" customHeight="1">
      <c r="A2107" s="15">
        <v>2106</v>
      </c>
      <c r="B2107" s="16" t="s">
        <v>6505</v>
      </c>
      <c r="C2107" s="17">
        <v>45529</v>
      </c>
      <c r="D2107" s="15" t="s">
        <v>6506</v>
      </c>
      <c r="E2107" s="18" t="s">
        <v>954</v>
      </c>
      <c r="F2107" s="19" t="s">
        <v>908</v>
      </c>
      <c r="G2107" s="18" t="s">
        <v>909</v>
      </c>
      <c r="H2107" s="20" t="s">
        <v>5148</v>
      </c>
      <c r="I2107" s="15">
        <v>1</v>
      </c>
      <c r="J2107" s="15" t="s">
        <v>25</v>
      </c>
      <c r="K2107" s="15"/>
      <c r="L2107" s="21" t="s">
        <v>16</v>
      </c>
      <c r="M2107" s="22">
        <v>0</v>
      </c>
      <c r="N2107" s="22">
        <v>-1080</v>
      </c>
      <c r="O2107" s="22">
        <v>7920</v>
      </c>
      <c r="P2107" s="22">
        <v>7920</v>
      </c>
      <c r="Q2107" t="str" cm="1">
        <f t="array" ref="Q2107">_xlfn.TEXTJOIN("、",TRUE,IF('學員資料-三民高中'!$B$2:$B$454=$F2107,'學員資料-三民高中'!$G$2:$G$454,""))</f>
        <v>0952978038</v>
      </c>
      <c r="R2107" t="str" cm="1">
        <f t="array" ref="R2107">_xlfn.TEXTJOIN("、",TRUE,IF('學員資料-新北高中'!$B$2:$B$583=$F2107,'學員資料-新北高中'!$G$2:$G$583,""))</f>
        <v/>
      </c>
      <c r="S2107" t="str" cm="1">
        <f t="array" ref="S2107">_xlfn.TEXTJOIN("、",TRUE,IF('學員資料-三重商工'!$B$2:$B$472=$F2107,'學員資料-三重商工'!$G$2:$G$472,""))</f>
        <v/>
      </c>
      <c r="T2107">
        <f t="shared" si="32"/>
        <v>1</v>
      </c>
    </row>
    <row r="2108" spans="1:20" ht="14.25" hidden="1" customHeight="1">
      <c r="A2108" s="15">
        <v>2107</v>
      </c>
      <c r="B2108" s="16" t="s">
        <v>6507</v>
      </c>
      <c r="C2108" s="17">
        <v>45529</v>
      </c>
      <c r="D2108" s="15" t="s">
        <v>6508</v>
      </c>
      <c r="E2108" s="18" t="s">
        <v>954</v>
      </c>
      <c r="F2108" s="19" t="s">
        <v>1859</v>
      </c>
      <c r="G2108" s="18" t="s">
        <v>1860</v>
      </c>
      <c r="H2108" s="20" t="s">
        <v>5131</v>
      </c>
      <c r="I2108" s="15">
        <v>1</v>
      </c>
      <c r="J2108" s="15" t="s">
        <v>24</v>
      </c>
      <c r="K2108" s="15"/>
      <c r="L2108" s="21" t="s">
        <v>16</v>
      </c>
      <c r="M2108" s="22">
        <v>0</v>
      </c>
      <c r="N2108" s="22">
        <v>0</v>
      </c>
      <c r="O2108" s="22">
        <v>7200</v>
      </c>
      <c r="P2108" s="22">
        <v>7200</v>
      </c>
      <c r="Q2108" t="str" cm="1">
        <f t="array" ref="Q2108">_xlfn.TEXTJOIN("、",TRUE,IF('學員資料-三民高中'!$B$2:$B$454=$F2108,'學員資料-三民高中'!$G$2:$G$454,""))</f>
        <v/>
      </c>
      <c r="R2108" t="str" cm="1">
        <f t="array" ref="R2108">_xlfn.TEXTJOIN("、",TRUE,IF('學員資料-新北高中'!$B$2:$B$583=$F2108,'學員資料-新北高中'!$G$2:$G$583,""))</f>
        <v>0989022869</v>
      </c>
      <c r="S2108" t="str" cm="1">
        <f t="array" ref="S2108">_xlfn.TEXTJOIN("、",TRUE,IF('學員資料-三重商工'!$B$2:$B$472=$F2108,'學員資料-三重商工'!$G$2:$G$472,""))</f>
        <v/>
      </c>
      <c r="T2108">
        <f t="shared" si="32"/>
        <v>1</v>
      </c>
    </row>
    <row r="2109" spans="1:20" ht="14.25" hidden="1" customHeight="1">
      <c r="A2109" s="15">
        <v>2108</v>
      </c>
      <c r="B2109" s="16" t="s">
        <v>6509</v>
      </c>
      <c r="C2109" s="17">
        <v>45529</v>
      </c>
      <c r="D2109" s="15" t="s">
        <v>6510</v>
      </c>
      <c r="E2109" s="18" t="s">
        <v>954</v>
      </c>
      <c r="F2109" s="19" t="s">
        <v>6511</v>
      </c>
      <c r="G2109" s="18" t="s">
        <v>6512</v>
      </c>
      <c r="H2109" s="20" t="s">
        <v>5131</v>
      </c>
      <c r="I2109" s="15">
        <v>1</v>
      </c>
      <c r="J2109" s="15" t="s">
        <v>24</v>
      </c>
      <c r="K2109" s="15"/>
      <c r="L2109" s="21" t="s">
        <v>16</v>
      </c>
      <c r="M2109" s="22">
        <v>0</v>
      </c>
      <c r="N2109" s="22">
        <v>0</v>
      </c>
      <c r="O2109" s="22">
        <v>7200</v>
      </c>
      <c r="P2109" s="22">
        <v>7200</v>
      </c>
      <c r="Q2109" t="str" cm="1">
        <f t="array" ref="Q2109">_xlfn.TEXTJOIN("、",TRUE,IF('學員資料-三民高中'!$B$2:$B$454=$F2109,'學員資料-三民高中'!$G$2:$G$454,""))</f>
        <v/>
      </c>
      <c r="R2109" t="str" cm="1">
        <f t="array" ref="R2109">_xlfn.TEXTJOIN("、",TRUE,IF('學員資料-新北高中'!$B$2:$B$583=$F2109,'學員資料-新北高中'!$G$2:$G$583,""))</f>
        <v>0988445112</v>
      </c>
      <c r="S2109" t="str" cm="1">
        <f t="array" ref="S2109">_xlfn.TEXTJOIN("、",TRUE,IF('學員資料-三重商工'!$B$2:$B$472=$F2109,'學員資料-三重商工'!$G$2:$G$472,""))</f>
        <v/>
      </c>
      <c r="T2109">
        <f t="shared" si="32"/>
        <v>1</v>
      </c>
    </row>
    <row r="2110" spans="1:20" ht="14.25" hidden="1" customHeight="1">
      <c r="A2110" s="15">
        <v>2109</v>
      </c>
      <c r="B2110" s="16" t="s">
        <v>6513</v>
      </c>
      <c r="C2110" s="17">
        <v>45529</v>
      </c>
      <c r="D2110" s="15" t="s">
        <v>6514</v>
      </c>
      <c r="E2110" s="18" t="s">
        <v>954</v>
      </c>
      <c r="F2110" s="19" t="s">
        <v>6511</v>
      </c>
      <c r="G2110" s="18" t="s">
        <v>6512</v>
      </c>
      <c r="H2110" s="20" t="s">
        <v>5131</v>
      </c>
      <c r="I2110" s="15">
        <v>1</v>
      </c>
      <c r="J2110" s="15" t="s">
        <v>24</v>
      </c>
      <c r="K2110" s="15"/>
      <c r="L2110" s="21" t="s">
        <v>16</v>
      </c>
      <c r="M2110" s="22">
        <v>0</v>
      </c>
      <c r="N2110" s="22">
        <v>0</v>
      </c>
      <c r="O2110" s="22">
        <v>7200</v>
      </c>
      <c r="P2110" s="22">
        <v>7200</v>
      </c>
      <c r="Q2110" t="str" cm="1">
        <f t="array" ref="Q2110">_xlfn.TEXTJOIN("、",TRUE,IF('學員資料-三民高中'!$B$2:$B$454=$F2110,'學員資料-三民高中'!$G$2:$G$454,""))</f>
        <v/>
      </c>
      <c r="R2110" t="str" cm="1">
        <f t="array" ref="R2110">_xlfn.TEXTJOIN("、",TRUE,IF('學員資料-新北高中'!$B$2:$B$583=$F2110,'學員資料-新北高中'!$G$2:$G$583,""))</f>
        <v>0988445112</v>
      </c>
      <c r="S2110" t="str" cm="1">
        <f t="array" ref="S2110">_xlfn.TEXTJOIN("、",TRUE,IF('學員資料-三重商工'!$B$2:$B$472=$F2110,'學員資料-三重商工'!$G$2:$G$472,""))</f>
        <v/>
      </c>
      <c r="T2110">
        <f t="shared" si="32"/>
        <v>1</v>
      </c>
    </row>
    <row r="2111" spans="1:20" ht="14.25" hidden="1" customHeight="1">
      <c r="A2111" s="15">
        <v>2110</v>
      </c>
      <c r="B2111" s="16" t="s">
        <v>6515</v>
      </c>
      <c r="C2111" s="17">
        <v>45529</v>
      </c>
      <c r="D2111" s="15" t="s">
        <v>6516</v>
      </c>
      <c r="E2111" s="18" t="s">
        <v>954</v>
      </c>
      <c r="F2111" s="19" t="s">
        <v>6517</v>
      </c>
      <c r="G2111" s="18" t="s">
        <v>6518</v>
      </c>
      <c r="H2111" s="20" t="s">
        <v>5163</v>
      </c>
      <c r="I2111" s="15">
        <v>1</v>
      </c>
      <c r="J2111" s="15" t="s">
        <v>23</v>
      </c>
      <c r="K2111" s="15"/>
      <c r="L2111" s="21" t="s">
        <v>16</v>
      </c>
      <c r="M2111" s="22">
        <v>0</v>
      </c>
      <c r="N2111" s="22">
        <v>-660</v>
      </c>
      <c r="O2111" s="22">
        <v>5940</v>
      </c>
      <c r="P2111" s="22">
        <v>5940</v>
      </c>
      <c r="Q2111" t="str" cm="1">
        <f t="array" ref="Q2111">_xlfn.TEXTJOIN("、",TRUE,IF('學員資料-三民高中'!$B$2:$B$454=$F2111,'學員資料-三民高中'!$G$2:$G$454,""))</f>
        <v/>
      </c>
      <c r="R2111" t="str" cm="1">
        <f t="array" ref="R2111">_xlfn.TEXTJOIN("、",TRUE,IF('學員資料-新北高中'!$B$2:$B$583=$F2111,'學員資料-新北高中'!$G$2:$G$583,""))</f>
        <v/>
      </c>
      <c r="S2111" t="str" cm="1">
        <f t="array" ref="S2111">_xlfn.TEXTJOIN("、",TRUE,IF('學員資料-三重商工'!$B$2:$B$472=$F2111,'學員資料-三重商工'!$G$2:$G$472,""))</f>
        <v>0935167865</v>
      </c>
      <c r="T2111">
        <f t="shared" si="32"/>
        <v>1</v>
      </c>
    </row>
    <row r="2112" spans="1:20" ht="14.25" hidden="1" customHeight="1">
      <c r="A2112" s="15">
        <v>2111</v>
      </c>
      <c r="B2112" s="16" t="s">
        <v>6519</v>
      </c>
      <c r="C2112" s="17">
        <v>45529</v>
      </c>
      <c r="D2112" s="15" t="s">
        <v>6520</v>
      </c>
      <c r="E2112" s="18" t="s">
        <v>954</v>
      </c>
      <c r="F2112" s="19" t="s">
        <v>6521</v>
      </c>
      <c r="G2112" s="18" t="s">
        <v>6522</v>
      </c>
      <c r="H2112" s="20" t="s">
        <v>5211</v>
      </c>
      <c r="I2112" s="15">
        <v>1</v>
      </c>
      <c r="J2112" s="15" t="s">
        <v>26</v>
      </c>
      <c r="K2112" s="15"/>
      <c r="L2112" s="21" t="s">
        <v>16</v>
      </c>
      <c r="M2112" s="22">
        <v>0</v>
      </c>
      <c r="N2112" s="22">
        <v>0</v>
      </c>
      <c r="O2112" s="22">
        <v>10800</v>
      </c>
      <c r="P2112" s="22">
        <v>10800</v>
      </c>
      <c r="Q2112" t="str" cm="1">
        <f t="array" ref="Q2112">_xlfn.TEXTJOIN("、",TRUE,IF('學員資料-三民高中'!$B$2:$B$454=$F2112,'學員資料-三民高中'!$G$2:$G$454,""))</f>
        <v/>
      </c>
      <c r="R2112" t="str" cm="1">
        <f t="array" ref="R2112">_xlfn.TEXTJOIN("、",TRUE,IF('學員資料-新北高中'!$B$2:$B$583=$F2112,'學員資料-新北高中'!$G$2:$G$583,""))</f>
        <v>0975205094</v>
      </c>
      <c r="S2112" t="str" cm="1">
        <f t="array" ref="S2112">_xlfn.TEXTJOIN("、",TRUE,IF('學員資料-三重商工'!$B$2:$B$472=$F2112,'學員資料-三重商工'!$G$2:$G$472,""))</f>
        <v/>
      </c>
      <c r="T2112">
        <f t="shared" si="32"/>
        <v>1</v>
      </c>
    </row>
    <row r="2113" spans="1:20" ht="14.25" hidden="1" customHeight="1">
      <c r="A2113" s="15">
        <v>2112</v>
      </c>
      <c r="B2113" s="16" t="s">
        <v>6523</v>
      </c>
      <c r="C2113" s="17">
        <v>45529</v>
      </c>
      <c r="D2113" s="15" t="s">
        <v>6524</v>
      </c>
      <c r="E2113" s="18" t="s">
        <v>954</v>
      </c>
      <c r="F2113" s="19" t="s">
        <v>6525</v>
      </c>
      <c r="G2113" s="18" t="s">
        <v>6526</v>
      </c>
      <c r="H2113" s="20" t="s">
        <v>5131</v>
      </c>
      <c r="I2113" s="15">
        <v>1</v>
      </c>
      <c r="J2113" s="15" t="s">
        <v>24</v>
      </c>
      <c r="K2113" s="15"/>
      <c r="L2113" s="21" t="s">
        <v>16</v>
      </c>
      <c r="M2113" s="22">
        <v>0</v>
      </c>
      <c r="N2113" s="22">
        <v>0</v>
      </c>
      <c r="O2113" s="22">
        <v>7200</v>
      </c>
      <c r="P2113" s="22">
        <v>7200</v>
      </c>
      <c r="Q2113" t="str" cm="1">
        <f t="array" ref="Q2113">_xlfn.TEXTJOIN("、",TRUE,IF('學員資料-三民高中'!$B$2:$B$454=$F2113,'學員資料-三民高中'!$G$2:$G$454,""))</f>
        <v/>
      </c>
      <c r="R2113" t="str" cm="1">
        <f t="array" ref="R2113">_xlfn.TEXTJOIN("、",TRUE,IF('學員資料-新北高中'!$B$2:$B$583=$F2113,'學員資料-新北高中'!$G$2:$G$583,""))</f>
        <v>VS41885835</v>
      </c>
      <c r="S2113" t="str" cm="1">
        <f t="array" ref="S2113">_xlfn.TEXTJOIN("、",TRUE,IF('學員資料-三重商工'!$B$2:$B$472=$F2113,'學員資料-三重商工'!$G$2:$G$472,""))</f>
        <v/>
      </c>
      <c r="T2113">
        <f t="shared" si="32"/>
        <v>1</v>
      </c>
    </row>
    <row r="2114" spans="1:20" ht="14.25" hidden="1" customHeight="1">
      <c r="A2114" s="15">
        <v>2113</v>
      </c>
      <c r="B2114" s="16" t="s">
        <v>6527</v>
      </c>
      <c r="C2114" s="17">
        <v>45529</v>
      </c>
      <c r="D2114" s="15" t="s">
        <v>6528</v>
      </c>
      <c r="E2114" s="18" t="s">
        <v>954</v>
      </c>
      <c r="F2114" s="19" t="s">
        <v>6517</v>
      </c>
      <c r="G2114" s="18" t="s">
        <v>6518</v>
      </c>
      <c r="H2114" s="20" t="s">
        <v>5163</v>
      </c>
      <c r="I2114" s="15">
        <v>1</v>
      </c>
      <c r="J2114" s="15" t="s">
        <v>23</v>
      </c>
      <c r="K2114" s="15"/>
      <c r="L2114" s="21" t="s">
        <v>16</v>
      </c>
      <c r="M2114" s="22">
        <v>0</v>
      </c>
      <c r="N2114" s="22">
        <v>0</v>
      </c>
      <c r="O2114" s="22">
        <v>6600</v>
      </c>
      <c r="P2114" s="22">
        <v>6600</v>
      </c>
      <c r="Q2114" t="str" cm="1">
        <f t="array" ref="Q2114">_xlfn.TEXTJOIN("、",TRUE,IF('學員資料-三民高中'!$B$2:$B$454=$F2114,'學員資料-三民高中'!$G$2:$G$454,""))</f>
        <v/>
      </c>
      <c r="R2114" t="str" cm="1">
        <f t="array" ref="R2114">_xlfn.TEXTJOIN("、",TRUE,IF('學員資料-新北高中'!$B$2:$B$583=$F2114,'學員資料-新北高中'!$G$2:$G$583,""))</f>
        <v/>
      </c>
      <c r="S2114" t="str" cm="1">
        <f t="array" ref="S2114">_xlfn.TEXTJOIN("、",TRUE,IF('學員資料-三重商工'!$B$2:$B$472=$F2114,'學員資料-三重商工'!$G$2:$G$472,""))</f>
        <v>0935167865</v>
      </c>
      <c r="T2114">
        <f t="shared" si="32"/>
        <v>1</v>
      </c>
    </row>
    <row r="2115" spans="1:20" ht="28.5" hidden="1" customHeight="1">
      <c r="A2115" s="15">
        <v>2114</v>
      </c>
      <c r="B2115" s="16" t="s">
        <v>6529</v>
      </c>
      <c r="C2115" s="17">
        <v>45529</v>
      </c>
      <c r="D2115" s="15" t="s">
        <v>6530</v>
      </c>
      <c r="E2115" s="18" t="s">
        <v>954</v>
      </c>
      <c r="F2115" s="19" t="s">
        <v>6531</v>
      </c>
      <c r="G2115" s="18" t="s">
        <v>6532</v>
      </c>
      <c r="H2115" s="20" t="s">
        <v>5154</v>
      </c>
      <c r="I2115" s="15">
        <v>2</v>
      </c>
      <c r="J2115" s="15" t="s">
        <v>24</v>
      </c>
      <c r="K2115" s="15"/>
      <c r="L2115" s="21" t="s">
        <v>16</v>
      </c>
      <c r="M2115" s="22">
        <v>0</v>
      </c>
      <c r="N2115" s="22">
        <v>-1440</v>
      </c>
      <c r="O2115" s="22">
        <v>12960</v>
      </c>
      <c r="P2115" s="22">
        <v>12960</v>
      </c>
      <c r="Q2115" t="str" cm="1">
        <f t="array" ref="Q2115">_xlfn.TEXTJOIN("、",TRUE,IF('學員資料-三民高中'!$B$2:$B$454=$F2115,'學員資料-三民高中'!$G$2:$G$454,""))</f>
        <v/>
      </c>
      <c r="R2115" t="str" cm="1">
        <f t="array" ref="R2115">_xlfn.TEXTJOIN("、",TRUE,IF('學員資料-新北高中'!$B$2:$B$583=$F2115,'學員資料-新北高中'!$G$2:$G$583,""))</f>
        <v>0963558221</v>
      </c>
      <c r="S2115" t="str" cm="1">
        <f t="array" ref="S2115">_xlfn.TEXTJOIN("、",TRUE,IF('學員資料-三重商工'!$B$2:$B$472=$F2115,'學員資料-三重商工'!$G$2:$G$472,""))</f>
        <v/>
      </c>
      <c r="T2115">
        <f t="shared" ref="T2115:T2178" si="33">3-COUNTBLANK(Q2115:S2115)</f>
        <v>1</v>
      </c>
    </row>
    <row r="2116" spans="1:20" ht="14.25" hidden="1" customHeight="1">
      <c r="A2116" s="15">
        <v>2115</v>
      </c>
      <c r="B2116" s="16" t="s">
        <v>6533</v>
      </c>
      <c r="C2116" s="17">
        <v>45529</v>
      </c>
      <c r="D2116" s="15" t="s">
        <v>6534</v>
      </c>
      <c r="E2116" s="18" t="s">
        <v>954</v>
      </c>
      <c r="F2116" s="19" t="s">
        <v>6535</v>
      </c>
      <c r="G2116" s="18" t="s">
        <v>6536</v>
      </c>
      <c r="H2116" s="20" t="s">
        <v>5211</v>
      </c>
      <c r="I2116" s="15">
        <v>1</v>
      </c>
      <c r="J2116" s="15" t="s">
        <v>26</v>
      </c>
      <c r="K2116" s="15"/>
      <c r="L2116" s="21" t="s">
        <v>16</v>
      </c>
      <c r="M2116" s="22">
        <v>0</v>
      </c>
      <c r="N2116" s="22">
        <v>0</v>
      </c>
      <c r="O2116" s="22">
        <v>10800</v>
      </c>
      <c r="P2116" s="22">
        <v>10800</v>
      </c>
      <c r="Q2116" t="str" cm="1">
        <f t="array" ref="Q2116">_xlfn.TEXTJOIN("、",TRUE,IF('學員資料-三民高中'!$B$2:$B$454=$F2116,'學員資料-三民高中'!$G$2:$G$454,""))</f>
        <v/>
      </c>
      <c r="R2116" t="str" cm="1">
        <f t="array" ref="R2116">_xlfn.TEXTJOIN("、",TRUE,IF('學員資料-新北高中'!$B$2:$B$583=$F2116,'學員資料-新北高中'!$G$2:$G$583,""))</f>
        <v>0920180204</v>
      </c>
      <c r="S2116" t="str" cm="1">
        <f t="array" ref="S2116">_xlfn.TEXTJOIN("、",TRUE,IF('學員資料-三重商工'!$B$2:$B$472=$F2116,'學員資料-三重商工'!$G$2:$G$472,""))</f>
        <v/>
      </c>
      <c r="T2116">
        <f t="shared" si="33"/>
        <v>1</v>
      </c>
    </row>
    <row r="2117" spans="1:20" ht="14.25" hidden="1" customHeight="1">
      <c r="A2117" s="15">
        <v>2116</v>
      </c>
      <c r="B2117" s="16" t="s">
        <v>6537</v>
      </c>
      <c r="C2117" s="17">
        <v>45529</v>
      </c>
      <c r="D2117" s="15" t="s">
        <v>6538</v>
      </c>
      <c r="E2117" s="18" t="s">
        <v>954</v>
      </c>
      <c r="F2117" s="19" t="s">
        <v>6535</v>
      </c>
      <c r="G2117" s="18" t="s">
        <v>6536</v>
      </c>
      <c r="H2117" s="20" t="s">
        <v>5211</v>
      </c>
      <c r="I2117" s="15">
        <v>1</v>
      </c>
      <c r="J2117" s="15" t="s">
        <v>26</v>
      </c>
      <c r="K2117" s="15"/>
      <c r="L2117" s="21" t="s">
        <v>16</v>
      </c>
      <c r="M2117" s="22">
        <v>0</v>
      </c>
      <c r="N2117" s="22">
        <v>0</v>
      </c>
      <c r="O2117" s="22">
        <v>10800</v>
      </c>
      <c r="P2117" s="22">
        <v>10800</v>
      </c>
      <c r="Q2117" t="str" cm="1">
        <f t="array" ref="Q2117">_xlfn.TEXTJOIN("、",TRUE,IF('學員資料-三民高中'!$B$2:$B$454=$F2117,'學員資料-三民高中'!$G$2:$G$454,""))</f>
        <v/>
      </c>
      <c r="R2117" t="str" cm="1">
        <f t="array" ref="R2117">_xlfn.TEXTJOIN("、",TRUE,IF('學員資料-新北高中'!$B$2:$B$583=$F2117,'學員資料-新北高中'!$G$2:$G$583,""))</f>
        <v>0920180204</v>
      </c>
      <c r="S2117" t="str" cm="1">
        <f t="array" ref="S2117">_xlfn.TEXTJOIN("、",TRUE,IF('學員資料-三重商工'!$B$2:$B$472=$F2117,'學員資料-三重商工'!$G$2:$G$472,""))</f>
        <v/>
      </c>
      <c r="T2117">
        <f t="shared" si="33"/>
        <v>1</v>
      </c>
    </row>
    <row r="2118" spans="1:20" ht="28.5" hidden="1" customHeight="1">
      <c r="A2118" s="15">
        <v>2117</v>
      </c>
      <c r="B2118" s="16" t="s">
        <v>6539</v>
      </c>
      <c r="C2118" s="17">
        <v>45529</v>
      </c>
      <c r="D2118" s="15" t="s">
        <v>6540</v>
      </c>
      <c r="E2118" s="18" t="s">
        <v>954</v>
      </c>
      <c r="F2118" s="19" t="s">
        <v>6541</v>
      </c>
      <c r="G2118" s="18" t="s">
        <v>6542</v>
      </c>
      <c r="H2118" s="20" t="s">
        <v>5206</v>
      </c>
      <c r="I2118" s="15">
        <v>2</v>
      </c>
      <c r="J2118" s="15" t="s">
        <v>23</v>
      </c>
      <c r="K2118" s="15"/>
      <c r="L2118" s="21" t="s">
        <v>16</v>
      </c>
      <c r="M2118" s="22">
        <v>0</v>
      </c>
      <c r="N2118" s="22">
        <v>-1320</v>
      </c>
      <c r="O2118" s="22">
        <v>11880</v>
      </c>
      <c r="P2118" s="22">
        <v>11880</v>
      </c>
      <c r="Q2118" t="str" cm="1">
        <f t="array" ref="Q2118">_xlfn.TEXTJOIN("、",TRUE,IF('學員資料-三民高中'!$B$2:$B$454=$F2118,'學員資料-三民高中'!$G$2:$G$454,""))</f>
        <v/>
      </c>
      <c r="R2118" t="str" cm="1">
        <f t="array" ref="R2118">_xlfn.TEXTJOIN("、",TRUE,IF('學員資料-新北高中'!$B$2:$B$583=$F2118,'學員資料-新北高中'!$G$2:$G$583,""))</f>
        <v/>
      </c>
      <c r="S2118" t="str" cm="1">
        <f t="array" ref="S2118">_xlfn.TEXTJOIN("、",TRUE,IF('學員資料-三重商工'!$B$2:$B$472=$F2118,'學員資料-三重商工'!$G$2:$G$472,""))</f>
        <v>0916685359</v>
      </c>
      <c r="T2118">
        <f t="shared" si="33"/>
        <v>1</v>
      </c>
    </row>
    <row r="2119" spans="1:20" ht="14.25" hidden="1" customHeight="1">
      <c r="A2119" s="15">
        <v>2118</v>
      </c>
      <c r="B2119" s="16" t="s">
        <v>6543</v>
      </c>
      <c r="C2119" s="17">
        <v>45529</v>
      </c>
      <c r="D2119" s="15" t="s">
        <v>6544</v>
      </c>
      <c r="E2119" s="18" t="s">
        <v>954</v>
      </c>
      <c r="F2119" s="19" t="s">
        <v>3249</v>
      </c>
      <c r="G2119" s="18" t="s">
        <v>3250</v>
      </c>
      <c r="H2119" s="20" t="s">
        <v>5163</v>
      </c>
      <c r="I2119" s="15">
        <v>1</v>
      </c>
      <c r="J2119" s="15" t="s">
        <v>23</v>
      </c>
      <c r="K2119" s="15"/>
      <c r="L2119" s="21" t="s">
        <v>16</v>
      </c>
      <c r="M2119" s="22">
        <v>0</v>
      </c>
      <c r="N2119" s="22">
        <v>-660</v>
      </c>
      <c r="O2119" s="22">
        <v>5940</v>
      </c>
      <c r="P2119" s="22">
        <v>5940</v>
      </c>
      <c r="Q2119" t="str" cm="1">
        <f t="array" ref="Q2119">_xlfn.TEXTJOIN("、",TRUE,IF('學員資料-三民高中'!$B$2:$B$454=$F2119,'學員資料-三民高中'!$G$2:$G$454,""))</f>
        <v>0972878118</v>
      </c>
      <c r="R2119" t="str" cm="1">
        <f t="array" ref="R2119">_xlfn.TEXTJOIN("、",TRUE,IF('學員資料-新北高中'!$B$2:$B$583=$F2119,'學員資料-新北高中'!$G$2:$G$583,""))</f>
        <v/>
      </c>
      <c r="S2119" t="str" cm="1">
        <f t="array" ref="S2119">_xlfn.TEXTJOIN("、",TRUE,IF('學員資料-三重商工'!$B$2:$B$472=$F2119,'學員資料-三重商工'!$G$2:$G$472,""))</f>
        <v/>
      </c>
      <c r="T2119">
        <f t="shared" si="33"/>
        <v>1</v>
      </c>
    </row>
    <row r="2120" spans="1:20" ht="130.5" hidden="1" customHeight="1">
      <c r="A2120" s="15">
        <v>2119</v>
      </c>
      <c r="B2120" s="16" t="s">
        <v>6545</v>
      </c>
      <c r="C2120" s="17">
        <v>45529</v>
      </c>
      <c r="D2120" s="15" t="s">
        <v>6546</v>
      </c>
      <c r="E2120" s="18" t="s">
        <v>954</v>
      </c>
      <c r="F2120" s="19" t="s">
        <v>1859</v>
      </c>
      <c r="G2120" s="18" t="s">
        <v>1860</v>
      </c>
      <c r="H2120" s="20" t="s">
        <v>6547</v>
      </c>
      <c r="I2120" s="15">
        <v>9</v>
      </c>
      <c r="J2120" s="15" t="s">
        <v>24</v>
      </c>
      <c r="K2120" s="15"/>
      <c r="L2120" s="21" t="s">
        <v>16</v>
      </c>
      <c r="M2120" s="22">
        <v>0</v>
      </c>
      <c r="N2120" s="22">
        <v>-1440</v>
      </c>
      <c r="O2120" s="22">
        <v>63360</v>
      </c>
      <c r="P2120" s="22">
        <v>63360</v>
      </c>
      <c r="Q2120" t="str" cm="1">
        <f t="array" ref="Q2120">_xlfn.TEXTJOIN("、",TRUE,IF('學員資料-三民高中'!$B$2:$B$454=$F2120,'學員資料-三民高中'!$G$2:$G$454,""))</f>
        <v/>
      </c>
      <c r="R2120" t="str" cm="1">
        <f t="array" ref="R2120">_xlfn.TEXTJOIN("、",TRUE,IF('學員資料-新北高中'!$B$2:$B$583=$F2120,'學員資料-新北高中'!$G$2:$G$583,""))</f>
        <v>0989022869</v>
      </c>
      <c r="S2120" t="str" cm="1">
        <f t="array" ref="S2120">_xlfn.TEXTJOIN("、",TRUE,IF('學員資料-三重商工'!$B$2:$B$472=$F2120,'學員資料-三重商工'!$G$2:$G$472,""))</f>
        <v/>
      </c>
      <c r="T2120">
        <f t="shared" si="33"/>
        <v>1</v>
      </c>
    </row>
    <row r="2121" spans="1:20" ht="28.5" hidden="1" customHeight="1">
      <c r="A2121" s="15">
        <v>2120</v>
      </c>
      <c r="B2121" s="16" t="s">
        <v>6548</v>
      </c>
      <c r="C2121" s="17">
        <v>45529</v>
      </c>
      <c r="D2121" s="15" t="s">
        <v>6549</v>
      </c>
      <c r="E2121" s="18" t="s">
        <v>954</v>
      </c>
      <c r="F2121" s="19" t="s">
        <v>6550</v>
      </c>
      <c r="G2121" s="18" t="s">
        <v>6551</v>
      </c>
      <c r="H2121" s="20" t="s">
        <v>5263</v>
      </c>
      <c r="I2121" s="15">
        <v>2</v>
      </c>
      <c r="J2121" s="15" t="s">
        <v>25</v>
      </c>
      <c r="K2121" s="15"/>
      <c r="L2121" s="21" t="s">
        <v>16</v>
      </c>
      <c r="M2121" s="22">
        <v>0</v>
      </c>
      <c r="N2121" s="22">
        <v>-2160</v>
      </c>
      <c r="O2121" s="22">
        <v>15840</v>
      </c>
      <c r="P2121" s="22">
        <v>15840</v>
      </c>
      <c r="Q2121" t="str" cm="1">
        <f t="array" ref="Q2121">_xlfn.TEXTJOIN("、",TRUE,IF('學員資料-三民高中'!$B$2:$B$454=$F2121,'學員資料-三民高中'!$G$2:$G$454,""))</f>
        <v/>
      </c>
      <c r="R2121" t="str" cm="1">
        <f t="array" ref="R2121">_xlfn.TEXTJOIN("、",TRUE,IF('學員資料-新北高中'!$B$2:$B$583=$F2121,'學員資料-新北高中'!$G$2:$G$583,""))</f>
        <v>0975395989</v>
      </c>
      <c r="S2121" t="str" cm="1">
        <f t="array" ref="S2121">_xlfn.TEXTJOIN("、",TRUE,IF('學員資料-三重商工'!$B$2:$B$472=$F2121,'學員資料-三重商工'!$G$2:$G$472,""))</f>
        <v/>
      </c>
      <c r="T2121">
        <f t="shared" si="33"/>
        <v>1</v>
      </c>
    </row>
    <row r="2122" spans="1:20" ht="14.25" hidden="1" customHeight="1">
      <c r="A2122" s="15">
        <v>2121</v>
      </c>
      <c r="B2122" s="16" t="s">
        <v>6552</v>
      </c>
      <c r="C2122" s="17">
        <v>45529</v>
      </c>
      <c r="D2122" s="15" t="s">
        <v>873</v>
      </c>
      <c r="E2122" s="18" t="s">
        <v>954</v>
      </c>
      <c r="F2122" s="19" t="s">
        <v>4833</v>
      </c>
      <c r="G2122" s="18" t="s">
        <v>4834</v>
      </c>
      <c r="H2122" s="20" t="s">
        <v>5148</v>
      </c>
      <c r="I2122" s="15">
        <v>1</v>
      </c>
      <c r="J2122" s="15" t="s">
        <v>25</v>
      </c>
      <c r="K2122" s="15"/>
      <c r="L2122" s="21" t="s">
        <v>16</v>
      </c>
      <c r="M2122" s="22">
        <v>0</v>
      </c>
      <c r="N2122" s="22">
        <v>-1080</v>
      </c>
      <c r="O2122" s="22">
        <v>7920</v>
      </c>
      <c r="P2122" s="22">
        <v>7920</v>
      </c>
      <c r="Q2122" t="str" cm="1">
        <f t="array" ref="Q2122">_xlfn.TEXTJOIN("、",TRUE,IF('學員資料-三民高中'!$B$2:$B$454=$F2122,'學員資料-三民高中'!$G$2:$G$454,""))</f>
        <v>0937458420-1</v>
      </c>
      <c r="R2122" t="str" cm="1">
        <f t="array" ref="R2122">_xlfn.TEXTJOIN("、",TRUE,IF('學員資料-新北高中'!$B$2:$B$583=$F2122,'學員資料-新北高中'!$G$2:$G$583,""))</f>
        <v/>
      </c>
      <c r="S2122" t="str" cm="1">
        <f t="array" ref="S2122">_xlfn.TEXTJOIN("、",TRUE,IF('學員資料-三重商工'!$B$2:$B$472=$F2122,'學員資料-三重商工'!$G$2:$G$472,""))</f>
        <v/>
      </c>
      <c r="T2122">
        <f t="shared" si="33"/>
        <v>1</v>
      </c>
    </row>
    <row r="2123" spans="1:20" ht="28.5" hidden="1" customHeight="1">
      <c r="A2123" s="15">
        <v>2122</v>
      </c>
      <c r="B2123" s="16" t="s">
        <v>6553</v>
      </c>
      <c r="C2123" s="17">
        <v>45529</v>
      </c>
      <c r="D2123" s="15" t="s">
        <v>6554</v>
      </c>
      <c r="E2123" s="18" t="s">
        <v>954</v>
      </c>
      <c r="F2123" s="19" t="s">
        <v>5017</v>
      </c>
      <c r="G2123" s="18" t="s">
        <v>5018</v>
      </c>
      <c r="H2123" s="20" t="s">
        <v>5154</v>
      </c>
      <c r="I2123" s="15">
        <v>2</v>
      </c>
      <c r="J2123" s="15" t="s">
        <v>24</v>
      </c>
      <c r="K2123" s="15"/>
      <c r="L2123" s="21" t="s">
        <v>16</v>
      </c>
      <c r="M2123" s="22">
        <v>0</v>
      </c>
      <c r="N2123" s="22">
        <v>-1440</v>
      </c>
      <c r="O2123" s="22">
        <v>12960</v>
      </c>
      <c r="P2123" s="22">
        <v>12960</v>
      </c>
      <c r="Q2123" t="str" cm="1">
        <f t="array" ref="Q2123">_xlfn.TEXTJOIN("、",TRUE,IF('學員資料-三民高中'!$B$2:$B$454=$F2123,'學員資料-三民高中'!$G$2:$G$454,""))</f>
        <v>0963151177</v>
      </c>
      <c r="R2123" t="str" cm="1">
        <f t="array" ref="R2123">_xlfn.TEXTJOIN("、",TRUE,IF('學員資料-新北高中'!$B$2:$B$583=$F2123,'學員資料-新北高中'!$G$2:$G$583,""))</f>
        <v/>
      </c>
      <c r="S2123" t="str" cm="1">
        <f t="array" ref="S2123">_xlfn.TEXTJOIN("、",TRUE,IF('學員資料-三重商工'!$B$2:$B$472=$F2123,'學員資料-三重商工'!$G$2:$G$472,""))</f>
        <v/>
      </c>
      <c r="T2123">
        <f t="shared" si="33"/>
        <v>1</v>
      </c>
    </row>
    <row r="2124" spans="1:20" ht="14.25" hidden="1" customHeight="1">
      <c r="A2124" s="15">
        <v>2123</v>
      </c>
      <c r="B2124" s="16" t="s">
        <v>6555</v>
      </c>
      <c r="C2124" s="17">
        <v>45529</v>
      </c>
      <c r="D2124" s="15" t="s">
        <v>6556</v>
      </c>
      <c r="E2124" s="18" t="s">
        <v>954</v>
      </c>
      <c r="F2124" s="19" t="s">
        <v>5533</v>
      </c>
      <c r="G2124" s="18" t="s">
        <v>5534</v>
      </c>
      <c r="H2124" s="20" t="s">
        <v>5131</v>
      </c>
      <c r="I2124" s="15">
        <v>1</v>
      </c>
      <c r="J2124" s="15" t="s">
        <v>24</v>
      </c>
      <c r="K2124" s="15"/>
      <c r="L2124" s="21" t="s">
        <v>16</v>
      </c>
      <c r="M2124" s="22">
        <v>0</v>
      </c>
      <c r="N2124" s="22">
        <v>-720</v>
      </c>
      <c r="O2124" s="22">
        <v>6480</v>
      </c>
      <c r="P2124" s="22">
        <v>6480</v>
      </c>
      <c r="Q2124" t="str" cm="1">
        <f t="array" ref="Q2124">_xlfn.TEXTJOIN("、",TRUE,IF('學員資料-三民高中'!$B$2:$B$454=$F2124,'學員資料-三民高中'!$G$2:$G$454,""))</f>
        <v>0983661545</v>
      </c>
      <c r="R2124" t="str" cm="1">
        <f t="array" ref="R2124">_xlfn.TEXTJOIN("、",TRUE,IF('學員資料-新北高中'!$B$2:$B$583=$F2124,'學員資料-新北高中'!$G$2:$G$583,""))</f>
        <v/>
      </c>
      <c r="S2124" t="str" cm="1">
        <f t="array" ref="S2124">_xlfn.TEXTJOIN("、",TRUE,IF('學員資料-三重商工'!$B$2:$B$472=$F2124,'學員資料-三重商工'!$G$2:$G$472,""))</f>
        <v/>
      </c>
      <c r="T2124">
        <f t="shared" si="33"/>
        <v>1</v>
      </c>
    </row>
    <row r="2125" spans="1:20" ht="14.25" customHeight="1">
      <c r="A2125" s="15">
        <v>2124</v>
      </c>
      <c r="B2125" s="16" t="s">
        <v>6557</v>
      </c>
      <c r="C2125" s="17">
        <v>45529</v>
      </c>
      <c r="D2125" s="15" t="s">
        <v>6558</v>
      </c>
      <c r="E2125" s="18" t="s">
        <v>954</v>
      </c>
      <c r="F2125" s="19" t="s">
        <v>5056</v>
      </c>
      <c r="G2125" s="18" t="s">
        <v>5057</v>
      </c>
      <c r="H2125" s="20" t="s">
        <v>5163</v>
      </c>
      <c r="I2125" s="15">
        <v>1</v>
      </c>
      <c r="J2125" s="15" t="s">
        <v>23</v>
      </c>
      <c r="K2125" s="15"/>
      <c r="L2125" s="21" t="s">
        <v>16</v>
      </c>
      <c r="M2125" s="22">
        <v>0</v>
      </c>
      <c r="N2125" s="22">
        <v>-660</v>
      </c>
      <c r="O2125" s="22">
        <v>5940</v>
      </c>
      <c r="P2125" s="22">
        <v>5940</v>
      </c>
      <c r="Q2125" t="str" cm="1">
        <f t="array" ref="Q2125">_xlfn.TEXTJOIN("、",TRUE,IF('學員資料-三民高中'!$B$2:$B$454=$F2125,'學員資料-三民高中'!$G$2:$G$454,""))</f>
        <v/>
      </c>
      <c r="R2125" t="str" cm="1">
        <f t="array" ref="R2125">_xlfn.TEXTJOIN("、",TRUE,IF('學員資料-新北高中'!$B$2:$B$583=$F2125,'學員資料-新北高中'!$G$2:$G$583,""))</f>
        <v/>
      </c>
      <c r="S2125" t="str" cm="1">
        <f t="array" ref="S2125">_xlfn.TEXTJOIN("、",TRUE,IF('學員資料-三重商工'!$B$2:$B$472=$F2125,'學員資料-三重商工'!$G$2:$G$472,""))</f>
        <v/>
      </c>
      <c r="T2125">
        <f t="shared" si="33"/>
        <v>0</v>
      </c>
    </row>
    <row r="2126" spans="1:20" ht="14.25" hidden="1" customHeight="1">
      <c r="A2126" s="15">
        <v>2125</v>
      </c>
      <c r="B2126" s="16" t="s">
        <v>6559</v>
      </c>
      <c r="C2126" s="17">
        <v>45529</v>
      </c>
      <c r="D2126" s="15" t="s">
        <v>6560</v>
      </c>
      <c r="E2126" s="18" t="s">
        <v>954</v>
      </c>
      <c r="F2126" s="19" t="s">
        <v>6561</v>
      </c>
      <c r="G2126" s="18" t="s">
        <v>6562</v>
      </c>
      <c r="H2126" s="20" t="s">
        <v>5131</v>
      </c>
      <c r="I2126" s="15">
        <v>1</v>
      </c>
      <c r="J2126" s="15" t="s">
        <v>24</v>
      </c>
      <c r="K2126" s="15"/>
      <c r="L2126" s="21" t="s">
        <v>16</v>
      </c>
      <c r="M2126" s="22">
        <v>0</v>
      </c>
      <c r="N2126" s="22">
        <v>0</v>
      </c>
      <c r="O2126" s="22">
        <v>7200</v>
      </c>
      <c r="P2126" s="22">
        <v>7200</v>
      </c>
      <c r="Q2126" t="str" cm="1">
        <f t="array" ref="Q2126">_xlfn.TEXTJOIN("、",TRUE,IF('學員資料-三民高中'!$B$2:$B$454=$F2126,'學員資料-三民高中'!$G$2:$G$454,""))</f>
        <v/>
      </c>
      <c r="R2126" t="str" cm="1">
        <f t="array" ref="R2126">_xlfn.TEXTJOIN("、",TRUE,IF('學員資料-新北高中'!$B$2:$B$583=$F2126,'學員資料-新北高中'!$G$2:$G$583,""))</f>
        <v>0920087355</v>
      </c>
      <c r="S2126" t="str" cm="1">
        <f t="array" ref="S2126">_xlfn.TEXTJOIN("、",TRUE,IF('學員資料-三重商工'!$B$2:$B$472=$F2126,'學員資料-三重商工'!$G$2:$G$472,""))</f>
        <v/>
      </c>
      <c r="T2126">
        <f t="shared" si="33"/>
        <v>1</v>
      </c>
    </row>
    <row r="2127" spans="1:20" ht="28.5" hidden="1" customHeight="1">
      <c r="A2127" s="15">
        <v>2126</v>
      </c>
      <c r="B2127" s="16" t="s">
        <v>6563</v>
      </c>
      <c r="C2127" s="17">
        <v>45529</v>
      </c>
      <c r="D2127" s="15" t="s">
        <v>6564</v>
      </c>
      <c r="E2127" s="18" t="s">
        <v>954</v>
      </c>
      <c r="F2127" s="19" t="s">
        <v>6565</v>
      </c>
      <c r="G2127" s="18" t="s">
        <v>6566</v>
      </c>
      <c r="H2127" s="20" t="s">
        <v>5263</v>
      </c>
      <c r="I2127" s="15">
        <v>2</v>
      </c>
      <c r="J2127" s="15" t="s">
        <v>25</v>
      </c>
      <c r="K2127" s="15"/>
      <c r="L2127" s="21" t="s">
        <v>16</v>
      </c>
      <c r="M2127" s="22">
        <v>0</v>
      </c>
      <c r="N2127" s="22">
        <v>-2160</v>
      </c>
      <c r="O2127" s="22">
        <v>15840</v>
      </c>
      <c r="P2127" s="22">
        <v>15840</v>
      </c>
      <c r="Q2127" t="str" cm="1">
        <f t="array" ref="Q2127">_xlfn.TEXTJOIN("、",TRUE,IF('學員資料-三民高中'!$B$2:$B$454=$F2127,'學員資料-三民高中'!$G$2:$G$454,""))</f>
        <v/>
      </c>
      <c r="R2127" t="str" cm="1">
        <f t="array" ref="R2127">_xlfn.TEXTJOIN("、",TRUE,IF('學員資料-新北高中'!$B$2:$B$583=$F2127,'學員資料-新北高中'!$G$2:$G$583,""))</f>
        <v>0908258168</v>
      </c>
      <c r="S2127" t="str" cm="1">
        <f t="array" ref="S2127">_xlfn.TEXTJOIN("、",TRUE,IF('學員資料-三重商工'!$B$2:$B$472=$F2127,'學員資料-三重商工'!$G$2:$G$472,""))</f>
        <v/>
      </c>
      <c r="T2127">
        <f t="shared" si="33"/>
        <v>1</v>
      </c>
    </row>
    <row r="2128" spans="1:20" ht="14.25" hidden="1" customHeight="1">
      <c r="A2128" s="15">
        <v>2127</v>
      </c>
      <c r="B2128" s="16" t="s">
        <v>6567</v>
      </c>
      <c r="C2128" s="17">
        <v>45529</v>
      </c>
      <c r="D2128" s="15" t="s">
        <v>6568</v>
      </c>
      <c r="E2128" s="18" t="s">
        <v>954</v>
      </c>
      <c r="F2128" s="19" t="s">
        <v>5146</v>
      </c>
      <c r="G2128" s="18" t="s">
        <v>5147</v>
      </c>
      <c r="H2128" s="20" t="s">
        <v>5148</v>
      </c>
      <c r="I2128" s="15">
        <v>1</v>
      </c>
      <c r="J2128" s="15" t="s">
        <v>25</v>
      </c>
      <c r="K2128" s="15"/>
      <c r="L2128" s="21" t="s">
        <v>16</v>
      </c>
      <c r="M2128" s="22">
        <v>0</v>
      </c>
      <c r="N2128" s="22">
        <v>-1080</v>
      </c>
      <c r="O2128" s="22">
        <v>7920</v>
      </c>
      <c r="P2128" s="22">
        <v>7920</v>
      </c>
      <c r="Q2128" t="str" cm="1">
        <f t="array" ref="Q2128">_xlfn.TEXTJOIN("、",TRUE,IF('學員資料-三民高中'!$B$2:$B$454=$F2128,'學員資料-三民高中'!$G$2:$G$454,""))</f>
        <v/>
      </c>
      <c r="R2128" t="str" cm="1">
        <f t="array" ref="R2128">_xlfn.TEXTJOIN("、",TRUE,IF('學員資料-新北高中'!$B$2:$B$583=$F2128,'學員資料-新北高中'!$G$2:$G$583,""))</f>
        <v/>
      </c>
      <c r="S2128" t="str" cm="1">
        <f t="array" ref="S2128">_xlfn.TEXTJOIN("、",TRUE,IF('學員資料-三重商工'!$B$2:$B$472=$F2128,'學員資料-三重商工'!$G$2:$G$472,""))</f>
        <v>0910882858</v>
      </c>
      <c r="T2128">
        <f t="shared" si="33"/>
        <v>1</v>
      </c>
    </row>
    <row r="2129" spans="1:20" ht="14.25" customHeight="1">
      <c r="A2129" s="15">
        <v>2128</v>
      </c>
      <c r="B2129" s="16" t="s">
        <v>6569</v>
      </c>
      <c r="C2129" s="17">
        <v>45529</v>
      </c>
      <c r="D2129" s="15" t="s">
        <v>6570</v>
      </c>
      <c r="E2129" s="18" t="s">
        <v>3862</v>
      </c>
      <c r="F2129" s="19" t="s">
        <v>6571</v>
      </c>
      <c r="G2129" s="18" t="s">
        <v>6572</v>
      </c>
      <c r="H2129" s="20" t="s">
        <v>5163</v>
      </c>
      <c r="I2129" s="15">
        <v>1</v>
      </c>
      <c r="J2129" s="15" t="s">
        <v>23</v>
      </c>
      <c r="K2129" s="15"/>
      <c r="L2129" s="21" t="s">
        <v>16</v>
      </c>
      <c r="M2129" s="22">
        <v>0</v>
      </c>
      <c r="N2129" s="22">
        <v>-660</v>
      </c>
      <c r="O2129" s="22">
        <v>5940</v>
      </c>
      <c r="P2129" s="22">
        <v>5940</v>
      </c>
      <c r="Q2129" t="str" cm="1">
        <f t="array" ref="Q2129">_xlfn.TEXTJOIN("、",TRUE,IF('學員資料-三民高中'!$B$2:$B$454=$F2129,'學員資料-三民高中'!$G$2:$G$454,""))</f>
        <v/>
      </c>
      <c r="R2129" t="str" cm="1">
        <f t="array" ref="R2129">_xlfn.TEXTJOIN("、",TRUE,IF('學員資料-新北高中'!$B$2:$B$583=$F2129,'學員資料-新北高中'!$G$2:$G$583,""))</f>
        <v/>
      </c>
      <c r="S2129" t="str" cm="1">
        <f t="array" ref="S2129">_xlfn.TEXTJOIN("、",TRUE,IF('學員資料-三重商工'!$B$2:$B$472=$F2129,'學員資料-三重商工'!$G$2:$G$472,""))</f>
        <v/>
      </c>
      <c r="T2129">
        <f t="shared" si="33"/>
        <v>0</v>
      </c>
    </row>
    <row r="2130" spans="1:20" ht="14.25" hidden="1" customHeight="1">
      <c r="A2130" s="15">
        <v>2129</v>
      </c>
      <c r="B2130" s="16" t="s">
        <v>6573</v>
      </c>
      <c r="C2130" s="17">
        <v>45529</v>
      </c>
      <c r="D2130" s="15" t="s">
        <v>6574</v>
      </c>
      <c r="E2130" s="18" t="s">
        <v>954</v>
      </c>
      <c r="F2130" s="19" t="s">
        <v>6575</v>
      </c>
      <c r="G2130" s="18" t="s">
        <v>6576</v>
      </c>
      <c r="H2130" s="20" t="s">
        <v>5163</v>
      </c>
      <c r="I2130" s="15">
        <v>1</v>
      </c>
      <c r="J2130" s="15" t="s">
        <v>23</v>
      </c>
      <c r="K2130" s="15"/>
      <c r="L2130" s="21" t="s">
        <v>16</v>
      </c>
      <c r="M2130" s="22">
        <v>0</v>
      </c>
      <c r="N2130" s="22">
        <v>0</v>
      </c>
      <c r="O2130" s="22">
        <v>6600</v>
      </c>
      <c r="P2130" s="22">
        <v>6600</v>
      </c>
      <c r="Q2130" t="str" cm="1">
        <f t="array" ref="Q2130">_xlfn.TEXTJOIN("、",TRUE,IF('學員資料-三民高中'!$B$2:$B$454=$F2130,'學員資料-三民高中'!$G$2:$G$454,""))</f>
        <v/>
      </c>
      <c r="R2130" t="str" cm="1">
        <f t="array" ref="R2130">_xlfn.TEXTJOIN("、",TRUE,IF('學員資料-新北高中'!$B$2:$B$583=$F2130,'學員資料-新北高中'!$G$2:$G$583,""))</f>
        <v>MQ09052970</v>
      </c>
      <c r="S2130" t="str" cm="1">
        <f t="array" ref="S2130">_xlfn.TEXTJOIN("、",TRUE,IF('學員資料-三重商工'!$B$2:$B$472=$F2130,'學員資料-三重商工'!$G$2:$G$472,""))</f>
        <v/>
      </c>
      <c r="T2130">
        <f t="shared" si="33"/>
        <v>1</v>
      </c>
    </row>
    <row r="2131" spans="1:20" ht="14.25" hidden="1" customHeight="1">
      <c r="A2131" s="15">
        <v>2130</v>
      </c>
      <c r="B2131" s="16" t="s">
        <v>6577</v>
      </c>
      <c r="C2131" s="17">
        <v>45529</v>
      </c>
      <c r="D2131" s="15" t="s">
        <v>6578</v>
      </c>
      <c r="E2131" s="18" t="s">
        <v>954</v>
      </c>
      <c r="F2131" s="19" t="s">
        <v>6579</v>
      </c>
      <c r="G2131" s="18" t="s">
        <v>6580</v>
      </c>
      <c r="H2131" s="20" t="s">
        <v>5148</v>
      </c>
      <c r="I2131" s="15">
        <v>1</v>
      </c>
      <c r="J2131" s="15" t="s">
        <v>25</v>
      </c>
      <c r="K2131" s="15"/>
      <c r="L2131" s="21" t="s">
        <v>16</v>
      </c>
      <c r="M2131" s="22">
        <v>0</v>
      </c>
      <c r="N2131" s="22">
        <v>-1080</v>
      </c>
      <c r="O2131" s="22">
        <v>7920</v>
      </c>
      <c r="P2131" s="22">
        <v>7920</v>
      </c>
      <c r="Q2131" t="str" cm="1">
        <f t="array" ref="Q2131">_xlfn.TEXTJOIN("、",TRUE,IF('學員資料-三民高中'!$B$2:$B$454=$F2131,'學員資料-三民高中'!$G$2:$G$454,""))</f>
        <v/>
      </c>
      <c r="R2131" t="str" cm="1">
        <f t="array" ref="R2131">_xlfn.TEXTJOIN("、",TRUE,IF('學員資料-新北高中'!$B$2:$B$583=$F2131,'學員資料-新北高中'!$G$2:$G$583,""))</f>
        <v>0921580921</v>
      </c>
      <c r="S2131" t="str" cm="1">
        <f t="array" ref="S2131">_xlfn.TEXTJOIN("、",TRUE,IF('學員資料-三重商工'!$B$2:$B$472=$F2131,'學員資料-三重商工'!$G$2:$G$472,""))</f>
        <v/>
      </c>
      <c r="T2131">
        <f t="shared" si="33"/>
        <v>1</v>
      </c>
    </row>
    <row r="2132" spans="1:20" ht="28.5" hidden="1" customHeight="1">
      <c r="A2132" s="15">
        <v>2131</v>
      </c>
      <c r="B2132" s="16" t="s">
        <v>6581</v>
      </c>
      <c r="C2132" s="17">
        <v>45529</v>
      </c>
      <c r="D2132" s="15" t="s">
        <v>6582</v>
      </c>
      <c r="E2132" s="18" t="s">
        <v>954</v>
      </c>
      <c r="F2132" s="19" t="s">
        <v>6583</v>
      </c>
      <c r="G2132" s="18" t="s">
        <v>6584</v>
      </c>
      <c r="H2132" s="20" t="s">
        <v>5154</v>
      </c>
      <c r="I2132" s="15">
        <v>2</v>
      </c>
      <c r="J2132" s="15" t="s">
        <v>24</v>
      </c>
      <c r="K2132" s="15"/>
      <c r="L2132" s="21" t="s">
        <v>16</v>
      </c>
      <c r="M2132" s="22">
        <v>0</v>
      </c>
      <c r="N2132" s="22">
        <v>-1440</v>
      </c>
      <c r="O2132" s="22">
        <v>12960</v>
      </c>
      <c r="P2132" s="22">
        <v>12960</v>
      </c>
      <c r="Q2132" t="str" cm="1">
        <f t="array" ref="Q2132">_xlfn.TEXTJOIN("、",TRUE,IF('學員資料-三民高中'!$B$2:$B$454=$F2132,'學員資料-三民高中'!$G$2:$G$454,""))</f>
        <v/>
      </c>
      <c r="R2132" t="str" cm="1">
        <f t="array" ref="R2132">_xlfn.TEXTJOIN("、",TRUE,IF('學員資料-新北高中'!$B$2:$B$583=$F2132,'學員資料-新北高中'!$G$2:$G$583,""))</f>
        <v>0933221556</v>
      </c>
      <c r="S2132" t="str" cm="1">
        <f t="array" ref="S2132">_xlfn.TEXTJOIN("、",TRUE,IF('學員資料-三重商工'!$B$2:$B$472=$F2132,'學員資料-三重商工'!$G$2:$G$472,""))</f>
        <v/>
      </c>
      <c r="T2132">
        <f t="shared" si="33"/>
        <v>1</v>
      </c>
    </row>
    <row r="2133" spans="1:20" ht="14.25" customHeight="1">
      <c r="A2133" s="15">
        <v>2132</v>
      </c>
      <c r="B2133" s="16" t="s">
        <v>6585</v>
      </c>
      <c r="C2133" s="17">
        <v>45529</v>
      </c>
      <c r="D2133" s="15" t="s">
        <v>6586</v>
      </c>
      <c r="E2133" s="18" t="s">
        <v>954</v>
      </c>
      <c r="F2133" s="19" t="s">
        <v>6587</v>
      </c>
      <c r="G2133" s="18" t="s">
        <v>6588</v>
      </c>
      <c r="H2133" s="20" t="s">
        <v>5163</v>
      </c>
      <c r="I2133" s="15">
        <v>1</v>
      </c>
      <c r="J2133" s="15" t="s">
        <v>23</v>
      </c>
      <c r="K2133" s="15"/>
      <c r="L2133" s="21" t="s">
        <v>16</v>
      </c>
      <c r="M2133" s="22">
        <v>0</v>
      </c>
      <c r="N2133" s="22">
        <v>0</v>
      </c>
      <c r="O2133" s="22">
        <v>6600</v>
      </c>
      <c r="P2133" s="22">
        <v>6600</v>
      </c>
      <c r="Q2133" t="str" cm="1">
        <f t="array" ref="Q2133">_xlfn.TEXTJOIN("、",TRUE,IF('學員資料-三民高中'!$B$2:$B$454=$F2133,'學員資料-三民高中'!$G$2:$G$454,""))</f>
        <v/>
      </c>
      <c r="R2133" t="str" cm="1">
        <f t="array" ref="R2133">_xlfn.TEXTJOIN("、",TRUE,IF('學員資料-新北高中'!$B$2:$B$583=$F2133,'學員資料-新北高中'!$G$2:$G$583,""))</f>
        <v/>
      </c>
      <c r="S2133" t="str" cm="1">
        <f t="array" ref="S2133">_xlfn.TEXTJOIN("、",TRUE,IF('學員資料-三重商工'!$B$2:$B$472=$F2133,'學員資料-三重商工'!$G$2:$G$472,""))</f>
        <v/>
      </c>
      <c r="T2133">
        <f t="shared" si="33"/>
        <v>0</v>
      </c>
    </row>
    <row r="2134" spans="1:20" ht="14.25" hidden="1" customHeight="1">
      <c r="A2134" s="15">
        <v>2133</v>
      </c>
      <c r="B2134" s="16" t="s">
        <v>6589</v>
      </c>
      <c r="C2134" s="17">
        <v>45529</v>
      </c>
      <c r="D2134" s="15" t="s">
        <v>6590</v>
      </c>
      <c r="E2134" s="18" t="s">
        <v>954</v>
      </c>
      <c r="F2134" s="19" t="s">
        <v>6591</v>
      </c>
      <c r="G2134" s="18" t="s">
        <v>6592</v>
      </c>
      <c r="H2134" s="20" t="s">
        <v>5211</v>
      </c>
      <c r="I2134" s="15">
        <v>1</v>
      </c>
      <c r="J2134" s="15" t="s">
        <v>26</v>
      </c>
      <c r="K2134" s="15"/>
      <c r="L2134" s="21" t="s">
        <v>16</v>
      </c>
      <c r="M2134" s="22">
        <v>0</v>
      </c>
      <c r="N2134" s="22">
        <v>-2640</v>
      </c>
      <c r="O2134" s="22">
        <v>8160</v>
      </c>
      <c r="P2134" s="22">
        <v>8160</v>
      </c>
      <c r="Q2134" t="str" cm="1">
        <f t="array" ref="Q2134">_xlfn.TEXTJOIN("、",TRUE,IF('學員資料-三民高中'!$B$2:$B$454=$F2134,'學員資料-三民高中'!$G$2:$G$454,""))</f>
        <v/>
      </c>
      <c r="R2134" t="str" cm="1">
        <f t="array" ref="R2134">_xlfn.TEXTJOIN("、",TRUE,IF('學員資料-新北高中'!$B$2:$B$583=$F2134,'學員資料-新北高中'!$G$2:$G$583,""))</f>
        <v>0988566112</v>
      </c>
      <c r="S2134" t="str" cm="1">
        <f t="array" ref="S2134">_xlfn.TEXTJOIN("、",TRUE,IF('學員資料-三重商工'!$B$2:$B$472=$F2134,'學員資料-三重商工'!$G$2:$G$472,""))</f>
        <v/>
      </c>
      <c r="T2134">
        <f t="shared" si="33"/>
        <v>1</v>
      </c>
    </row>
    <row r="2135" spans="1:20" ht="14.25" hidden="1" customHeight="1">
      <c r="A2135" s="15">
        <v>2134</v>
      </c>
      <c r="B2135" s="16" t="s">
        <v>6593</v>
      </c>
      <c r="C2135" s="17">
        <v>45529</v>
      </c>
      <c r="D2135" s="15" t="s">
        <v>6594</v>
      </c>
      <c r="E2135" s="18" t="s">
        <v>954</v>
      </c>
      <c r="F2135" s="19" t="s">
        <v>6595</v>
      </c>
      <c r="G2135" s="18" t="s">
        <v>6596</v>
      </c>
      <c r="H2135" s="20" t="s">
        <v>5131</v>
      </c>
      <c r="I2135" s="15">
        <v>1</v>
      </c>
      <c r="J2135" s="15" t="s">
        <v>24</v>
      </c>
      <c r="K2135" s="15"/>
      <c r="L2135" s="21" t="s">
        <v>16</v>
      </c>
      <c r="M2135" s="22">
        <v>0</v>
      </c>
      <c r="N2135" s="22">
        <v>0</v>
      </c>
      <c r="O2135" s="22">
        <v>7200</v>
      </c>
      <c r="P2135" s="22">
        <v>7200</v>
      </c>
      <c r="Q2135" t="str" cm="1">
        <f t="array" ref="Q2135">_xlfn.TEXTJOIN("、",TRUE,IF('學員資料-三民高中'!$B$2:$B$454=$F2135,'學員資料-三民高中'!$G$2:$G$454,""))</f>
        <v/>
      </c>
      <c r="R2135" t="str" cm="1">
        <f t="array" ref="R2135">_xlfn.TEXTJOIN("、",TRUE,IF('學員資料-新北高中'!$B$2:$B$583=$F2135,'學員資料-新北高中'!$G$2:$G$583,""))</f>
        <v>0000</v>
      </c>
      <c r="S2135" t="str" cm="1">
        <f t="array" ref="S2135">_xlfn.TEXTJOIN("、",TRUE,IF('學員資料-三重商工'!$B$2:$B$472=$F2135,'學員資料-三重商工'!$G$2:$G$472,""))</f>
        <v/>
      </c>
      <c r="T2135">
        <f t="shared" si="33"/>
        <v>1</v>
      </c>
    </row>
    <row r="2136" spans="1:20" ht="14.25" hidden="1" customHeight="1">
      <c r="A2136" s="15">
        <v>2135</v>
      </c>
      <c r="B2136" s="16" t="s">
        <v>6597</v>
      </c>
      <c r="C2136" s="17">
        <v>45528</v>
      </c>
      <c r="D2136" s="15" t="s">
        <v>6598</v>
      </c>
      <c r="E2136" s="18" t="s">
        <v>954</v>
      </c>
      <c r="F2136" s="19" t="s">
        <v>6599</v>
      </c>
      <c r="G2136" s="18" t="s">
        <v>6600</v>
      </c>
      <c r="H2136" s="20" t="s">
        <v>5131</v>
      </c>
      <c r="I2136" s="15">
        <v>1</v>
      </c>
      <c r="J2136" s="15" t="s">
        <v>24</v>
      </c>
      <c r="K2136" s="15"/>
      <c r="L2136" s="21" t="s">
        <v>16</v>
      </c>
      <c r="M2136" s="22">
        <v>0</v>
      </c>
      <c r="N2136" s="22">
        <v>-720</v>
      </c>
      <c r="O2136" s="22">
        <v>6480</v>
      </c>
      <c r="P2136" s="22">
        <v>6480</v>
      </c>
      <c r="Q2136" t="str" cm="1">
        <f t="array" ref="Q2136">_xlfn.TEXTJOIN("、",TRUE,IF('學員資料-三民高中'!$B$2:$B$454=$F2136,'學員資料-三民高中'!$G$2:$G$454,""))</f>
        <v/>
      </c>
      <c r="R2136" t="str" cm="1">
        <f t="array" ref="R2136">_xlfn.TEXTJOIN("、",TRUE,IF('學員資料-新北高中'!$B$2:$B$583=$F2136,'學員資料-新北高中'!$G$2:$G$583,""))</f>
        <v/>
      </c>
      <c r="S2136" t="str" cm="1">
        <f t="array" ref="S2136">_xlfn.TEXTJOIN("、",TRUE,IF('學員資料-三重商工'!$B$2:$B$472=$F2136,'學員資料-三重商工'!$G$2:$G$472,""))</f>
        <v>0922717627-1</v>
      </c>
      <c r="T2136">
        <f t="shared" si="33"/>
        <v>1</v>
      </c>
    </row>
    <row r="2137" spans="1:20" ht="14.25" hidden="1" customHeight="1">
      <c r="A2137" s="15">
        <v>2136</v>
      </c>
      <c r="B2137" s="16" t="s">
        <v>6601</v>
      </c>
      <c r="C2137" s="17">
        <v>45528</v>
      </c>
      <c r="D2137" s="15" t="s">
        <v>6602</v>
      </c>
      <c r="E2137" s="18" t="s">
        <v>954</v>
      </c>
      <c r="F2137" s="19" t="s">
        <v>5261</v>
      </c>
      <c r="G2137" s="18" t="s">
        <v>5262</v>
      </c>
      <c r="H2137" s="20" t="s">
        <v>5148</v>
      </c>
      <c r="I2137" s="15">
        <v>1</v>
      </c>
      <c r="J2137" s="15" t="s">
        <v>25</v>
      </c>
      <c r="K2137" s="15"/>
      <c r="L2137" s="21" t="s">
        <v>16</v>
      </c>
      <c r="M2137" s="22">
        <v>0</v>
      </c>
      <c r="N2137" s="22">
        <v>-900</v>
      </c>
      <c r="O2137" s="22">
        <v>8100</v>
      </c>
      <c r="P2137" s="22">
        <v>8100</v>
      </c>
      <c r="Q2137" t="str" cm="1">
        <f t="array" ref="Q2137">_xlfn.TEXTJOIN("、",TRUE,IF('學員資料-三民高中'!$B$2:$B$454=$F2137,'學員資料-三民高中'!$G$2:$G$454,""))</f>
        <v/>
      </c>
      <c r="R2137" t="str" cm="1">
        <f t="array" ref="R2137">_xlfn.TEXTJOIN("、",TRUE,IF('學員資料-新北高中'!$B$2:$B$583=$F2137,'學員資料-新北高中'!$G$2:$G$583,""))</f>
        <v>0912818552</v>
      </c>
      <c r="S2137" t="str" cm="1">
        <f t="array" ref="S2137">_xlfn.TEXTJOIN("、",TRUE,IF('學員資料-三重商工'!$B$2:$B$472=$F2137,'學員資料-三重商工'!$G$2:$G$472,""))</f>
        <v/>
      </c>
      <c r="T2137">
        <f t="shared" si="33"/>
        <v>1</v>
      </c>
    </row>
    <row r="2138" spans="1:20" ht="14.25" hidden="1" customHeight="1">
      <c r="A2138" s="15">
        <v>2137</v>
      </c>
      <c r="B2138" s="16" t="s">
        <v>6603</v>
      </c>
      <c r="C2138" s="17">
        <v>45528</v>
      </c>
      <c r="D2138" s="15" t="s">
        <v>6604</v>
      </c>
      <c r="E2138" s="18" t="s">
        <v>954</v>
      </c>
      <c r="F2138" s="19" t="s">
        <v>6605</v>
      </c>
      <c r="G2138" s="18" t="s">
        <v>6606</v>
      </c>
      <c r="H2138" s="20" t="s">
        <v>5148</v>
      </c>
      <c r="I2138" s="15">
        <v>1</v>
      </c>
      <c r="J2138" s="15" t="s">
        <v>25</v>
      </c>
      <c r="K2138" s="15"/>
      <c r="L2138" s="21" t="s">
        <v>16</v>
      </c>
      <c r="M2138" s="22">
        <v>0</v>
      </c>
      <c r="N2138" s="22">
        <v>-1080</v>
      </c>
      <c r="O2138" s="22">
        <v>7920</v>
      </c>
      <c r="P2138" s="22">
        <v>7920</v>
      </c>
      <c r="Q2138" t="str" cm="1">
        <f t="array" ref="Q2138">_xlfn.TEXTJOIN("、",TRUE,IF('學員資料-三民高中'!$B$2:$B$454=$F2138,'學員資料-三民高中'!$G$2:$G$454,""))</f>
        <v>0987771876</v>
      </c>
      <c r="R2138" t="str" cm="1">
        <f t="array" ref="R2138">_xlfn.TEXTJOIN("、",TRUE,IF('學員資料-新北高中'!$B$2:$B$583=$F2138,'學員資料-新北高中'!$G$2:$G$583,""))</f>
        <v/>
      </c>
      <c r="S2138" t="str" cm="1">
        <f t="array" ref="S2138">_xlfn.TEXTJOIN("、",TRUE,IF('學員資料-三重商工'!$B$2:$B$472=$F2138,'學員資料-三重商工'!$G$2:$G$472,""))</f>
        <v/>
      </c>
      <c r="T2138">
        <f t="shared" si="33"/>
        <v>1</v>
      </c>
    </row>
    <row r="2139" spans="1:20" ht="14.25" hidden="1" customHeight="1">
      <c r="A2139" s="15">
        <v>2138</v>
      </c>
      <c r="B2139" s="16" t="s">
        <v>6607</v>
      </c>
      <c r="C2139" s="17">
        <v>45528</v>
      </c>
      <c r="D2139" s="15" t="s">
        <v>6608</v>
      </c>
      <c r="E2139" s="18" t="s">
        <v>954</v>
      </c>
      <c r="F2139" s="19" t="s">
        <v>6609</v>
      </c>
      <c r="G2139" s="18" t="s">
        <v>6610</v>
      </c>
      <c r="H2139" s="20" t="s">
        <v>5131</v>
      </c>
      <c r="I2139" s="15">
        <v>1</v>
      </c>
      <c r="J2139" s="15" t="s">
        <v>24</v>
      </c>
      <c r="K2139" s="15"/>
      <c r="L2139" s="21" t="s">
        <v>16</v>
      </c>
      <c r="M2139" s="22">
        <v>0</v>
      </c>
      <c r="N2139" s="22">
        <v>-720</v>
      </c>
      <c r="O2139" s="22">
        <v>6480</v>
      </c>
      <c r="P2139" s="22">
        <v>6480</v>
      </c>
      <c r="Q2139" t="str" cm="1">
        <f t="array" ref="Q2139">_xlfn.TEXTJOIN("、",TRUE,IF('學員資料-三民高中'!$B$2:$B$454=$F2139,'學員資料-三民高中'!$G$2:$G$454,""))</f>
        <v/>
      </c>
      <c r="R2139" t="str" cm="1">
        <f t="array" ref="R2139">_xlfn.TEXTJOIN("、",TRUE,IF('學員資料-新北高中'!$B$2:$B$583=$F2139,'學員資料-新北高中'!$G$2:$G$583,""))</f>
        <v>0978911931</v>
      </c>
      <c r="S2139" t="str" cm="1">
        <f t="array" ref="S2139">_xlfn.TEXTJOIN("、",TRUE,IF('學員資料-三重商工'!$B$2:$B$472=$F2139,'學員資料-三重商工'!$G$2:$G$472,""))</f>
        <v/>
      </c>
      <c r="T2139">
        <f t="shared" si="33"/>
        <v>1</v>
      </c>
    </row>
    <row r="2140" spans="1:20" ht="14.25" hidden="1" customHeight="1">
      <c r="A2140" s="15">
        <v>2139</v>
      </c>
      <c r="B2140" s="16" t="s">
        <v>6611</v>
      </c>
      <c r="C2140" s="17">
        <v>45528</v>
      </c>
      <c r="D2140" s="15" t="s">
        <v>6612</v>
      </c>
      <c r="E2140" s="18" t="s">
        <v>954</v>
      </c>
      <c r="F2140" s="19" t="s">
        <v>6613</v>
      </c>
      <c r="G2140" s="18" t="s">
        <v>6614</v>
      </c>
      <c r="H2140" s="20" t="s">
        <v>5131</v>
      </c>
      <c r="I2140" s="15">
        <v>1</v>
      </c>
      <c r="J2140" s="15" t="s">
        <v>24</v>
      </c>
      <c r="K2140" s="15"/>
      <c r="L2140" s="21" t="s">
        <v>16</v>
      </c>
      <c r="M2140" s="22">
        <v>0</v>
      </c>
      <c r="N2140" s="22">
        <v>-720</v>
      </c>
      <c r="O2140" s="22">
        <v>6480</v>
      </c>
      <c r="P2140" s="22">
        <v>6480</v>
      </c>
      <c r="Q2140" t="str" cm="1">
        <f t="array" ref="Q2140">_xlfn.TEXTJOIN("、",TRUE,IF('學員資料-三民高中'!$B$2:$B$454=$F2140,'學員資料-三民高中'!$G$2:$G$454,""))</f>
        <v/>
      </c>
      <c r="R2140" t="str" cm="1">
        <f t="array" ref="R2140">_xlfn.TEXTJOIN("、",TRUE,IF('學員資料-新北高中'!$B$2:$B$583=$F2140,'學員資料-新北高中'!$G$2:$G$583,""))</f>
        <v/>
      </c>
      <c r="S2140" t="str" cm="1">
        <f t="array" ref="S2140">_xlfn.TEXTJOIN("、",TRUE,IF('學員資料-三重商工'!$B$2:$B$472=$F2140,'學員資料-三重商工'!$G$2:$G$472,""))</f>
        <v>0912912109</v>
      </c>
      <c r="T2140">
        <f t="shared" si="33"/>
        <v>1</v>
      </c>
    </row>
    <row r="2141" spans="1:20" ht="72" hidden="1" customHeight="1">
      <c r="A2141" s="15">
        <v>2140</v>
      </c>
      <c r="B2141" s="16" t="s">
        <v>6615</v>
      </c>
      <c r="C2141" s="17">
        <v>45528</v>
      </c>
      <c r="D2141" s="15" t="s">
        <v>6616</v>
      </c>
      <c r="E2141" s="18" t="s">
        <v>954</v>
      </c>
      <c r="F2141" s="19" t="s">
        <v>1795</v>
      </c>
      <c r="G2141" s="18" t="s">
        <v>1796</v>
      </c>
      <c r="H2141" s="20" t="s">
        <v>6617</v>
      </c>
      <c r="I2141" s="15">
        <v>5</v>
      </c>
      <c r="J2141" s="15" t="s">
        <v>24</v>
      </c>
      <c r="K2141" s="15"/>
      <c r="L2141" s="21" t="s">
        <v>16</v>
      </c>
      <c r="M2141" s="22">
        <v>0</v>
      </c>
      <c r="N2141" s="22">
        <v>-3600</v>
      </c>
      <c r="O2141" s="22">
        <v>32400</v>
      </c>
      <c r="P2141" s="22">
        <v>32400</v>
      </c>
      <c r="Q2141" t="str" cm="1">
        <f t="array" ref="Q2141">_xlfn.TEXTJOIN("、",TRUE,IF('學員資料-三民高中'!$B$2:$B$454=$F2141,'學員資料-三民高中'!$G$2:$G$454,""))</f>
        <v>0935242518</v>
      </c>
      <c r="R2141" t="str" cm="1">
        <f t="array" ref="R2141">_xlfn.TEXTJOIN("、",TRUE,IF('學員資料-新北高中'!$B$2:$B$583=$F2141,'學員資料-新北高中'!$G$2:$G$583,""))</f>
        <v/>
      </c>
      <c r="S2141" t="str" cm="1">
        <f t="array" ref="S2141">_xlfn.TEXTJOIN("、",TRUE,IF('學員資料-三重商工'!$B$2:$B$472=$F2141,'學員資料-三重商工'!$G$2:$G$472,""))</f>
        <v/>
      </c>
      <c r="T2141">
        <f t="shared" si="33"/>
        <v>1</v>
      </c>
    </row>
    <row r="2142" spans="1:20" ht="43.5" hidden="1" customHeight="1">
      <c r="A2142" s="15">
        <v>2141</v>
      </c>
      <c r="B2142" s="16" t="s">
        <v>6618</v>
      </c>
      <c r="C2142" s="17">
        <v>45528</v>
      </c>
      <c r="D2142" s="15" t="s">
        <v>6619</v>
      </c>
      <c r="E2142" s="18" t="s">
        <v>954</v>
      </c>
      <c r="F2142" s="19" t="s">
        <v>3305</v>
      </c>
      <c r="G2142" s="18" t="s">
        <v>3306</v>
      </c>
      <c r="H2142" s="20" t="s">
        <v>5128</v>
      </c>
      <c r="I2142" s="15">
        <v>3</v>
      </c>
      <c r="J2142" s="15" t="s">
        <v>25</v>
      </c>
      <c r="K2142" s="15"/>
      <c r="L2142" s="21" t="s">
        <v>16</v>
      </c>
      <c r="M2142" s="22">
        <v>0</v>
      </c>
      <c r="N2142" s="22">
        <v>-3240</v>
      </c>
      <c r="O2142" s="22">
        <v>23760</v>
      </c>
      <c r="P2142" s="22">
        <v>23760</v>
      </c>
      <c r="Q2142" t="str" cm="1">
        <f t="array" ref="Q2142">_xlfn.TEXTJOIN("、",TRUE,IF('學員資料-三民高中'!$B$2:$B$454=$F2142,'學員資料-三民高中'!$G$2:$G$454,""))</f>
        <v/>
      </c>
      <c r="R2142" t="str" cm="1">
        <f t="array" ref="R2142">_xlfn.TEXTJOIN("、",TRUE,IF('學員資料-新北高中'!$B$2:$B$583=$F2142,'學員資料-新北高中'!$G$2:$G$583,""))</f>
        <v/>
      </c>
      <c r="S2142" t="str" cm="1">
        <f t="array" ref="S2142">_xlfn.TEXTJOIN("、",TRUE,IF('學員資料-三重商工'!$B$2:$B$472=$F2142,'學員資料-三重商工'!$G$2:$G$472,""))</f>
        <v>0987122163</v>
      </c>
      <c r="T2142">
        <f t="shared" si="33"/>
        <v>1</v>
      </c>
    </row>
    <row r="2143" spans="1:20" ht="43.5" hidden="1" customHeight="1">
      <c r="A2143" s="15">
        <v>2142</v>
      </c>
      <c r="B2143" s="16" t="s">
        <v>6620</v>
      </c>
      <c r="C2143" s="17">
        <v>45528</v>
      </c>
      <c r="D2143" s="15" t="s">
        <v>2695</v>
      </c>
      <c r="E2143" s="18" t="s">
        <v>954</v>
      </c>
      <c r="F2143" s="19" t="s">
        <v>1418</v>
      </c>
      <c r="G2143" s="18" t="s">
        <v>1419</v>
      </c>
      <c r="H2143" s="20" t="s">
        <v>5436</v>
      </c>
      <c r="I2143" s="15">
        <v>3</v>
      </c>
      <c r="J2143" s="15" t="s">
        <v>24</v>
      </c>
      <c r="K2143" s="15"/>
      <c r="L2143" s="21" t="s">
        <v>16</v>
      </c>
      <c r="M2143" s="22">
        <v>0</v>
      </c>
      <c r="N2143" s="22">
        <v>0</v>
      </c>
      <c r="O2143" s="22">
        <v>21600</v>
      </c>
      <c r="P2143" s="22">
        <v>21600</v>
      </c>
      <c r="Q2143" t="str" cm="1">
        <f t="array" ref="Q2143">_xlfn.TEXTJOIN("、",TRUE,IF('學員資料-三民高中'!$B$2:$B$454=$F2143,'學員資料-三民高中'!$G$2:$G$454,""))</f>
        <v/>
      </c>
      <c r="R2143" t="str" cm="1">
        <f t="array" ref="R2143">_xlfn.TEXTJOIN("、",TRUE,IF('學員資料-新北高中'!$B$2:$B$583=$F2143,'學員資料-新北高中'!$G$2:$G$583,""))</f>
        <v/>
      </c>
      <c r="S2143" t="str" cm="1">
        <f t="array" ref="S2143">_xlfn.TEXTJOIN("、",TRUE,IF('學員資料-三重商工'!$B$2:$B$472=$F2143,'學員資料-三重商工'!$G$2:$G$472,""))</f>
        <v>0928207634</v>
      </c>
      <c r="T2143">
        <f t="shared" si="33"/>
        <v>1</v>
      </c>
    </row>
    <row r="2144" spans="1:20" ht="14.25" hidden="1" customHeight="1">
      <c r="A2144" s="15">
        <v>2143</v>
      </c>
      <c r="B2144" s="16" t="s">
        <v>6621</v>
      </c>
      <c r="C2144" s="17">
        <v>45528</v>
      </c>
      <c r="D2144" s="15" t="s">
        <v>6622</v>
      </c>
      <c r="E2144" s="18" t="s">
        <v>954</v>
      </c>
      <c r="F2144" s="19" t="s">
        <v>2600</v>
      </c>
      <c r="G2144" s="18" t="s">
        <v>2601</v>
      </c>
      <c r="H2144" s="20" t="s">
        <v>5148</v>
      </c>
      <c r="I2144" s="15">
        <v>1</v>
      </c>
      <c r="J2144" s="15" t="s">
        <v>25</v>
      </c>
      <c r="K2144" s="15"/>
      <c r="L2144" s="21" t="s">
        <v>16</v>
      </c>
      <c r="M2144" s="22">
        <v>0</v>
      </c>
      <c r="N2144" s="22">
        <v>-1080</v>
      </c>
      <c r="O2144" s="22">
        <v>7920</v>
      </c>
      <c r="P2144" s="22">
        <v>7920</v>
      </c>
      <c r="Q2144" t="str" cm="1">
        <f t="array" ref="Q2144">_xlfn.TEXTJOIN("、",TRUE,IF('學員資料-三民高中'!$B$2:$B$454=$F2144,'學員資料-三民高中'!$G$2:$G$454,""))</f>
        <v/>
      </c>
      <c r="R2144" t="str" cm="1">
        <f t="array" ref="R2144">_xlfn.TEXTJOIN("、",TRUE,IF('學員資料-新北高中'!$B$2:$B$583=$F2144,'學員資料-新北高中'!$G$2:$G$583,""))</f>
        <v/>
      </c>
      <c r="S2144" t="str" cm="1">
        <f t="array" ref="S2144">_xlfn.TEXTJOIN("、",TRUE,IF('學員資料-三重商工'!$B$2:$B$472=$F2144,'學員資料-三重商工'!$G$2:$G$472,""))</f>
        <v>09109510055</v>
      </c>
      <c r="T2144">
        <f t="shared" si="33"/>
        <v>1</v>
      </c>
    </row>
    <row r="2145" spans="1:20" ht="14.25" hidden="1" customHeight="1">
      <c r="A2145" s="15">
        <v>2144</v>
      </c>
      <c r="B2145" s="16" t="s">
        <v>6623</v>
      </c>
      <c r="C2145" s="17">
        <v>45528</v>
      </c>
      <c r="D2145" s="15" t="s">
        <v>6624</v>
      </c>
      <c r="E2145" s="18" t="s">
        <v>954</v>
      </c>
      <c r="F2145" s="19" t="s">
        <v>6625</v>
      </c>
      <c r="G2145" s="18" t="s">
        <v>6626</v>
      </c>
      <c r="H2145" s="20" t="s">
        <v>5148</v>
      </c>
      <c r="I2145" s="15">
        <v>1</v>
      </c>
      <c r="J2145" s="15" t="s">
        <v>25</v>
      </c>
      <c r="K2145" s="15"/>
      <c r="L2145" s="21" t="s">
        <v>16</v>
      </c>
      <c r="M2145" s="22">
        <v>0</v>
      </c>
      <c r="N2145" s="22">
        <v>-1080</v>
      </c>
      <c r="O2145" s="22">
        <v>7920</v>
      </c>
      <c r="P2145" s="22">
        <v>7920</v>
      </c>
      <c r="Q2145" t="str" cm="1">
        <f t="array" ref="Q2145">_xlfn.TEXTJOIN("、",TRUE,IF('學員資料-三民高中'!$B$2:$B$454=$F2145,'學員資料-三民高中'!$G$2:$G$454,""))</f>
        <v>0910315336</v>
      </c>
      <c r="R2145" t="str" cm="1">
        <f t="array" ref="R2145">_xlfn.TEXTJOIN("、",TRUE,IF('學員資料-新北高中'!$B$2:$B$583=$F2145,'學員資料-新北高中'!$G$2:$G$583,""))</f>
        <v/>
      </c>
      <c r="S2145" t="str" cm="1">
        <f t="array" ref="S2145">_xlfn.TEXTJOIN("、",TRUE,IF('學員資料-三重商工'!$B$2:$B$472=$F2145,'學員資料-三重商工'!$G$2:$G$472,""))</f>
        <v/>
      </c>
      <c r="T2145">
        <f t="shared" si="33"/>
        <v>1</v>
      </c>
    </row>
    <row r="2146" spans="1:20" ht="28.5" hidden="1" customHeight="1">
      <c r="A2146" s="15">
        <v>2145</v>
      </c>
      <c r="B2146" s="16" t="s">
        <v>6627</v>
      </c>
      <c r="C2146" s="17">
        <v>45528</v>
      </c>
      <c r="D2146" s="15" t="s">
        <v>6628</v>
      </c>
      <c r="E2146" s="18" t="s">
        <v>954</v>
      </c>
      <c r="F2146" s="19" t="s">
        <v>4125</v>
      </c>
      <c r="G2146" s="18" t="s">
        <v>4126</v>
      </c>
      <c r="H2146" s="20" t="s">
        <v>5154</v>
      </c>
      <c r="I2146" s="15">
        <v>2</v>
      </c>
      <c r="J2146" s="15" t="s">
        <v>24</v>
      </c>
      <c r="K2146" s="15"/>
      <c r="L2146" s="21" t="s">
        <v>16</v>
      </c>
      <c r="M2146" s="22">
        <v>0</v>
      </c>
      <c r="N2146" s="22">
        <v>-1440</v>
      </c>
      <c r="O2146" s="22">
        <v>12960</v>
      </c>
      <c r="P2146" s="22">
        <v>12960</v>
      </c>
      <c r="Q2146" t="str" cm="1">
        <f t="array" ref="Q2146">_xlfn.TEXTJOIN("、",TRUE,IF('學員資料-三民高中'!$B$2:$B$454=$F2146,'學員資料-三民高中'!$G$2:$G$454,""))</f>
        <v>0910315336-1</v>
      </c>
      <c r="R2146" t="str" cm="1">
        <f t="array" ref="R2146">_xlfn.TEXTJOIN("、",TRUE,IF('學員資料-新北高中'!$B$2:$B$583=$F2146,'學員資料-新北高中'!$G$2:$G$583,""))</f>
        <v/>
      </c>
      <c r="S2146" t="str" cm="1">
        <f t="array" ref="S2146">_xlfn.TEXTJOIN("、",TRUE,IF('學員資料-三重商工'!$B$2:$B$472=$F2146,'學員資料-三重商工'!$G$2:$G$472,""))</f>
        <v/>
      </c>
      <c r="T2146">
        <f t="shared" si="33"/>
        <v>1</v>
      </c>
    </row>
    <row r="2147" spans="1:20" ht="28.5" hidden="1" customHeight="1">
      <c r="A2147" s="15">
        <v>2146</v>
      </c>
      <c r="B2147" s="16" t="s">
        <v>6629</v>
      </c>
      <c r="C2147" s="17">
        <v>45528</v>
      </c>
      <c r="D2147" s="15" t="s">
        <v>6630</v>
      </c>
      <c r="E2147" s="18" t="s">
        <v>954</v>
      </c>
      <c r="F2147" s="19" t="s">
        <v>6497</v>
      </c>
      <c r="G2147" s="18" t="s">
        <v>6498</v>
      </c>
      <c r="H2147" s="20" t="s">
        <v>6631</v>
      </c>
      <c r="I2147" s="15">
        <v>2</v>
      </c>
      <c r="J2147" s="15" t="s">
        <v>24</v>
      </c>
      <c r="K2147" s="21" t="s">
        <v>116</v>
      </c>
      <c r="L2147" s="21" t="s">
        <v>16</v>
      </c>
      <c r="M2147" s="22">
        <v>0</v>
      </c>
      <c r="N2147" s="22">
        <v>0</v>
      </c>
      <c r="O2147" s="22">
        <v>1200</v>
      </c>
      <c r="P2147" s="22">
        <v>1200</v>
      </c>
      <c r="Q2147" t="str" cm="1">
        <f t="array" ref="Q2147">_xlfn.TEXTJOIN("、",TRUE,IF('學員資料-三民高中'!$B$2:$B$454=$F2147,'學員資料-三民高中'!$G$2:$G$454,""))</f>
        <v>0965162262</v>
      </c>
      <c r="R2147" t="str" cm="1">
        <f t="array" ref="R2147">_xlfn.TEXTJOIN("、",TRUE,IF('學員資料-新北高中'!$B$2:$B$583=$F2147,'學員資料-新北高中'!$G$2:$G$583,""))</f>
        <v/>
      </c>
      <c r="S2147" t="str" cm="1">
        <f t="array" ref="S2147">_xlfn.TEXTJOIN("、",TRUE,IF('學員資料-三重商工'!$B$2:$B$472=$F2147,'學員資料-三重商工'!$G$2:$G$472,""))</f>
        <v/>
      </c>
      <c r="T2147">
        <f t="shared" si="33"/>
        <v>1</v>
      </c>
    </row>
    <row r="2148" spans="1:20" ht="14.25" hidden="1" customHeight="1">
      <c r="A2148" s="15">
        <v>2147</v>
      </c>
      <c r="B2148" s="16" t="s">
        <v>6632</v>
      </c>
      <c r="C2148" s="17">
        <v>45528</v>
      </c>
      <c r="D2148" s="15" t="s">
        <v>6633</v>
      </c>
      <c r="E2148" s="18" t="s">
        <v>954</v>
      </c>
      <c r="F2148" s="19" t="s">
        <v>2596</v>
      </c>
      <c r="G2148" s="18" t="s">
        <v>2597</v>
      </c>
      <c r="H2148" s="20" t="s">
        <v>5131</v>
      </c>
      <c r="I2148" s="15">
        <v>1</v>
      </c>
      <c r="J2148" s="15" t="s">
        <v>24</v>
      </c>
      <c r="K2148" s="15"/>
      <c r="L2148" s="21" t="s">
        <v>16</v>
      </c>
      <c r="M2148" s="22">
        <v>0</v>
      </c>
      <c r="N2148" s="22">
        <v>-720</v>
      </c>
      <c r="O2148" s="22">
        <v>6480</v>
      </c>
      <c r="P2148" s="22">
        <v>6480</v>
      </c>
      <c r="Q2148" t="str" cm="1">
        <f t="array" ref="Q2148">_xlfn.TEXTJOIN("、",TRUE,IF('學員資料-三民高中'!$B$2:$B$454=$F2148,'學員資料-三民高中'!$G$2:$G$454,""))</f>
        <v/>
      </c>
      <c r="R2148" t="str" cm="1">
        <f t="array" ref="R2148">_xlfn.TEXTJOIN("、",TRUE,IF('學員資料-新北高中'!$B$2:$B$583=$F2148,'學員資料-新北高中'!$G$2:$G$583,""))</f>
        <v/>
      </c>
      <c r="S2148" t="str" cm="1">
        <f t="array" ref="S2148">_xlfn.TEXTJOIN("、",TRUE,IF('學員資料-三重商工'!$B$2:$B$472=$F2148,'學員資料-三重商工'!$G$2:$G$472,""))</f>
        <v>0939332750</v>
      </c>
      <c r="T2148">
        <f t="shared" si="33"/>
        <v>1</v>
      </c>
    </row>
    <row r="2149" spans="1:20" ht="28.5" hidden="1" customHeight="1">
      <c r="A2149" s="15">
        <v>2148</v>
      </c>
      <c r="B2149" s="16" t="s">
        <v>6634</v>
      </c>
      <c r="C2149" s="17">
        <v>45528</v>
      </c>
      <c r="D2149" s="15" t="s">
        <v>6635</v>
      </c>
      <c r="E2149" s="18" t="s">
        <v>954</v>
      </c>
      <c r="F2149" s="19" t="s">
        <v>4964</v>
      </c>
      <c r="G2149" s="18" t="s">
        <v>4965</v>
      </c>
      <c r="H2149" s="20" t="s">
        <v>5263</v>
      </c>
      <c r="I2149" s="15">
        <v>2</v>
      </c>
      <c r="J2149" s="15" t="s">
        <v>25</v>
      </c>
      <c r="K2149" s="15"/>
      <c r="L2149" s="21" t="s">
        <v>16</v>
      </c>
      <c r="M2149" s="22">
        <v>0</v>
      </c>
      <c r="N2149" s="22">
        <v>-2160</v>
      </c>
      <c r="O2149" s="22">
        <v>15840</v>
      </c>
      <c r="P2149" s="22">
        <v>15840</v>
      </c>
      <c r="Q2149" t="str" cm="1">
        <f t="array" ref="Q2149">_xlfn.TEXTJOIN("、",TRUE,IF('學員資料-三民高中'!$B$2:$B$454=$F2149,'學員資料-三民高中'!$G$2:$G$454,""))</f>
        <v/>
      </c>
      <c r="R2149" t="str" cm="1">
        <f t="array" ref="R2149">_xlfn.TEXTJOIN("、",TRUE,IF('學員資料-新北高中'!$B$2:$B$583=$F2149,'學員資料-新北高中'!$G$2:$G$583,""))</f>
        <v/>
      </c>
      <c r="S2149" t="str" cm="1">
        <f t="array" ref="S2149">_xlfn.TEXTJOIN("、",TRUE,IF('學員資料-三重商工'!$B$2:$B$472=$F2149,'學員資料-三重商工'!$G$2:$G$472,""))</f>
        <v>0916167142.1</v>
      </c>
      <c r="T2149">
        <f t="shared" si="33"/>
        <v>1</v>
      </c>
    </row>
    <row r="2150" spans="1:20" ht="14.25" hidden="1" customHeight="1">
      <c r="A2150" s="15">
        <v>2149</v>
      </c>
      <c r="B2150" s="16" t="s">
        <v>6636</v>
      </c>
      <c r="C2150" s="17">
        <v>45528</v>
      </c>
      <c r="D2150" s="15" t="s">
        <v>6637</v>
      </c>
      <c r="E2150" s="18" t="s">
        <v>954</v>
      </c>
      <c r="F2150" s="19" t="s">
        <v>458</v>
      </c>
      <c r="G2150" s="18" t="s">
        <v>459</v>
      </c>
      <c r="H2150" s="20" t="s">
        <v>5131</v>
      </c>
      <c r="I2150" s="15">
        <v>1</v>
      </c>
      <c r="J2150" s="15" t="s">
        <v>24</v>
      </c>
      <c r="K2150" s="15"/>
      <c r="L2150" s="21" t="s">
        <v>16</v>
      </c>
      <c r="M2150" s="22">
        <v>0</v>
      </c>
      <c r="N2150" s="22">
        <v>-720</v>
      </c>
      <c r="O2150" s="22">
        <v>6480</v>
      </c>
      <c r="P2150" s="22">
        <v>6480</v>
      </c>
      <c r="Q2150" t="str" cm="1">
        <f t="array" ref="Q2150">_xlfn.TEXTJOIN("、",TRUE,IF('學員資料-三民高中'!$B$2:$B$454=$F2150,'學員資料-三民高中'!$G$2:$G$454,""))</f>
        <v>0930901313</v>
      </c>
      <c r="R2150" t="str" cm="1">
        <f t="array" ref="R2150">_xlfn.TEXTJOIN("、",TRUE,IF('學員資料-新北高中'!$B$2:$B$583=$F2150,'學員資料-新北高中'!$G$2:$G$583,""))</f>
        <v/>
      </c>
      <c r="S2150" t="str" cm="1">
        <f t="array" ref="S2150">_xlfn.TEXTJOIN("、",TRUE,IF('學員資料-三重商工'!$B$2:$B$472=$F2150,'學員資料-三重商工'!$G$2:$G$472,""))</f>
        <v/>
      </c>
      <c r="T2150">
        <f t="shared" si="33"/>
        <v>1</v>
      </c>
    </row>
    <row r="2151" spans="1:20" ht="28.5" hidden="1" customHeight="1">
      <c r="A2151" s="15">
        <v>2150</v>
      </c>
      <c r="B2151" s="16" t="s">
        <v>6638</v>
      </c>
      <c r="C2151" s="17">
        <v>45528</v>
      </c>
      <c r="D2151" s="15" t="s">
        <v>6639</v>
      </c>
      <c r="E2151" s="18" t="s">
        <v>954</v>
      </c>
      <c r="F2151" s="19" t="s">
        <v>542</v>
      </c>
      <c r="G2151" s="18" t="s">
        <v>543</v>
      </c>
      <c r="H2151" s="20" t="s">
        <v>5206</v>
      </c>
      <c r="I2151" s="15">
        <v>2</v>
      </c>
      <c r="J2151" s="15" t="s">
        <v>23</v>
      </c>
      <c r="K2151" s="15"/>
      <c r="L2151" s="21" t="s">
        <v>16</v>
      </c>
      <c r="M2151" s="22">
        <v>0</v>
      </c>
      <c r="N2151" s="22">
        <v>-1320</v>
      </c>
      <c r="O2151" s="22">
        <v>11880</v>
      </c>
      <c r="P2151" s="22">
        <v>11880</v>
      </c>
      <c r="Q2151" t="str" cm="1">
        <f t="array" ref="Q2151">_xlfn.TEXTJOIN("、",TRUE,IF('學員資料-三民高中'!$B$2:$B$454=$F2151,'學員資料-三民高中'!$G$2:$G$454,""))</f>
        <v/>
      </c>
      <c r="R2151" t="str" cm="1">
        <f t="array" ref="R2151">_xlfn.TEXTJOIN("、",TRUE,IF('學員資料-新北高中'!$B$2:$B$583=$F2151,'學員資料-新北高中'!$G$2:$G$583,""))</f>
        <v>0918068640</v>
      </c>
      <c r="S2151" t="str" cm="1">
        <f t="array" ref="S2151">_xlfn.TEXTJOIN("、",TRUE,IF('學員資料-三重商工'!$B$2:$B$472=$F2151,'學員資料-三重商工'!$G$2:$G$472,""))</f>
        <v/>
      </c>
      <c r="T2151">
        <f t="shared" si="33"/>
        <v>1</v>
      </c>
    </row>
    <row r="2152" spans="1:20" ht="14.25" hidden="1" customHeight="1">
      <c r="A2152" s="15">
        <v>2151</v>
      </c>
      <c r="B2152" s="16" t="s">
        <v>6640</v>
      </c>
      <c r="C2152" s="17">
        <v>45528</v>
      </c>
      <c r="D2152" s="15" t="s">
        <v>6641</v>
      </c>
      <c r="E2152" s="18" t="s">
        <v>954</v>
      </c>
      <c r="F2152" s="19" t="s">
        <v>6642</v>
      </c>
      <c r="G2152" s="18" t="s">
        <v>6643</v>
      </c>
      <c r="H2152" s="20" t="s">
        <v>5131</v>
      </c>
      <c r="I2152" s="15">
        <v>1</v>
      </c>
      <c r="J2152" s="15" t="s">
        <v>24</v>
      </c>
      <c r="K2152" s="15"/>
      <c r="L2152" s="21" t="s">
        <v>16</v>
      </c>
      <c r="M2152" s="22">
        <v>0</v>
      </c>
      <c r="N2152" s="22">
        <v>0</v>
      </c>
      <c r="O2152" s="22">
        <v>7200</v>
      </c>
      <c r="P2152" s="22">
        <v>7200</v>
      </c>
      <c r="Q2152" t="str" cm="1">
        <f t="array" ref="Q2152">_xlfn.TEXTJOIN("、",TRUE,IF('學員資料-三民高中'!$B$2:$B$454=$F2152,'學員資料-三民高中'!$G$2:$G$454,""))</f>
        <v/>
      </c>
      <c r="R2152" t="str" cm="1">
        <f t="array" ref="R2152">_xlfn.TEXTJOIN("、",TRUE,IF('學員資料-新北高中'!$B$2:$B$583=$F2152,'學員資料-新北高中'!$G$2:$G$583,""))</f>
        <v>MQ28949513</v>
      </c>
      <c r="S2152" t="str" cm="1">
        <f t="array" ref="S2152">_xlfn.TEXTJOIN("、",TRUE,IF('學員資料-三重商工'!$B$2:$B$472=$F2152,'學員資料-三重商工'!$G$2:$G$472,""))</f>
        <v/>
      </c>
      <c r="T2152">
        <f t="shared" si="33"/>
        <v>1</v>
      </c>
    </row>
    <row r="2153" spans="1:20" ht="43.5" hidden="1" customHeight="1">
      <c r="A2153" s="15">
        <v>2152</v>
      </c>
      <c r="B2153" s="16" t="s">
        <v>6644</v>
      </c>
      <c r="C2153" s="17">
        <v>45528</v>
      </c>
      <c r="D2153" s="15" t="s">
        <v>6645</v>
      </c>
      <c r="E2153" s="18" t="s">
        <v>954</v>
      </c>
      <c r="F2153" s="19" t="s">
        <v>6646</v>
      </c>
      <c r="G2153" s="18" t="s">
        <v>6647</v>
      </c>
      <c r="H2153" s="20" t="s">
        <v>5157</v>
      </c>
      <c r="I2153" s="15">
        <v>3</v>
      </c>
      <c r="J2153" s="15" t="s">
        <v>23</v>
      </c>
      <c r="K2153" s="15"/>
      <c r="L2153" s="21" t="s">
        <v>16</v>
      </c>
      <c r="M2153" s="22">
        <v>0</v>
      </c>
      <c r="N2153" s="22">
        <v>-1980</v>
      </c>
      <c r="O2153" s="22">
        <v>17820</v>
      </c>
      <c r="P2153" s="22">
        <v>17820</v>
      </c>
      <c r="Q2153" t="str" cm="1">
        <f t="array" ref="Q2153">_xlfn.TEXTJOIN("、",TRUE,IF('學員資料-三民高中'!$B$2:$B$454=$F2153,'學員資料-三民高中'!$G$2:$G$454,""))</f>
        <v/>
      </c>
      <c r="R2153" t="str" cm="1">
        <f t="array" ref="R2153">_xlfn.TEXTJOIN("、",TRUE,IF('學員資料-新北高中'!$B$2:$B$583=$F2153,'學員資料-新北高中'!$G$2:$G$583,""))</f>
        <v>0973533288</v>
      </c>
      <c r="S2153" t="str" cm="1">
        <f t="array" ref="S2153">_xlfn.TEXTJOIN("、",TRUE,IF('學員資料-三重商工'!$B$2:$B$472=$F2153,'學員資料-三重商工'!$G$2:$G$472,""))</f>
        <v/>
      </c>
      <c r="T2153">
        <f t="shared" si="33"/>
        <v>1</v>
      </c>
    </row>
    <row r="2154" spans="1:20" ht="14.25" hidden="1" customHeight="1">
      <c r="A2154" s="15">
        <v>2153</v>
      </c>
      <c r="B2154" s="16" t="s">
        <v>6648</v>
      </c>
      <c r="C2154" s="17">
        <v>45528</v>
      </c>
      <c r="D2154" s="15" t="s">
        <v>6649</v>
      </c>
      <c r="E2154" s="18" t="s">
        <v>954</v>
      </c>
      <c r="F2154" s="19" t="s">
        <v>6650</v>
      </c>
      <c r="G2154" s="18" t="s">
        <v>6651</v>
      </c>
      <c r="H2154" s="20" t="s">
        <v>5163</v>
      </c>
      <c r="I2154" s="15">
        <v>1</v>
      </c>
      <c r="J2154" s="15" t="s">
        <v>23</v>
      </c>
      <c r="K2154" s="15"/>
      <c r="L2154" s="21" t="s">
        <v>16</v>
      </c>
      <c r="M2154" s="22">
        <v>0</v>
      </c>
      <c r="N2154" s="22">
        <v>0</v>
      </c>
      <c r="O2154" s="22">
        <v>6600</v>
      </c>
      <c r="P2154" s="22">
        <v>6600</v>
      </c>
      <c r="Q2154" t="str" cm="1">
        <f t="array" ref="Q2154">_xlfn.TEXTJOIN("、",TRUE,IF('學員資料-三民高中'!$B$2:$B$454=$F2154,'學員資料-三民高中'!$G$2:$G$454,""))</f>
        <v/>
      </c>
      <c r="R2154" t="str" cm="1">
        <f t="array" ref="R2154">_xlfn.TEXTJOIN("、",TRUE,IF('學員資料-新北高中'!$B$2:$B$583=$F2154,'學員資料-新北高中'!$G$2:$G$583,""))</f>
        <v>0988562423</v>
      </c>
      <c r="S2154" t="str" cm="1">
        <f t="array" ref="S2154">_xlfn.TEXTJOIN("、",TRUE,IF('學員資料-三重商工'!$B$2:$B$472=$F2154,'學員資料-三重商工'!$G$2:$G$472,""))</f>
        <v/>
      </c>
      <c r="T2154">
        <f t="shared" si="33"/>
        <v>1</v>
      </c>
    </row>
    <row r="2155" spans="1:20" ht="14.25" hidden="1" customHeight="1">
      <c r="A2155" s="15">
        <v>2154</v>
      </c>
      <c r="B2155" s="16" t="s">
        <v>6652</v>
      </c>
      <c r="C2155" s="17">
        <v>45528</v>
      </c>
      <c r="D2155" s="15" t="s">
        <v>6653</v>
      </c>
      <c r="E2155" s="18" t="s">
        <v>954</v>
      </c>
      <c r="F2155" s="19" t="s">
        <v>6493</v>
      </c>
      <c r="G2155" s="18" t="s">
        <v>6494</v>
      </c>
      <c r="H2155" s="20" t="s">
        <v>5148</v>
      </c>
      <c r="I2155" s="15">
        <v>1</v>
      </c>
      <c r="J2155" s="15" t="s">
        <v>25</v>
      </c>
      <c r="K2155" s="15"/>
      <c r="L2155" s="21" t="s">
        <v>16</v>
      </c>
      <c r="M2155" s="22">
        <v>0</v>
      </c>
      <c r="N2155" s="22">
        <v>-1080</v>
      </c>
      <c r="O2155" s="22">
        <v>7920</v>
      </c>
      <c r="P2155" s="22">
        <v>7920</v>
      </c>
      <c r="Q2155" t="str" cm="1">
        <f t="array" ref="Q2155">_xlfn.TEXTJOIN("、",TRUE,IF('學員資料-三民高中'!$B$2:$B$454=$F2155,'學員資料-三民高中'!$G$2:$G$454,""))</f>
        <v>0975928981</v>
      </c>
      <c r="R2155" t="str" cm="1">
        <f t="array" ref="R2155">_xlfn.TEXTJOIN("、",TRUE,IF('學員資料-新北高中'!$B$2:$B$583=$F2155,'學員資料-新北高中'!$G$2:$G$583,""))</f>
        <v/>
      </c>
      <c r="S2155" t="str" cm="1">
        <f t="array" ref="S2155">_xlfn.TEXTJOIN("、",TRUE,IF('學員資料-三重商工'!$B$2:$B$472=$F2155,'學員資料-三重商工'!$G$2:$G$472,""))</f>
        <v/>
      </c>
      <c r="T2155">
        <f t="shared" si="33"/>
        <v>1</v>
      </c>
    </row>
    <row r="2156" spans="1:20" ht="14.25" hidden="1" customHeight="1">
      <c r="A2156" s="15">
        <v>2155</v>
      </c>
      <c r="B2156" s="16" t="s">
        <v>6654</v>
      </c>
      <c r="C2156" s="17">
        <v>45528</v>
      </c>
      <c r="D2156" s="15" t="s">
        <v>6655</v>
      </c>
      <c r="E2156" s="18" t="s">
        <v>954</v>
      </c>
      <c r="F2156" s="19" t="s">
        <v>1027</v>
      </c>
      <c r="G2156" s="18" t="s">
        <v>1028</v>
      </c>
      <c r="H2156" s="20" t="s">
        <v>5131</v>
      </c>
      <c r="I2156" s="15">
        <v>1</v>
      </c>
      <c r="J2156" s="15" t="s">
        <v>24</v>
      </c>
      <c r="K2156" s="15"/>
      <c r="L2156" s="21" t="s">
        <v>16</v>
      </c>
      <c r="M2156" s="22">
        <v>0</v>
      </c>
      <c r="N2156" s="22">
        <v>0</v>
      </c>
      <c r="O2156" s="22">
        <v>7200</v>
      </c>
      <c r="P2156" s="22">
        <v>7200</v>
      </c>
      <c r="Q2156" t="str" cm="1">
        <f t="array" ref="Q2156">_xlfn.TEXTJOIN("、",TRUE,IF('學員資料-三民高中'!$B$2:$B$454=$F2156,'學員資料-三民高中'!$G$2:$G$454,""))</f>
        <v/>
      </c>
      <c r="R2156" t="str" cm="1">
        <f t="array" ref="R2156">_xlfn.TEXTJOIN("、",TRUE,IF('學員資料-新北高中'!$B$2:$B$583=$F2156,'學員資料-新北高中'!$G$2:$G$583,""))</f>
        <v>0958657336</v>
      </c>
      <c r="S2156" t="str" cm="1">
        <f t="array" ref="S2156">_xlfn.TEXTJOIN("、",TRUE,IF('學員資料-三重商工'!$B$2:$B$472=$F2156,'學員資料-三重商工'!$G$2:$G$472,""))</f>
        <v/>
      </c>
      <c r="T2156">
        <f t="shared" si="33"/>
        <v>1</v>
      </c>
    </row>
    <row r="2157" spans="1:20" ht="57.75" hidden="1" customHeight="1">
      <c r="A2157" s="15">
        <v>2156</v>
      </c>
      <c r="B2157" s="16" t="s">
        <v>6656</v>
      </c>
      <c r="C2157" s="17">
        <v>45528</v>
      </c>
      <c r="D2157" s="15" t="s">
        <v>6657</v>
      </c>
      <c r="E2157" s="18" t="s">
        <v>954</v>
      </c>
      <c r="F2157" s="19" t="s">
        <v>671</v>
      </c>
      <c r="G2157" s="18" t="s">
        <v>672</v>
      </c>
      <c r="H2157" s="20" t="s">
        <v>6398</v>
      </c>
      <c r="I2157" s="15">
        <v>4</v>
      </c>
      <c r="J2157" s="15" t="s">
        <v>23</v>
      </c>
      <c r="K2157" s="15"/>
      <c r="L2157" s="21" t="s">
        <v>16</v>
      </c>
      <c r="M2157" s="22">
        <v>0</v>
      </c>
      <c r="N2157" s="22">
        <v>-2640</v>
      </c>
      <c r="O2157" s="22">
        <v>23760</v>
      </c>
      <c r="P2157" s="22">
        <v>23760</v>
      </c>
      <c r="Q2157" t="str" cm="1">
        <f t="array" ref="Q2157">_xlfn.TEXTJOIN("、",TRUE,IF('學員資料-三民高中'!$B$2:$B$454=$F2157,'學員資料-三民高中'!$G$2:$G$454,""))</f>
        <v/>
      </c>
      <c r="R2157" t="str" cm="1">
        <f t="array" ref="R2157">_xlfn.TEXTJOIN("、",TRUE,IF('學員資料-新北高中'!$B$2:$B$583=$F2157,'學員資料-新北高中'!$G$2:$G$583,""))</f>
        <v>0953037197</v>
      </c>
      <c r="S2157" t="str" cm="1">
        <f t="array" ref="S2157">_xlfn.TEXTJOIN("、",TRUE,IF('學員資料-三重商工'!$B$2:$B$472=$F2157,'學員資料-三重商工'!$G$2:$G$472,""))</f>
        <v/>
      </c>
      <c r="T2157">
        <f t="shared" si="33"/>
        <v>1</v>
      </c>
    </row>
    <row r="2158" spans="1:20" ht="14.25" hidden="1" customHeight="1">
      <c r="A2158" s="15">
        <v>2157</v>
      </c>
      <c r="B2158" s="16" t="s">
        <v>6658</v>
      </c>
      <c r="C2158" s="17">
        <v>45528</v>
      </c>
      <c r="D2158" s="15" t="s">
        <v>6659</v>
      </c>
      <c r="E2158" s="18" t="s">
        <v>954</v>
      </c>
      <c r="F2158" s="19" t="s">
        <v>1027</v>
      </c>
      <c r="G2158" s="18" t="s">
        <v>1028</v>
      </c>
      <c r="H2158" s="20" t="s">
        <v>5131</v>
      </c>
      <c r="I2158" s="15">
        <v>1</v>
      </c>
      <c r="J2158" s="15" t="s">
        <v>24</v>
      </c>
      <c r="K2158" s="15"/>
      <c r="L2158" s="21" t="s">
        <v>16</v>
      </c>
      <c r="M2158" s="22">
        <v>0</v>
      </c>
      <c r="N2158" s="22">
        <v>0</v>
      </c>
      <c r="O2158" s="22">
        <v>7200</v>
      </c>
      <c r="P2158" s="22">
        <v>7200</v>
      </c>
      <c r="Q2158" t="str" cm="1">
        <f t="array" ref="Q2158">_xlfn.TEXTJOIN("、",TRUE,IF('學員資料-三民高中'!$B$2:$B$454=$F2158,'學員資料-三民高中'!$G$2:$G$454,""))</f>
        <v/>
      </c>
      <c r="R2158" t="str" cm="1">
        <f t="array" ref="R2158">_xlfn.TEXTJOIN("、",TRUE,IF('學員資料-新北高中'!$B$2:$B$583=$F2158,'學員資料-新北高中'!$G$2:$G$583,""))</f>
        <v>0958657336</v>
      </c>
      <c r="S2158" t="str" cm="1">
        <f t="array" ref="S2158">_xlfn.TEXTJOIN("、",TRUE,IF('學員資料-三重商工'!$B$2:$B$472=$F2158,'學員資料-三重商工'!$G$2:$G$472,""))</f>
        <v/>
      </c>
      <c r="T2158">
        <f t="shared" si="33"/>
        <v>1</v>
      </c>
    </row>
    <row r="2159" spans="1:20" ht="28.5" hidden="1" customHeight="1">
      <c r="A2159" s="15">
        <v>2158</v>
      </c>
      <c r="B2159" s="16" t="s">
        <v>6660</v>
      </c>
      <c r="C2159" s="17">
        <v>45528</v>
      </c>
      <c r="D2159" s="15" t="s">
        <v>6661</v>
      </c>
      <c r="E2159" s="18" t="s">
        <v>954</v>
      </c>
      <c r="F2159" s="19" t="s">
        <v>6662</v>
      </c>
      <c r="G2159" s="18" t="s">
        <v>6663</v>
      </c>
      <c r="H2159" s="20" t="s">
        <v>5154</v>
      </c>
      <c r="I2159" s="15">
        <v>2</v>
      </c>
      <c r="J2159" s="15" t="s">
        <v>24</v>
      </c>
      <c r="K2159" s="15"/>
      <c r="L2159" s="21" t="s">
        <v>16</v>
      </c>
      <c r="M2159" s="22">
        <v>0</v>
      </c>
      <c r="N2159" s="22">
        <v>-1440</v>
      </c>
      <c r="O2159" s="22">
        <v>12960</v>
      </c>
      <c r="P2159" s="22">
        <v>12960</v>
      </c>
      <c r="Q2159" t="str" cm="1">
        <f t="array" ref="Q2159">_xlfn.TEXTJOIN("、",TRUE,IF('學員資料-三民高中'!$B$2:$B$454=$F2159,'學員資料-三民高中'!$G$2:$G$454,""))</f>
        <v>0920552751</v>
      </c>
      <c r="R2159" t="str" cm="1">
        <f t="array" ref="R2159">_xlfn.TEXTJOIN("、",TRUE,IF('學員資料-新北高中'!$B$2:$B$583=$F2159,'學員資料-新北高中'!$G$2:$G$583,""))</f>
        <v/>
      </c>
      <c r="S2159" t="str" cm="1">
        <f t="array" ref="S2159">_xlfn.TEXTJOIN("、",TRUE,IF('學員資料-三重商工'!$B$2:$B$472=$F2159,'學員資料-三重商工'!$G$2:$G$472,""))</f>
        <v/>
      </c>
      <c r="T2159">
        <f t="shared" si="33"/>
        <v>1</v>
      </c>
    </row>
    <row r="2160" spans="1:20" ht="28.5" hidden="1" customHeight="1">
      <c r="A2160" s="15">
        <v>2159</v>
      </c>
      <c r="B2160" s="16" t="s">
        <v>6664</v>
      </c>
      <c r="C2160" s="17">
        <v>45528</v>
      </c>
      <c r="D2160" s="15" t="s">
        <v>6665</v>
      </c>
      <c r="E2160" s="18" t="s">
        <v>954</v>
      </c>
      <c r="F2160" s="19" t="s">
        <v>6650</v>
      </c>
      <c r="G2160" s="18" t="s">
        <v>6651</v>
      </c>
      <c r="H2160" s="20" t="s">
        <v>5206</v>
      </c>
      <c r="I2160" s="15">
        <v>2</v>
      </c>
      <c r="J2160" s="15" t="s">
        <v>23</v>
      </c>
      <c r="K2160" s="15"/>
      <c r="L2160" s="21" t="s">
        <v>16</v>
      </c>
      <c r="M2160" s="22">
        <v>0</v>
      </c>
      <c r="N2160" s="22">
        <v>-1584</v>
      </c>
      <c r="O2160" s="22">
        <v>11616</v>
      </c>
      <c r="P2160" s="22">
        <v>11616</v>
      </c>
      <c r="Q2160" t="str" cm="1">
        <f t="array" ref="Q2160">_xlfn.TEXTJOIN("、",TRUE,IF('學員資料-三民高中'!$B$2:$B$454=$F2160,'學員資料-三民高中'!$G$2:$G$454,""))</f>
        <v/>
      </c>
      <c r="R2160" t="str" cm="1">
        <f t="array" ref="R2160">_xlfn.TEXTJOIN("、",TRUE,IF('學員資料-新北高中'!$B$2:$B$583=$F2160,'學員資料-新北高中'!$G$2:$G$583,""))</f>
        <v>0988562423</v>
      </c>
      <c r="S2160" t="str" cm="1">
        <f t="array" ref="S2160">_xlfn.TEXTJOIN("、",TRUE,IF('學員資料-三重商工'!$B$2:$B$472=$F2160,'學員資料-三重商工'!$G$2:$G$472,""))</f>
        <v/>
      </c>
      <c r="T2160">
        <f t="shared" si="33"/>
        <v>1</v>
      </c>
    </row>
    <row r="2161" spans="1:20" ht="14.25" hidden="1" customHeight="1">
      <c r="A2161" s="15">
        <v>2160</v>
      </c>
      <c r="B2161" s="16" t="s">
        <v>6666</v>
      </c>
      <c r="C2161" s="17">
        <v>45528</v>
      </c>
      <c r="D2161" s="15" t="s">
        <v>6667</v>
      </c>
      <c r="E2161" s="18" t="s">
        <v>954</v>
      </c>
      <c r="F2161" s="19" t="s">
        <v>6668</v>
      </c>
      <c r="G2161" s="18" t="s">
        <v>6669</v>
      </c>
      <c r="H2161" s="20" t="s">
        <v>5131</v>
      </c>
      <c r="I2161" s="15">
        <v>1</v>
      </c>
      <c r="J2161" s="15" t="s">
        <v>24</v>
      </c>
      <c r="K2161" s="15"/>
      <c r="L2161" s="21" t="s">
        <v>16</v>
      </c>
      <c r="M2161" s="22">
        <v>0</v>
      </c>
      <c r="N2161" s="22">
        <v>-720</v>
      </c>
      <c r="O2161" s="22">
        <v>6480</v>
      </c>
      <c r="P2161" s="22">
        <v>6480</v>
      </c>
      <c r="Q2161" t="str" cm="1">
        <f t="array" ref="Q2161">_xlfn.TEXTJOIN("、",TRUE,IF('學員資料-三民高中'!$B$2:$B$454=$F2161,'學員資料-三民高中'!$G$2:$G$454,""))</f>
        <v/>
      </c>
      <c r="R2161" t="str" cm="1">
        <f t="array" ref="R2161">_xlfn.TEXTJOIN("、",TRUE,IF('學員資料-新北高中'!$B$2:$B$583=$F2161,'學員資料-新北高中'!$G$2:$G$583,""))</f>
        <v>0939778079</v>
      </c>
      <c r="S2161" t="str" cm="1">
        <f t="array" ref="S2161">_xlfn.TEXTJOIN("、",TRUE,IF('學員資料-三重商工'!$B$2:$B$472=$F2161,'學員資料-三重商工'!$G$2:$G$472,""))</f>
        <v/>
      </c>
      <c r="T2161">
        <f t="shared" si="33"/>
        <v>1</v>
      </c>
    </row>
    <row r="2162" spans="1:20" ht="14.25" hidden="1" customHeight="1">
      <c r="A2162" s="15">
        <v>2161</v>
      </c>
      <c r="B2162" s="16" t="s">
        <v>6670</v>
      </c>
      <c r="C2162" s="17">
        <v>45528</v>
      </c>
      <c r="D2162" s="15" t="s">
        <v>6671</v>
      </c>
      <c r="E2162" s="18" t="s">
        <v>954</v>
      </c>
      <c r="F2162" s="19" t="s">
        <v>770</v>
      </c>
      <c r="G2162" s="18" t="s">
        <v>771</v>
      </c>
      <c r="H2162" s="20" t="s">
        <v>5148</v>
      </c>
      <c r="I2162" s="15">
        <v>1</v>
      </c>
      <c r="J2162" s="15" t="s">
        <v>25</v>
      </c>
      <c r="K2162" s="15"/>
      <c r="L2162" s="21" t="s">
        <v>16</v>
      </c>
      <c r="M2162" s="22">
        <v>0</v>
      </c>
      <c r="N2162" s="22">
        <v>0</v>
      </c>
      <c r="O2162" s="22">
        <v>9000</v>
      </c>
      <c r="P2162" s="22">
        <v>9000</v>
      </c>
      <c r="Q2162" t="str" cm="1">
        <f t="array" ref="Q2162">_xlfn.TEXTJOIN("、",TRUE,IF('學員資料-三民高中'!$B$2:$B$454=$F2162,'學員資料-三民高中'!$G$2:$G$454,""))</f>
        <v/>
      </c>
      <c r="R2162" t="str" cm="1">
        <f t="array" ref="R2162">_xlfn.TEXTJOIN("、",TRUE,IF('學員資料-新北高中'!$B$2:$B$583=$F2162,'學員資料-新北高中'!$G$2:$G$583,""))</f>
        <v>0918884177</v>
      </c>
      <c r="S2162" t="str" cm="1">
        <f t="array" ref="S2162">_xlfn.TEXTJOIN("、",TRUE,IF('學員資料-三重商工'!$B$2:$B$472=$F2162,'學員資料-三重商工'!$G$2:$G$472,""))</f>
        <v/>
      </c>
      <c r="T2162">
        <f t="shared" si="33"/>
        <v>1</v>
      </c>
    </row>
    <row r="2163" spans="1:20" ht="14.25" hidden="1" customHeight="1">
      <c r="A2163" s="15">
        <v>2162</v>
      </c>
      <c r="B2163" s="16" t="s">
        <v>6672</v>
      </c>
      <c r="C2163" s="17">
        <v>45528</v>
      </c>
      <c r="D2163" s="15" t="s">
        <v>6673</v>
      </c>
      <c r="E2163" s="18" t="s">
        <v>954</v>
      </c>
      <c r="F2163" s="19" t="s">
        <v>1694</v>
      </c>
      <c r="G2163" s="18" t="s">
        <v>1695</v>
      </c>
      <c r="H2163" s="20" t="s">
        <v>5131</v>
      </c>
      <c r="I2163" s="15">
        <v>1</v>
      </c>
      <c r="J2163" s="15" t="s">
        <v>24</v>
      </c>
      <c r="K2163" s="15"/>
      <c r="L2163" s="21" t="s">
        <v>16</v>
      </c>
      <c r="M2163" s="22">
        <v>0</v>
      </c>
      <c r="N2163" s="22">
        <v>-720</v>
      </c>
      <c r="O2163" s="22">
        <v>6480</v>
      </c>
      <c r="P2163" s="22">
        <v>6480</v>
      </c>
      <c r="Q2163" t="str" cm="1">
        <f t="array" ref="Q2163">_xlfn.TEXTJOIN("、",TRUE,IF('學員資料-三民高中'!$B$2:$B$454=$F2163,'學員資料-三民高中'!$G$2:$G$454,""))</f>
        <v/>
      </c>
      <c r="R2163" t="str" cm="1">
        <f t="array" ref="R2163">_xlfn.TEXTJOIN("、",TRUE,IF('學員資料-新北高中'!$B$2:$B$583=$F2163,'學員資料-新北高中'!$G$2:$G$583,""))</f>
        <v/>
      </c>
      <c r="S2163" t="str" cm="1">
        <f t="array" ref="S2163">_xlfn.TEXTJOIN("、",TRUE,IF('學員資料-三重商工'!$B$2:$B$472=$F2163,'學員資料-三重商工'!$G$2:$G$472,""))</f>
        <v>0928787516</v>
      </c>
      <c r="T2163">
        <f t="shared" si="33"/>
        <v>1</v>
      </c>
    </row>
    <row r="2164" spans="1:20" ht="72" hidden="1" customHeight="1">
      <c r="A2164" s="15">
        <v>2163</v>
      </c>
      <c r="B2164" s="16" t="s">
        <v>6674</v>
      </c>
      <c r="C2164" s="17">
        <v>45528</v>
      </c>
      <c r="D2164" s="15" t="s">
        <v>6675</v>
      </c>
      <c r="E2164" s="18" t="s">
        <v>954</v>
      </c>
      <c r="F2164" s="19" t="s">
        <v>6676</v>
      </c>
      <c r="G2164" s="18" t="s">
        <v>6677</v>
      </c>
      <c r="H2164" s="20" t="s">
        <v>2033</v>
      </c>
      <c r="I2164" s="15">
        <v>5</v>
      </c>
      <c r="J2164" s="15" t="s">
        <v>23</v>
      </c>
      <c r="K2164" s="15"/>
      <c r="L2164" s="21" t="s">
        <v>16</v>
      </c>
      <c r="M2164" s="22">
        <v>0</v>
      </c>
      <c r="N2164" s="22">
        <v>0</v>
      </c>
      <c r="O2164" s="22">
        <v>45000</v>
      </c>
      <c r="P2164" s="22">
        <v>45000</v>
      </c>
      <c r="Q2164" t="str" cm="1">
        <f t="array" ref="Q2164">_xlfn.TEXTJOIN("、",TRUE,IF('學員資料-三民高中'!$B$2:$B$454=$F2164,'學員資料-三民高中'!$G$2:$G$454,""))</f>
        <v/>
      </c>
      <c r="R2164" t="str" cm="1">
        <f t="array" ref="R2164">_xlfn.TEXTJOIN("、",TRUE,IF('學員資料-新北高中'!$B$2:$B$583=$F2164,'學員資料-新北高中'!$G$2:$G$583,""))</f>
        <v>0982880886</v>
      </c>
      <c r="S2164" t="str" cm="1">
        <f t="array" ref="S2164">_xlfn.TEXTJOIN("、",TRUE,IF('學員資料-三重商工'!$B$2:$B$472=$F2164,'學員資料-三重商工'!$G$2:$G$472,""))</f>
        <v/>
      </c>
      <c r="T2164">
        <f t="shared" si="33"/>
        <v>1</v>
      </c>
    </row>
    <row r="2165" spans="1:20" ht="14.25" hidden="1" customHeight="1">
      <c r="A2165" s="15">
        <v>2164</v>
      </c>
      <c r="B2165" s="16" t="s">
        <v>6678</v>
      </c>
      <c r="C2165" s="17">
        <v>45528</v>
      </c>
      <c r="D2165" s="15" t="s">
        <v>6679</v>
      </c>
      <c r="E2165" s="18" t="s">
        <v>954</v>
      </c>
      <c r="F2165" s="19" t="s">
        <v>5066</v>
      </c>
      <c r="G2165" s="18" t="s">
        <v>5067</v>
      </c>
      <c r="H2165" s="20" t="s">
        <v>5131</v>
      </c>
      <c r="I2165" s="15">
        <v>1</v>
      </c>
      <c r="J2165" s="15" t="s">
        <v>24</v>
      </c>
      <c r="K2165" s="15"/>
      <c r="L2165" s="21" t="s">
        <v>16</v>
      </c>
      <c r="M2165" s="22">
        <v>0</v>
      </c>
      <c r="N2165" s="22">
        <v>-720</v>
      </c>
      <c r="O2165" s="22">
        <v>6480</v>
      </c>
      <c r="P2165" s="22">
        <v>6480</v>
      </c>
      <c r="Q2165" t="str" cm="1">
        <f t="array" ref="Q2165">_xlfn.TEXTJOIN("、",TRUE,IF('學員資料-三民高中'!$B$2:$B$454=$F2165,'學員資料-三民高中'!$G$2:$G$454,""))</f>
        <v/>
      </c>
      <c r="R2165" t="str" cm="1">
        <f t="array" ref="R2165">_xlfn.TEXTJOIN("、",TRUE,IF('學員資料-新北高中'!$B$2:$B$583=$F2165,'學員資料-新北高中'!$G$2:$G$583,""))</f>
        <v>0933872983</v>
      </c>
      <c r="S2165" t="str" cm="1">
        <f t="array" ref="S2165">_xlfn.TEXTJOIN("、",TRUE,IF('學員資料-三重商工'!$B$2:$B$472=$F2165,'學員資料-三重商工'!$G$2:$G$472,""))</f>
        <v/>
      </c>
      <c r="T2165">
        <f t="shared" si="33"/>
        <v>1</v>
      </c>
    </row>
    <row r="2166" spans="1:20" ht="28.5" hidden="1" customHeight="1">
      <c r="A2166" s="15">
        <v>2165</v>
      </c>
      <c r="B2166" s="16" t="s">
        <v>6680</v>
      </c>
      <c r="C2166" s="17">
        <v>45528</v>
      </c>
      <c r="D2166" s="15" t="s">
        <v>6681</v>
      </c>
      <c r="E2166" s="18" t="s">
        <v>954</v>
      </c>
      <c r="F2166" s="19" t="s">
        <v>450</v>
      </c>
      <c r="G2166" s="18" t="s">
        <v>451</v>
      </c>
      <c r="H2166" s="20" t="s">
        <v>5154</v>
      </c>
      <c r="I2166" s="15">
        <v>2</v>
      </c>
      <c r="J2166" s="15" t="s">
        <v>24</v>
      </c>
      <c r="K2166" s="15"/>
      <c r="L2166" s="21" t="s">
        <v>16</v>
      </c>
      <c r="M2166" s="22">
        <v>0</v>
      </c>
      <c r="N2166" s="22">
        <v>-1440</v>
      </c>
      <c r="O2166" s="22">
        <v>12960</v>
      </c>
      <c r="P2166" s="22">
        <v>12960</v>
      </c>
      <c r="Q2166" t="str" cm="1">
        <f t="array" ref="Q2166">_xlfn.TEXTJOIN("、",TRUE,IF('學員資料-三民高中'!$B$2:$B$454=$F2166,'學員資料-三民高中'!$G$2:$G$454,""))</f>
        <v/>
      </c>
      <c r="R2166" t="str" cm="1">
        <f t="array" ref="R2166">_xlfn.TEXTJOIN("、",TRUE,IF('學員資料-新北高中'!$B$2:$B$583=$F2166,'學員資料-新北高中'!$G$2:$G$583,""))</f>
        <v/>
      </c>
      <c r="S2166" t="str" cm="1">
        <f t="array" ref="S2166">_xlfn.TEXTJOIN("、",TRUE,IF('學員資料-三重商工'!$B$2:$B$472=$F2166,'學員資料-三重商工'!$G$2:$G$472,""))</f>
        <v>0916242232</v>
      </c>
      <c r="T2166">
        <f t="shared" si="33"/>
        <v>1</v>
      </c>
    </row>
    <row r="2167" spans="1:20" ht="14.25" customHeight="1">
      <c r="A2167" s="15">
        <v>2166</v>
      </c>
      <c r="B2167" s="16" t="s">
        <v>6682</v>
      </c>
      <c r="C2167" s="17">
        <v>45528</v>
      </c>
      <c r="D2167" s="15" t="s">
        <v>6683</v>
      </c>
      <c r="E2167" s="18" t="s">
        <v>954</v>
      </c>
      <c r="F2167" s="19" t="s">
        <v>6684</v>
      </c>
      <c r="G2167" s="23"/>
      <c r="H2167" s="20" t="s">
        <v>5131</v>
      </c>
      <c r="I2167" s="15">
        <v>1</v>
      </c>
      <c r="J2167" s="15" t="s">
        <v>24</v>
      </c>
      <c r="K2167" s="15"/>
      <c r="L2167" s="21" t="s">
        <v>16</v>
      </c>
      <c r="M2167" s="22">
        <v>0</v>
      </c>
      <c r="N2167" s="22">
        <v>0</v>
      </c>
      <c r="O2167" s="22">
        <v>7200</v>
      </c>
      <c r="P2167" s="22">
        <v>7200</v>
      </c>
      <c r="Q2167" t="str" cm="1">
        <f t="array" ref="Q2167">_xlfn.TEXTJOIN("、",TRUE,IF('學員資料-三民高中'!$B$2:$B$454=$F2167,'學員資料-三民高中'!$G$2:$G$454,""))</f>
        <v/>
      </c>
      <c r="R2167" t="str" cm="1">
        <f t="array" ref="R2167">_xlfn.TEXTJOIN("、",TRUE,IF('學員資料-新北高中'!$B$2:$B$583=$F2167,'學員資料-新北高中'!$G$2:$G$583,""))</f>
        <v/>
      </c>
      <c r="S2167" t="str" cm="1">
        <f t="array" ref="S2167">_xlfn.TEXTJOIN("、",TRUE,IF('學員資料-三重商工'!$B$2:$B$472=$F2167,'學員資料-三重商工'!$G$2:$G$472,""))</f>
        <v/>
      </c>
      <c r="T2167">
        <f t="shared" si="33"/>
        <v>0</v>
      </c>
    </row>
    <row r="2168" spans="1:20" ht="14.25" hidden="1" customHeight="1">
      <c r="A2168" s="15">
        <v>2167</v>
      </c>
      <c r="B2168" s="16" t="s">
        <v>6685</v>
      </c>
      <c r="C2168" s="17">
        <v>45528</v>
      </c>
      <c r="D2168" s="15" t="s">
        <v>6686</v>
      </c>
      <c r="E2168" s="18" t="s">
        <v>954</v>
      </c>
      <c r="F2168" s="19" t="s">
        <v>6687</v>
      </c>
      <c r="G2168" s="18" t="s">
        <v>6688</v>
      </c>
      <c r="H2168" s="20" t="s">
        <v>5131</v>
      </c>
      <c r="I2168" s="15">
        <v>1</v>
      </c>
      <c r="J2168" s="15" t="s">
        <v>24</v>
      </c>
      <c r="K2168" s="15"/>
      <c r="L2168" s="21" t="s">
        <v>16</v>
      </c>
      <c r="M2168" s="22">
        <v>0</v>
      </c>
      <c r="N2168" s="22">
        <v>-720</v>
      </c>
      <c r="O2168" s="22">
        <v>6480</v>
      </c>
      <c r="P2168" s="22">
        <v>6480</v>
      </c>
      <c r="Q2168" t="str" cm="1">
        <f t="array" ref="Q2168">_xlfn.TEXTJOIN("、",TRUE,IF('學員資料-三民高中'!$B$2:$B$454=$F2168,'學員資料-三民高中'!$G$2:$G$454,""))</f>
        <v>0965661205</v>
      </c>
      <c r="R2168" t="str" cm="1">
        <f t="array" ref="R2168">_xlfn.TEXTJOIN("、",TRUE,IF('學員資料-新北高中'!$B$2:$B$583=$F2168,'學員資料-新北高中'!$G$2:$G$583,""))</f>
        <v/>
      </c>
      <c r="S2168" t="str" cm="1">
        <f t="array" ref="S2168">_xlfn.TEXTJOIN("、",TRUE,IF('學員資料-三重商工'!$B$2:$B$472=$F2168,'學員資料-三重商工'!$G$2:$G$472,""))</f>
        <v/>
      </c>
      <c r="T2168">
        <f t="shared" si="33"/>
        <v>1</v>
      </c>
    </row>
    <row r="2169" spans="1:20" ht="14.25" hidden="1" customHeight="1">
      <c r="A2169" s="15">
        <v>2168</v>
      </c>
      <c r="B2169" s="16" t="s">
        <v>6689</v>
      </c>
      <c r="C2169" s="17">
        <v>45528</v>
      </c>
      <c r="D2169" s="15" t="s">
        <v>6690</v>
      </c>
      <c r="E2169" s="18" t="s">
        <v>954</v>
      </c>
      <c r="F2169" s="19" t="s">
        <v>6691</v>
      </c>
      <c r="G2169" s="18" t="s">
        <v>6692</v>
      </c>
      <c r="H2169" s="20" t="s">
        <v>5163</v>
      </c>
      <c r="I2169" s="15">
        <v>1</v>
      </c>
      <c r="J2169" s="15" t="s">
        <v>23</v>
      </c>
      <c r="K2169" s="15"/>
      <c r="L2169" s="21" t="s">
        <v>16</v>
      </c>
      <c r="M2169" s="22">
        <v>0</v>
      </c>
      <c r="N2169" s="22">
        <v>0</v>
      </c>
      <c r="O2169" s="22">
        <v>6600</v>
      </c>
      <c r="P2169" s="22">
        <v>6600</v>
      </c>
      <c r="Q2169" t="str" cm="1">
        <f t="array" ref="Q2169">_xlfn.TEXTJOIN("、",TRUE,IF('學員資料-三民高中'!$B$2:$B$454=$F2169,'學員資料-三民高中'!$G$2:$G$454,""))</f>
        <v/>
      </c>
      <c r="R2169" t="str" cm="1">
        <f t="array" ref="R2169">_xlfn.TEXTJOIN("、",TRUE,IF('學員資料-新北高中'!$B$2:$B$583=$F2169,'學員資料-新北高中'!$G$2:$G$583,""))</f>
        <v>0966647964</v>
      </c>
      <c r="S2169" t="str" cm="1">
        <f t="array" ref="S2169">_xlfn.TEXTJOIN("、",TRUE,IF('學員資料-三重商工'!$B$2:$B$472=$F2169,'學員資料-三重商工'!$G$2:$G$472,""))</f>
        <v/>
      </c>
      <c r="T2169">
        <f t="shared" si="33"/>
        <v>1</v>
      </c>
    </row>
    <row r="2170" spans="1:20" ht="14.25" hidden="1" customHeight="1">
      <c r="A2170" s="15">
        <v>2169</v>
      </c>
      <c r="B2170" s="16" t="s">
        <v>6693</v>
      </c>
      <c r="C2170" s="17">
        <v>45528</v>
      </c>
      <c r="D2170" s="15" t="s">
        <v>6694</v>
      </c>
      <c r="E2170" s="18" t="s">
        <v>954</v>
      </c>
      <c r="F2170" s="19" t="s">
        <v>6691</v>
      </c>
      <c r="G2170" s="18" t="s">
        <v>6692</v>
      </c>
      <c r="H2170" s="20" t="s">
        <v>5163</v>
      </c>
      <c r="I2170" s="15">
        <v>1</v>
      </c>
      <c r="J2170" s="15" t="s">
        <v>23</v>
      </c>
      <c r="K2170" s="15"/>
      <c r="L2170" s="21" t="s">
        <v>16</v>
      </c>
      <c r="M2170" s="22">
        <v>0</v>
      </c>
      <c r="N2170" s="22">
        <v>0</v>
      </c>
      <c r="O2170" s="22">
        <v>6600</v>
      </c>
      <c r="P2170" s="22">
        <v>6600</v>
      </c>
      <c r="Q2170" t="str" cm="1">
        <f t="array" ref="Q2170">_xlfn.TEXTJOIN("、",TRUE,IF('學員資料-三民高中'!$B$2:$B$454=$F2170,'學員資料-三民高中'!$G$2:$G$454,""))</f>
        <v/>
      </c>
      <c r="R2170" t="str" cm="1">
        <f t="array" ref="R2170">_xlfn.TEXTJOIN("、",TRUE,IF('學員資料-新北高中'!$B$2:$B$583=$F2170,'學員資料-新北高中'!$G$2:$G$583,""))</f>
        <v>0966647964</v>
      </c>
      <c r="S2170" t="str" cm="1">
        <f t="array" ref="S2170">_xlfn.TEXTJOIN("、",TRUE,IF('學員資料-三重商工'!$B$2:$B$472=$F2170,'學員資料-三重商工'!$G$2:$G$472,""))</f>
        <v/>
      </c>
      <c r="T2170">
        <f t="shared" si="33"/>
        <v>1</v>
      </c>
    </row>
    <row r="2171" spans="1:20" ht="14.25" hidden="1" customHeight="1">
      <c r="A2171" s="15">
        <v>2170</v>
      </c>
      <c r="B2171" s="16" t="s">
        <v>6695</v>
      </c>
      <c r="C2171" s="17">
        <v>45528</v>
      </c>
      <c r="D2171" s="15" t="s">
        <v>6696</v>
      </c>
      <c r="E2171" s="18" t="s">
        <v>954</v>
      </c>
      <c r="F2171" s="19" t="s">
        <v>6697</v>
      </c>
      <c r="G2171" s="18" t="s">
        <v>6698</v>
      </c>
      <c r="H2171" s="20" t="s">
        <v>5131</v>
      </c>
      <c r="I2171" s="15">
        <v>1</v>
      </c>
      <c r="J2171" s="15" t="s">
        <v>24</v>
      </c>
      <c r="K2171" s="15"/>
      <c r="L2171" s="21" t="s">
        <v>16</v>
      </c>
      <c r="M2171" s="22">
        <v>0</v>
      </c>
      <c r="N2171" s="22">
        <v>-720</v>
      </c>
      <c r="O2171" s="22">
        <v>6480</v>
      </c>
      <c r="P2171" s="22">
        <v>6480</v>
      </c>
      <c r="Q2171" t="str" cm="1">
        <f t="array" ref="Q2171">_xlfn.TEXTJOIN("、",TRUE,IF('學員資料-三民高中'!$B$2:$B$454=$F2171,'學員資料-三民高中'!$G$2:$G$454,""))</f>
        <v/>
      </c>
      <c r="R2171" t="str" cm="1">
        <f t="array" ref="R2171">_xlfn.TEXTJOIN("、",TRUE,IF('學員資料-新北高中'!$B$2:$B$583=$F2171,'學員資料-新北高中'!$G$2:$G$583,""))</f>
        <v>0910368991</v>
      </c>
      <c r="S2171" t="str" cm="1">
        <f t="array" ref="S2171">_xlfn.TEXTJOIN("、",TRUE,IF('學員資料-三重商工'!$B$2:$B$472=$F2171,'學員資料-三重商工'!$G$2:$G$472,""))</f>
        <v/>
      </c>
      <c r="T2171">
        <f t="shared" si="33"/>
        <v>1</v>
      </c>
    </row>
    <row r="2172" spans="1:20" ht="14.25" hidden="1" customHeight="1">
      <c r="A2172" s="15">
        <v>2171</v>
      </c>
      <c r="B2172" s="16" t="s">
        <v>6699</v>
      </c>
      <c r="C2172" s="17">
        <v>45528</v>
      </c>
      <c r="D2172" s="15" t="s">
        <v>6700</v>
      </c>
      <c r="E2172" s="18" t="s">
        <v>954</v>
      </c>
      <c r="F2172" s="19" t="s">
        <v>6701</v>
      </c>
      <c r="G2172" s="18" t="s">
        <v>6702</v>
      </c>
      <c r="H2172" s="20" t="s">
        <v>5131</v>
      </c>
      <c r="I2172" s="15">
        <v>1</v>
      </c>
      <c r="J2172" s="15" t="s">
        <v>24</v>
      </c>
      <c r="K2172" s="15"/>
      <c r="L2172" s="21" t="s">
        <v>16</v>
      </c>
      <c r="M2172" s="22">
        <v>0</v>
      </c>
      <c r="N2172" s="22">
        <v>0</v>
      </c>
      <c r="O2172" s="22">
        <v>7200</v>
      </c>
      <c r="P2172" s="22">
        <v>7200</v>
      </c>
      <c r="Q2172" t="str" cm="1">
        <f t="array" ref="Q2172">_xlfn.TEXTJOIN("、",TRUE,IF('學員資料-三民高中'!$B$2:$B$454=$F2172,'學員資料-三民高中'!$G$2:$G$454,""))</f>
        <v/>
      </c>
      <c r="R2172" t="str" cm="1">
        <f t="array" ref="R2172">_xlfn.TEXTJOIN("、",TRUE,IF('學員資料-新北高中'!$B$2:$B$583=$F2172,'學員資料-新北高中'!$G$2:$G$583,""))</f>
        <v>0913090166</v>
      </c>
      <c r="S2172" t="str" cm="1">
        <f t="array" ref="S2172">_xlfn.TEXTJOIN("、",TRUE,IF('學員資料-三重商工'!$B$2:$B$472=$F2172,'學員資料-三重商工'!$G$2:$G$472,""))</f>
        <v/>
      </c>
      <c r="T2172">
        <f t="shared" si="33"/>
        <v>1</v>
      </c>
    </row>
    <row r="2173" spans="1:20" ht="14.25" hidden="1" customHeight="1">
      <c r="A2173" s="15">
        <v>2172</v>
      </c>
      <c r="B2173" s="16" t="s">
        <v>6703</v>
      </c>
      <c r="C2173" s="17">
        <v>45528</v>
      </c>
      <c r="D2173" s="15" t="s">
        <v>6704</v>
      </c>
      <c r="E2173" s="18" t="s">
        <v>954</v>
      </c>
      <c r="F2173" s="19" t="s">
        <v>6701</v>
      </c>
      <c r="G2173" s="18" t="s">
        <v>6702</v>
      </c>
      <c r="H2173" s="20" t="s">
        <v>5131</v>
      </c>
      <c r="I2173" s="15">
        <v>1</v>
      </c>
      <c r="J2173" s="15" t="s">
        <v>24</v>
      </c>
      <c r="K2173" s="15"/>
      <c r="L2173" s="21" t="s">
        <v>16</v>
      </c>
      <c r="M2173" s="22">
        <v>0</v>
      </c>
      <c r="N2173" s="22">
        <v>0</v>
      </c>
      <c r="O2173" s="22">
        <v>7200</v>
      </c>
      <c r="P2173" s="22">
        <v>7200</v>
      </c>
      <c r="Q2173" t="str" cm="1">
        <f t="array" ref="Q2173">_xlfn.TEXTJOIN("、",TRUE,IF('學員資料-三民高中'!$B$2:$B$454=$F2173,'學員資料-三民高中'!$G$2:$G$454,""))</f>
        <v/>
      </c>
      <c r="R2173" t="str" cm="1">
        <f t="array" ref="R2173">_xlfn.TEXTJOIN("、",TRUE,IF('學員資料-新北高中'!$B$2:$B$583=$F2173,'學員資料-新北高中'!$G$2:$G$583,""))</f>
        <v>0913090166</v>
      </c>
      <c r="S2173" t="str" cm="1">
        <f t="array" ref="S2173">_xlfn.TEXTJOIN("、",TRUE,IF('學員資料-三重商工'!$B$2:$B$472=$F2173,'學員資料-三重商工'!$G$2:$G$472,""))</f>
        <v/>
      </c>
      <c r="T2173">
        <f t="shared" si="33"/>
        <v>1</v>
      </c>
    </row>
    <row r="2174" spans="1:20" ht="14.25" hidden="1" customHeight="1">
      <c r="A2174" s="15">
        <v>2173</v>
      </c>
      <c r="B2174" s="16" t="s">
        <v>6705</v>
      </c>
      <c r="C2174" s="17">
        <v>45528</v>
      </c>
      <c r="D2174" s="15" t="s">
        <v>6706</v>
      </c>
      <c r="E2174" s="18" t="s">
        <v>954</v>
      </c>
      <c r="F2174" s="19" t="s">
        <v>6701</v>
      </c>
      <c r="G2174" s="18" t="s">
        <v>6702</v>
      </c>
      <c r="H2174" s="20" t="s">
        <v>5131</v>
      </c>
      <c r="I2174" s="15">
        <v>1</v>
      </c>
      <c r="J2174" s="15" t="s">
        <v>24</v>
      </c>
      <c r="K2174" s="15"/>
      <c r="L2174" s="21" t="s">
        <v>16</v>
      </c>
      <c r="M2174" s="22">
        <v>0</v>
      </c>
      <c r="N2174" s="22">
        <v>0</v>
      </c>
      <c r="O2174" s="22">
        <v>7200</v>
      </c>
      <c r="P2174" s="22">
        <v>7200</v>
      </c>
      <c r="Q2174" t="str" cm="1">
        <f t="array" ref="Q2174">_xlfn.TEXTJOIN("、",TRUE,IF('學員資料-三民高中'!$B$2:$B$454=$F2174,'學員資料-三民高中'!$G$2:$G$454,""))</f>
        <v/>
      </c>
      <c r="R2174" t="str" cm="1">
        <f t="array" ref="R2174">_xlfn.TEXTJOIN("、",TRUE,IF('學員資料-新北高中'!$B$2:$B$583=$F2174,'學員資料-新北高中'!$G$2:$G$583,""))</f>
        <v>0913090166</v>
      </c>
      <c r="S2174" t="str" cm="1">
        <f t="array" ref="S2174">_xlfn.TEXTJOIN("、",TRUE,IF('學員資料-三重商工'!$B$2:$B$472=$F2174,'學員資料-三重商工'!$G$2:$G$472,""))</f>
        <v/>
      </c>
      <c r="T2174">
        <f t="shared" si="33"/>
        <v>1</v>
      </c>
    </row>
    <row r="2175" spans="1:20" ht="28.5" hidden="1" customHeight="1">
      <c r="A2175" s="15">
        <v>2174</v>
      </c>
      <c r="B2175" s="16" t="s">
        <v>6707</v>
      </c>
      <c r="C2175" s="17">
        <v>45527</v>
      </c>
      <c r="D2175" s="15" t="s">
        <v>6708</v>
      </c>
      <c r="E2175" s="18" t="s">
        <v>954</v>
      </c>
      <c r="F2175" s="19" t="s">
        <v>4164</v>
      </c>
      <c r="G2175" s="18" t="s">
        <v>2615</v>
      </c>
      <c r="H2175" s="20" t="s">
        <v>5263</v>
      </c>
      <c r="I2175" s="15">
        <v>2</v>
      </c>
      <c r="J2175" s="15" t="s">
        <v>25</v>
      </c>
      <c r="K2175" s="15"/>
      <c r="L2175" s="21" t="s">
        <v>16</v>
      </c>
      <c r="M2175" s="22">
        <v>0</v>
      </c>
      <c r="N2175" s="22">
        <v>-2160</v>
      </c>
      <c r="O2175" s="22">
        <v>15840</v>
      </c>
      <c r="P2175" s="22">
        <v>15840</v>
      </c>
      <c r="Q2175" t="str" cm="1">
        <f t="array" ref="Q2175">_xlfn.TEXTJOIN("、",TRUE,IF('學員資料-三民高中'!$B$2:$B$454=$F2175,'學員資料-三民高中'!$G$2:$G$454,""))</f>
        <v>0939355870</v>
      </c>
      <c r="R2175" t="str" cm="1">
        <f t="array" ref="R2175">_xlfn.TEXTJOIN("、",TRUE,IF('學員資料-新北高中'!$B$2:$B$583=$F2175,'學員資料-新北高中'!$G$2:$G$583,""))</f>
        <v/>
      </c>
      <c r="S2175" t="str" cm="1">
        <f t="array" ref="S2175">_xlfn.TEXTJOIN("、",TRUE,IF('學員資料-三重商工'!$B$2:$B$472=$F2175,'學員資料-三重商工'!$G$2:$G$472,""))</f>
        <v/>
      </c>
      <c r="T2175">
        <f t="shared" si="33"/>
        <v>1</v>
      </c>
    </row>
    <row r="2176" spans="1:20" ht="28.5" hidden="1" customHeight="1">
      <c r="A2176" s="15">
        <v>2175</v>
      </c>
      <c r="B2176" s="16" t="s">
        <v>6709</v>
      </c>
      <c r="C2176" s="17">
        <v>45527</v>
      </c>
      <c r="D2176" s="15" t="s">
        <v>6710</v>
      </c>
      <c r="E2176" s="18" t="s">
        <v>954</v>
      </c>
      <c r="F2176" s="19" t="s">
        <v>6711</v>
      </c>
      <c r="G2176" s="18" t="s">
        <v>6712</v>
      </c>
      <c r="H2176" s="20" t="s">
        <v>5729</v>
      </c>
      <c r="I2176" s="15">
        <v>2</v>
      </c>
      <c r="J2176" s="15" t="s">
        <v>26</v>
      </c>
      <c r="K2176" s="15"/>
      <c r="L2176" s="21" t="s">
        <v>16</v>
      </c>
      <c r="M2176" s="22">
        <v>0</v>
      </c>
      <c r="N2176" s="22">
        <v>-2592</v>
      </c>
      <c r="O2176" s="22">
        <v>19008</v>
      </c>
      <c r="P2176" s="22">
        <v>19008</v>
      </c>
      <c r="Q2176" t="str" cm="1">
        <f t="array" ref="Q2176">_xlfn.TEXTJOIN("、",TRUE,IF('學員資料-三民高中'!$B$2:$B$454=$F2176,'學員資料-三民高中'!$G$2:$G$454,""))</f>
        <v>0955014529</v>
      </c>
      <c r="R2176" t="str" cm="1">
        <f t="array" ref="R2176">_xlfn.TEXTJOIN("、",TRUE,IF('學員資料-新北高中'!$B$2:$B$583=$F2176,'學員資料-新北高中'!$G$2:$G$583,""))</f>
        <v/>
      </c>
      <c r="S2176" t="str" cm="1">
        <f t="array" ref="S2176">_xlfn.TEXTJOIN("、",TRUE,IF('學員資料-三重商工'!$B$2:$B$472=$F2176,'學員資料-三重商工'!$G$2:$G$472,""))</f>
        <v/>
      </c>
      <c r="T2176">
        <f t="shared" si="33"/>
        <v>1</v>
      </c>
    </row>
    <row r="2177" spans="1:20" ht="14.25" hidden="1" customHeight="1">
      <c r="A2177" s="15">
        <v>2176</v>
      </c>
      <c r="B2177" s="16" t="s">
        <v>6713</v>
      </c>
      <c r="C2177" s="17">
        <v>45527</v>
      </c>
      <c r="D2177" s="15" t="s">
        <v>6714</v>
      </c>
      <c r="E2177" s="18" t="s">
        <v>954</v>
      </c>
      <c r="F2177" s="19" t="s">
        <v>6715</v>
      </c>
      <c r="G2177" s="18" t="s">
        <v>6716</v>
      </c>
      <c r="H2177" s="20" t="s">
        <v>5131</v>
      </c>
      <c r="I2177" s="15">
        <v>1</v>
      </c>
      <c r="J2177" s="15" t="s">
        <v>24</v>
      </c>
      <c r="K2177" s="15"/>
      <c r="L2177" s="21" t="s">
        <v>16</v>
      </c>
      <c r="M2177" s="22">
        <v>0</v>
      </c>
      <c r="N2177" s="22">
        <v>-720</v>
      </c>
      <c r="O2177" s="22">
        <v>6480</v>
      </c>
      <c r="P2177" s="22">
        <v>6480</v>
      </c>
      <c r="Q2177" t="str" cm="1">
        <f t="array" ref="Q2177">_xlfn.TEXTJOIN("、",TRUE,IF('學員資料-三民高中'!$B$2:$B$454=$F2177,'學員資料-三民高中'!$G$2:$G$454,""))</f>
        <v/>
      </c>
      <c r="R2177" t="str" cm="1">
        <f t="array" ref="R2177">_xlfn.TEXTJOIN("、",TRUE,IF('學員資料-新北高中'!$B$2:$B$583=$F2177,'學員資料-新北高中'!$G$2:$G$583,""))</f>
        <v/>
      </c>
      <c r="S2177" t="str" cm="1">
        <f t="array" ref="S2177">_xlfn.TEXTJOIN("、",TRUE,IF('學員資料-三重商工'!$B$2:$B$472=$F2177,'學員資料-三重商工'!$G$2:$G$472,""))</f>
        <v>0982252694</v>
      </c>
      <c r="T2177">
        <f t="shared" si="33"/>
        <v>1</v>
      </c>
    </row>
    <row r="2178" spans="1:20" ht="28.5" hidden="1" customHeight="1">
      <c r="A2178" s="15">
        <v>2177</v>
      </c>
      <c r="B2178" s="16" t="s">
        <v>6717</v>
      </c>
      <c r="C2178" s="17">
        <v>45527</v>
      </c>
      <c r="D2178" s="15" t="s">
        <v>6718</v>
      </c>
      <c r="E2178" s="18" t="s">
        <v>954</v>
      </c>
      <c r="F2178" s="19" t="s">
        <v>6719</v>
      </c>
      <c r="G2178" s="18" t="s">
        <v>6720</v>
      </c>
      <c r="H2178" s="20" t="s">
        <v>5138</v>
      </c>
      <c r="I2178" s="15">
        <v>2</v>
      </c>
      <c r="J2178" s="15" t="s">
        <v>23</v>
      </c>
      <c r="K2178" s="15"/>
      <c r="L2178" s="21" t="s">
        <v>16</v>
      </c>
      <c r="M2178" s="22">
        <v>0</v>
      </c>
      <c r="N2178" s="22">
        <v>-1440</v>
      </c>
      <c r="O2178" s="22">
        <v>12960</v>
      </c>
      <c r="P2178" s="22">
        <v>12960</v>
      </c>
      <c r="Q2178" t="str" cm="1">
        <f t="array" ref="Q2178">_xlfn.TEXTJOIN("、",TRUE,IF('學員資料-三民高中'!$B$2:$B$454=$F2178,'學員資料-三民高中'!$G$2:$G$454,""))</f>
        <v/>
      </c>
      <c r="R2178" t="str" cm="1">
        <f t="array" ref="R2178">_xlfn.TEXTJOIN("、",TRUE,IF('學員資料-新北高中'!$B$2:$B$583=$F2178,'學員資料-新北高中'!$G$2:$G$583,""))</f>
        <v/>
      </c>
      <c r="S2178" t="str" cm="1">
        <f t="array" ref="S2178">_xlfn.TEXTJOIN("、",TRUE,IF('學員資料-三重商工'!$B$2:$B$472=$F2178,'學員資料-三重商工'!$G$2:$G$472,""))</f>
        <v>0936286198</v>
      </c>
      <c r="T2178">
        <f t="shared" si="33"/>
        <v>1</v>
      </c>
    </row>
    <row r="2179" spans="1:20" ht="14.25" hidden="1" customHeight="1">
      <c r="A2179" s="15">
        <v>2178</v>
      </c>
      <c r="B2179" s="16" t="s">
        <v>6721</v>
      </c>
      <c r="C2179" s="17">
        <v>45527</v>
      </c>
      <c r="D2179" s="15" t="s">
        <v>6722</v>
      </c>
      <c r="E2179" s="18" t="s">
        <v>954</v>
      </c>
      <c r="F2179" s="19" t="s">
        <v>6723</v>
      </c>
      <c r="G2179" s="18" t="s">
        <v>6724</v>
      </c>
      <c r="H2179" s="20" t="s">
        <v>5131</v>
      </c>
      <c r="I2179" s="15">
        <v>1</v>
      </c>
      <c r="J2179" s="15" t="s">
        <v>24</v>
      </c>
      <c r="K2179" s="15"/>
      <c r="L2179" s="21" t="s">
        <v>16</v>
      </c>
      <c r="M2179" s="22">
        <v>0</v>
      </c>
      <c r="N2179" s="22">
        <v>-720</v>
      </c>
      <c r="O2179" s="22">
        <v>6480</v>
      </c>
      <c r="P2179" s="22">
        <v>6480</v>
      </c>
      <c r="Q2179" t="str" cm="1">
        <f t="array" ref="Q2179">_xlfn.TEXTJOIN("、",TRUE,IF('學員資料-三民高中'!$B$2:$B$454=$F2179,'學員資料-三民高中'!$G$2:$G$454,""))</f>
        <v/>
      </c>
      <c r="R2179" t="str" cm="1">
        <f t="array" ref="R2179">_xlfn.TEXTJOIN("、",TRUE,IF('學員資料-新北高中'!$B$2:$B$583=$F2179,'學員資料-新北高中'!$G$2:$G$583,""))</f>
        <v>0955677899</v>
      </c>
      <c r="S2179" t="str" cm="1">
        <f t="array" ref="S2179">_xlfn.TEXTJOIN("、",TRUE,IF('學員資料-三重商工'!$B$2:$B$472=$F2179,'學員資料-三重商工'!$G$2:$G$472,""))</f>
        <v/>
      </c>
      <c r="T2179">
        <f t="shared" ref="T2179:T2242" si="34">3-COUNTBLANK(Q2179:S2179)</f>
        <v>1</v>
      </c>
    </row>
    <row r="2180" spans="1:20" ht="14.25" hidden="1" customHeight="1">
      <c r="A2180" s="15">
        <v>2179</v>
      </c>
      <c r="B2180" s="16" t="s">
        <v>6725</v>
      </c>
      <c r="C2180" s="17">
        <v>45527</v>
      </c>
      <c r="D2180" s="15" t="s">
        <v>6726</v>
      </c>
      <c r="E2180" s="18" t="s">
        <v>954</v>
      </c>
      <c r="F2180" s="19" t="s">
        <v>6727</v>
      </c>
      <c r="G2180" s="18" t="s">
        <v>6728</v>
      </c>
      <c r="H2180" s="20" t="s">
        <v>5163</v>
      </c>
      <c r="I2180" s="15">
        <v>1</v>
      </c>
      <c r="J2180" s="15" t="s">
        <v>23</v>
      </c>
      <c r="K2180" s="15"/>
      <c r="L2180" s="21" t="s">
        <v>16</v>
      </c>
      <c r="M2180" s="22">
        <v>0</v>
      </c>
      <c r="N2180" s="22">
        <v>-660</v>
      </c>
      <c r="O2180" s="22">
        <v>5940</v>
      </c>
      <c r="P2180" s="22">
        <v>5940</v>
      </c>
      <c r="Q2180" t="str" cm="1">
        <f t="array" ref="Q2180">_xlfn.TEXTJOIN("、",TRUE,IF('學員資料-三民高中'!$B$2:$B$454=$F2180,'學員資料-三民高中'!$G$2:$G$454,""))</f>
        <v/>
      </c>
      <c r="R2180" t="str" cm="1">
        <f t="array" ref="R2180">_xlfn.TEXTJOIN("、",TRUE,IF('學員資料-新北高中'!$B$2:$B$583=$F2180,'學員資料-新北高中'!$G$2:$G$583,""))</f>
        <v>0912274026</v>
      </c>
      <c r="S2180" t="str" cm="1">
        <f t="array" ref="S2180">_xlfn.TEXTJOIN("、",TRUE,IF('學員資料-三重商工'!$B$2:$B$472=$F2180,'學員資料-三重商工'!$G$2:$G$472,""))</f>
        <v/>
      </c>
      <c r="T2180">
        <f t="shared" si="34"/>
        <v>1</v>
      </c>
    </row>
    <row r="2181" spans="1:20" ht="28.5" hidden="1" customHeight="1">
      <c r="A2181" s="15">
        <v>2180</v>
      </c>
      <c r="B2181" s="16" t="s">
        <v>6729</v>
      </c>
      <c r="C2181" s="17">
        <v>45527</v>
      </c>
      <c r="D2181" s="15" t="s">
        <v>6730</v>
      </c>
      <c r="E2181" s="18" t="s">
        <v>954</v>
      </c>
      <c r="F2181" s="19" t="s">
        <v>1512</v>
      </c>
      <c r="G2181" s="18" t="s">
        <v>1513</v>
      </c>
      <c r="H2181" s="20" t="s">
        <v>5154</v>
      </c>
      <c r="I2181" s="15">
        <v>2</v>
      </c>
      <c r="J2181" s="15" t="s">
        <v>24</v>
      </c>
      <c r="K2181" s="15"/>
      <c r="L2181" s="21" t="s">
        <v>16</v>
      </c>
      <c r="M2181" s="22">
        <v>0</v>
      </c>
      <c r="N2181" s="22">
        <v>-1440</v>
      </c>
      <c r="O2181" s="22">
        <v>12960</v>
      </c>
      <c r="P2181" s="22">
        <v>12960</v>
      </c>
      <c r="Q2181" t="str" cm="1">
        <f t="array" ref="Q2181">_xlfn.TEXTJOIN("、",TRUE,IF('學員資料-三民高中'!$B$2:$B$454=$F2181,'學員資料-三民高中'!$G$2:$G$454,""))</f>
        <v/>
      </c>
      <c r="R2181" t="str" cm="1">
        <f t="array" ref="R2181">_xlfn.TEXTJOIN("、",TRUE,IF('學員資料-新北高中'!$B$2:$B$583=$F2181,'學員資料-新北高中'!$G$2:$G$583,""))</f>
        <v/>
      </c>
      <c r="S2181" t="str" cm="1">
        <f t="array" ref="S2181">_xlfn.TEXTJOIN("、",TRUE,IF('學員資料-三重商工'!$B$2:$B$472=$F2181,'學員資料-三重商工'!$G$2:$G$472,""))</f>
        <v>0980018580</v>
      </c>
      <c r="T2181">
        <f t="shared" si="34"/>
        <v>1</v>
      </c>
    </row>
    <row r="2182" spans="1:20" ht="43.5" hidden="1" customHeight="1">
      <c r="A2182" s="15">
        <v>2181</v>
      </c>
      <c r="B2182" s="16" t="s">
        <v>6731</v>
      </c>
      <c r="C2182" s="17">
        <v>45527</v>
      </c>
      <c r="D2182" s="15" t="s">
        <v>6732</v>
      </c>
      <c r="E2182" s="18" t="s">
        <v>954</v>
      </c>
      <c r="F2182" s="19" t="s">
        <v>1988</v>
      </c>
      <c r="G2182" s="18" t="s">
        <v>1989</v>
      </c>
      <c r="H2182" s="20" t="s">
        <v>5301</v>
      </c>
      <c r="I2182" s="15">
        <v>3</v>
      </c>
      <c r="J2182" s="15" t="s">
        <v>24</v>
      </c>
      <c r="K2182" s="15"/>
      <c r="L2182" s="21" t="s">
        <v>16</v>
      </c>
      <c r="M2182" s="22">
        <v>0</v>
      </c>
      <c r="N2182" s="22">
        <v>-2592</v>
      </c>
      <c r="O2182" s="22">
        <v>23328</v>
      </c>
      <c r="P2182" s="22">
        <v>23328</v>
      </c>
      <c r="Q2182" t="str" cm="1">
        <f t="array" ref="Q2182">_xlfn.TEXTJOIN("、",TRUE,IF('學員資料-三民高中'!$B$2:$B$454=$F2182,'學員資料-三民高中'!$G$2:$G$454,""))</f>
        <v/>
      </c>
      <c r="R2182" t="str" cm="1">
        <f t="array" ref="R2182">_xlfn.TEXTJOIN("、",TRUE,IF('學員資料-新北高中'!$B$2:$B$583=$F2182,'學員資料-新北高中'!$G$2:$G$583,""))</f>
        <v/>
      </c>
      <c r="S2182" t="str" cm="1">
        <f t="array" ref="S2182">_xlfn.TEXTJOIN("、",TRUE,IF('學員資料-三重商工'!$B$2:$B$472=$F2182,'學員資料-三重商工'!$G$2:$G$472,""))</f>
        <v>0983525968</v>
      </c>
      <c r="T2182">
        <f t="shared" si="34"/>
        <v>1</v>
      </c>
    </row>
    <row r="2183" spans="1:20" ht="43.5" hidden="1" customHeight="1">
      <c r="A2183" s="15">
        <v>2182</v>
      </c>
      <c r="B2183" s="16" t="s">
        <v>6733</v>
      </c>
      <c r="C2183" s="17">
        <v>45527</v>
      </c>
      <c r="D2183" s="15" t="s">
        <v>6734</v>
      </c>
      <c r="E2183" s="18" t="s">
        <v>954</v>
      </c>
      <c r="F2183" s="19" t="s">
        <v>6735</v>
      </c>
      <c r="G2183" s="18" t="s">
        <v>6736</v>
      </c>
      <c r="H2183" s="20" t="s">
        <v>5157</v>
      </c>
      <c r="I2183" s="15">
        <v>3</v>
      </c>
      <c r="J2183" s="15" t="s">
        <v>23</v>
      </c>
      <c r="K2183" s="15"/>
      <c r="L2183" s="21" t="s">
        <v>16</v>
      </c>
      <c r="M2183" s="22">
        <v>0</v>
      </c>
      <c r="N2183" s="22">
        <v>-1980</v>
      </c>
      <c r="O2183" s="22">
        <v>17820</v>
      </c>
      <c r="P2183" s="22">
        <v>17820</v>
      </c>
      <c r="Q2183" t="str" cm="1">
        <f t="array" ref="Q2183">_xlfn.TEXTJOIN("、",TRUE,IF('學員資料-三民高中'!$B$2:$B$454=$F2183,'學員資料-三民高中'!$G$2:$G$454,""))</f>
        <v>0928493538</v>
      </c>
      <c r="R2183" t="str" cm="1">
        <f t="array" ref="R2183">_xlfn.TEXTJOIN("、",TRUE,IF('學員資料-新北高中'!$B$2:$B$583=$F2183,'學員資料-新北高中'!$G$2:$G$583,""))</f>
        <v/>
      </c>
      <c r="S2183" t="str" cm="1">
        <f t="array" ref="S2183">_xlfn.TEXTJOIN("、",TRUE,IF('學員資料-三重商工'!$B$2:$B$472=$F2183,'學員資料-三重商工'!$G$2:$G$472,""))</f>
        <v/>
      </c>
      <c r="T2183">
        <f t="shared" si="34"/>
        <v>1</v>
      </c>
    </row>
    <row r="2184" spans="1:20" ht="14.25" hidden="1" customHeight="1">
      <c r="A2184" s="15">
        <v>2183</v>
      </c>
      <c r="B2184" s="16" t="s">
        <v>6737</v>
      </c>
      <c r="C2184" s="17">
        <v>45527</v>
      </c>
      <c r="D2184" s="15" t="s">
        <v>6738</v>
      </c>
      <c r="E2184" s="18" t="s">
        <v>954</v>
      </c>
      <c r="F2184" s="19" t="s">
        <v>3712</v>
      </c>
      <c r="G2184" s="18" t="s">
        <v>3713</v>
      </c>
      <c r="H2184" s="20" t="s">
        <v>5131</v>
      </c>
      <c r="I2184" s="15">
        <v>1</v>
      </c>
      <c r="J2184" s="15" t="s">
        <v>24</v>
      </c>
      <c r="K2184" s="15"/>
      <c r="L2184" s="21" t="s">
        <v>16</v>
      </c>
      <c r="M2184" s="22">
        <v>0</v>
      </c>
      <c r="N2184" s="22">
        <v>-720</v>
      </c>
      <c r="O2184" s="22">
        <v>6480</v>
      </c>
      <c r="P2184" s="22">
        <v>6480</v>
      </c>
      <c r="Q2184" t="str" cm="1">
        <f t="array" ref="Q2184">_xlfn.TEXTJOIN("、",TRUE,IF('學員資料-三民高中'!$B$2:$B$454=$F2184,'學員資料-三民高中'!$G$2:$G$454,""))</f>
        <v/>
      </c>
      <c r="R2184" t="str" cm="1">
        <f t="array" ref="R2184">_xlfn.TEXTJOIN("、",TRUE,IF('學員資料-新北高中'!$B$2:$B$583=$F2184,'學員資料-新北高中'!$G$2:$G$583,""))</f>
        <v>0919823051</v>
      </c>
      <c r="S2184" t="str" cm="1">
        <f t="array" ref="S2184">_xlfn.TEXTJOIN("、",TRUE,IF('學員資料-三重商工'!$B$2:$B$472=$F2184,'學員資料-三重商工'!$G$2:$G$472,""))</f>
        <v/>
      </c>
      <c r="T2184">
        <f t="shared" si="34"/>
        <v>1</v>
      </c>
    </row>
    <row r="2185" spans="1:20" ht="14.25" hidden="1" customHeight="1">
      <c r="A2185" s="15">
        <v>2184</v>
      </c>
      <c r="B2185" s="16" t="s">
        <v>6739</v>
      </c>
      <c r="C2185" s="17">
        <v>45527</v>
      </c>
      <c r="D2185" s="15" t="s">
        <v>6740</v>
      </c>
      <c r="E2185" s="18" t="s">
        <v>954</v>
      </c>
      <c r="F2185" s="19" t="s">
        <v>6741</v>
      </c>
      <c r="G2185" s="18" t="s">
        <v>6742</v>
      </c>
      <c r="H2185" s="20" t="s">
        <v>5246</v>
      </c>
      <c r="I2185" s="15">
        <v>1</v>
      </c>
      <c r="J2185" s="15" t="s">
        <v>23</v>
      </c>
      <c r="K2185" s="15"/>
      <c r="L2185" s="21" t="s">
        <v>16</v>
      </c>
      <c r="M2185" s="22">
        <v>0</v>
      </c>
      <c r="N2185" s="22">
        <v>-2880</v>
      </c>
      <c r="O2185" s="22">
        <v>4320</v>
      </c>
      <c r="P2185" s="22">
        <v>4320</v>
      </c>
      <c r="Q2185" t="str" cm="1">
        <f t="array" ref="Q2185">_xlfn.TEXTJOIN("、",TRUE,IF('學員資料-三民高中'!$B$2:$B$454=$F2185,'學員資料-三民高中'!$G$2:$G$454,""))</f>
        <v>0961595391</v>
      </c>
      <c r="R2185" t="str" cm="1">
        <f t="array" ref="R2185">_xlfn.TEXTJOIN("、",TRUE,IF('學員資料-新北高中'!$B$2:$B$583=$F2185,'學員資料-新北高中'!$G$2:$G$583,""))</f>
        <v/>
      </c>
      <c r="S2185" t="str" cm="1">
        <f t="array" ref="S2185">_xlfn.TEXTJOIN("、",TRUE,IF('學員資料-三重商工'!$B$2:$B$472=$F2185,'學員資料-三重商工'!$G$2:$G$472,""))</f>
        <v/>
      </c>
      <c r="T2185">
        <f t="shared" si="34"/>
        <v>1</v>
      </c>
    </row>
    <row r="2186" spans="1:20" ht="72" hidden="1" customHeight="1">
      <c r="A2186" s="15">
        <v>2185</v>
      </c>
      <c r="B2186" s="16" t="s">
        <v>6743</v>
      </c>
      <c r="C2186" s="17">
        <v>45527</v>
      </c>
      <c r="D2186" s="15" t="s">
        <v>6744</v>
      </c>
      <c r="E2186" s="18" t="s">
        <v>954</v>
      </c>
      <c r="F2186" s="19" t="s">
        <v>6745</v>
      </c>
      <c r="G2186" s="18" t="s">
        <v>6746</v>
      </c>
      <c r="H2186" s="20" t="s">
        <v>6617</v>
      </c>
      <c r="I2186" s="15">
        <v>5</v>
      </c>
      <c r="J2186" s="15" t="s">
        <v>24</v>
      </c>
      <c r="K2186" s="15"/>
      <c r="L2186" s="21" t="s">
        <v>16</v>
      </c>
      <c r="M2186" s="22">
        <v>0</v>
      </c>
      <c r="N2186" s="22">
        <v>-3600</v>
      </c>
      <c r="O2186" s="22">
        <v>32400</v>
      </c>
      <c r="P2186" s="22">
        <v>32400</v>
      </c>
      <c r="Q2186" t="str" cm="1">
        <f t="array" ref="Q2186">_xlfn.TEXTJOIN("、",TRUE,IF('學員資料-三民高中'!$B$2:$B$454=$F2186,'學員資料-三民高中'!$G$2:$G$454,""))</f>
        <v/>
      </c>
      <c r="R2186" t="str" cm="1">
        <f t="array" ref="R2186">_xlfn.TEXTJOIN("、",TRUE,IF('學員資料-新北高中'!$B$2:$B$583=$F2186,'學員資料-新北高中'!$G$2:$G$583,""))</f>
        <v/>
      </c>
      <c r="S2186" t="str" cm="1">
        <f t="array" ref="S2186">_xlfn.TEXTJOIN("、",TRUE,IF('學員資料-三重商工'!$B$2:$B$472=$F2186,'學員資料-三重商工'!$G$2:$G$472,""))</f>
        <v>0928829297</v>
      </c>
      <c r="T2186">
        <f t="shared" si="34"/>
        <v>1</v>
      </c>
    </row>
    <row r="2187" spans="1:20" ht="14.25" hidden="1" customHeight="1">
      <c r="A2187" s="15">
        <v>2186</v>
      </c>
      <c r="B2187" s="16" t="s">
        <v>6747</v>
      </c>
      <c r="C2187" s="17">
        <v>45527</v>
      </c>
      <c r="D2187" s="15" t="s">
        <v>6748</v>
      </c>
      <c r="E2187" s="18" t="s">
        <v>954</v>
      </c>
      <c r="F2187" s="19" t="s">
        <v>6749</v>
      </c>
      <c r="G2187" s="18" t="s">
        <v>6750</v>
      </c>
      <c r="H2187" s="20" t="s">
        <v>5180</v>
      </c>
      <c r="I2187" s="15">
        <v>1</v>
      </c>
      <c r="J2187" s="15" t="s">
        <v>24</v>
      </c>
      <c r="K2187" s="15"/>
      <c r="L2187" s="21" t="s">
        <v>16</v>
      </c>
      <c r="M2187" s="22">
        <v>0</v>
      </c>
      <c r="N2187" s="22">
        <v>-864</v>
      </c>
      <c r="O2187" s="22">
        <v>7776</v>
      </c>
      <c r="P2187" s="22">
        <v>7776</v>
      </c>
      <c r="Q2187" t="str" cm="1">
        <f t="array" ref="Q2187">_xlfn.TEXTJOIN("、",TRUE,IF('學員資料-三民高中'!$B$2:$B$454=$F2187,'學員資料-三民高中'!$G$2:$G$454,""))</f>
        <v/>
      </c>
      <c r="R2187" t="str" cm="1">
        <f t="array" ref="R2187">_xlfn.TEXTJOIN("、",TRUE,IF('學員資料-新北高中'!$B$2:$B$583=$F2187,'學員資料-新北高中'!$G$2:$G$583,""))</f>
        <v/>
      </c>
      <c r="S2187" t="str" cm="1">
        <f t="array" ref="S2187">_xlfn.TEXTJOIN("、",TRUE,IF('學員資料-三重商工'!$B$2:$B$472=$F2187,'學員資料-三重商工'!$G$2:$G$472,""))</f>
        <v>0919730926</v>
      </c>
      <c r="T2187">
        <f t="shared" si="34"/>
        <v>1</v>
      </c>
    </row>
    <row r="2188" spans="1:20" ht="14.25" hidden="1" customHeight="1">
      <c r="A2188" s="15">
        <v>2187</v>
      </c>
      <c r="B2188" s="16" t="s">
        <v>6751</v>
      </c>
      <c r="C2188" s="17">
        <v>45527</v>
      </c>
      <c r="D2188" s="15" t="s">
        <v>6752</v>
      </c>
      <c r="E2188" s="18" t="s">
        <v>954</v>
      </c>
      <c r="F2188" s="19" t="s">
        <v>6753</v>
      </c>
      <c r="G2188" s="18" t="s">
        <v>6754</v>
      </c>
      <c r="H2188" s="20" t="s">
        <v>5180</v>
      </c>
      <c r="I2188" s="15">
        <v>1</v>
      </c>
      <c r="J2188" s="15" t="s">
        <v>24</v>
      </c>
      <c r="K2188" s="15"/>
      <c r="L2188" s="21" t="s">
        <v>16</v>
      </c>
      <c r="M2188" s="22">
        <v>0</v>
      </c>
      <c r="N2188" s="22">
        <v>-864</v>
      </c>
      <c r="O2188" s="22">
        <v>7776</v>
      </c>
      <c r="P2188" s="22">
        <v>7776</v>
      </c>
      <c r="Q2188" t="str" cm="1">
        <f t="array" ref="Q2188">_xlfn.TEXTJOIN("、",TRUE,IF('學員資料-三民高中'!$B$2:$B$454=$F2188,'學員資料-三民高中'!$G$2:$G$454,""))</f>
        <v/>
      </c>
      <c r="R2188" t="str" cm="1">
        <f t="array" ref="R2188">_xlfn.TEXTJOIN("、",TRUE,IF('學員資料-新北高中'!$B$2:$B$583=$F2188,'學員資料-新北高中'!$G$2:$G$583,""))</f>
        <v/>
      </c>
      <c r="S2188" t="str" cm="1">
        <f t="array" ref="S2188">_xlfn.TEXTJOIN("、",TRUE,IF('學員資料-三重商工'!$B$2:$B$472=$F2188,'學員資料-三重商工'!$G$2:$G$472,""))</f>
        <v>0922303924</v>
      </c>
      <c r="T2188">
        <f t="shared" si="34"/>
        <v>1</v>
      </c>
    </row>
    <row r="2189" spans="1:20" ht="101.25" hidden="1" customHeight="1">
      <c r="A2189" s="15">
        <v>2188</v>
      </c>
      <c r="B2189" s="16" t="s">
        <v>6755</v>
      </c>
      <c r="C2189" s="17">
        <v>45527</v>
      </c>
      <c r="D2189" s="15" t="s">
        <v>6756</v>
      </c>
      <c r="E2189" s="18" t="s">
        <v>954</v>
      </c>
      <c r="F2189" s="19" t="s">
        <v>2031</v>
      </c>
      <c r="G2189" s="18" t="s">
        <v>2032</v>
      </c>
      <c r="H2189" s="20" t="s">
        <v>6757</v>
      </c>
      <c r="I2189" s="15">
        <v>7</v>
      </c>
      <c r="J2189" s="15" t="s">
        <v>23</v>
      </c>
      <c r="K2189" s="15"/>
      <c r="L2189" s="21" t="s">
        <v>16</v>
      </c>
      <c r="M2189" s="22">
        <v>0</v>
      </c>
      <c r="N2189" s="22">
        <v>-9000</v>
      </c>
      <c r="O2189" s="22">
        <v>54000</v>
      </c>
      <c r="P2189" s="22">
        <v>54000</v>
      </c>
      <c r="Q2189" t="str" cm="1">
        <f t="array" ref="Q2189">_xlfn.TEXTJOIN("、",TRUE,IF('學員資料-三民高中'!$B$2:$B$454=$F2189,'學員資料-三民高中'!$G$2:$G$454,""))</f>
        <v/>
      </c>
      <c r="R2189" t="str" cm="1">
        <f t="array" ref="R2189">_xlfn.TEXTJOIN("、",TRUE,IF('學員資料-新北高中'!$B$2:$B$583=$F2189,'學員資料-新北高中'!$G$2:$G$583,""))</f>
        <v>0911143119</v>
      </c>
      <c r="S2189" t="str" cm="1">
        <f t="array" ref="S2189">_xlfn.TEXTJOIN("、",TRUE,IF('學員資料-三重商工'!$B$2:$B$472=$F2189,'學員資料-三重商工'!$G$2:$G$472,""))</f>
        <v/>
      </c>
      <c r="T2189">
        <f t="shared" si="34"/>
        <v>1</v>
      </c>
    </row>
    <row r="2190" spans="1:20" ht="14.25" hidden="1" customHeight="1">
      <c r="A2190" s="15">
        <v>2189</v>
      </c>
      <c r="B2190" s="16" t="s">
        <v>6758</v>
      </c>
      <c r="C2190" s="17">
        <v>45527</v>
      </c>
      <c r="D2190" s="15" t="s">
        <v>6759</v>
      </c>
      <c r="E2190" s="18" t="s">
        <v>954</v>
      </c>
      <c r="F2190" s="19" t="s">
        <v>5497</v>
      </c>
      <c r="G2190" s="18" t="s">
        <v>5498</v>
      </c>
      <c r="H2190" s="20" t="s">
        <v>5131</v>
      </c>
      <c r="I2190" s="15">
        <v>1</v>
      </c>
      <c r="J2190" s="15" t="s">
        <v>24</v>
      </c>
      <c r="K2190" s="15"/>
      <c r="L2190" s="21" t="s">
        <v>16</v>
      </c>
      <c r="M2190" s="22">
        <v>0</v>
      </c>
      <c r="N2190" s="22">
        <v>-720</v>
      </c>
      <c r="O2190" s="22">
        <v>6480</v>
      </c>
      <c r="P2190" s="22">
        <v>6480</v>
      </c>
      <c r="Q2190" t="str" cm="1">
        <f t="array" ref="Q2190">_xlfn.TEXTJOIN("、",TRUE,IF('學員資料-三民高中'!$B$2:$B$454=$F2190,'學員資料-三民高中'!$G$2:$G$454,""))</f>
        <v/>
      </c>
      <c r="R2190" t="str" cm="1">
        <f t="array" ref="R2190">_xlfn.TEXTJOIN("、",TRUE,IF('學員資料-新北高中'!$B$2:$B$583=$F2190,'學員資料-新北高中'!$G$2:$G$583,""))</f>
        <v>0958215015</v>
      </c>
      <c r="S2190" t="str" cm="1">
        <f t="array" ref="S2190">_xlfn.TEXTJOIN("、",TRUE,IF('學員資料-三重商工'!$B$2:$B$472=$F2190,'學員資料-三重商工'!$G$2:$G$472,""))</f>
        <v/>
      </c>
      <c r="T2190">
        <f t="shared" si="34"/>
        <v>1</v>
      </c>
    </row>
    <row r="2191" spans="1:20" ht="14.25" hidden="1" customHeight="1">
      <c r="A2191" s="15">
        <v>2190</v>
      </c>
      <c r="B2191" s="16" t="s">
        <v>6760</v>
      </c>
      <c r="C2191" s="17">
        <v>45527</v>
      </c>
      <c r="D2191" s="15" t="s">
        <v>6761</v>
      </c>
      <c r="E2191" s="18" t="s">
        <v>954</v>
      </c>
      <c r="F2191" s="19" t="s">
        <v>6762</v>
      </c>
      <c r="G2191" s="18" t="s">
        <v>6763</v>
      </c>
      <c r="H2191" s="20" t="s">
        <v>5246</v>
      </c>
      <c r="I2191" s="15">
        <v>1</v>
      </c>
      <c r="J2191" s="15" t="s">
        <v>23</v>
      </c>
      <c r="K2191" s="15"/>
      <c r="L2191" s="21" t="s">
        <v>16</v>
      </c>
      <c r="M2191" s="22">
        <v>0</v>
      </c>
      <c r="N2191" s="22">
        <v>-720</v>
      </c>
      <c r="O2191" s="22">
        <v>6480</v>
      </c>
      <c r="P2191" s="22">
        <v>6480</v>
      </c>
      <c r="Q2191" t="str" cm="1">
        <f t="array" ref="Q2191">_xlfn.TEXTJOIN("、",TRUE,IF('學員資料-三民高中'!$B$2:$B$454=$F2191,'學員資料-三民高中'!$G$2:$G$454,""))</f>
        <v/>
      </c>
      <c r="R2191" t="str" cm="1">
        <f t="array" ref="R2191">_xlfn.TEXTJOIN("、",TRUE,IF('學員資料-新北高中'!$B$2:$B$583=$F2191,'學員資料-新北高中'!$G$2:$G$583,""))</f>
        <v/>
      </c>
      <c r="S2191" t="str" cm="1">
        <f t="array" ref="S2191">_xlfn.TEXTJOIN("、",TRUE,IF('學員資料-三重商工'!$B$2:$B$472=$F2191,'學員資料-三重商工'!$G$2:$G$472,""))</f>
        <v>0973655591</v>
      </c>
      <c r="T2191">
        <f t="shared" si="34"/>
        <v>1</v>
      </c>
    </row>
    <row r="2192" spans="1:20" ht="14.25" hidden="1" customHeight="1">
      <c r="A2192" s="15">
        <v>2191</v>
      </c>
      <c r="B2192" s="16" t="s">
        <v>6764</v>
      </c>
      <c r="C2192" s="17">
        <v>45527</v>
      </c>
      <c r="D2192" s="15" t="s">
        <v>6765</v>
      </c>
      <c r="E2192" s="18" t="s">
        <v>954</v>
      </c>
      <c r="F2192" s="19" t="s">
        <v>4685</v>
      </c>
      <c r="G2192" s="18" t="s">
        <v>4686</v>
      </c>
      <c r="H2192" s="20" t="s">
        <v>5180</v>
      </c>
      <c r="I2192" s="15">
        <v>1</v>
      </c>
      <c r="J2192" s="15" t="s">
        <v>24</v>
      </c>
      <c r="K2192" s="15"/>
      <c r="L2192" s="21" t="s">
        <v>16</v>
      </c>
      <c r="M2192" s="22">
        <v>0</v>
      </c>
      <c r="N2192" s="22">
        <v>-864</v>
      </c>
      <c r="O2192" s="22">
        <v>7776</v>
      </c>
      <c r="P2192" s="22">
        <v>7776</v>
      </c>
      <c r="Q2192" t="str" cm="1">
        <f t="array" ref="Q2192">_xlfn.TEXTJOIN("、",TRUE,IF('學員資料-三民高中'!$B$2:$B$454=$F2192,'學員資料-三民高中'!$G$2:$G$454,""))</f>
        <v/>
      </c>
      <c r="R2192" t="str" cm="1">
        <f t="array" ref="R2192">_xlfn.TEXTJOIN("、",TRUE,IF('學員資料-新北高中'!$B$2:$B$583=$F2192,'學員資料-新北高中'!$G$2:$G$583,""))</f>
        <v/>
      </c>
      <c r="S2192" t="str" cm="1">
        <f t="array" ref="S2192">_xlfn.TEXTJOIN("、",TRUE,IF('學員資料-三重商工'!$B$2:$B$472=$F2192,'學員資料-三重商工'!$G$2:$G$472,""))</f>
        <v>0921812796</v>
      </c>
      <c r="T2192">
        <f t="shared" si="34"/>
        <v>1</v>
      </c>
    </row>
    <row r="2193" spans="1:20" ht="28.5" hidden="1" customHeight="1">
      <c r="A2193" s="15">
        <v>2192</v>
      </c>
      <c r="B2193" s="16" t="s">
        <v>6766</v>
      </c>
      <c r="C2193" s="17">
        <v>45527</v>
      </c>
      <c r="D2193" s="15" t="s">
        <v>6767</v>
      </c>
      <c r="E2193" s="18" t="s">
        <v>954</v>
      </c>
      <c r="F2193" s="19" t="s">
        <v>3161</v>
      </c>
      <c r="G2193" s="18" t="s">
        <v>3162</v>
      </c>
      <c r="H2193" s="20" t="s">
        <v>5154</v>
      </c>
      <c r="I2193" s="15">
        <v>2</v>
      </c>
      <c r="J2193" s="15" t="s">
        <v>24</v>
      </c>
      <c r="K2193" s="15"/>
      <c r="L2193" s="21" t="s">
        <v>16</v>
      </c>
      <c r="M2193" s="22">
        <v>0</v>
      </c>
      <c r="N2193" s="22">
        <v>-1440</v>
      </c>
      <c r="O2193" s="22">
        <v>12960</v>
      </c>
      <c r="P2193" s="22">
        <v>12960</v>
      </c>
      <c r="Q2193" t="str" cm="1">
        <f t="array" ref="Q2193">_xlfn.TEXTJOIN("、",TRUE,IF('學員資料-三民高中'!$B$2:$B$454=$F2193,'學員資料-三民高中'!$G$2:$G$454,""))</f>
        <v>0911283587</v>
      </c>
      <c r="R2193" t="str" cm="1">
        <f t="array" ref="R2193">_xlfn.TEXTJOIN("、",TRUE,IF('學員資料-新北高中'!$B$2:$B$583=$F2193,'學員資料-新北高中'!$G$2:$G$583,""))</f>
        <v/>
      </c>
      <c r="S2193" t="str" cm="1">
        <f t="array" ref="S2193">_xlfn.TEXTJOIN("、",TRUE,IF('學員資料-三重商工'!$B$2:$B$472=$F2193,'學員資料-三重商工'!$G$2:$G$472,""))</f>
        <v/>
      </c>
      <c r="T2193">
        <f t="shared" si="34"/>
        <v>1</v>
      </c>
    </row>
    <row r="2194" spans="1:20" ht="14.25" hidden="1" customHeight="1">
      <c r="A2194" s="15">
        <v>2193</v>
      </c>
      <c r="B2194" s="16" t="s">
        <v>6768</v>
      </c>
      <c r="C2194" s="17">
        <v>45527</v>
      </c>
      <c r="D2194" s="15" t="s">
        <v>6769</v>
      </c>
      <c r="E2194" s="18" t="s">
        <v>954</v>
      </c>
      <c r="F2194" s="19" t="s">
        <v>6770</v>
      </c>
      <c r="G2194" s="18" t="s">
        <v>6771</v>
      </c>
      <c r="H2194" s="20" t="s">
        <v>5148</v>
      </c>
      <c r="I2194" s="15">
        <v>1</v>
      </c>
      <c r="J2194" s="15" t="s">
        <v>25</v>
      </c>
      <c r="K2194" s="15"/>
      <c r="L2194" s="21" t="s">
        <v>16</v>
      </c>
      <c r="M2194" s="22">
        <v>0</v>
      </c>
      <c r="N2194" s="22">
        <v>-1710</v>
      </c>
      <c r="O2194" s="22">
        <v>7290</v>
      </c>
      <c r="P2194" s="22">
        <v>7290</v>
      </c>
      <c r="Q2194" t="str" cm="1">
        <f t="array" ref="Q2194">_xlfn.TEXTJOIN("、",TRUE,IF('學員資料-三民高中'!$B$2:$B$454=$F2194,'學員資料-三民高中'!$G$2:$G$454,""))</f>
        <v/>
      </c>
      <c r="R2194" t="str" cm="1">
        <f t="array" ref="R2194">_xlfn.TEXTJOIN("、",TRUE,IF('學員資料-新北高中'!$B$2:$B$583=$F2194,'學員資料-新北高中'!$G$2:$G$583,""))</f>
        <v>0937987666</v>
      </c>
      <c r="S2194" t="str" cm="1">
        <f t="array" ref="S2194">_xlfn.TEXTJOIN("、",TRUE,IF('學員資料-三重商工'!$B$2:$B$472=$F2194,'學員資料-三重商工'!$G$2:$G$472,""))</f>
        <v/>
      </c>
      <c r="T2194">
        <f t="shared" si="34"/>
        <v>1</v>
      </c>
    </row>
    <row r="2195" spans="1:20" ht="14.25" hidden="1" customHeight="1">
      <c r="A2195" s="15">
        <v>2194</v>
      </c>
      <c r="B2195" s="16" t="s">
        <v>6772</v>
      </c>
      <c r="C2195" s="17">
        <v>45527</v>
      </c>
      <c r="D2195" s="15" t="s">
        <v>6773</v>
      </c>
      <c r="E2195" s="18" t="s">
        <v>954</v>
      </c>
      <c r="F2195" s="19" t="s">
        <v>6774</v>
      </c>
      <c r="G2195" s="18" t="s">
        <v>6775</v>
      </c>
      <c r="H2195" s="20" t="s">
        <v>5131</v>
      </c>
      <c r="I2195" s="15">
        <v>1</v>
      </c>
      <c r="J2195" s="15" t="s">
        <v>24</v>
      </c>
      <c r="K2195" s="15"/>
      <c r="L2195" s="21" t="s">
        <v>16</v>
      </c>
      <c r="M2195" s="22">
        <v>0</v>
      </c>
      <c r="N2195" s="22">
        <v>0</v>
      </c>
      <c r="O2195" s="22">
        <v>7200</v>
      </c>
      <c r="P2195" s="22">
        <v>7200</v>
      </c>
      <c r="Q2195" t="str" cm="1">
        <f t="array" ref="Q2195">_xlfn.TEXTJOIN("、",TRUE,IF('學員資料-三民高中'!$B$2:$B$454=$F2195,'學員資料-三民高中'!$G$2:$G$454,""))</f>
        <v/>
      </c>
      <c r="R2195" t="str" cm="1">
        <f t="array" ref="R2195">_xlfn.TEXTJOIN("、",TRUE,IF('學員資料-新北高中'!$B$2:$B$583=$F2195,'學員資料-新北高中'!$G$2:$G$583,""))</f>
        <v>0939541957</v>
      </c>
      <c r="S2195" t="str" cm="1">
        <f t="array" ref="S2195">_xlfn.TEXTJOIN("、",TRUE,IF('學員資料-三重商工'!$B$2:$B$472=$F2195,'學員資料-三重商工'!$G$2:$G$472,""))</f>
        <v/>
      </c>
      <c r="T2195">
        <f t="shared" si="34"/>
        <v>1</v>
      </c>
    </row>
    <row r="2196" spans="1:20" ht="14.25" hidden="1" customHeight="1">
      <c r="A2196" s="15">
        <v>2195</v>
      </c>
      <c r="B2196" s="16" t="s">
        <v>6776</v>
      </c>
      <c r="C2196" s="17">
        <v>45527</v>
      </c>
      <c r="D2196" s="15" t="s">
        <v>6777</v>
      </c>
      <c r="E2196" s="18" t="s">
        <v>954</v>
      </c>
      <c r="F2196" s="19" t="s">
        <v>6778</v>
      </c>
      <c r="G2196" s="18" t="s">
        <v>6779</v>
      </c>
      <c r="H2196" s="20" t="s">
        <v>5148</v>
      </c>
      <c r="I2196" s="15">
        <v>1</v>
      </c>
      <c r="J2196" s="15" t="s">
        <v>25</v>
      </c>
      <c r="K2196" s="15"/>
      <c r="L2196" s="21" t="s">
        <v>16</v>
      </c>
      <c r="M2196" s="22">
        <v>0</v>
      </c>
      <c r="N2196" s="22">
        <v>0</v>
      </c>
      <c r="O2196" s="22">
        <v>9000</v>
      </c>
      <c r="P2196" s="22">
        <v>9000</v>
      </c>
      <c r="Q2196" t="str" cm="1">
        <f t="array" ref="Q2196">_xlfn.TEXTJOIN("、",TRUE,IF('學員資料-三民高中'!$B$2:$B$454=$F2196,'學員資料-三民高中'!$G$2:$G$454,""))</f>
        <v/>
      </c>
      <c r="R2196" t="str" cm="1">
        <f t="array" ref="R2196">_xlfn.TEXTJOIN("、",TRUE,IF('學員資料-新北高中'!$B$2:$B$583=$F2196,'學員資料-新北高中'!$G$2:$G$583,""))</f>
        <v>0963099285</v>
      </c>
      <c r="S2196" t="str" cm="1">
        <f t="array" ref="S2196">_xlfn.TEXTJOIN("、",TRUE,IF('學員資料-三重商工'!$B$2:$B$472=$F2196,'學員資料-三重商工'!$G$2:$G$472,""))</f>
        <v/>
      </c>
      <c r="T2196">
        <f t="shared" si="34"/>
        <v>1</v>
      </c>
    </row>
    <row r="2197" spans="1:20" ht="14.25" hidden="1" customHeight="1">
      <c r="A2197" s="15">
        <v>2196</v>
      </c>
      <c r="B2197" s="16" t="s">
        <v>6780</v>
      </c>
      <c r="C2197" s="17">
        <v>45527</v>
      </c>
      <c r="D2197" s="15" t="s">
        <v>6781</v>
      </c>
      <c r="E2197" s="18" t="s">
        <v>954</v>
      </c>
      <c r="F2197" s="19" t="s">
        <v>6782</v>
      </c>
      <c r="G2197" s="18" t="s">
        <v>6783</v>
      </c>
      <c r="H2197" s="20" t="s">
        <v>5131</v>
      </c>
      <c r="I2197" s="15">
        <v>1</v>
      </c>
      <c r="J2197" s="15" t="s">
        <v>24</v>
      </c>
      <c r="K2197" s="15"/>
      <c r="L2197" s="21" t="s">
        <v>16</v>
      </c>
      <c r="M2197" s="22">
        <v>0</v>
      </c>
      <c r="N2197" s="22">
        <v>0</v>
      </c>
      <c r="O2197" s="22">
        <v>7200</v>
      </c>
      <c r="P2197" s="22">
        <v>7200</v>
      </c>
      <c r="Q2197" t="str" cm="1">
        <f t="array" ref="Q2197">_xlfn.TEXTJOIN("、",TRUE,IF('學員資料-三民高中'!$B$2:$B$454=$F2197,'學員資料-三民高中'!$G$2:$G$454,""))</f>
        <v>0988652952</v>
      </c>
      <c r="R2197" t="str" cm="1">
        <f t="array" ref="R2197">_xlfn.TEXTJOIN("、",TRUE,IF('學員資料-新北高中'!$B$2:$B$583=$F2197,'學員資料-新北高中'!$G$2:$G$583,""))</f>
        <v/>
      </c>
      <c r="S2197" t="str" cm="1">
        <f t="array" ref="S2197">_xlfn.TEXTJOIN("、",TRUE,IF('學員資料-三重商工'!$B$2:$B$472=$F2197,'學員資料-三重商工'!$G$2:$G$472,""))</f>
        <v/>
      </c>
      <c r="T2197">
        <f t="shared" si="34"/>
        <v>1</v>
      </c>
    </row>
    <row r="2198" spans="1:20" ht="28.5" customHeight="1">
      <c r="A2198" s="15">
        <v>2197</v>
      </c>
      <c r="B2198" s="16" t="s">
        <v>6784</v>
      </c>
      <c r="C2198" s="17">
        <v>45527</v>
      </c>
      <c r="D2198" s="15" t="s">
        <v>6785</v>
      </c>
      <c r="E2198" s="18" t="s">
        <v>954</v>
      </c>
      <c r="F2198" s="19"/>
      <c r="G2198" s="23" t="s">
        <v>6786</v>
      </c>
      <c r="H2198" s="20" t="s">
        <v>5154</v>
      </c>
      <c r="I2198" s="15">
        <v>2</v>
      </c>
      <c r="J2198" s="15" t="s">
        <v>24</v>
      </c>
      <c r="K2198" s="15"/>
      <c r="L2198" s="21" t="s">
        <v>16</v>
      </c>
      <c r="M2198" s="22">
        <v>0</v>
      </c>
      <c r="N2198" s="22">
        <v>-1440</v>
      </c>
      <c r="O2198" s="22">
        <v>12960</v>
      </c>
      <c r="P2198" s="22">
        <v>12960</v>
      </c>
      <c r="Q2198" t="str" cm="1">
        <f t="array" ref="Q2198">_xlfn.TEXTJOIN("、",TRUE,IF('學員資料-三民高中'!$B$2:$B$454=$F2198,'學員資料-三民高中'!$G$2:$G$454,""))</f>
        <v/>
      </c>
      <c r="R2198" t="str" cm="1">
        <f t="array" ref="R2198">_xlfn.TEXTJOIN("、",TRUE,IF('學員資料-新北高中'!$B$2:$B$583=$F2198,'學員資料-新北高中'!$G$2:$G$583,""))</f>
        <v/>
      </c>
      <c r="S2198" t="str" cm="1">
        <f t="array" ref="S2198">_xlfn.TEXTJOIN("、",TRUE,IF('學員資料-三重商工'!$B$2:$B$472=$F2198,'學員資料-三重商工'!$G$2:$G$472,""))</f>
        <v/>
      </c>
      <c r="T2198">
        <f t="shared" si="34"/>
        <v>0</v>
      </c>
    </row>
    <row r="2199" spans="1:20" ht="43.5" hidden="1" customHeight="1">
      <c r="A2199" s="15">
        <v>2198</v>
      </c>
      <c r="B2199" s="16" t="s">
        <v>6787</v>
      </c>
      <c r="C2199" s="17">
        <v>45527</v>
      </c>
      <c r="D2199" s="15" t="s">
        <v>6788</v>
      </c>
      <c r="E2199" s="18" t="s">
        <v>954</v>
      </c>
      <c r="F2199" s="19" t="s">
        <v>1756</v>
      </c>
      <c r="G2199" s="18" t="s">
        <v>1757</v>
      </c>
      <c r="H2199" s="20" t="s">
        <v>5157</v>
      </c>
      <c r="I2199" s="15">
        <v>3</v>
      </c>
      <c r="J2199" s="15" t="s">
        <v>23</v>
      </c>
      <c r="K2199" s="15"/>
      <c r="L2199" s="21" t="s">
        <v>16</v>
      </c>
      <c r="M2199" s="22">
        <v>0</v>
      </c>
      <c r="N2199" s="22">
        <v>-1980</v>
      </c>
      <c r="O2199" s="22">
        <v>17820</v>
      </c>
      <c r="P2199" s="22">
        <v>17820</v>
      </c>
      <c r="Q2199" t="str" cm="1">
        <f t="array" ref="Q2199">_xlfn.TEXTJOIN("、",TRUE,IF('學員資料-三民高中'!$B$2:$B$454=$F2199,'學員資料-三民高中'!$G$2:$G$454,""))</f>
        <v/>
      </c>
      <c r="R2199" t="str" cm="1">
        <f t="array" ref="R2199">_xlfn.TEXTJOIN("、",TRUE,IF('學員資料-新北高中'!$B$2:$B$583=$F2199,'學員資料-新北高中'!$G$2:$G$583,""))</f>
        <v/>
      </c>
      <c r="S2199" t="str" cm="1">
        <f t="array" ref="S2199">_xlfn.TEXTJOIN("、",TRUE,IF('學員資料-三重商工'!$B$2:$B$472=$F2199,'學員資料-三重商工'!$G$2:$G$472,""))</f>
        <v>0975650503</v>
      </c>
      <c r="T2199">
        <f t="shared" si="34"/>
        <v>1</v>
      </c>
    </row>
    <row r="2200" spans="1:20" ht="14.25" hidden="1" customHeight="1">
      <c r="A2200" s="15">
        <v>2199</v>
      </c>
      <c r="B2200" s="16" t="s">
        <v>6789</v>
      </c>
      <c r="C2200" s="17">
        <v>45527</v>
      </c>
      <c r="D2200" s="15" t="s">
        <v>6790</v>
      </c>
      <c r="E2200" s="18" t="s">
        <v>954</v>
      </c>
      <c r="F2200" s="19" t="s">
        <v>4699</v>
      </c>
      <c r="G2200" s="18" t="s">
        <v>4700</v>
      </c>
      <c r="H2200" s="20" t="s">
        <v>5131</v>
      </c>
      <c r="I2200" s="15">
        <v>1</v>
      </c>
      <c r="J2200" s="15" t="s">
        <v>24</v>
      </c>
      <c r="K2200" s="15"/>
      <c r="L2200" s="21" t="s">
        <v>16</v>
      </c>
      <c r="M2200" s="22">
        <v>0</v>
      </c>
      <c r="N2200" s="22">
        <v>-720</v>
      </c>
      <c r="O2200" s="22">
        <v>6480</v>
      </c>
      <c r="P2200" s="22">
        <v>6480</v>
      </c>
      <c r="Q2200" t="str" cm="1">
        <f t="array" ref="Q2200">_xlfn.TEXTJOIN("、",TRUE,IF('學員資料-三民高中'!$B$2:$B$454=$F2200,'學員資料-三民高中'!$G$2:$G$454,""))</f>
        <v/>
      </c>
      <c r="R2200" t="str" cm="1">
        <f t="array" ref="R2200">_xlfn.TEXTJOIN("、",TRUE,IF('學員資料-新北高中'!$B$2:$B$583=$F2200,'學員資料-新北高中'!$G$2:$G$583,""))</f>
        <v>0919935580</v>
      </c>
      <c r="S2200" t="str" cm="1">
        <f t="array" ref="S2200">_xlfn.TEXTJOIN("、",TRUE,IF('學員資料-三重商工'!$B$2:$B$472=$F2200,'學員資料-三重商工'!$G$2:$G$472,""))</f>
        <v/>
      </c>
      <c r="T2200">
        <f t="shared" si="34"/>
        <v>1</v>
      </c>
    </row>
    <row r="2201" spans="1:20" ht="14.25" hidden="1" customHeight="1">
      <c r="A2201" s="15">
        <v>2200</v>
      </c>
      <c r="B2201" s="16" t="s">
        <v>6791</v>
      </c>
      <c r="C2201" s="17">
        <v>45526</v>
      </c>
      <c r="D2201" s="15" t="s">
        <v>1802</v>
      </c>
      <c r="E2201" s="18" t="s">
        <v>954</v>
      </c>
      <c r="F2201" s="19" t="s">
        <v>6792</v>
      </c>
      <c r="G2201" s="18" t="s">
        <v>6793</v>
      </c>
      <c r="H2201" s="20" t="s">
        <v>5131</v>
      </c>
      <c r="I2201" s="15">
        <v>1</v>
      </c>
      <c r="J2201" s="15" t="s">
        <v>24</v>
      </c>
      <c r="K2201" s="15"/>
      <c r="L2201" s="21" t="s">
        <v>16</v>
      </c>
      <c r="M2201" s="22">
        <v>0</v>
      </c>
      <c r="N2201" s="22">
        <v>-720</v>
      </c>
      <c r="O2201" s="22">
        <v>6480</v>
      </c>
      <c r="P2201" s="22">
        <v>6480</v>
      </c>
      <c r="Q2201" t="str" cm="1">
        <f t="array" ref="Q2201">_xlfn.TEXTJOIN("、",TRUE,IF('學員資料-三民高中'!$B$2:$B$454=$F2201,'學員資料-三民高中'!$G$2:$G$454,""))</f>
        <v/>
      </c>
      <c r="R2201" t="str" cm="1">
        <f t="array" ref="R2201">_xlfn.TEXTJOIN("、",TRUE,IF('學員資料-新北高中'!$B$2:$B$583=$F2201,'學員資料-新北高中'!$G$2:$G$583,""))</f>
        <v/>
      </c>
      <c r="S2201" t="str" cm="1">
        <f t="array" ref="S2201">_xlfn.TEXTJOIN("、",TRUE,IF('學員資料-三重商工'!$B$2:$B$472=$F2201,'學員資料-三重商工'!$G$2:$G$472,""))</f>
        <v>0913800680</v>
      </c>
      <c r="T2201">
        <f t="shared" si="34"/>
        <v>1</v>
      </c>
    </row>
    <row r="2202" spans="1:20" ht="14.25" hidden="1" customHeight="1">
      <c r="A2202" s="15">
        <v>2201</v>
      </c>
      <c r="B2202" s="16" t="s">
        <v>6794</v>
      </c>
      <c r="C2202" s="17">
        <v>45526</v>
      </c>
      <c r="D2202" s="15" t="s">
        <v>6795</v>
      </c>
      <c r="E2202" s="18" t="s">
        <v>954</v>
      </c>
      <c r="F2202" s="19" t="s">
        <v>4578</v>
      </c>
      <c r="G2202" s="18" t="s">
        <v>4579</v>
      </c>
      <c r="H2202" s="20" t="s">
        <v>5163</v>
      </c>
      <c r="I2202" s="15">
        <v>1</v>
      </c>
      <c r="J2202" s="15" t="s">
        <v>23</v>
      </c>
      <c r="K2202" s="15"/>
      <c r="L2202" s="21" t="s">
        <v>16</v>
      </c>
      <c r="M2202" s="22">
        <v>0</v>
      </c>
      <c r="N2202" s="22">
        <v>-2245</v>
      </c>
      <c r="O2202" s="22">
        <v>4355</v>
      </c>
      <c r="P2202" s="22">
        <v>4355</v>
      </c>
      <c r="Q2202" t="str" cm="1">
        <f t="array" ref="Q2202">_xlfn.TEXTJOIN("、",TRUE,IF('學員資料-三民高中'!$B$2:$B$454=$F2202,'學員資料-三民高中'!$G$2:$G$454,""))</f>
        <v/>
      </c>
      <c r="R2202" t="str" cm="1">
        <f t="array" ref="R2202">_xlfn.TEXTJOIN("、",TRUE,IF('學員資料-新北高中'!$B$2:$B$583=$F2202,'學員資料-新北高中'!$G$2:$G$583,""))</f>
        <v>0912028648</v>
      </c>
      <c r="S2202" t="str" cm="1">
        <f t="array" ref="S2202">_xlfn.TEXTJOIN("、",TRUE,IF('學員資料-三重商工'!$B$2:$B$472=$F2202,'學員資料-三重商工'!$G$2:$G$472,""))</f>
        <v/>
      </c>
      <c r="T2202">
        <f t="shared" si="34"/>
        <v>1</v>
      </c>
    </row>
    <row r="2203" spans="1:20" ht="14.25" hidden="1" customHeight="1">
      <c r="A2203" s="15">
        <v>2202</v>
      </c>
      <c r="B2203" s="16" t="s">
        <v>6796</v>
      </c>
      <c r="C2203" s="17">
        <v>45526</v>
      </c>
      <c r="D2203" s="15" t="s">
        <v>6797</v>
      </c>
      <c r="E2203" s="18" t="s">
        <v>954</v>
      </c>
      <c r="F2203" s="19" t="s">
        <v>4578</v>
      </c>
      <c r="G2203" s="18" t="s">
        <v>4579</v>
      </c>
      <c r="H2203" s="20" t="s">
        <v>5163</v>
      </c>
      <c r="I2203" s="15">
        <v>1</v>
      </c>
      <c r="J2203" s="15" t="s">
        <v>23</v>
      </c>
      <c r="K2203" s="15"/>
      <c r="L2203" s="21" t="s">
        <v>16</v>
      </c>
      <c r="M2203" s="22">
        <v>0</v>
      </c>
      <c r="N2203" s="22">
        <v>-2245</v>
      </c>
      <c r="O2203" s="22">
        <v>4355</v>
      </c>
      <c r="P2203" s="22">
        <v>4355</v>
      </c>
      <c r="Q2203" t="str" cm="1">
        <f t="array" ref="Q2203">_xlfn.TEXTJOIN("、",TRUE,IF('學員資料-三民高中'!$B$2:$B$454=$F2203,'學員資料-三民高中'!$G$2:$G$454,""))</f>
        <v/>
      </c>
      <c r="R2203" t="str" cm="1">
        <f t="array" ref="R2203">_xlfn.TEXTJOIN("、",TRUE,IF('學員資料-新北高中'!$B$2:$B$583=$F2203,'學員資料-新北高中'!$G$2:$G$583,""))</f>
        <v>0912028648</v>
      </c>
      <c r="S2203" t="str" cm="1">
        <f t="array" ref="S2203">_xlfn.TEXTJOIN("、",TRUE,IF('學員資料-三重商工'!$B$2:$B$472=$F2203,'學員資料-三重商工'!$G$2:$G$472,""))</f>
        <v/>
      </c>
      <c r="T2203">
        <f t="shared" si="34"/>
        <v>1</v>
      </c>
    </row>
    <row r="2204" spans="1:20" ht="14.25" hidden="1" customHeight="1">
      <c r="A2204" s="15">
        <v>2203</v>
      </c>
      <c r="B2204" s="16" t="s">
        <v>6798</v>
      </c>
      <c r="C2204" s="17">
        <v>45526</v>
      </c>
      <c r="D2204" s="15" t="s">
        <v>3113</v>
      </c>
      <c r="E2204" s="18" t="s">
        <v>954</v>
      </c>
      <c r="F2204" s="19" t="s">
        <v>6799</v>
      </c>
      <c r="G2204" s="18" t="s">
        <v>6800</v>
      </c>
      <c r="H2204" s="20" t="s">
        <v>5131</v>
      </c>
      <c r="I2204" s="15">
        <v>1</v>
      </c>
      <c r="J2204" s="15" t="s">
        <v>24</v>
      </c>
      <c r="K2204" s="15"/>
      <c r="L2204" s="21" t="s">
        <v>16</v>
      </c>
      <c r="M2204" s="22">
        <v>0</v>
      </c>
      <c r="N2204" s="22">
        <v>0</v>
      </c>
      <c r="O2204" s="22">
        <v>7200</v>
      </c>
      <c r="P2204" s="22">
        <v>7200</v>
      </c>
      <c r="Q2204" t="str" cm="1">
        <f t="array" ref="Q2204">_xlfn.TEXTJOIN("、",TRUE,IF('學員資料-三民高中'!$B$2:$B$454=$F2204,'學員資料-三民高中'!$G$2:$G$454,""))</f>
        <v/>
      </c>
      <c r="R2204" t="str" cm="1">
        <f t="array" ref="R2204">_xlfn.TEXTJOIN("、",TRUE,IF('學員資料-新北高中'!$B$2:$B$583=$F2204,'學員資料-新北高中'!$G$2:$G$583,""))</f>
        <v/>
      </c>
      <c r="S2204" t="str" cm="1">
        <f t="array" ref="S2204">_xlfn.TEXTJOIN("、",TRUE,IF('學員資料-三重商工'!$B$2:$B$472=$F2204,'學員資料-三重商工'!$G$2:$G$472,""))</f>
        <v>0952657693</v>
      </c>
      <c r="T2204">
        <f t="shared" si="34"/>
        <v>1</v>
      </c>
    </row>
    <row r="2205" spans="1:20" ht="14.25" hidden="1" customHeight="1">
      <c r="A2205" s="15">
        <v>2204</v>
      </c>
      <c r="B2205" s="16" t="s">
        <v>6801</v>
      </c>
      <c r="C2205" s="17">
        <v>45526</v>
      </c>
      <c r="D2205" s="15" t="s">
        <v>6802</v>
      </c>
      <c r="E2205" s="18" t="s">
        <v>954</v>
      </c>
      <c r="F2205" s="19" t="s">
        <v>6803</v>
      </c>
      <c r="G2205" s="18" t="s">
        <v>6804</v>
      </c>
      <c r="H2205" s="20" t="s">
        <v>5148</v>
      </c>
      <c r="I2205" s="15">
        <v>1</v>
      </c>
      <c r="J2205" s="15" t="s">
        <v>25</v>
      </c>
      <c r="K2205" s="15"/>
      <c r="L2205" s="21" t="s">
        <v>16</v>
      </c>
      <c r="M2205" s="22">
        <v>0</v>
      </c>
      <c r="N2205" s="22">
        <v>0</v>
      </c>
      <c r="O2205" s="22">
        <v>9000</v>
      </c>
      <c r="P2205" s="22">
        <v>9000</v>
      </c>
      <c r="Q2205" t="str" cm="1">
        <f t="array" ref="Q2205">_xlfn.TEXTJOIN("、",TRUE,IF('學員資料-三民高中'!$B$2:$B$454=$F2205,'學員資料-三民高中'!$G$2:$G$454,""))</f>
        <v/>
      </c>
      <c r="R2205" t="str" cm="1">
        <f t="array" ref="R2205">_xlfn.TEXTJOIN("、",TRUE,IF('學員資料-新北高中'!$B$2:$B$583=$F2205,'學員資料-新北高中'!$G$2:$G$583,""))</f>
        <v/>
      </c>
      <c r="S2205" t="str" cm="1">
        <f t="array" ref="S2205">_xlfn.TEXTJOIN("、",TRUE,IF('學員資料-三重商工'!$B$2:$B$472=$F2205,'學員資料-三重商工'!$G$2:$G$472,""))</f>
        <v>0978952459</v>
      </c>
      <c r="T2205">
        <f t="shared" si="34"/>
        <v>1</v>
      </c>
    </row>
    <row r="2206" spans="1:20" ht="14.25" hidden="1" customHeight="1">
      <c r="A2206" s="15">
        <v>2205</v>
      </c>
      <c r="B2206" s="16" t="s">
        <v>6805</v>
      </c>
      <c r="C2206" s="17">
        <v>45526</v>
      </c>
      <c r="D2206" s="15" t="s">
        <v>6806</v>
      </c>
      <c r="E2206" s="18" t="s">
        <v>954</v>
      </c>
      <c r="F2206" s="19" t="s">
        <v>6807</v>
      </c>
      <c r="G2206" s="18" t="s">
        <v>6808</v>
      </c>
      <c r="H2206" s="20" t="s">
        <v>5507</v>
      </c>
      <c r="I2206" s="15">
        <v>1</v>
      </c>
      <c r="J2206" s="15" t="s">
        <v>25</v>
      </c>
      <c r="K2206" s="15"/>
      <c r="L2206" s="21" t="s">
        <v>16</v>
      </c>
      <c r="M2206" s="22">
        <v>0</v>
      </c>
      <c r="N2206" s="22">
        <v>0</v>
      </c>
      <c r="O2206" s="22">
        <v>9720</v>
      </c>
      <c r="P2206" s="22">
        <v>9720</v>
      </c>
      <c r="Q2206" t="str" cm="1">
        <f t="array" ref="Q2206">_xlfn.TEXTJOIN("、",TRUE,IF('學員資料-三民高中'!$B$2:$B$454=$F2206,'學員資料-三民高中'!$G$2:$G$454,""))</f>
        <v/>
      </c>
      <c r="R2206" t="str" cm="1">
        <f t="array" ref="R2206">_xlfn.TEXTJOIN("、",TRUE,IF('學員資料-新北高中'!$B$2:$B$583=$F2206,'學員資料-新北高中'!$G$2:$G$583,""))</f>
        <v/>
      </c>
      <c r="S2206" t="str" cm="1">
        <f t="array" ref="S2206">_xlfn.TEXTJOIN("、",TRUE,IF('學員資料-三重商工'!$B$2:$B$472=$F2206,'學員資料-三重商工'!$G$2:$G$472,""))</f>
        <v>0933075199</v>
      </c>
      <c r="T2206">
        <f t="shared" si="34"/>
        <v>1</v>
      </c>
    </row>
    <row r="2207" spans="1:20" ht="14.25" hidden="1" customHeight="1">
      <c r="A2207" s="15">
        <v>2206</v>
      </c>
      <c r="B2207" s="16" t="s">
        <v>6809</v>
      </c>
      <c r="C2207" s="17">
        <v>45526</v>
      </c>
      <c r="D2207" s="15" t="s">
        <v>4016</v>
      </c>
      <c r="E2207" s="18" t="s">
        <v>954</v>
      </c>
      <c r="F2207" s="19" t="s">
        <v>6810</v>
      </c>
      <c r="G2207" s="18" t="s">
        <v>6811</v>
      </c>
      <c r="H2207" s="20" t="s">
        <v>5180</v>
      </c>
      <c r="I2207" s="15">
        <v>1</v>
      </c>
      <c r="J2207" s="15" t="s">
        <v>24</v>
      </c>
      <c r="K2207" s="15"/>
      <c r="L2207" s="21" t="s">
        <v>16</v>
      </c>
      <c r="M2207" s="22">
        <v>0</v>
      </c>
      <c r="N2207" s="22">
        <v>0</v>
      </c>
      <c r="O2207" s="22">
        <v>8640</v>
      </c>
      <c r="P2207" s="22">
        <v>8640</v>
      </c>
      <c r="Q2207" t="str" cm="1">
        <f t="array" ref="Q2207">_xlfn.TEXTJOIN("、",TRUE,IF('學員資料-三民高中'!$B$2:$B$454=$F2207,'學員資料-三民高中'!$G$2:$G$454,""))</f>
        <v/>
      </c>
      <c r="R2207" t="str" cm="1">
        <f t="array" ref="R2207">_xlfn.TEXTJOIN("、",TRUE,IF('學員資料-新北高中'!$B$2:$B$583=$F2207,'學員資料-新北高中'!$G$2:$G$583,""))</f>
        <v/>
      </c>
      <c r="S2207" t="str" cm="1">
        <f t="array" ref="S2207">_xlfn.TEXTJOIN("、",TRUE,IF('學員資料-三重商工'!$B$2:$B$472=$F2207,'學員資料-三重商工'!$G$2:$G$472,""))</f>
        <v>0989800234-1</v>
      </c>
      <c r="T2207">
        <f t="shared" si="34"/>
        <v>1</v>
      </c>
    </row>
    <row r="2208" spans="1:20" ht="14.25" hidden="1" customHeight="1">
      <c r="A2208" s="15">
        <v>2207</v>
      </c>
      <c r="B2208" s="16" t="s">
        <v>6812</v>
      </c>
      <c r="C2208" s="17">
        <v>45526</v>
      </c>
      <c r="D2208" s="15" t="s">
        <v>3938</v>
      </c>
      <c r="E2208" s="18" t="s">
        <v>954</v>
      </c>
      <c r="F2208" s="19" t="s">
        <v>6813</v>
      </c>
      <c r="G2208" s="18" t="s">
        <v>6814</v>
      </c>
      <c r="H2208" s="20" t="s">
        <v>5163</v>
      </c>
      <c r="I2208" s="15">
        <v>1</v>
      </c>
      <c r="J2208" s="15" t="s">
        <v>23</v>
      </c>
      <c r="K2208" s="15"/>
      <c r="L2208" s="21" t="s">
        <v>16</v>
      </c>
      <c r="M2208" s="22">
        <v>0</v>
      </c>
      <c r="N2208" s="22">
        <v>-660</v>
      </c>
      <c r="O2208" s="22">
        <v>5940</v>
      </c>
      <c r="P2208" s="22">
        <v>5940</v>
      </c>
      <c r="Q2208" t="str" cm="1">
        <f t="array" ref="Q2208">_xlfn.TEXTJOIN("、",TRUE,IF('學員資料-三民高中'!$B$2:$B$454=$F2208,'學員資料-三民高中'!$G$2:$G$454,""))</f>
        <v/>
      </c>
      <c r="R2208" t="str" cm="1">
        <f t="array" ref="R2208">_xlfn.TEXTJOIN("、",TRUE,IF('學員資料-新北高中'!$B$2:$B$583=$F2208,'學員資料-新北高中'!$G$2:$G$583,""))</f>
        <v/>
      </c>
      <c r="S2208" t="str" cm="1">
        <f t="array" ref="S2208">_xlfn.TEXTJOIN("、",TRUE,IF('學員資料-三重商工'!$B$2:$B$472=$F2208,'學員資料-三重商工'!$G$2:$G$472,""))</f>
        <v>0926340528</v>
      </c>
      <c r="T2208">
        <f t="shared" si="34"/>
        <v>1</v>
      </c>
    </row>
    <row r="2209" spans="1:20" ht="43.5" hidden="1" customHeight="1">
      <c r="A2209" s="15">
        <v>2208</v>
      </c>
      <c r="B2209" s="16" t="s">
        <v>6815</v>
      </c>
      <c r="C2209" s="17">
        <v>45526</v>
      </c>
      <c r="D2209" s="15" t="s">
        <v>6816</v>
      </c>
      <c r="E2209" s="18" t="s">
        <v>954</v>
      </c>
      <c r="F2209" s="19" t="s">
        <v>6817</v>
      </c>
      <c r="G2209" s="18" t="s">
        <v>6818</v>
      </c>
      <c r="H2209" s="20" t="s">
        <v>5436</v>
      </c>
      <c r="I2209" s="15">
        <v>3</v>
      </c>
      <c r="J2209" s="15" t="s">
        <v>24</v>
      </c>
      <c r="K2209" s="15"/>
      <c r="L2209" s="21" t="s">
        <v>16</v>
      </c>
      <c r="M2209" s="22">
        <v>0</v>
      </c>
      <c r="N2209" s="22">
        <v>-2160</v>
      </c>
      <c r="O2209" s="22">
        <v>19440</v>
      </c>
      <c r="P2209" s="22">
        <v>19440</v>
      </c>
      <c r="Q2209" t="str" cm="1">
        <f t="array" ref="Q2209">_xlfn.TEXTJOIN("、",TRUE,IF('學員資料-三民高中'!$B$2:$B$454=$F2209,'學員資料-三民高中'!$G$2:$G$454,""))</f>
        <v/>
      </c>
      <c r="R2209" t="str" cm="1">
        <f t="array" ref="R2209">_xlfn.TEXTJOIN("、",TRUE,IF('學員資料-新北高中'!$B$2:$B$583=$F2209,'學員資料-新北高中'!$G$2:$G$583,""))</f>
        <v>0937955231</v>
      </c>
      <c r="S2209" t="str" cm="1">
        <f t="array" ref="S2209">_xlfn.TEXTJOIN("、",TRUE,IF('學員資料-三重商工'!$B$2:$B$472=$F2209,'學員資料-三重商工'!$G$2:$G$472,""))</f>
        <v/>
      </c>
      <c r="T2209">
        <f t="shared" si="34"/>
        <v>1</v>
      </c>
    </row>
    <row r="2210" spans="1:20" ht="14.25" hidden="1" customHeight="1">
      <c r="A2210" s="15">
        <v>2209</v>
      </c>
      <c r="B2210" s="16" t="s">
        <v>6819</v>
      </c>
      <c r="C2210" s="17">
        <v>45526</v>
      </c>
      <c r="D2210" s="15" t="s">
        <v>6820</v>
      </c>
      <c r="E2210" s="18" t="s">
        <v>954</v>
      </c>
      <c r="F2210" s="19" t="s">
        <v>6821</v>
      </c>
      <c r="G2210" s="18" t="s">
        <v>6822</v>
      </c>
      <c r="H2210" s="20" t="s">
        <v>5131</v>
      </c>
      <c r="I2210" s="15">
        <v>1</v>
      </c>
      <c r="J2210" s="15" t="s">
        <v>24</v>
      </c>
      <c r="K2210" s="15"/>
      <c r="L2210" s="21" t="s">
        <v>16</v>
      </c>
      <c r="M2210" s="22">
        <v>0</v>
      </c>
      <c r="N2210" s="22">
        <v>-1080</v>
      </c>
      <c r="O2210" s="22">
        <v>6120</v>
      </c>
      <c r="P2210" s="22">
        <v>6120</v>
      </c>
      <c r="Q2210" t="str" cm="1">
        <f t="array" ref="Q2210">_xlfn.TEXTJOIN("、",TRUE,IF('學員資料-三民高中'!$B$2:$B$454=$F2210,'學員資料-三民高中'!$G$2:$G$454,""))</f>
        <v/>
      </c>
      <c r="R2210" t="str" cm="1">
        <f t="array" ref="R2210">_xlfn.TEXTJOIN("、",TRUE,IF('學員資料-新北高中'!$B$2:$B$583=$F2210,'學員資料-新北高中'!$G$2:$G$583,""))</f>
        <v/>
      </c>
      <c r="S2210" t="str" cm="1">
        <f t="array" ref="S2210">_xlfn.TEXTJOIN("、",TRUE,IF('學員資料-三重商工'!$B$2:$B$472=$F2210,'學員資料-三重商工'!$G$2:$G$472,""))</f>
        <v>0958729541</v>
      </c>
      <c r="T2210">
        <f t="shared" si="34"/>
        <v>1</v>
      </c>
    </row>
    <row r="2211" spans="1:20" ht="14.25" hidden="1" customHeight="1">
      <c r="A2211" s="15">
        <v>2210</v>
      </c>
      <c r="B2211" s="16" t="s">
        <v>6823</v>
      </c>
      <c r="C2211" s="17">
        <v>45526</v>
      </c>
      <c r="D2211" s="15" t="s">
        <v>6824</v>
      </c>
      <c r="E2211" s="18" t="s">
        <v>954</v>
      </c>
      <c r="F2211" s="19" t="s">
        <v>6825</v>
      </c>
      <c r="G2211" s="18" t="s">
        <v>6826</v>
      </c>
      <c r="H2211" s="20" t="s">
        <v>5163</v>
      </c>
      <c r="I2211" s="15">
        <v>1</v>
      </c>
      <c r="J2211" s="15" t="s">
        <v>23</v>
      </c>
      <c r="K2211" s="15"/>
      <c r="L2211" s="21" t="s">
        <v>16</v>
      </c>
      <c r="M2211" s="22">
        <v>0</v>
      </c>
      <c r="N2211" s="22">
        <v>-600</v>
      </c>
      <c r="O2211" s="22">
        <v>6000</v>
      </c>
      <c r="P2211" s="22">
        <v>6000</v>
      </c>
      <c r="Q2211" t="str" cm="1">
        <f t="array" ref="Q2211">_xlfn.TEXTJOIN("、",TRUE,IF('學員資料-三民高中'!$B$2:$B$454=$F2211,'學員資料-三民高中'!$G$2:$G$454,""))</f>
        <v/>
      </c>
      <c r="R2211" t="str" cm="1">
        <f t="array" ref="R2211">_xlfn.TEXTJOIN("、",TRUE,IF('學員資料-新北高中'!$B$2:$B$583=$F2211,'學員資料-新北高中'!$G$2:$G$583,""))</f>
        <v>112142112142</v>
      </c>
      <c r="S2211" t="str" cm="1">
        <f t="array" ref="S2211">_xlfn.TEXTJOIN("、",TRUE,IF('學員資料-三重商工'!$B$2:$B$472=$F2211,'學員資料-三重商工'!$G$2:$G$472,""))</f>
        <v/>
      </c>
      <c r="T2211">
        <f t="shared" si="34"/>
        <v>1</v>
      </c>
    </row>
    <row r="2212" spans="1:20" ht="14.25" hidden="1" customHeight="1">
      <c r="A2212" s="15">
        <v>2211</v>
      </c>
      <c r="B2212" s="16" t="s">
        <v>6827</v>
      </c>
      <c r="C2212" s="17">
        <v>45526</v>
      </c>
      <c r="D2212" s="15" t="s">
        <v>6828</v>
      </c>
      <c r="E2212" s="18" t="s">
        <v>954</v>
      </c>
      <c r="F2212" s="19" t="s">
        <v>6829</v>
      </c>
      <c r="G2212" s="18" t="s">
        <v>6830</v>
      </c>
      <c r="H2212" s="20" t="s">
        <v>5246</v>
      </c>
      <c r="I2212" s="15">
        <v>1</v>
      </c>
      <c r="J2212" s="15" t="s">
        <v>23</v>
      </c>
      <c r="K2212" s="15"/>
      <c r="L2212" s="21" t="s">
        <v>16</v>
      </c>
      <c r="M2212" s="22">
        <v>0</v>
      </c>
      <c r="N2212" s="22">
        <v>-720</v>
      </c>
      <c r="O2212" s="22">
        <v>6480</v>
      </c>
      <c r="P2212" s="22">
        <v>6480</v>
      </c>
      <c r="Q2212" t="str" cm="1">
        <f t="array" ref="Q2212">_xlfn.TEXTJOIN("、",TRUE,IF('學員資料-三民高中'!$B$2:$B$454=$F2212,'學員資料-三民高中'!$G$2:$G$454,""))</f>
        <v/>
      </c>
      <c r="R2212" t="str" cm="1">
        <f t="array" ref="R2212">_xlfn.TEXTJOIN("、",TRUE,IF('學員資料-新北高中'!$B$2:$B$583=$F2212,'學員資料-新北高中'!$G$2:$G$583,""))</f>
        <v/>
      </c>
      <c r="S2212" t="str" cm="1">
        <f t="array" ref="S2212">_xlfn.TEXTJOIN("、",TRUE,IF('學員資料-三重商工'!$B$2:$B$472=$F2212,'學員資料-三重商工'!$G$2:$G$472,""))</f>
        <v>0966729541</v>
      </c>
      <c r="T2212">
        <f t="shared" si="34"/>
        <v>1</v>
      </c>
    </row>
    <row r="2213" spans="1:20" ht="14.25" hidden="1" customHeight="1">
      <c r="A2213" s="15">
        <v>2212</v>
      </c>
      <c r="B2213" s="16" t="s">
        <v>6831</v>
      </c>
      <c r="C2213" s="17">
        <v>45526</v>
      </c>
      <c r="D2213" s="15" t="s">
        <v>6832</v>
      </c>
      <c r="E2213" s="18" t="s">
        <v>954</v>
      </c>
      <c r="F2213" s="19" t="s">
        <v>6833</v>
      </c>
      <c r="G2213" s="18" t="s">
        <v>6834</v>
      </c>
      <c r="H2213" s="20" t="s">
        <v>5148</v>
      </c>
      <c r="I2213" s="15">
        <v>1</v>
      </c>
      <c r="J2213" s="15" t="s">
        <v>25</v>
      </c>
      <c r="K2213" s="15"/>
      <c r="L2213" s="21" t="s">
        <v>16</v>
      </c>
      <c r="M2213" s="22">
        <v>0</v>
      </c>
      <c r="N2213" s="22">
        <v>-2115</v>
      </c>
      <c r="O2213" s="22">
        <v>6885</v>
      </c>
      <c r="P2213" s="22">
        <v>6885</v>
      </c>
      <c r="Q2213" t="str" cm="1">
        <f t="array" ref="Q2213">_xlfn.TEXTJOIN("、",TRUE,IF('學員資料-三民高中'!$B$2:$B$454=$F2213,'學員資料-三民高中'!$G$2:$G$454,""))</f>
        <v/>
      </c>
      <c r="R2213" t="str" cm="1">
        <f t="array" ref="R2213">_xlfn.TEXTJOIN("、",TRUE,IF('學員資料-新北高中'!$B$2:$B$583=$F2213,'學員資料-新北高中'!$G$2:$G$583,""))</f>
        <v>111275111275</v>
      </c>
      <c r="S2213" t="str" cm="1">
        <f t="array" ref="S2213">_xlfn.TEXTJOIN("、",TRUE,IF('學員資料-三重商工'!$B$2:$B$472=$F2213,'學員資料-三重商工'!$G$2:$G$472,""))</f>
        <v/>
      </c>
      <c r="T2213">
        <f t="shared" si="34"/>
        <v>1</v>
      </c>
    </row>
    <row r="2214" spans="1:20" ht="14.25" hidden="1" customHeight="1">
      <c r="A2214" s="15">
        <v>2213</v>
      </c>
      <c r="B2214" s="16" t="s">
        <v>6835</v>
      </c>
      <c r="C2214" s="17">
        <v>45526</v>
      </c>
      <c r="D2214" s="15" t="s">
        <v>6836</v>
      </c>
      <c r="E2214" s="18" t="s">
        <v>954</v>
      </c>
      <c r="F2214" s="19" t="s">
        <v>6837</v>
      </c>
      <c r="G2214" s="18" t="s">
        <v>6838</v>
      </c>
      <c r="H2214" s="20" t="s">
        <v>5131</v>
      </c>
      <c r="I2214" s="15">
        <v>1</v>
      </c>
      <c r="J2214" s="15" t="s">
        <v>24</v>
      </c>
      <c r="K2214" s="15"/>
      <c r="L2214" s="21" t="s">
        <v>16</v>
      </c>
      <c r="M2214" s="22">
        <v>0</v>
      </c>
      <c r="N2214" s="22">
        <v>-1080</v>
      </c>
      <c r="O2214" s="22">
        <v>6120</v>
      </c>
      <c r="P2214" s="22">
        <v>6120</v>
      </c>
      <c r="Q2214" t="str" cm="1">
        <f t="array" ref="Q2214">_xlfn.TEXTJOIN("、",TRUE,IF('學員資料-三民高中'!$B$2:$B$454=$F2214,'學員資料-三民高中'!$G$2:$G$454,""))</f>
        <v/>
      </c>
      <c r="R2214" t="str" cm="1">
        <f t="array" ref="R2214">_xlfn.TEXTJOIN("、",TRUE,IF('學員資料-新北高中'!$B$2:$B$583=$F2214,'學員資料-新北高中'!$G$2:$G$583,""))</f>
        <v>111140111140</v>
      </c>
      <c r="S2214" t="str" cm="1">
        <f t="array" ref="S2214">_xlfn.TEXTJOIN("、",TRUE,IF('學員資料-三重商工'!$B$2:$B$472=$F2214,'學員資料-三重商工'!$G$2:$G$472,""))</f>
        <v/>
      </c>
      <c r="T2214">
        <f t="shared" si="34"/>
        <v>1</v>
      </c>
    </row>
    <row r="2215" spans="1:20" ht="28.5" hidden="1" customHeight="1">
      <c r="A2215" s="15">
        <v>2214</v>
      </c>
      <c r="B2215" s="16" t="s">
        <v>6839</v>
      </c>
      <c r="C2215" s="17">
        <v>45526</v>
      </c>
      <c r="D2215" s="15" t="s">
        <v>6840</v>
      </c>
      <c r="E2215" s="18" t="s">
        <v>954</v>
      </c>
      <c r="F2215" s="19" t="s">
        <v>1149</v>
      </c>
      <c r="G2215" s="18" t="s">
        <v>1150</v>
      </c>
      <c r="H2215" s="20" t="s">
        <v>5206</v>
      </c>
      <c r="I2215" s="15">
        <v>2</v>
      </c>
      <c r="J2215" s="15" t="s">
        <v>23</v>
      </c>
      <c r="K2215" s="15"/>
      <c r="L2215" s="21" t="s">
        <v>16</v>
      </c>
      <c r="M2215" s="22">
        <v>0</v>
      </c>
      <c r="N2215" s="22">
        <v>-1320</v>
      </c>
      <c r="O2215" s="22">
        <v>11880</v>
      </c>
      <c r="P2215" s="22">
        <v>11880</v>
      </c>
      <c r="Q2215" t="str" cm="1">
        <f t="array" ref="Q2215">_xlfn.TEXTJOIN("、",TRUE,IF('學員資料-三民高中'!$B$2:$B$454=$F2215,'學員資料-三民高中'!$G$2:$G$454,""))</f>
        <v/>
      </c>
      <c r="R2215" t="str" cm="1">
        <f t="array" ref="R2215">_xlfn.TEXTJOIN("、",TRUE,IF('學員資料-新北高中'!$B$2:$B$583=$F2215,'學員資料-新北高中'!$G$2:$G$583,""))</f>
        <v>0921812164</v>
      </c>
      <c r="S2215" t="str" cm="1">
        <f t="array" ref="S2215">_xlfn.TEXTJOIN("、",TRUE,IF('學員資料-三重商工'!$B$2:$B$472=$F2215,'學員資料-三重商工'!$G$2:$G$472,""))</f>
        <v/>
      </c>
      <c r="T2215">
        <f t="shared" si="34"/>
        <v>1</v>
      </c>
    </row>
    <row r="2216" spans="1:20" ht="28.5" hidden="1" customHeight="1">
      <c r="A2216" s="15">
        <v>2215</v>
      </c>
      <c r="B2216" s="16" t="s">
        <v>6841</v>
      </c>
      <c r="C2216" s="17">
        <v>45526</v>
      </c>
      <c r="D2216" s="15" t="s">
        <v>6842</v>
      </c>
      <c r="E2216" s="18" t="s">
        <v>954</v>
      </c>
      <c r="F2216" s="19" t="s">
        <v>1702</v>
      </c>
      <c r="G2216" s="18" t="s">
        <v>1703</v>
      </c>
      <c r="H2216" s="20" t="s">
        <v>6843</v>
      </c>
      <c r="I2216" s="15">
        <v>2</v>
      </c>
      <c r="J2216" s="15" t="s">
        <v>25</v>
      </c>
      <c r="K2216" s="15"/>
      <c r="L2216" s="21" t="s">
        <v>16</v>
      </c>
      <c r="M2216" s="22">
        <v>0</v>
      </c>
      <c r="N2216" s="22">
        <v>-2916</v>
      </c>
      <c r="O2216" s="22">
        <v>21384</v>
      </c>
      <c r="P2216" s="22">
        <v>21384</v>
      </c>
      <c r="Q2216" t="str" cm="1">
        <f t="array" ref="Q2216">_xlfn.TEXTJOIN("、",TRUE,IF('學員資料-三民高中'!$B$2:$B$454=$F2216,'學員資料-三民高中'!$G$2:$G$454,""))</f>
        <v/>
      </c>
      <c r="R2216" t="str" cm="1">
        <f t="array" ref="R2216">_xlfn.TEXTJOIN("、",TRUE,IF('學員資料-新北高中'!$B$2:$B$583=$F2216,'學員資料-新北高中'!$G$2:$G$583,""))</f>
        <v>0933075099</v>
      </c>
      <c r="S2216" t="str" cm="1">
        <f t="array" ref="S2216">_xlfn.TEXTJOIN("、",TRUE,IF('學員資料-三重商工'!$B$2:$B$472=$F2216,'學員資料-三重商工'!$G$2:$G$472,""))</f>
        <v/>
      </c>
      <c r="T2216">
        <f t="shared" si="34"/>
        <v>1</v>
      </c>
    </row>
    <row r="2217" spans="1:20" ht="43.5" hidden="1" customHeight="1">
      <c r="A2217" s="15">
        <v>2216</v>
      </c>
      <c r="B2217" s="16" t="s">
        <v>6844</v>
      </c>
      <c r="C2217" s="17">
        <v>45526</v>
      </c>
      <c r="D2217" s="15" t="s">
        <v>6845</v>
      </c>
      <c r="E2217" s="18" t="s">
        <v>954</v>
      </c>
      <c r="F2217" s="19" t="s">
        <v>6846</v>
      </c>
      <c r="G2217" s="18" t="s">
        <v>6847</v>
      </c>
      <c r="H2217" s="20" t="s">
        <v>5301</v>
      </c>
      <c r="I2217" s="15">
        <v>3</v>
      </c>
      <c r="J2217" s="15" t="s">
        <v>24</v>
      </c>
      <c r="K2217" s="15"/>
      <c r="L2217" s="21" t="s">
        <v>16</v>
      </c>
      <c r="M2217" s="22">
        <v>0</v>
      </c>
      <c r="N2217" s="22">
        <v>-3888</v>
      </c>
      <c r="O2217" s="22">
        <v>22032</v>
      </c>
      <c r="P2217" s="22">
        <v>22032</v>
      </c>
      <c r="Q2217" t="str" cm="1">
        <f t="array" ref="Q2217">_xlfn.TEXTJOIN("、",TRUE,IF('學員資料-三民高中'!$B$2:$B$454=$F2217,'學員資料-三民高中'!$G$2:$G$454,""))</f>
        <v/>
      </c>
      <c r="R2217" t="str" cm="1">
        <f t="array" ref="R2217">_xlfn.TEXTJOIN("、",TRUE,IF('學員資料-新北高中'!$B$2:$B$583=$F2217,'學員資料-新北高中'!$G$2:$G$583,""))</f>
        <v/>
      </c>
      <c r="S2217" t="str" cm="1">
        <f t="array" ref="S2217">_xlfn.TEXTJOIN("、",TRUE,IF('學員資料-三重商工'!$B$2:$B$472=$F2217,'學員資料-三重商工'!$G$2:$G$472,""))</f>
        <v>0957456712</v>
      </c>
      <c r="T2217">
        <f t="shared" si="34"/>
        <v>1</v>
      </c>
    </row>
    <row r="2218" spans="1:20" ht="14.25" hidden="1" customHeight="1">
      <c r="A2218" s="15">
        <v>2217</v>
      </c>
      <c r="B2218" s="16" t="s">
        <v>6848</v>
      </c>
      <c r="C2218" s="17">
        <v>45526</v>
      </c>
      <c r="D2218" s="15" t="s">
        <v>6849</v>
      </c>
      <c r="E2218" s="18" t="s">
        <v>954</v>
      </c>
      <c r="F2218" s="19" t="s">
        <v>6850</v>
      </c>
      <c r="G2218" s="18" t="s">
        <v>6851</v>
      </c>
      <c r="H2218" s="20" t="s">
        <v>5131</v>
      </c>
      <c r="I2218" s="15">
        <v>1</v>
      </c>
      <c r="J2218" s="15" t="s">
        <v>24</v>
      </c>
      <c r="K2218" s="15"/>
      <c r="L2218" s="21" t="s">
        <v>16</v>
      </c>
      <c r="M2218" s="22">
        <v>0</v>
      </c>
      <c r="N2218" s="22">
        <v>-1440</v>
      </c>
      <c r="O2218" s="22">
        <v>5760</v>
      </c>
      <c r="P2218" s="22">
        <v>5760</v>
      </c>
      <c r="Q2218" t="str" cm="1">
        <f t="array" ref="Q2218">_xlfn.TEXTJOIN("、",TRUE,IF('學員資料-三民高中'!$B$2:$B$454=$F2218,'學員資料-三民高中'!$G$2:$G$454,""))</f>
        <v/>
      </c>
      <c r="R2218" t="str" cm="1">
        <f t="array" ref="R2218">_xlfn.TEXTJOIN("、",TRUE,IF('學員資料-新北高中'!$B$2:$B$583=$F2218,'學員資料-新北高中'!$G$2:$G$583,""))</f>
        <v>111049111049</v>
      </c>
      <c r="S2218" t="str" cm="1">
        <f t="array" ref="S2218">_xlfn.TEXTJOIN("、",TRUE,IF('學員資料-三重商工'!$B$2:$B$472=$F2218,'學員資料-三重商工'!$G$2:$G$472,""))</f>
        <v/>
      </c>
      <c r="T2218">
        <f t="shared" si="34"/>
        <v>1</v>
      </c>
    </row>
    <row r="2219" spans="1:20" ht="28.5" hidden="1" customHeight="1">
      <c r="A2219" s="15">
        <v>2218</v>
      </c>
      <c r="B2219" s="16" t="s">
        <v>6852</v>
      </c>
      <c r="C2219" s="17">
        <v>45526</v>
      </c>
      <c r="D2219" s="15" t="s">
        <v>6853</v>
      </c>
      <c r="E2219" s="18" t="s">
        <v>954</v>
      </c>
      <c r="F2219" s="19" t="s">
        <v>6762</v>
      </c>
      <c r="G2219" s="18" t="s">
        <v>6763</v>
      </c>
      <c r="H2219" s="20" t="s">
        <v>5138</v>
      </c>
      <c r="I2219" s="15">
        <v>2</v>
      </c>
      <c r="J2219" s="15" t="s">
        <v>23</v>
      </c>
      <c r="K2219" s="15"/>
      <c r="L2219" s="21" t="s">
        <v>16</v>
      </c>
      <c r="M2219" s="22">
        <v>0</v>
      </c>
      <c r="N2219" s="22">
        <v>-1440</v>
      </c>
      <c r="O2219" s="22">
        <v>12960</v>
      </c>
      <c r="P2219" s="22">
        <v>12960</v>
      </c>
      <c r="Q2219" t="str" cm="1">
        <f t="array" ref="Q2219">_xlfn.TEXTJOIN("、",TRUE,IF('學員資料-三民高中'!$B$2:$B$454=$F2219,'學員資料-三民高中'!$G$2:$G$454,""))</f>
        <v/>
      </c>
      <c r="R2219" t="str" cm="1">
        <f t="array" ref="R2219">_xlfn.TEXTJOIN("、",TRUE,IF('學員資料-新北高中'!$B$2:$B$583=$F2219,'學員資料-新北高中'!$G$2:$G$583,""))</f>
        <v/>
      </c>
      <c r="S2219" t="str" cm="1">
        <f t="array" ref="S2219">_xlfn.TEXTJOIN("、",TRUE,IF('學員資料-三重商工'!$B$2:$B$472=$F2219,'學員資料-三重商工'!$G$2:$G$472,""))</f>
        <v>0973655591</v>
      </c>
      <c r="T2219">
        <f t="shared" si="34"/>
        <v>1</v>
      </c>
    </row>
    <row r="2220" spans="1:20" ht="14.25" hidden="1" customHeight="1">
      <c r="A2220" s="15">
        <v>2219</v>
      </c>
      <c r="B2220" s="16" t="s">
        <v>6854</v>
      </c>
      <c r="C2220" s="17">
        <v>45526</v>
      </c>
      <c r="D2220" s="15" t="s">
        <v>6855</v>
      </c>
      <c r="E2220" s="18" t="s">
        <v>954</v>
      </c>
      <c r="F2220" s="19" t="s">
        <v>6856</v>
      </c>
      <c r="G2220" s="18" t="s">
        <v>6857</v>
      </c>
      <c r="H2220" s="20" t="s">
        <v>5131</v>
      </c>
      <c r="I2220" s="15">
        <v>1</v>
      </c>
      <c r="J2220" s="15" t="s">
        <v>24</v>
      </c>
      <c r="K2220" s="15"/>
      <c r="L2220" s="21" t="s">
        <v>16</v>
      </c>
      <c r="M2220" s="22">
        <v>0</v>
      </c>
      <c r="N2220" s="22">
        <v>0</v>
      </c>
      <c r="O2220" s="22">
        <v>7200</v>
      </c>
      <c r="P2220" s="22">
        <v>7200</v>
      </c>
      <c r="Q2220" t="str" cm="1">
        <f t="array" ref="Q2220">_xlfn.TEXTJOIN("、",TRUE,IF('學員資料-三民高中'!$B$2:$B$454=$F2220,'學員資料-三民高中'!$G$2:$G$454,""))</f>
        <v/>
      </c>
      <c r="R2220" t="str" cm="1">
        <f t="array" ref="R2220">_xlfn.TEXTJOIN("、",TRUE,IF('學員資料-新北高中'!$B$2:$B$583=$F2220,'學員資料-新北高中'!$G$2:$G$583,""))</f>
        <v/>
      </c>
      <c r="S2220" t="str" cm="1">
        <f t="array" ref="S2220">_xlfn.TEXTJOIN("、",TRUE,IF('學員資料-三重商工'!$B$2:$B$472=$F2220,'學員資料-三重商工'!$G$2:$G$472,""))</f>
        <v>0965717656</v>
      </c>
      <c r="T2220">
        <f t="shared" si="34"/>
        <v>1</v>
      </c>
    </row>
    <row r="2221" spans="1:20" ht="14.25" hidden="1" customHeight="1">
      <c r="A2221" s="15">
        <v>2220</v>
      </c>
      <c r="B2221" s="16" t="s">
        <v>6858</v>
      </c>
      <c r="C2221" s="17">
        <v>45526</v>
      </c>
      <c r="D2221" s="15" t="s">
        <v>6859</v>
      </c>
      <c r="E2221" s="18" t="s">
        <v>954</v>
      </c>
      <c r="F2221" s="19" t="s">
        <v>6860</v>
      </c>
      <c r="G2221" s="18" t="s">
        <v>6861</v>
      </c>
      <c r="H2221" s="20" t="s">
        <v>5180</v>
      </c>
      <c r="I2221" s="15">
        <v>1</v>
      </c>
      <c r="J2221" s="15" t="s">
        <v>24</v>
      </c>
      <c r="K2221" s="15"/>
      <c r="L2221" s="21" t="s">
        <v>16</v>
      </c>
      <c r="M2221" s="22">
        <v>0</v>
      </c>
      <c r="N2221" s="22">
        <v>-1296</v>
      </c>
      <c r="O2221" s="22">
        <v>7344</v>
      </c>
      <c r="P2221" s="22">
        <v>7344</v>
      </c>
      <c r="Q2221" t="str" cm="1">
        <f t="array" ref="Q2221">_xlfn.TEXTJOIN("、",TRUE,IF('學員資料-三民高中'!$B$2:$B$454=$F2221,'學員資料-三民高中'!$G$2:$G$454,""))</f>
        <v/>
      </c>
      <c r="R2221" t="str" cm="1">
        <f t="array" ref="R2221">_xlfn.TEXTJOIN("、",TRUE,IF('學員資料-新北高中'!$B$2:$B$583=$F2221,'學員資料-新北高中'!$G$2:$G$583,""))</f>
        <v/>
      </c>
      <c r="S2221" t="str" cm="1">
        <f t="array" ref="S2221">_xlfn.TEXTJOIN("、",TRUE,IF('學員資料-三重商工'!$B$2:$B$472=$F2221,'學員資料-三重商工'!$G$2:$G$472,""))</f>
        <v>0957656693</v>
      </c>
      <c r="T2221">
        <f t="shared" si="34"/>
        <v>1</v>
      </c>
    </row>
    <row r="2222" spans="1:20" ht="14.25" hidden="1" customHeight="1">
      <c r="A2222" s="15">
        <v>2221</v>
      </c>
      <c r="B2222" s="16" t="s">
        <v>6862</v>
      </c>
      <c r="C2222" s="17">
        <v>45526</v>
      </c>
      <c r="D2222" s="15" t="s">
        <v>6863</v>
      </c>
      <c r="E2222" s="18" t="s">
        <v>954</v>
      </c>
      <c r="F2222" s="19" t="s">
        <v>6864</v>
      </c>
      <c r="G2222" s="18" t="s">
        <v>6865</v>
      </c>
      <c r="H2222" s="20" t="s">
        <v>5131</v>
      </c>
      <c r="I2222" s="15">
        <v>1</v>
      </c>
      <c r="J2222" s="15" t="s">
        <v>24</v>
      </c>
      <c r="K2222" s="15"/>
      <c r="L2222" s="21" t="s">
        <v>16</v>
      </c>
      <c r="M2222" s="22">
        <v>0</v>
      </c>
      <c r="N2222" s="22">
        <v>0</v>
      </c>
      <c r="O2222" s="22">
        <v>7200</v>
      </c>
      <c r="P2222" s="22">
        <v>7200</v>
      </c>
      <c r="Q2222" t="str" cm="1">
        <f t="array" ref="Q2222">_xlfn.TEXTJOIN("、",TRUE,IF('學員資料-三民高中'!$B$2:$B$454=$F2222,'學員資料-三民高中'!$G$2:$G$454,""))</f>
        <v/>
      </c>
      <c r="R2222" t="str" cm="1">
        <f t="array" ref="R2222">_xlfn.TEXTJOIN("、",TRUE,IF('學員資料-新北高中'!$B$2:$B$583=$F2222,'學員資料-新北高中'!$G$2:$G$583,""))</f>
        <v/>
      </c>
      <c r="S2222" t="str" cm="1">
        <f t="array" ref="S2222">_xlfn.TEXTJOIN("、",TRUE,IF('學員資料-三重商工'!$B$2:$B$472=$F2222,'學員資料-三重商工'!$G$2:$G$472,""))</f>
        <v>0955742659</v>
      </c>
      <c r="T2222">
        <f t="shared" si="34"/>
        <v>1</v>
      </c>
    </row>
    <row r="2223" spans="1:20" ht="14.25" hidden="1" customHeight="1">
      <c r="A2223" s="15">
        <v>2222</v>
      </c>
      <c r="B2223" s="16" t="s">
        <v>6866</v>
      </c>
      <c r="C2223" s="17">
        <v>45526</v>
      </c>
      <c r="D2223" s="15" t="s">
        <v>6867</v>
      </c>
      <c r="E2223" s="18" t="s">
        <v>954</v>
      </c>
      <c r="F2223" s="19" t="s">
        <v>6868</v>
      </c>
      <c r="G2223" s="18" t="s">
        <v>6869</v>
      </c>
      <c r="H2223" s="20" t="s">
        <v>5131</v>
      </c>
      <c r="I2223" s="15">
        <v>1</v>
      </c>
      <c r="J2223" s="15" t="s">
        <v>24</v>
      </c>
      <c r="K2223" s="15"/>
      <c r="L2223" s="21" t="s">
        <v>16</v>
      </c>
      <c r="M2223" s="22">
        <v>0</v>
      </c>
      <c r="N2223" s="22">
        <v>0</v>
      </c>
      <c r="O2223" s="22">
        <v>7200</v>
      </c>
      <c r="P2223" s="22">
        <v>7200</v>
      </c>
      <c r="Q2223" t="str" cm="1">
        <f t="array" ref="Q2223">_xlfn.TEXTJOIN("、",TRUE,IF('學員資料-三民高中'!$B$2:$B$454=$F2223,'學員資料-三民高中'!$G$2:$G$454,""))</f>
        <v/>
      </c>
      <c r="R2223" t="str" cm="1">
        <f t="array" ref="R2223">_xlfn.TEXTJOIN("、",TRUE,IF('學員資料-新北高中'!$B$2:$B$583=$F2223,'學員資料-新北高中'!$G$2:$G$583,""))</f>
        <v/>
      </c>
      <c r="S2223" t="str" cm="1">
        <f t="array" ref="S2223">_xlfn.TEXTJOIN("、",TRUE,IF('學員資料-三重商工'!$B$2:$B$472=$F2223,'學員資料-三重商工'!$G$2:$G$472,""))</f>
        <v>0989800234</v>
      </c>
      <c r="T2223">
        <f t="shared" si="34"/>
        <v>1</v>
      </c>
    </row>
    <row r="2224" spans="1:20" ht="14.25" hidden="1" customHeight="1">
      <c r="A2224" s="15">
        <v>2223</v>
      </c>
      <c r="B2224" s="16" t="s">
        <v>6870</v>
      </c>
      <c r="C2224" s="17">
        <v>45526</v>
      </c>
      <c r="D2224" s="15" t="s">
        <v>6871</v>
      </c>
      <c r="E2224" s="18" t="s">
        <v>954</v>
      </c>
      <c r="F2224" s="19" t="s">
        <v>6872</v>
      </c>
      <c r="G2224" s="18" t="s">
        <v>6873</v>
      </c>
      <c r="H2224" s="20" t="s">
        <v>5551</v>
      </c>
      <c r="I2224" s="15">
        <v>1</v>
      </c>
      <c r="J2224" s="15" t="s">
        <v>26</v>
      </c>
      <c r="K2224" s="15"/>
      <c r="L2224" s="21" t="s">
        <v>16</v>
      </c>
      <c r="M2224" s="22">
        <v>0</v>
      </c>
      <c r="N2224" s="22">
        <v>-1152</v>
      </c>
      <c r="O2224" s="22">
        <v>10368</v>
      </c>
      <c r="P2224" s="22">
        <v>10368</v>
      </c>
      <c r="Q2224" t="str" cm="1">
        <f t="array" ref="Q2224">_xlfn.TEXTJOIN("、",TRUE,IF('學員資料-三民高中'!$B$2:$B$454=$F2224,'學員資料-三民高中'!$G$2:$G$454,""))</f>
        <v/>
      </c>
      <c r="R2224" t="str" cm="1">
        <f t="array" ref="R2224">_xlfn.TEXTJOIN("、",TRUE,IF('學員資料-新北高中'!$B$2:$B$583=$F2224,'學員資料-新北高中'!$G$2:$G$583,""))</f>
        <v/>
      </c>
      <c r="S2224" t="str" cm="1">
        <f t="array" ref="S2224">_xlfn.TEXTJOIN("、",TRUE,IF('學員資料-三重商工'!$B$2:$B$472=$F2224,'學員資料-三重商工'!$G$2:$G$472,""))</f>
        <v>0957412566</v>
      </c>
      <c r="T2224">
        <f t="shared" si="34"/>
        <v>1</v>
      </c>
    </row>
    <row r="2225" spans="1:20" ht="14.25" hidden="1" customHeight="1">
      <c r="A2225" s="15">
        <v>2224</v>
      </c>
      <c r="B2225" s="16" t="s">
        <v>6874</v>
      </c>
      <c r="C2225" s="17">
        <v>45526</v>
      </c>
      <c r="D2225" s="15" t="s">
        <v>6875</v>
      </c>
      <c r="E2225" s="18" t="s">
        <v>954</v>
      </c>
      <c r="F2225" s="19" t="s">
        <v>6872</v>
      </c>
      <c r="G2225" s="18" t="s">
        <v>6873</v>
      </c>
      <c r="H2225" s="20" t="s">
        <v>5551</v>
      </c>
      <c r="I2225" s="15">
        <v>1</v>
      </c>
      <c r="J2225" s="15" t="s">
        <v>26</v>
      </c>
      <c r="K2225" s="15"/>
      <c r="L2225" s="21" t="s">
        <v>16</v>
      </c>
      <c r="M2225" s="22">
        <v>0</v>
      </c>
      <c r="N2225" s="22">
        <v>-1152</v>
      </c>
      <c r="O2225" s="22">
        <v>10368</v>
      </c>
      <c r="P2225" s="22">
        <v>10368</v>
      </c>
      <c r="Q2225" t="str" cm="1">
        <f t="array" ref="Q2225">_xlfn.TEXTJOIN("、",TRUE,IF('學員資料-三民高中'!$B$2:$B$454=$F2225,'學員資料-三民高中'!$G$2:$G$454,""))</f>
        <v/>
      </c>
      <c r="R2225" t="str" cm="1">
        <f t="array" ref="R2225">_xlfn.TEXTJOIN("、",TRUE,IF('學員資料-新北高中'!$B$2:$B$583=$F2225,'學員資料-新北高中'!$G$2:$G$583,""))</f>
        <v/>
      </c>
      <c r="S2225" t="str" cm="1">
        <f t="array" ref="S2225">_xlfn.TEXTJOIN("、",TRUE,IF('學員資料-三重商工'!$B$2:$B$472=$F2225,'學員資料-三重商工'!$G$2:$G$472,""))</f>
        <v>0957412566</v>
      </c>
      <c r="T2225">
        <f t="shared" si="34"/>
        <v>1</v>
      </c>
    </row>
    <row r="2226" spans="1:20" ht="28.5" hidden="1" customHeight="1">
      <c r="A2226" s="15">
        <v>2225</v>
      </c>
      <c r="B2226" s="16" t="s">
        <v>6876</v>
      </c>
      <c r="C2226" s="17">
        <v>45526</v>
      </c>
      <c r="D2226" s="15" t="s">
        <v>6877</v>
      </c>
      <c r="E2226" s="18" t="s">
        <v>954</v>
      </c>
      <c r="F2226" s="19" t="s">
        <v>5136</v>
      </c>
      <c r="G2226" s="18" t="s">
        <v>5137</v>
      </c>
      <c r="H2226" s="20" t="s">
        <v>6878</v>
      </c>
      <c r="I2226" s="15">
        <v>2</v>
      </c>
      <c r="J2226" s="15" t="s">
        <v>23</v>
      </c>
      <c r="K2226" s="21" t="s">
        <v>116</v>
      </c>
      <c r="L2226" s="21" t="s">
        <v>16</v>
      </c>
      <c r="M2226" s="22">
        <v>0</v>
      </c>
      <c r="N2226" s="22">
        <v>0</v>
      </c>
      <c r="O2226" s="22">
        <v>2200</v>
      </c>
      <c r="P2226" s="22">
        <v>2200</v>
      </c>
      <c r="Q2226" t="str" cm="1">
        <f t="array" ref="Q2226">_xlfn.TEXTJOIN("、",TRUE,IF('學員資料-三民高中'!$B$2:$B$454=$F2226,'學員資料-三民高中'!$G$2:$G$454,""))</f>
        <v/>
      </c>
      <c r="R2226" t="str" cm="1">
        <f t="array" ref="R2226">_xlfn.TEXTJOIN("、",TRUE,IF('學員資料-新北高中'!$B$2:$B$583=$F2226,'學員資料-新北高中'!$G$2:$G$583,""))</f>
        <v/>
      </c>
      <c r="S2226" t="str" cm="1">
        <f t="array" ref="S2226">_xlfn.TEXTJOIN("、",TRUE,IF('學員資料-三重商工'!$B$2:$B$472=$F2226,'學員資料-三重商工'!$G$2:$G$472,""))</f>
        <v>0939933382</v>
      </c>
      <c r="T2226">
        <f t="shared" si="34"/>
        <v>1</v>
      </c>
    </row>
    <row r="2227" spans="1:20" ht="14.25" hidden="1" customHeight="1">
      <c r="A2227" s="15">
        <v>2226</v>
      </c>
      <c r="B2227" s="16" t="s">
        <v>6879</v>
      </c>
      <c r="C2227" s="17">
        <v>45526</v>
      </c>
      <c r="D2227" s="15" t="s">
        <v>6880</v>
      </c>
      <c r="E2227" s="18" t="s">
        <v>954</v>
      </c>
      <c r="F2227" s="19" t="s">
        <v>6269</v>
      </c>
      <c r="G2227" s="18" t="s">
        <v>6270</v>
      </c>
      <c r="H2227" s="20" t="s">
        <v>5180</v>
      </c>
      <c r="I2227" s="15">
        <v>1</v>
      </c>
      <c r="J2227" s="15" t="s">
        <v>24</v>
      </c>
      <c r="K2227" s="15"/>
      <c r="L2227" s="21" t="s">
        <v>16</v>
      </c>
      <c r="M2227" s="22">
        <v>0</v>
      </c>
      <c r="N2227" s="22">
        <v>-1296</v>
      </c>
      <c r="O2227" s="22">
        <v>7344</v>
      </c>
      <c r="P2227" s="22">
        <v>7344</v>
      </c>
      <c r="Q2227" t="str" cm="1">
        <f t="array" ref="Q2227">_xlfn.TEXTJOIN("、",TRUE,IF('學員資料-三民高中'!$B$2:$B$454=$F2227,'學員資料-三民高中'!$G$2:$G$454,""))</f>
        <v/>
      </c>
      <c r="R2227" t="str" cm="1">
        <f t="array" ref="R2227">_xlfn.TEXTJOIN("、",TRUE,IF('學員資料-新北高中'!$B$2:$B$583=$F2227,'學員資料-新北高中'!$G$2:$G$583,""))</f>
        <v/>
      </c>
      <c r="S2227" t="str" cm="1">
        <f t="array" ref="S2227">_xlfn.TEXTJOIN("、",TRUE,IF('學員資料-三重商工'!$B$2:$B$472=$F2227,'學員資料-三重商工'!$G$2:$G$472,""))</f>
        <v>0937088872</v>
      </c>
      <c r="T2227">
        <f t="shared" si="34"/>
        <v>1</v>
      </c>
    </row>
    <row r="2228" spans="1:20" ht="28.5" hidden="1" customHeight="1">
      <c r="A2228" s="15">
        <v>2227</v>
      </c>
      <c r="B2228" s="16" t="s">
        <v>6881</v>
      </c>
      <c r="C2228" s="17">
        <v>45526</v>
      </c>
      <c r="D2228" s="15" t="s">
        <v>6882</v>
      </c>
      <c r="E2228" s="18" t="s">
        <v>954</v>
      </c>
      <c r="F2228" s="19" t="s">
        <v>6883</v>
      </c>
      <c r="G2228" s="18" t="s">
        <v>6884</v>
      </c>
      <c r="H2228" s="20" t="s">
        <v>6885</v>
      </c>
      <c r="I2228" s="15">
        <v>2</v>
      </c>
      <c r="J2228" s="15" t="s">
        <v>26</v>
      </c>
      <c r="K2228" s="15"/>
      <c r="L2228" s="21" t="s">
        <v>16</v>
      </c>
      <c r="M2228" s="22">
        <v>0</v>
      </c>
      <c r="N2228" s="22">
        <v>-2765</v>
      </c>
      <c r="O2228" s="22">
        <v>20275</v>
      </c>
      <c r="P2228" s="22">
        <v>20275</v>
      </c>
      <c r="Q2228" t="str" cm="1">
        <f t="array" ref="Q2228">_xlfn.TEXTJOIN("、",TRUE,IF('學員資料-三民高中'!$B$2:$B$454=$F2228,'學員資料-三民高中'!$G$2:$G$454,""))</f>
        <v/>
      </c>
      <c r="R2228" t="str" cm="1">
        <f t="array" ref="R2228">_xlfn.TEXTJOIN("、",TRUE,IF('學員資料-新北高中'!$B$2:$B$583=$F2228,'學員資料-新北高中'!$G$2:$G$583,""))</f>
        <v/>
      </c>
      <c r="S2228" t="str" cm="1">
        <f t="array" ref="S2228">_xlfn.TEXTJOIN("、",TRUE,IF('學員資料-三重商工'!$B$2:$B$472=$F2228,'學員資料-三重商工'!$G$2:$G$472,""))</f>
        <v>0952417659</v>
      </c>
      <c r="T2228">
        <f t="shared" si="34"/>
        <v>1</v>
      </c>
    </row>
    <row r="2229" spans="1:20" ht="14.25" hidden="1" customHeight="1">
      <c r="A2229" s="15">
        <v>2228</v>
      </c>
      <c r="B2229" s="16" t="s">
        <v>6886</v>
      </c>
      <c r="C2229" s="17">
        <v>45526</v>
      </c>
      <c r="D2229" s="15" t="s">
        <v>6887</v>
      </c>
      <c r="E2229" s="18" t="s">
        <v>954</v>
      </c>
      <c r="F2229" s="19" t="s">
        <v>6846</v>
      </c>
      <c r="G2229" s="18" t="s">
        <v>6847</v>
      </c>
      <c r="H2229" s="20" t="s">
        <v>5180</v>
      </c>
      <c r="I2229" s="15">
        <v>1</v>
      </c>
      <c r="J2229" s="15" t="s">
        <v>24</v>
      </c>
      <c r="K2229" s="15"/>
      <c r="L2229" s="21" t="s">
        <v>16</v>
      </c>
      <c r="M2229" s="22">
        <v>0</v>
      </c>
      <c r="N2229" s="22">
        <v>-1296</v>
      </c>
      <c r="O2229" s="22">
        <v>7344</v>
      </c>
      <c r="P2229" s="22">
        <v>7344</v>
      </c>
      <c r="Q2229" t="str" cm="1">
        <f t="array" ref="Q2229">_xlfn.TEXTJOIN("、",TRUE,IF('學員資料-三民高中'!$B$2:$B$454=$F2229,'學員資料-三民高中'!$G$2:$G$454,""))</f>
        <v/>
      </c>
      <c r="R2229" t="str" cm="1">
        <f t="array" ref="R2229">_xlfn.TEXTJOIN("、",TRUE,IF('學員資料-新北高中'!$B$2:$B$583=$F2229,'學員資料-新北高中'!$G$2:$G$583,""))</f>
        <v/>
      </c>
      <c r="S2229" t="str" cm="1">
        <f t="array" ref="S2229">_xlfn.TEXTJOIN("、",TRUE,IF('學員資料-三重商工'!$B$2:$B$472=$F2229,'學員資料-三重商工'!$G$2:$G$472,""))</f>
        <v>0957456712</v>
      </c>
      <c r="T2229">
        <f t="shared" si="34"/>
        <v>1</v>
      </c>
    </row>
    <row r="2230" spans="1:20" ht="14.25" hidden="1" customHeight="1">
      <c r="A2230" s="15">
        <v>2229</v>
      </c>
      <c r="B2230" s="16" t="s">
        <v>6888</v>
      </c>
      <c r="C2230" s="17">
        <v>45526</v>
      </c>
      <c r="D2230" s="15" t="s">
        <v>6889</v>
      </c>
      <c r="E2230" s="18" t="s">
        <v>954</v>
      </c>
      <c r="F2230" s="19" t="s">
        <v>3281</v>
      </c>
      <c r="G2230" s="18" t="s">
        <v>3282</v>
      </c>
      <c r="H2230" s="20" t="s">
        <v>5148</v>
      </c>
      <c r="I2230" s="15">
        <v>1</v>
      </c>
      <c r="J2230" s="15" t="s">
        <v>25</v>
      </c>
      <c r="K2230" s="15"/>
      <c r="L2230" s="21" t="s">
        <v>16</v>
      </c>
      <c r="M2230" s="22">
        <v>0</v>
      </c>
      <c r="N2230" s="22">
        <v>-900</v>
      </c>
      <c r="O2230" s="22">
        <v>8100</v>
      </c>
      <c r="P2230" s="22">
        <v>8100</v>
      </c>
      <c r="Q2230" t="str" cm="1">
        <f t="array" ref="Q2230">_xlfn.TEXTJOIN("、",TRUE,IF('學員資料-三民高中'!$B$2:$B$454=$F2230,'學員資料-三民高中'!$G$2:$G$454,""))</f>
        <v/>
      </c>
      <c r="R2230" t="str" cm="1">
        <f t="array" ref="R2230">_xlfn.TEXTJOIN("、",TRUE,IF('學員資料-新北高中'!$B$2:$B$583=$F2230,'學員資料-新北高中'!$G$2:$G$583,""))</f>
        <v>0920096096</v>
      </c>
      <c r="S2230" t="str" cm="1">
        <f t="array" ref="S2230">_xlfn.TEXTJOIN("、",TRUE,IF('學員資料-三重商工'!$B$2:$B$472=$F2230,'學員資料-三重商工'!$G$2:$G$472,""))</f>
        <v/>
      </c>
      <c r="T2230">
        <f t="shared" si="34"/>
        <v>1</v>
      </c>
    </row>
    <row r="2231" spans="1:20" ht="14.25" hidden="1" customHeight="1">
      <c r="A2231" s="15">
        <v>2230</v>
      </c>
      <c r="B2231" s="16" t="s">
        <v>6890</v>
      </c>
      <c r="C2231" s="17">
        <v>45526</v>
      </c>
      <c r="D2231" s="15" t="s">
        <v>6891</v>
      </c>
      <c r="E2231" s="18" t="s">
        <v>954</v>
      </c>
      <c r="F2231" s="19" t="s">
        <v>4288</v>
      </c>
      <c r="G2231" s="18" t="s">
        <v>4289</v>
      </c>
      <c r="H2231" s="20" t="s">
        <v>5131</v>
      </c>
      <c r="I2231" s="15">
        <v>1</v>
      </c>
      <c r="J2231" s="15" t="s">
        <v>24</v>
      </c>
      <c r="K2231" s="15"/>
      <c r="L2231" s="21" t="s">
        <v>16</v>
      </c>
      <c r="M2231" s="22">
        <v>0</v>
      </c>
      <c r="N2231" s="22">
        <v>0</v>
      </c>
      <c r="O2231" s="22">
        <v>7200</v>
      </c>
      <c r="P2231" s="22">
        <v>7200</v>
      </c>
      <c r="Q2231" t="str" cm="1">
        <f t="array" ref="Q2231">_xlfn.TEXTJOIN("、",TRUE,IF('學員資料-三民高中'!$B$2:$B$454=$F2231,'學員資料-三民高中'!$G$2:$G$454,""))</f>
        <v/>
      </c>
      <c r="R2231" t="str" cm="1">
        <f t="array" ref="R2231">_xlfn.TEXTJOIN("、",TRUE,IF('學員資料-新北高中'!$B$2:$B$583=$F2231,'學員資料-新北高中'!$G$2:$G$583,""))</f>
        <v>0912922986</v>
      </c>
      <c r="S2231" t="str" cm="1">
        <f t="array" ref="S2231">_xlfn.TEXTJOIN("、",TRUE,IF('學員資料-三重商工'!$B$2:$B$472=$F2231,'學員資料-三重商工'!$G$2:$G$472,""))</f>
        <v/>
      </c>
      <c r="T2231">
        <f t="shared" si="34"/>
        <v>1</v>
      </c>
    </row>
    <row r="2232" spans="1:20" ht="14.25" hidden="1" customHeight="1">
      <c r="A2232" s="15">
        <v>2231</v>
      </c>
      <c r="B2232" s="16" t="s">
        <v>6892</v>
      </c>
      <c r="C2232" s="17">
        <v>45526</v>
      </c>
      <c r="D2232" s="15" t="s">
        <v>6893</v>
      </c>
      <c r="E2232" s="18" t="s">
        <v>954</v>
      </c>
      <c r="F2232" s="19" t="s">
        <v>6894</v>
      </c>
      <c r="G2232" s="18" t="s">
        <v>6895</v>
      </c>
      <c r="H2232" s="20" t="s">
        <v>5163</v>
      </c>
      <c r="I2232" s="15">
        <v>1</v>
      </c>
      <c r="J2232" s="15" t="s">
        <v>23</v>
      </c>
      <c r="K2232" s="15"/>
      <c r="L2232" s="21" t="s">
        <v>16</v>
      </c>
      <c r="M2232" s="22">
        <v>0</v>
      </c>
      <c r="N2232" s="22">
        <v>0</v>
      </c>
      <c r="O2232" s="22">
        <v>6600</v>
      </c>
      <c r="P2232" s="22">
        <v>6600</v>
      </c>
      <c r="Q2232" t="str" cm="1">
        <f t="array" ref="Q2232">_xlfn.TEXTJOIN("、",TRUE,IF('學員資料-三民高中'!$B$2:$B$454=$F2232,'學員資料-三民高中'!$G$2:$G$454,""))</f>
        <v/>
      </c>
      <c r="R2232" t="str" cm="1">
        <f t="array" ref="R2232">_xlfn.TEXTJOIN("、",TRUE,IF('學員資料-新北高中'!$B$2:$B$583=$F2232,'學員資料-新北高中'!$G$2:$G$583,""))</f>
        <v>0912266611</v>
      </c>
      <c r="S2232" t="str" cm="1">
        <f t="array" ref="S2232">_xlfn.TEXTJOIN("、",TRUE,IF('學員資料-三重商工'!$B$2:$B$472=$F2232,'學員資料-三重商工'!$G$2:$G$472,""))</f>
        <v/>
      </c>
      <c r="T2232">
        <f t="shared" si="34"/>
        <v>1</v>
      </c>
    </row>
    <row r="2233" spans="1:20" ht="14.25" hidden="1" customHeight="1">
      <c r="A2233" s="15">
        <v>2232</v>
      </c>
      <c r="B2233" s="16" t="s">
        <v>6896</v>
      </c>
      <c r="C2233" s="17">
        <v>45526</v>
      </c>
      <c r="D2233" s="15" t="s">
        <v>6897</v>
      </c>
      <c r="E2233" s="18" t="s">
        <v>954</v>
      </c>
      <c r="F2233" s="19" t="s">
        <v>6898</v>
      </c>
      <c r="G2233" s="18" t="s">
        <v>6899</v>
      </c>
      <c r="H2233" s="20" t="s">
        <v>5163</v>
      </c>
      <c r="I2233" s="15">
        <v>1</v>
      </c>
      <c r="J2233" s="15" t="s">
        <v>23</v>
      </c>
      <c r="K2233" s="15"/>
      <c r="L2233" s="21" t="s">
        <v>16</v>
      </c>
      <c r="M2233" s="22">
        <v>0</v>
      </c>
      <c r="N2233" s="22">
        <v>0</v>
      </c>
      <c r="O2233" s="22">
        <v>6600</v>
      </c>
      <c r="P2233" s="22">
        <v>6600</v>
      </c>
      <c r="Q2233" t="str" cm="1">
        <f t="array" ref="Q2233">_xlfn.TEXTJOIN("、",TRUE,IF('學員資料-三民高中'!$B$2:$B$454=$F2233,'學員資料-三民高中'!$G$2:$G$454,""))</f>
        <v/>
      </c>
      <c r="R2233" t="str" cm="1">
        <f t="array" ref="R2233">_xlfn.TEXTJOIN("、",TRUE,IF('學員資料-新北高中'!$B$2:$B$583=$F2233,'學員資料-新北高中'!$G$2:$G$583,""))</f>
        <v>0932265839</v>
      </c>
      <c r="S2233" t="str" cm="1">
        <f t="array" ref="S2233">_xlfn.TEXTJOIN("、",TRUE,IF('學員資料-三重商工'!$B$2:$B$472=$F2233,'學員資料-三重商工'!$G$2:$G$472,""))</f>
        <v/>
      </c>
      <c r="T2233">
        <f t="shared" si="34"/>
        <v>1</v>
      </c>
    </row>
    <row r="2234" spans="1:20" ht="14.25" hidden="1" customHeight="1">
      <c r="A2234" s="15">
        <v>2233</v>
      </c>
      <c r="B2234" s="16" t="s">
        <v>6900</v>
      </c>
      <c r="C2234" s="17">
        <v>45526</v>
      </c>
      <c r="D2234" s="15" t="s">
        <v>6901</v>
      </c>
      <c r="E2234" s="18" t="s">
        <v>954</v>
      </c>
      <c r="F2234" s="19" t="s">
        <v>3391</v>
      </c>
      <c r="G2234" s="18" t="s">
        <v>3392</v>
      </c>
      <c r="H2234" s="20" t="s">
        <v>5131</v>
      </c>
      <c r="I2234" s="15">
        <v>1</v>
      </c>
      <c r="J2234" s="15" t="s">
        <v>24</v>
      </c>
      <c r="K2234" s="15"/>
      <c r="L2234" s="21" t="s">
        <v>16</v>
      </c>
      <c r="M2234" s="22">
        <v>0</v>
      </c>
      <c r="N2234" s="22">
        <v>0</v>
      </c>
      <c r="O2234" s="22">
        <v>7200</v>
      </c>
      <c r="P2234" s="22">
        <v>7200</v>
      </c>
      <c r="Q2234" t="str" cm="1">
        <f t="array" ref="Q2234">_xlfn.TEXTJOIN("、",TRUE,IF('學員資料-三民高中'!$B$2:$B$454=$F2234,'學員資料-三民高中'!$G$2:$G$454,""))</f>
        <v/>
      </c>
      <c r="R2234" t="str" cm="1">
        <f t="array" ref="R2234">_xlfn.TEXTJOIN("、",TRUE,IF('學員資料-新北高中'!$B$2:$B$583=$F2234,'學員資料-新北高中'!$G$2:$G$583,""))</f>
        <v>0926281670</v>
      </c>
      <c r="S2234" t="str" cm="1">
        <f t="array" ref="S2234">_xlfn.TEXTJOIN("、",TRUE,IF('學員資料-三重商工'!$B$2:$B$472=$F2234,'學員資料-三重商工'!$G$2:$G$472,""))</f>
        <v/>
      </c>
      <c r="T2234">
        <f t="shared" si="34"/>
        <v>1</v>
      </c>
    </row>
    <row r="2235" spans="1:20" ht="14.25" hidden="1" customHeight="1">
      <c r="A2235" s="15">
        <v>2234</v>
      </c>
      <c r="B2235" s="16" t="s">
        <v>6902</v>
      </c>
      <c r="C2235" s="17">
        <v>45526</v>
      </c>
      <c r="D2235" s="15" t="s">
        <v>6903</v>
      </c>
      <c r="E2235" s="18" t="s">
        <v>954</v>
      </c>
      <c r="F2235" s="19" t="s">
        <v>6904</v>
      </c>
      <c r="G2235" s="18" t="s">
        <v>6905</v>
      </c>
      <c r="H2235" s="20" t="s">
        <v>5131</v>
      </c>
      <c r="I2235" s="15">
        <v>1</v>
      </c>
      <c r="J2235" s="15" t="s">
        <v>24</v>
      </c>
      <c r="K2235" s="15"/>
      <c r="L2235" s="21" t="s">
        <v>16</v>
      </c>
      <c r="M2235" s="22">
        <v>0</v>
      </c>
      <c r="N2235" s="22">
        <v>-720</v>
      </c>
      <c r="O2235" s="22">
        <v>6480</v>
      </c>
      <c r="P2235" s="22">
        <v>6480</v>
      </c>
      <c r="Q2235" t="str" cm="1">
        <f t="array" ref="Q2235">_xlfn.TEXTJOIN("、",TRUE,IF('學員資料-三民高中'!$B$2:$B$454=$F2235,'學員資料-三民高中'!$G$2:$G$454,""))</f>
        <v/>
      </c>
      <c r="R2235" t="str" cm="1">
        <f t="array" ref="R2235">_xlfn.TEXTJOIN("、",TRUE,IF('學員資料-新北高中'!$B$2:$B$583=$F2235,'學員資料-新北高中'!$G$2:$G$583,""))</f>
        <v>0920869138</v>
      </c>
      <c r="S2235" t="str" cm="1">
        <f t="array" ref="S2235">_xlfn.TEXTJOIN("、",TRUE,IF('學員資料-三重商工'!$B$2:$B$472=$F2235,'學員資料-三重商工'!$G$2:$G$472,""))</f>
        <v/>
      </c>
      <c r="T2235">
        <f t="shared" si="34"/>
        <v>1</v>
      </c>
    </row>
    <row r="2236" spans="1:20" ht="14.25" hidden="1" customHeight="1">
      <c r="A2236" s="15">
        <v>2235</v>
      </c>
      <c r="B2236" s="16" t="s">
        <v>6906</v>
      </c>
      <c r="C2236" s="17">
        <v>45526</v>
      </c>
      <c r="D2236" s="15" t="s">
        <v>6907</v>
      </c>
      <c r="E2236" s="18" t="s">
        <v>954</v>
      </c>
      <c r="F2236" s="19" t="s">
        <v>6908</v>
      </c>
      <c r="G2236" s="18" t="s">
        <v>6909</v>
      </c>
      <c r="H2236" s="20" t="s">
        <v>5163</v>
      </c>
      <c r="I2236" s="15">
        <v>1</v>
      </c>
      <c r="J2236" s="15" t="s">
        <v>23</v>
      </c>
      <c r="K2236" s="15"/>
      <c r="L2236" s="21" t="s">
        <v>16</v>
      </c>
      <c r="M2236" s="22">
        <v>0</v>
      </c>
      <c r="N2236" s="22">
        <v>-600</v>
      </c>
      <c r="O2236" s="22">
        <v>6000</v>
      </c>
      <c r="P2236" s="22">
        <v>6000</v>
      </c>
      <c r="Q2236" t="str" cm="1">
        <f t="array" ref="Q2236">_xlfn.TEXTJOIN("、",TRUE,IF('學員資料-三民高中'!$B$2:$B$454=$F2236,'學員資料-三民高中'!$G$2:$G$454,""))</f>
        <v/>
      </c>
      <c r="R2236" t="str" cm="1">
        <f t="array" ref="R2236">_xlfn.TEXTJOIN("、",TRUE,IF('學員資料-新北高中'!$B$2:$B$583=$F2236,'學員資料-新北高中'!$G$2:$G$583,""))</f>
        <v>0937985659</v>
      </c>
      <c r="S2236" t="str" cm="1">
        <f t="array" ref="S2236">_xlfn.TEXTJOIN("、",TRUE,IF('學員資料-三重商工'!$B$2:$B$472=$F2236,'學員資料-三重商工'!$G$2:$G$472,""))</f>
        <v/>
      </c>
      <c r="T2236">
        <f t="shared" si="34"/>
        <v>1</v>
      </c>
    </row>
    <row r="2237" spans="1:20" ht="14.25" hidden="1" customHeight="1">
      <c r="A2237" s="15">
        <v>2236</v>
      </c>
      <c r="B2237" s="16" t="s">
        <v>6910</v>
      </c>
      <c r="C2237" s="17">
        <v>45526</v>
      </c>
      <c r="D2237" s="15" t="s">
        <v>6911</v>
      </c>
      <c r="E2237" s="18" t="s">
        <v>3862</v>
      </c>
      <c r="F2237" s="19" t="s">
        <v>6912</v>
      </c>
      <c r="G2237" s="18" t="s">
        <v>6913</v>
      </c>
      <c r="H2237" s="20" t="s">
        <v>5131</v>
      </c>
      <c r="I2237" s="15">
        <v>1</v>
      </c>
      <c r="J2237" s="15" t="s">
        <v>24</v>
      </c>
      <c r="K2237" s="15"/>
      <c r="L2237" s="21" t="s">
        <v>16</v>
      </c>
      <c r="M2237" s="22">
        <v>0</v>
      </c>
      <c r="N2237" s="22">
        <v>-1080</v>
      </c>
      <c r="O2237" s="22">
        <v>6120</v>
      </c>
      <c r="P2237" s="22">
        <v>6120</v>
      </c>
      <c r="Q2237" t="str" cm="1">
        <f t="array" ref="Q2237">_xlfn.TEXTJOIN("、",TRUE,IF('學員資料-三民高中'!$B$2:$B$454=$F2237,'學員資料-三民高中'!$G$2:$G$454,""))</f>
        <v/>
      </c>
      <c r="R2237" t="str" cm="1">
        <f t="array" ref="R2237">_xlfn.TEXTJOIN("、",TRUE,IF('學員資料-新北高中'!$B$2:$B$583=$F2237,'學員資料-新北高中'!$G$2:$G$583,""))</f>
        <v>0958741692</v>
      </c>
      <c r="S2237" t="str" cm="1">
        <f t="array" ref="S2237">_xlfn.TEXTJOIN("、",TRUE,IF('學員資料-三重商工'!$B$2:$B$472=$F2237,'學員資料-三重商工'!$G$2:$G$472,""))</f>
        <v/>
      </c>
      <c r="T2237">
        <f t="shared" si="34"/>
        <v>1</v>
      </c>
    </row>
    <row r="2238" spans="1:20" ht="14.25" hidden="1" customHeight="1">
      <c r="A2238" s="15">
        <v>2237</v>
      </c>
      <c r="B2238" s="16" t="s">
        <v>6914</v>
      </c>
      <c r="C2238" s="17">
        <v>45526</v>
      </c>
      <c r="D2238" s="15" t="s">
        <v>6915</v>
      </c>
      <c r="E2238" s="18" t="s">
        <v>954</v>
      </c>
      <c r="F2238" s="19" t="s">
        <v>6916</v>
      </c>
      <c r="G2238" s="18" t="s">
        <v>6917</v>
      </c>
      <c r="H2238" s="20" t="s">
        <v>5246</v>
      </c>
      <c r="I2238" s="15">
        <v>1</v>
      </c>
      <c r="J2238" s="15" t="s">
        <v>23</v>
      </c>
      <c r="K2238" s="15"/>
      <c r="L2238" s="21" t="s">
        <v>16</v>
      </c>
      <c r="M2238" s="22">
        <v>0</v>
      </c>
      <c r="N2238" s="22">
        <v>-2400</v>
      </c>
      <c r="O2238" s="22">
        <v>4800</v>
      </c>
      <c r="P2238" s="22">
        <v>4800</v>
      </c>
      <c r="Q2238" t="str" cm="1">
        <f t="array" ref="Q2238">_xlfn.TEXTJOIN("、",TRUE,IF('學員資料-三民高中'!$B$2:$B$454=$F2238,'學員資料-三民高中'!$G$2:$G$454,""))</f>
        <v/>
      </c>
      <c r="R2238" t="str" cm="1">
        <f t="array" ref="R2238">_xlfn.TEXTJOIN("、",TRUE,IF('學員資料-新北高中'!$B$2:$B$583=$F2238,'學員資料-新北高中'!$G$2:$G$583,""))</f>
        <v>0958623447</v>
      </c>
      <c r="S2238" t="str" cm="1">
        <f t="array" ref="S2238">_xlfn.TEXTJOIN("、",TRUE,IF('學員資料-三重商工'!$B$2:$B$472=$F2238,'學員資料-三重商工'!$G$2:$G$472,""))</f>
        <v/>
      </c>
      <c r="T2238">
        <f t="shared" si="34"/>
        <v>1</v>
      </c>
    </row>
    <row r="2239" spans="1:20" ht="14.25" hidden="1" customHeight="1">
      <c r="A2239" s="15">
        <v>2238</v>
      </c>
      <c r="B2239" s="16" t="s">
        <v>6918</v>
      </c>
      <c r="C2239" s="17">
        <v>45526</v>
      </c>
      <c r="D2239" s="15" t="s">
        <v>6919</v>
      </c>
      <c r="E2239" s="18" t="s">
        <v>954</v>
      </c>
      <c r="F2239" s="19" t="s">
        <v>5392</v>
      </c>
      <c r="G2239" s="18" t="s">
        <v>5393</v>
      </c>
      <c r="H2239" s="20" t="s">
        <v>5246</v>
      </c>
      <c r="I2239" s="15">
        <v>1</v>
      </c>
      <c r="J2239" s="15" t="s">
        <v>23</v>
      </c>
      <c r="K2239" s="15"/>
      <c r="L2239" s="21" t="s">
        <v>16</v>
      </c>
      <c r="M2239" s="22">
        <v>0</v>
      </c>
      <c r="N2239" s="22">
        <v>-720</v>
      </c>
      <c r="O2239" s="22">
        <v>6480</v>
      </c>
      <c r="P2239" s="22">
        <v>6480</v>
      </c>
      <c r="Q2239" t="str" cm="1">
        <f t="array" ref="Q2239">_xlfn.TEXTJOIN("、",TRUE,IF('學員資料-三民高中'!$B$2:$B$454=$F2239,'學員資料-三民高中'!$G$2:$G$454,""))</f>
        <v/>
      </c>
      <c r="R2239" t="str" cm="1">
        <f t="array" ref="R2239">_xlfn.TEXTJOIN("、",TRUE,IF('學員資料-新北高中'!$B$2:$B$583=$F2239,'學員資料-新北高中'!$G$2:$G$583,""))</f>
        <v>0933092699</v>
      </c>
      <c r="S2239" t="str" cm="1">
        <f t="array" ref="S2239">_xlfn.TEXTJOIN("、",TRUE,IF('學員資料-三重商工'!$B$2:$B$472=$F2239,'學員資料-三重商工'!$G$2:$G$472,""))</f>
        <v/>
      </c>
      <c r="T2239">
        <f t="shared" si="34"/>
        <v>1</v>
      </c>
    </row>
    <row r="2240" spans="1:20" ht="14.25" hidden="1" customHeight="1">
      <c r="A2240" s="15">
        <v>2239</v>
      </c>
      <c r="B2240" s="16" t="s">
        <v>6920</v>
      </c>
      <c r="C2240" s="17">
        <v>45526</v>
      </c>
      <c r="D2240" s="15" t="s">
        <v>6921</v>
      </c>
      <c r="E2240" s="18" t="s">
        <v>954</v>
      </c>
      <c r="F2240" s="19" t="s">
        <v>4578</v>
      </c>
      <c r="G2240" s="18" t="s">
        <v>4579</v>
      </c>
      <c r="H2240" s="20" t="s">
        <v>5163</v>
      </c>
      <c r="I2240" s="15">
        <v>1</v>
      </c>
      <c r="J2240" s="15" t="s">
        <v>23</v>
      </c>
      <c r="K2240" s="15"/>
      <c r="L2240" s="21" t="s">
        <v>16</v>
      </c>
      <c r="M2240" s="22">
        <v>0</v>
      </c>
      <c r="N2240" s="22">
        <v>-2245</v>
      </c>
      <c r="O2240" s="22">
        <v>4355</v>
      </c>
      <c r="P2240" s="22">
        <v>4355</v>
      </c>
      <c r="Q2240" t="str" cm="1">
        <f t="array" ref="Q2240">_xlfn.TEXTJOIN("、",TRUE,IF('學員資料-三民高中'!$B$2:$B$454=$F2240,'學員資料-三民高中'!$G$2:$G$454,""))</f>
        <v/>
      </c>
      <c r="R2240" t="str" cm="1">
        <f t="array" ref="R2240">_xlfn.TEXTJOIN("、",TRUE,IF('學員資料-新北高中'!$B$2:$B$583=$F2240,'學員資料-新北高中'!$G$2:$G$583,""))</f>
        <v>0912028648</v>
      </c>
      <c r="S2240" t="str" cm="1">
        <f t="array" ref="S2240">_xlfn.TEXTJOIN("、",TRUE,IF('學員資料-三重商工'!$B$2:$B$472=$F2240,'學員資料-三重商工'!$G$2:$G$472,""))</f>
        <v/>
      </c>
      <c r="T2240">
        <f t="shared" si="34"/>
        <v>1</v>
      </c>
    </row>
    <row r="2241" spans="1:20" ht="43.5" hidden="1" customHeight="1">
      <c r="A2241" s="15">
        <v>2240</v>
      </c>
      <c r="B2241" s="16" t="s">
        <v>6922</v>
      </c>
      <c r="C2241" s="17">
        <v>45526</v>
      </c>
      <c r="D2241" s="15" t="s">
        <v>6923</v>
      </c>
      <c r="E2241" s="18" t="s">
        <v>954</v>
      </c>
      <c r="F2241" s="19" t="s">
        <v>6924</v>
      </c>
      <c r="G2241" s="18" t="s">
        <v>6925</v>
      </c>
      <c r="H2241" s="20" t="s">
        <v>5436</v>
      </c>
      <c r="I2241" s="15">
        <v>3</v>
      </c>
      <c r="J2241" s="15" t="s">
        <v>24</v>
      </c>
      <c r="K2241" s="15"/>
      <c r="L2241" s="21" t="s">
        <v>16</v>
      </c>
      <c r="M2241" s="22">
        <v>0</v>
      </c>
      <c r="N2241" s="22">
        <v>-3240</v>
      </c>
      <c r="O2241" s="22">
        <v>18360</v>
      </c>
      <c r="P2241" s="22">
        <v>18360</v>
      </c>
      <c r="Q2241" t="str" cm="1">
        <f t="array" ref="Q2241">_xlfn.TEXTJOIN("、",TRUE,IF('學員資料-三民高中'!$B$2:$B$454=$F2241,'學員資料-三民高中'!$G$2:$G$454,""))</f>
        <v/>
      </c>
      <c r="R2241" t="str" cm="1">
        <f t="array" ref="R2241">_xlfn.TEXTJOIN("、",TRUE,IF('學員資料-新北高中'!$B$2:$B$583=$F2241,'學員資料-新北高中'!$G$2:$G$583,""))</f>
        <v>0919797143</v>
      </c>
      <c r="S2241" t="str" cm="1">
        <f t="array" ref="S2241">_xlfn.TEXTJOIN("、",TRUE,IF('學員資料-三重商工'!$B$2:$B$472=$F2241,'學員資料-三重商工'!$G$2:$G$472,""))</f>
        <v/>
      </c>
      <c r="T2241">
        <f t="shared" si="34"/>
        <v>1</v>
      </c>
    </row>
    <row r="2242" spans="1:20" ht="14.25" hidden="1" customHeight="1">
      <c r="A2242" s="15">
        <v>2241</v>
      </c>
      <c r="B2242" s="16" t="s">
        <v>6926</v>
      </c>
      <c r="C2242" s="17">
        <v>45526</v>
      </c>
      <c r="D2242" s="15" t="s">
        <v>6927</v>
      </c>
      <c r="E2242" s="18" t="s">
        <v>954</v>
      </c>
      <c r="F2242" s="19" t="s">
        <v>5392</v>
      </c>
      <c r="G2242" s="18" t="s">
        <v>5393</v>
      </c>
      <c r="H2242" s="20" t="s">
        <v>5246</v>
      </c>
      <c r="I2242" s="15">
        <v>1</v>
      </c>
      <c r="J2242" s="15" t="s">
        <v>23</v>
      </c>
      <c r="K2242" s="15"/>
      <c r="L2242" s="21" t="s">
        <v>16</v>
      </c>
      <c r="M2242" s="22">
        <v>0</v>
      </c>
      <c r="N2242" s="22">
        <v>-720</v>
      </c>
      <c r="O2242" s="22">
        <v>6480</v>
      </c>
      <c r="P2242" s="22">
        <v>6480</v>
      </c>
      <c r="Q2242" t="str" cm="1">
        <f t="array" ref="Q2242">_xlfn.TEXTJOIN("、",TRUE,IF('學員資料-三民高中'!$B$2:$B$454=$F2242,'學員資料-三民高中'!$G$2:$G$454,""))</f>
        <v/>
      </c>
      <c r="R2242" t="str" cm="1">
        <f t="array" ref="R2242">_xlfn.TEXTJOIN("、",TRUE,IF('學員資料-新北高中'!$B$2:$B$583=$F2242,'學員資料-新北高中'!$G$2:$G$583,""))</f>
        <v>0933092699</v>
      </c>
      <c r="S2242" t="str" cm="1">
        <f t="array" ref="S2242">_xlfn.TEXTJOIN("、",TRUE,IF('學員資料-三重商工'!$B$2:$B$472=$F2242,'學員資料-三重商工'!$G$2:$G$472,""))</f>
        <v/>
      </c>
      <c r="T2242">
        <f t="shared" si="34"/>
        <v>1</v>
      </c>
    </row>
    <row r="2243" spans="1:20" ht="14.25" hidden="1" customHeight="1">
      <c r="A2243" s="15">
        <v>2242</v>
      </c>
      <c r="B2243" s="16" t="s">
        <v>6928</v>
      </c>
      <c r="C2243" s="17">
        <v>45526</v>
      </c>
      <c r="D2243" s="15" t="s">
        <v>6929</v>
      </c>
      <c r="E2243" s="18" t="s">
        <v>954</v>
      </c>
      <c r="F2243" s="19" t="s">
        <v>6930</v>
      </c>
      <c r="G2243" s="18" t="s">
        <v>6931</v>
      </c>
      <c r="H2243" s="20" t="s">
        <v>5163</v>
      </c>
      <c r="I2243" s="15">
        <v>1</v>
      </c>
      <c r="J2243" s="15" t="s">
        <v>23</v>
      </c>
      <c r="K2243" s="15"/>
      <c r="L2243" s="21" t="s">
        <v>16</v>
      </c>
      <c r="M2243" s="22">
        <v>0</v>
      </c>
      <c r="N2243" s="22">
        <v>-480</v>
      </c>
      <c r="O2243" s="22">
        <v>6120</v>
      </c>
      <c r="P2243" s="22">
        <v>6120</v>
      </c>
      <c r="Q2243" t="str" cm="1">
        <f t="array" ref="Q2243">_xlfn.TEXTJOIN("、",TRUE,IF('學員資料-三民高中'!$B$2:$B$454=$F2243,'學員資料-三民高中'!$G$2:$G$454,""))</f>
        <v/>
      </c>
      <c r="R2243" t="str" cm="1">
        <f t="array" ref="R2243">_xlfn.TEXTJOIN("、",TRUE,IF('學員資料-新北高中'!$B$2:$B$583=$F2243,'學員資料-新北高中'!$G$2:$G$583,""))</f>
        <v>0974512659</v>
      </c>
      <c r="S2243" t="str" cm="1">
        <f t="array" ref="S2243">_xlfn.TEXTJOIN("、",TRUE,IF('學員資料-三重商工'!$B$2:$B$472=$F2243,'學員資料-三重商工'!$G$2:$G$472,""))</f>
        <v/>
      </c>
      <c r="T2243">
        <f t="shared" ref="T2243:T2306" si="35">3-COUNTBLANK(Q2243:S2243)</f>
        <v>1</v>
      </c>
    </row>
    <row r="2244" spans="1:20" ht="14.25" hidden="1" customHeight="1">
      <c r="A2244" s="15">
        <v>2243</v>
      </c>
      <c r="B2244" s="16" t="s">
        <v>6932</v>
      </c>
      <c r="C2244" s="17">
        <v>45526</v>
      </c>
      <c r="D2244" s="15" t="s">
        <v>6933</v>
      </c>
      <c r="E2244" s="18" t="s">
        <v>954</v>
      </c>
      <c r="F2244" s="19" t="s">
        <v>3484</v>
      </c>
      <c r="G2244" s="18" t="s">
        <v>3485</v>
      </c>
      <c r="H2244" s="20" t="s">
        <v>5131</v>
      </c>
      <c r="I2244" s="15">
        <v>1</v>
      </c>
      <c r="J2244" s="15" t="s">
        <v>24</v>
      </c>
      <c r="K2244" s="15"/>
      <c r="L2244" s="21" t="s">
        <v>16</v>
      </c>
      <c r="M2244" s="22">
        <v>0</v>
      </c>
      <c r="N2244" s="22">
        <v>-720</v>
      </c>
      <c r="O2244" s="22">
        <v>6480</v>
      </c>
      <c r="P2244" s="22">
        <v>6480</v>
      </c>
      <c r="Q2244" t="str" cm="1">
        <f t="array" ref="Q2244">_xlfn.TEXTJOIN("、",TRUE,IF('學員資料-三民高中'!$B$2:$B$454=$F2244,'學員資料-三民高中'!$G$2:$G$454,""))</f>
        <v/>
      </c>
      <c r="R2244" t="str" cm="1">
        <f t="array" ref="R2244">_xlfn.TEXTJOIN("、",TRUE,IF('學員資料-新北高中'!$B$2:$B$583=$F2244,'學員資料-新北高中'!$G$2:$G$583,""))</f>
        <v/>
      </c>
      <c r="S2244" t="str" cm="1">
        <f t="array" ref="S2244">_xlfn.TEXTJOIN("、",TRUE,IF('學員資料-三重商工'!$B$2:$B$472=$F2244,'學員資料-三重商工'!$G$2:$G$472,""))</f>
        <v>0919501937</v>
      </c>
      <c r="T2244">
        <f t="shared" si="35"/>
        <v>1</v>
      </c>
    </row>
    <row r="2245" spans="1:20" ht="14.25" hidden="1" customHeight="1">
      <c r="A2245" s="15">
        <v>2244</v>
      </c>
      <c r="B2245" s="16" t="s">
        <v>6934</v>
      </c>
      <c r="C2245" s="17">
        <v>45526</v>
      </c>
      <c r="D2245" s="15" t="s">
        <v>6935</v>
      </c>
      <c r="E2245" s="18" t="s">
        <v>954</v>
      </c>
      <c r="F2245" s="19" t="s">
        <v>4142</v>
      </c>
      <c r="G2245" s="18" t="s">
        <v>4143</v>
      </c>
      <c r="H2245" s="20" t="s">
        <v>5131</v>
      </c>
      <c r="I2245" s="15">
        <v>1</v>
      </c>
      <c r="J2245" s="15" t="s">
        <v>24</v>
      </c>
      <c r="K2245" s="15"/>
      <c r="L2245" s="21" t="s">
        <v>16</v>
      </c>
      <c r="M2245" s="22">
        <v>0</v>
      </c>
      <c r="N2245" s="22">
        <v>-720</v>
      </c>
      <c r="O2245" s="22">
        <v>6480</v>
      </c>
      <c r="P2245" s="22">
        <v>6480</v>
      </c>
      <c r="Q2245" t="str" cm="1">
        <f t="array" ref="Q2245">_xlfn.TEXTJOIN("、",TRUE,IF('學員資料-三民高中'!$B$2:$B$454=$F2245,'學員資料-三民高中'!$G$2:$G$454,""))</f>
        <v>0937745921</v>
      </c>
      <c r="R2245" t="str" cm="1">
        <f t="array" ref="R2245">_xlfn.TEXTJOIN("、",TRUE,IF('學員資料-新北高中'!$B$2:$B$583=$F2245,'學員資料-新北高中'!$G$2:$G$583,""))</f>
        <v/>
      </c>
      <c r="S2245" t="str" cm="1">
        <f t="array" ref="S2245">_xlfn.TEXTJOIN("、",TRUE,IF('學員資料-三重商工'!$B$2:$B$472=$F2245,'學員資料-三重商工'!$G$2:$G$472,""))</f>
        <v/>
      </c>
      <c r="T2245">
        <f t="shared" si="35"/>
        <v>1</v>
      </c>
    </row>
    <row r="2246" spans="1:20" ht="14.25" hidden="1" customHeight="1">
      <c r="A2246" s="15">
        <v>2245</v>
      </c>
      <c r="B2246" s="16" t="s">
        <v>6936</v>
      </c>
      <c r="C2246" s="17">
        <v>45525</v>
      </c>
      <c r="D2246" s="15" t="s">
        <v>6937</v>
      </c>
      <c r="E2246" s="18" t="s">
        <v>954</v>
      </c>
      <c r="F2246" s="19" t="s">
        <v>6938</v>
      </c>
      <c r="G2246" s="18" t="s">
        <v>6939</v>
      </c>
      <c r="H2246" s="20" t="s">
        <v>5163</v>
      </c>
      <c r="I2246" s="15">
        <v>1</v>
      </c>
      <c r="J2246" s="15" t="s">
        <v>23</v>
      </c>
      <c r="K2246" s="15"/>
      <c r="L2246" s="21" t="s">
        <v>16</v>
      </c>
      <c r="M2246" s="22">
        <v>0</v>
      </c>
      <c r="N2246" s="22">
        <v>-3600</v>
      </c>
      <c r="O2246" s="22">
        <v>3000</v>
      </c>
      <c r="P2246" s="22">
        <v>3000</v>
      </c>
      <c r="Q2246" t="str" cm="1">
        <f t="array" ref="Q2246">_xlfn.TEXTJOIN("、",TRUE,IF('學員資料-三民高中'!$B$2:$B$454=$F2246,'學員資料-三民高中'!$G$2:$G$454,""))</f>
        <v/>
      </c>
      <c r="R2246" t="str" cm="1">
        <f t="array" ref="R2246">_xlfn.TEXTJOIN("、",TRUE,IF('學員資料-新北高中'!$B$2:$B$583=$F2246,'學員資料-新北高中'!$G$2:$G$583,""))</f>
        <v>0958934014</v>
      </c>
      <c r="S2246" t="str" cm="1">
        <f t="array" ref="S2246">_xlfn.TEXTJOIN("、",TRUE,IF('學員資料-三重商工'!$B$2:$B$472=$F2246,'學員資料-三重商工'!$G$2:$G$472,""))</f>
        <v/>
      </c>
      <c r="T2246">
        <f t="shared" si="35"/>
        <v>1</v>
      </c>
    </row>
    <row r="2247" spans="1:20" ht="14.25" hidden="1" customHeight="1">
      <c r="A2247" s="15">
        <v>2246</v>
      </c>
      <c r="B2247" s="16" t="s">
        <v>6940</v>
      </c>
      <c r="C2247" s="17">
        <v>45525</v>
      </c>
      <c r="D2247" s="15" t="s">
        <v>4508</v>
      </c>
      <c r="E2247" s="18" t="s">
        <v>954</v>
      </c>
      <c r="F2247" s="19" t="s">
        <v>6941</v>
      </c>
      <c r="G2247" s="18" t="s">
        <v>6942</v>
      </c>
      <c r="H2247" s="20" t="s">
        <v>5211</v>
      </c>
      <c r="I2247" s="15">
        <v>1</v>
      </c>
      <c r="J2247" s="15" t="s">
        <v>26</v>
      </c>
      <c r="K2247" s="15"/>
      <c r="L2247" s="21" t="s">
        <v>16</v>
      </c>
      <c r="M2247" s="22">
        <v>0</v>
      </c>
      <c r="N2247" s="22">
        <v>-1296</v>
      </c>
      <c r="O2247" s="22">
        <v>9504</v>
      </c>
      <c r="P2247" s="22">
        <v>9504</v>
      </c>
      <c r="Q2247" t="str" cm="1">
        <f t="array" ref="Q2247">_xlfn.TEXTJOIN("、",TRUE,IF('學員資料-三民高中'!$B$2:$B$454=$F2247,'學員資料-三民高中'!$G$2:$G$454,""))</f>
        <v/>
      </c>
      <c r="R2247" t="str" cm="1">
        <f t="array" ref="R2247">_xlfn.TEXTJOIN("、",TRUE,IF('學員資料-新北高中'!$B$2:$B$583=$F2247,'學員資料-新北高中'!$G$2:$G$583,""))</f>
        <v>0916936293</v>
      </c>
      <c r="S2247" t="str" cm="1">
        <f t="array" ref="S2247">_xlfn.TEXTJOIN("、",TRUE,IF('學員資料-三重商工'!$B$2:$B$472=$F2247,'學員資料-三重商工'!$G$2:$G$472,""))</f>
        <v/>
      </c>
      <c r="T2247">
        <f t="shared" si="35"/>
        <v>1</v>
      </c>
    </row>
    <row r="2248" spans="1:20" ht="14.25" hidden="1" customHeight="1">
      <c r="A2248" s="15">
        <v>2247</v>
      </c>
      <c r="B2248" s="16" t="s">
        <v>6943</v>
      </c>
      <c r="C2248" s="17">
        <v>45525</v>
      </c>
      <c r="D2248" s="15" t="s">
        <v>6944</v>
      </c>
      <c r="E2248" s="18" t="s">
        <v>954</v>
      </c>
      <c r="F2248" s="19" t="s">
        <v>6945</v>
      </c>
      <c r="G2248" s="18" t="s">
        <v>6946</v>
      </c>
      <c r="H2248" s="20" t="s">
        <v>5163</v>
      </c>
      <c r="I2248" s="15">
        <v>1</v>
      </c>
      <c r="J2248" s="15" t="s">
        <v>23</v>
      </c>
      <c r="K2248" s="15"/>
      <c r="L2248" s="21" t="s">
        <v>16</v>
      </c>
      <c r="M2248" s="22">
        <v>0</v>
      </c>
      <c r="N2248" s="22">
        <v>0</v>
      </c>
      <c r="O2248" s="22">
        <v>6600</v>
      </c>
      <c r="P2248" s="22">
        <v>6600</v>
      </c>
      <c r="Q2248" t="str" cm="1">
        <f t="array" ref="Q2248">_xlfn.TEXTJOIN("、",TRUE,IF('學員資料-三民高中'!$B$2:$B$454=$F2248,'學員資料-三民高中'!$G$2:$G$454,""))</f>
        <v>0958679422</v>
      </c>
      <c r="R2248" t="str" cm="1">
        <f t="array" ref="R2248">_xlfn.TEXTJOIN("、",TRUE,IF('學員資料-新北高中'!$B$2:$B$583=$F2248,'學員資料-新北高中'!$G$2:$G$583,""))</f>
        <v/>
      </c>
      <c r="S2248" t="str" cm="1">
        <f t="array" ref="S2248">_xlfn.TEXTJOIN("、",TRUE,IF('學員資料-三重商工'!$B$2:$B$472=$F2248,'學員資料-三重商工'!$G$2:$G$472,""))</f>
        <v/>
      </c>
      <c r="T2248">
        <f t="shared" si="35"/>
        <v>1</v>
      </c>
    </row>
    <row r="2249" spans="1:20" ht="14.25" hidden="1" customHeight="1">
      <c r="A2249" s="15">
        <v>2248</v>
      </c>
      <c r="B2249" s="16" t="s">
        <v>6947</v>
      </c>
      <c r="C2249" s="17">
        <v>45525</v>
      </c>
      <c r="D2249" s="15" t="s">
        <v>6948</v>
      </c>
      <c r="E2249" s="18" t="s">
        <v>954</v>
      </c>
      <c r="F2249" s="19" t="s">
        <v>6949</v>
      </c>
      <c r="G2249" s="18" t="s">
        <v>6950</v>
      </c>
      <c r="H2249" s="20" t="s">
        <v>5148</v>
      </c>
      <c r="I2249" s="15">
        <v>1</v>
      </c>
      <c r="J2249" s="15" t="s">
        <v>25</v>
      </c>
      <c r="K2249" s="15"/>
      <c r="L2249" s="21" t="s">
        <v>16</v>
      </c>
      <c r="M2249" s="22">
        <v>0</v>
      </c>
      <c r="N2249" s="22">
        <v>-2115</v>
      </c>
      <c r="O2249" s="22">
        <v>6885</v>
      </c>
      <c r="P2249" s="22">
        <v>6885</v>
      </c>
      <c r="Q2249" t="str" cm="1">
        <f t="array" ref="Q2249">_xlfn.TEXTJOIN("、",TRUE,IF('學員資料-三民高中'!$B$2:$B$454=$F2249,'學員資料-三民高中'!$G$2:$G$454,""))</f>
        <v/>
      </c>
      <c r="R2249" t="str" cm="1">
        <f t="array" ref="R2249">_xlfn.TEXTJOIN("、",TRUE,IF('學員資料-新北高中'!$B$2:$B$583=$F2249,'學員資料-新北高中'!$G$2:$G$583,""))</f>
        <v>112009112009</v>
      </c>
      <c r="S2249" t="str" cm="1">
        <f t="array" ref="S2249">_xlfn.TEXTJOIN("、",TRUE,IF('學員資料-三重商工'!$B$2:$B$472=$F2249,'學員資料-三重商工'!$G$2:$G$472,""))</f>
        <v/>
      </c>
      <c r="T2249">
        <f t="shared" si="35"/>
        <v>1</v>
      </c>
    </row>
    <row r="2250" spans="1:20" ht="14.25" hidden="1" customHeight="1">
      <c r="A2250" s="15">
        <v>2249</v>
      </c>
      <c r="B2250" s="16" t="s">
        <v>6951</v>
      </c>
      <c r="C2250" s="17">
        <v>45525</v>
      </c>
      <c r="D2250" s="15" t="s">
        <v>6952</v>
      </c>
      <c r="E2250" s="18" t="s">
        <v>954</v>
      </c>
      <c r="F2250" s="19" t="s">
        <v>6953</v>
      </c>
      <c r="G2250" s="18" t="s">
        <v>6954</v>
      </c>
      <c r="H2250" s="20" t="s">
        <v>5131</v>
      </c>
      <c r="I2250" s="15">
        <v>1</v>
      </c>
      <c r="J2250" s="15" t="s">
        <v>24</v>
      </c>
      <c r="K2250" s="15"/>
      <c r="L2250" s="21" t="s">
        <v>16</v>
      </c>
      <c r="M2250" s="22">
        <v>0</v>
      </c>
      <c r="N2250" s="22">
        <v>-720</v>
      </c>
      <c r="O2250" s="22">
        <v>6480</v>
      </c>
      <c r="P2250" s="22">
        <v>6480</v>
      </c>
      <c r="Q2250" t="str" cm="1">
        <f t="array" ref="Q2250">_xlfn.TEXTJOIN("、",TRUE,IF('學員資料-三民高中'!$B$2:$B$454=$F2250,'學員資料-三民高中'!$G$2:$G$454,""))</f>
        <v/>
      </c>
      <c r="R2250" t="str" cm="1">
        <f t="array" ref="R2250">_xlfn.TEXTJOIN("、",TRUE,IF('學員資料-新北高中'!$B$2:$B$583=$F2250,'學員資料-新北高中'!$G$2:$G$583,""))</f>
        <v>0926234093-1</v>
      </c>
      <c r="S2250" t="str" cm="1">
        <f t="array" ref="S2250">_xlfn.TEXTJOIN("、",TRUE,IF('學員資料-三重商工'!$B$2:$B$472=$F2250,'學員資料-三重商工'!$G$2:$G$472,""))</f>
        <v/>
      </c>
      <c r="T2250">
        <f t="shared" si="35"/>
        <v>1</v>
      </c>
    </row>
    <row r="2251" spans="1:20" ht="14.25" hidden="1" customHeight="1">
      <c r="A2251" s="15">
        <v>2250</v>
      </c>
      <c r="B2251" s="16" t="s">
        <v>6955</v>
      </c>
      <c r="C2251" s="17">
        <v>45525</v>
      </c>
      <c r="D2251" s="15" t="s">
        <v>6956</v>
      </c>
      <c r="E2251" s="18" t="s">
        <v>954</v>
      </c>
      <c r="F2251" s="19" t="s">
        <v>6957</v>
      </c>
      <c r="G2251" s="18" t="s">
        <v>6958</v>
      </c>
      <c r="H2251" s="20" t="s">
        <v>5148</v>
      </c>
      <c r="I2251" s="15">
        <v>1</v>
      </c>
      <c r="J2251" s="15" t="s">
        <v>25</v>
      </c>
      <c r="K2251" s="15"/>
      <c r="L2251" s="21" t="s">
        <v>16</v>
      </c>
      <c r="M2251" s="22">
        <v>0</v>
      </c>
      <c r="N2251" s="22">
        <v>-1080</v>
      </c>
      <c r="O2251" s="22">
        <v>7920</v>
      </c>
      <c r="P2251" s="22">
        <v>7920</v>
      </c>
      <c r="Q2251" t="str" cm="1">
        <f t="array" ref="Q2251">_xlfn.TEXTJOIN("、",TRUE,IF('學員資料-三民高中'!$B$2:$B$454=$F2251,'學員資料-三民高中'!$G$2:$G$454,""))</f>
        <v/>
      </c>
      <c r="R2251" t="str" cm="1">
        <f t="array" ref="R2251">_xlfn.TEXTJOIN("、",TRUE,IF('學員資料-新北高中'!$B$2:$B$583=$F2251,'學員資料-新北高中'!$G$2:$G$583,""))</f>
        <v>0911873283</v>
      </c>
      <c r="S2251" t="str" cm="1">
        <f t="array" ref="S2251">_xlfn.TEXTJOIN("、",TRUE,IF('學員資料-三重商工'!$B$2:$B$472=$F2251,'學員資料-三重商工'!$G$2:$G$472,""))</f>
        <v/>
      </c>
      <c r="T2251">
        <f t="shared" si="35"/>
        <v>1</v>
      </c>
    </row>
    <row r="2252" spans="1:20" ht="28.5" hidden="1" customHeight="1">
      <c r="A2252" s="15">
        <v>2251</v>
      </c>
      <c r="B2252" s="16" t="s">
        <v>6959</v>
      </c>
      <c r="C2252" s="17">
        <v>45525</v>
      </c>
      <c r="D2252" s="15" t="s">
        <v>6960</v>
      </c>
      <c r="E2252" s="18" t="s">
        <v>954</v>
      </c>
      <c r="F2252" s="19" t="s">
        <v>5204</v>
      </c>
      <c r="G2252" s="18" t="s">
        <v>5205</v>
      </c>
      <c r="H2252" s="20" t="s">
        <v>5206</v>
      </c>
      <c r="I2252" s="15">
        <v>2</v>
      </c>
      <c r="J2252" s="15" t="s">
        <v>23</v>
      </c>
      <c r="K2252" s="15"/>
      <c r="L2252" s="21" t="s">
        <v>16</v>
      </c>
      <c r="M2252" s="22">
        <v>0</v>
      </c>
      <c r="N2252" s="22">
        <v>-1320</v>
      </c>
      <c r="O2252" s="22">
        <v>11880</v>
      </c>
      <c r="P2252" s="22">
        <v>11880</v>
      </c>
      <c r="Q2252" t="str" cm="1">
        <f t="array" ref="Q2252">_xlfn.TEXTJOIN("、",TRUE,IF('學員資料-三民高中'!$B$2:$B$454=$F2252,'學員資料-三民高中'!$G$2:$G$454,""))</f>
        <v/>
      </c>
      <c r="R2252" t="str" cm="1">
        <f t="array" ref="R2252">_xlfn.TEXTJOIN("、",TRUE,IF('學員資料-新北高中'!$B$2:$B$583=$F2252,'學員資料-新北高中'!$G$2:$G$583,""))</f>
        <v>0919553715</v>
      </c>
      <c r="S2252" t="str" cm="1">
        <f t="array" ref="S2252">_xlfn.TEXTJOIN("、",TRUE,IF('學員資料-三重商工'!$B$2:$B$472=$F2252,'學員資料-三重商工'!$G$2:$G$472,""))</f>
        <v/>
      </c>
      <c r="T2252">
        <f t="shared" si="35"/>
        <v>1</v>
      </c>
    </row>
    <row r="2253" spans="1:20" ht="14.25" hidden="1" customHeight="1">
      <c r="A2253" s="15">
        <v>2252</v>
      </c>
      <c r="B2253" s="16" t="s">
        <v>6961</v>
      </c>
      <c r="C2253" s="17">
        <v>45525</v>
      </c>
      <c r="D2253" s="15" t="s">
        <v>6962</v>
      </c>
      <c r="E2253" s="18" t="s">
        <v>954</v>
      </c>
      <c r="F2253" s="19" t="s">
        <v>6963</v>
      </c>
      <c r="G2253" s="18" t="s">
        <v>6964</v>
      </c>
      <c r="H2253" s="20" t="s">
        <v>5131</v>
      </c>
      <c r="I2253" s="15">
        <v>1</v>
      </c>
      <c r="J2253" s="15" t="s">
        <v>24</v>
      </c>
      <c r="K2253" s="15"/>
      <c r="L2253" s="21" t="s">
        <v>16</v>
      </c>
      <c r="M2253" s="22">
        <v>0</v>
      </c>
      <c r="N2253" s="22">
        <v>-720</v>
      </c>
      <c r="O2253" s="22">
        <v>6480</v>
      </c>
      <c r="P2253" s="22">
        <v>6480</v>
      </c>
      <c r="Q2253" t="str" cm="1">
        <f t="array" ref="Q2253">_xlfn.TEXTJOIN("、",TRUE,IF('學員資料-三民高中'!$B$2:$B$454=$F2253,'學員資料-三民高中'!$G$2:$G$454,""))</f>
        <v/>
      </c>
      <c r="R2253" t="str" cm="1">
        <f t="array" ref="R2253">_xlfn.TEXTJOIN("、",TRUE,IF('學員資料-新北高中'!$B$2:$B$583=$F2253,'學員資料-新北高中'!$G$2:$G$583,""))</f>
        <v>0988657977</v>
      </c>
      <c r="S2253" t="str" cm="1">
        <f t="array" ref="S2253">_xlfn.TEXTJOIN("、",TRUE,IF('學員資料-三重商工'!$B$2:$B$472=$F2253,'學員資料-三重商工'!$G$2:$G$472,""))</f>
        <v/>
      </c>
      <c r="T2253">
        <f t="shared" si="35"/>
        <v>1</v>
      </c>
    </row>
    <row r="2254" spans="1:20" ht="28.5" hidden="1" customHeight="1">
      <c r="A2254" s="15">
        <v>2253</v>
      </c>
      <c r="B2254" s="16" t="s">
        <v>6965</v>
      </c>
      <c r="C2254" s="17">
        <v>45525</v>
      </c>
      <c r="D2254" s="15" t="s">
        <v>6966</v>
      </c>
      <c r="E2254" s="18" t="s">
        <v>954</v>
      </c>
      <c r="F2254" s="19" t="s">
        <v>394</v>
      </c>
      <c r="G2254" s="18" t="s">
        <v>395</v>
      </c>
      <c r="H2254" s="20" t="s">
        <v>5138</v>
      </c>
      <c r="I2254" s="15">
        <v>2</v>
      </c>
      <c r="J2254" s="15" t="s">
        <v>23</v>
      </c>
      <c r="K2254" s="15"/>
      <c r="L2254" s="21" t="s">
        <v>16</v>
      </c>
      <c r="M2254" s="22">
        <v>0</v>
      </c>
      <c r="N2254" s="22">
        <v>-1440</v>
      </c>
      <c r="O2254" s="22">
        <v>12960</v>
      </c>
      <c r="P2254" s="22">
        <v>12960</v>
      </c>
      <c r="Q2254" t="str" cm="1">
        <f t="array" ref="Q2254">_xlfn.TEXTJOIN("、",TRUE,IF('學員資料-三民高中'!$B$2:$B$454=$F2254,'學員資料-三民高中'!$G$2:$G$454,""))</f>
        <v/>
      </c>
      <c r="R2254" t="str" cm="1">
        <f t="array" ref="R2254">_xlfn.TEXTJOIN("、",TRUE,IF('學員資料-新北高中'!$B$2:$B$583=$F2254,'學員資料-新北高中'!$G$2:$G$583,""))</f>
        <v/>
      </c>
      <c r="S2254" t="str" cm="1">
        <f t="array" ref="S2254">_xlfn.TEXTJOIN("、",TRUE,IF('學員資料-三重商工'!$B$2:$B$472=$F2254,'學員資料-三重商工'!$G$2:$G$472,""))</f>
        <v>0920215407</v>
      </c>
      <c r="T2254">
        <f t="shared" si="35"/>
        <v>1</v>
      </c>
    </row>
    <row r="2255" spans="1:20" ht="14.25" hidden="1" customHeight="1">
      <c r="A2255" s="15">
        <v>2254</v>
      </c>
      <c r="B2255" s="16" t="s">
        <v>6967</v>
      </c>
      <c r="C2255" s="17">
        <v>45525</v>
      </c>
      <c r="D2255" s="15" t="s">
        <v>6968</v>
      </c>
      <c r="E2255" s="18" t="s">
        <v>954</v>
      </c>
      <c r="F2255" s="19" t="s">
        <v>1482</v>
      </c>
      <c r="G2255" s="18" t="s">
        <v>1483</v>
      </c>
      <c r="H2255" s="20" t="s">
        <v>5180</v>
      </c>
      <c r="I2255" s="15">
        <v>1</v>
      </c>
      <c r="J2255" s="15" t="s">
        <v>24</v>
      </c>
      <c r="K2255" s="15"/>
      <c r="L2255" s="21" t="s">
        <v>16</v>
      </c>
      <c r="M2255" s="22">
        <v>0</v>
      </c>
      <c r="N2255" s="22">
        <v>-864</v>
      </c>
      <c r="O2255" s="22">
        <v>7776</v>
      </c>
      <c r="P2255" s="22">
        <v>7776</v>
      </c>
      <c r="Q2255" t="str" cm="1">
        <f t="array" ref="Q2255">_xlfn.TEXTJOIN("、",TRUE,IF('學員資料-三民高中'!$B$2:$B$454=$F2255,'學員資料-三民高中'!$G$2:$G$454,""))</f>
        <v/>
      </c>
      <c r="R2255" t="str" cm="1">
        <f t="array" ref="R2255">_xlfn.TEXTJOIN("、",TRUE,IF('學員資料-新北高中'!$B$2:$B$583=$F2255,'學員資料-新北高中'!$G$2:$G$583,""))</f>
        <v/>
      </c>
      <c r="S2255" t="str" cm="1">
        <f t="array" ref="S2255">_xlfn.TEXTJOIN("、",TRUE,IF('學員資料-三重商工'!$B$2:$B$472=$F2255,'學員資料-三重商工'!$G$2:$G$472,""))</f>
        <v>0958264081</v>
      </c>
      <c r="T2255">
        <f t="shared" si="35"/>
        <v>1</v>
      </c>
    </row>
    <row r="2256" spans="1:20" ht="14.25" hidden="1" customHeight="1">
      <c r="A2256" s="15">
        <v>2255</v>
      </c>
      <c r="B2256" s="16" t="s">
        <v>6969</v>
      </c>
      <c r="C2256" s="17">
        <v>45525</v>
      </c>
      <c r="D2256" s="15" t="s">
        <v>6970</v>
      </c>
      <c r="E2256" s="18" t="s">
        <v>954</v>
      </c>
      <c r="F2256" s="19" t="s">
        <v>6971</v>
      </c>
      <c r="G2256" s="18" t="s">
        <v>6972</v>
      </c>
      <c r="H2256" s="20" t="s">
        <v>5163</v>
      </c>
      <c r="I2256" s="15">
        <v>1</v>
      </c>
      <c r="J2256" s="15" t="s">
        <v>23</v>
      </c>
      <c r="K2256" s="15"/>
      <c r="L2256" s="21" t="s">
        <v>16</v>
      </c>
      <c r="M2256" s="22">
        <v>0</v>
      </c>
      <c r="N2256" s="22">
        <v>-660</v>
      </c>
      <c r="O2256" s="22">
        <v>5940</v>
      </c>
      <c r="P2256" s="22">
        <v>5940</v>
      </c>
      <c r="Q2256" t="str" cm="1">
        <f t="array" ref="Q2256">_xlfn.TEXTJOIN("、",TRUE,IF('學員資料-三民高中'!$B$2:$B$454=$F2256,'學員資料-三民高中'!$G$2:$G$454,""))</f>
        <v/>
      </c>
      <c r="R2256" t="str" cm="1">
        <f t="array" ref="R2256">_xlfn.TEXTJOIN("、",TRUE,IF('學員資料-新北高中'!$B$2:$B$583=$F2256,'學員資料-新北高中'!$G$2:$G$583,""))</f>
        <v>0917535398</v>
      </c>
      <c r="S2256" t="str" cm="1">
        <f t="array" ref="S2256">_xlfn.TEXTJOIN("、",TRUE,IF('學員資料-三重商工'!$B$2:$B$472=$F2256,'學員資料-三重商工'!$G$2:$G$472,""))</f>
        <v/>
      </c>
      <c r="T2256">
        <f t="shared" si="35"/>
        <v>1</v>
      </c>
    </row>
    <row r="2257" spans="1:20" ht="14.25" hidden="1" customHeight="1">
      <c r="A2257" s="15">
        <v>2256</v>
      </c>
      <c r="B2257" s="16" t="s">
        <v>6973</v>
      </c>
      <c r="C2257" s="17">
        <v>45525</v>
      </c>
      <c r="D2257" s="15" t="s">
        <v>6974</v>
      </c>
      <c r="E2257" s="18" t="s">
        <v>954</v>
      </c>
      <c r="F2257" s="19" t="s">
        <v>6415</v>
      </c>
      <c r="G2257" s="18" t="s">
        <v>6416</v>
      </c>
      <c r="H2257" s="20" t="s">
        <v>5131</v>
      </c>
      <c r="I2257" s="15">
        <v>1</v>
      </c>
      <c r="J2257" s="15" t="s">
        <v>24</v>
      </c>
      <c r="K2257" s="15"/>
      <c r="L2257" s="21" t="s">
        <v>16</v>
      </c>
      <c r="M2257" s="22">
        <v>0</v>
      </c>
      <c r="N2257" s="22">
        <v>-720</v>
      </c>
      <c r="O2257" s="22">
        <v>6480</v>
      </c>
      <c r="P2257" s="22">
        <v>6480</v>
      </c>
      <c r="Q2257" t="str" cm="1">
        <f t="array" ref="Q2257">_xlfn.TEXTJOIN("、",TRUE,IF('學員資料-三民高中'!$B$2:$B$454=$F2257,'學員資料-三民高中'!$G$2:$G$454,""))</f>
        <v/>
      </c>
      <c r="R2257" t="str" cm="1">
        <f t="array" ref="R2257">_xlfn.TEXTJOIN("、",TRUE,IF('學員資料-新北高中'!$B$2:$B$583=$F2257,'學員資料-新北高中'!$G$2:$G$583,""))</f>
        <v/>
      </c>
      <c r="S2257" t="str" cm="1">
        <f t="array" ref="S2257">_xlfn.TEXTJOIN("、",TRUE,IF('學員資料-三重商工'!$B$2:$B$472=$F2257,'學員資料-三重商工'!$G$2:$G$472,""))</f>
        <v>0921622688</v>
      </c>
      <c r="T2257">
        <f t="shared" si="35"/>
        <v>1</v>
      </c>
    </row>
    <row r="2258" spans="1:20" ht="14.25" hidden="1" customHeight="1">
      <c r="A2258" s="15">
        <v>2257</v>
      </c>
      <c r="B2258" s="16" t="s">
        <v>6975</v>
      </c>
      <c r="C2258" s="17">
        <v>45525</v>
      </c>
      <c r="D2258" s="15" t="s">
        <v>6976</v>
      </c>
      <c r="E2258" s="18" t="s">
        <v>954</v>
      </c>
      <c r="F2258" s="19" t="s">
        <v>6977</v>
      </c>
      <c r="G2258" s="18" t="s">
        <v>6978</v>
      </c>
      <c r="H2258" s="20" t="s">
        <v>5163</v>
      </c>
      <c r="I2258" s="15">
        <v>1</v>
      </c>
      <c r="J2258" s="15" t="s">
        <v>23</v>
      </c>
      <c r="K2258" s="15"/>
      <c r="L2258" s="21" t="s">
        <v>16</v>
      </c>
      <c r="M2258" s="22">
        <v>0</v>
      </c>
      <c r="N2258" s="22">
        <v>-600</v>
      </c>
      <c r="O2258" s="22">
        <v>6000</v>
      </c>
      <c r="P2258" s="22">
        <v>6000</v>
      </c>
      <c r="Q2258" t="str" cm="1">
        <f t="array" ref="Q2258">_xlfn.TEXTJOIN("、",TRUE,IF('學員資料-三民高中'!$B$2:$B$454=$F2258,'學員資料-三民高中'!$G$2:$G$454,""))</f>
        <v/>
      </c>
      <c r="R2258" t="str" cm="1">
        <f t="array" ref="R2258">_xlfn.TEXTJOIN("、",TRUE,IF('學員資料-新北高中'!$B$2:$B$583=$F2258,'學員資料-新北高中'!$G$2:$G$583,""))</f>
        <v/>
      </c>
      <c r="S2258" t="str" cm="1">
        <f t="array" ref="S2258">_xlfn.TEXTJOIN("、",TRUE,IF('學員資料-三重商工'!$B$2:$B$472=$F2258,'學員資料-三重商工'!$G$2:$G$472,""))</f>
        <v>0900111222</v>
      </c>
      <c r="T2258">
        <f t="shared" si="35"/>
        <v>1</v>
      </c>
    </row>
    <row r="2259" spans="1:20" ht="14.25" hidden="1" customHeight="1">
      <c r="A2259" s="15">
        <v>2258</v>
      </c>
      <c r="B2259" s="16" t="s">
        <v>6979</v>
      </c>
      <c r="C2259" s="17">
        <v>45525</v>
      </c>
      <c r="D2259" s="15" t="s">
        <v>6980</v>
      </c>
      <c r="E2259" s="18" t="s">
        <v>954</v>
      </c>
      <c r="F2259" s="19" t="s">
        <v>5291</v>
      </c>
      <c r="G2259" s="18" t="s">
        <v>5292</v>
      </c>
      <c r="H2259" s="20" t="s">
        <v>5163</v>
      </c>
      <c r="I2259" s="15">
        <v>1</v>
      </c>
      <c r="J2259" s="15" t="s">
        <v>23</v>
      </c>
      <c r="K2259" s="15"/>
      <c r="L2259" s="21" t="s">
        <v>16</v>
      </c>
      <c r="M2259" s="22">
        <v>0</v>
      </c>
      <c r="N2259" s="22">
        <v>-660</v>
      </c>
      <c r="O2259" s="22">
        <v>5940</v>
      </c>
      <c r="P2259" s="22">
        <v>5940</v>
      </c>
      <c r="Q2259" t="str" cm="1">
        <f t="array" ref="Q2259">_xlfn.TEXTJOIN("、",TRUE,IF('學員資料-三民高中'!$B$2:$B$454=$F2259,'學員資料-三民高中'!$G$2:$G$454,""))</f>
        <v/>
      </c>
      <c r="R2259" t="str" cm="1">
        <f t="array" ref="R2259">_xlfn.TEXTJOIN("、",TRUE,IF('學員資料-新北高中'!$B$2:$B$583=$F2259,'學員資料-新北高中'!$G$2:$G$583,""))</f>
        <v/>
      </c>
      <c r="S2259" t="str" cm="1">
        <f t="array" ref="S2259">_xlfn.TEXTJOIN("、",TRUE,IF('學員資料-三重商工'!$B$2:$B$472=$F2259,'學員資料-三重商工'!$G$2:$G$472,""))</f>
        <v>0976613417</v>
      </c>
      <c r="T2259">
        <f t="shared" si="35"/>
        <v>1</v>
      </c>
    </row>
    <row r="2260" spans="1:20" ht="28.5" hidden="1" customHeight="1">
      <c r="A2260" s="15">
        <v>2259</v>
      </c>
      <c r="B2260" s="16" t="s">
        <v>6981</v>
      </c>
      <c r="C2260" s="17">
        <v>45525</v>
      </c>
      <c r="D2260" s="15" t="s">
        <v>6982</v>
      </c>
      <c r="E2260" s="18" t="s">
        <v>3862</v>
      </c>
      <c r="F2260" s="19" t="s">
        <v>6983</v>
      </c>
      <c r="G2260" s="18" t="s">
        <v>6984</v>
      </c>
      <c r="H2260" s="20" t="s">
        <v>5154</v>
      </c>
      <c r="I2260" s="15">
        <v>2</v>
      </c>
      <c r="J2260" s="15" t="s">
        <v>24</v>
      </c>
      <c r="K2260" s="15"/>
      <c r="L2260" s="21" t="s">
        <v>16</v>
      </c>
      <c r="M2260" s="22">
        <v>0</v>
      </c>
      <c r="N2260" s="22">
        <v>-2592</v>
      </c>
      <c r="O2260" s="22">
        <v>19008</v>
      </c>
      <c r="P2260" s="22">
        <v>19008</v>
      </c>
      <c r="Q2260" t="str" cm="1">
        <f t="array" ref="Q2260">_xlfn.TEXTJOIN("、",TRUE,IF('學員資料-三民高中'!$B$2:$B$454=$F2260,'學員資料-三民高中'!$G$2:$G$454,""))</f>
        <v/>
      </c>
      <c r="R2260" t="str" cm="1">
        <f t="array" ref="R2260">_xlfn.TEXTJOIN("、",TRUE,IF('學員資料-新北高中'!$B$2:$B$583=$F2260,'學員資料-新北高中'!$G$2:$G$583,""))</f>
        <v/>
      </c>
      <c r="S2260" t="str" cm="1">
        <f t="array" ref="S2260">_xlfn.TEXTJOIN("、",TRUE,IF('學員資料-三重商工'!$B$2:$B$472=$F2260,'學員資料-三重商工'!$G$2:$G$472,""))</f>
        <v>0916710620</v>
      </c>
      <c r="T2260">
        <f t="shared" si="35"/>
        <v>1</v>
      </c>
    </row>
    <row r="2261" spans="1:20" ht="14.25" hidden="1" customHeight="1">
      <c r="A2261" s="15">
        <v>2260</v>
      </c>
      <c r="B2261" s="16" t="s">
        <v>6985</v>
      </c>
      <c r="C2261" s="17">
        <v>45525</v>
      </c>
      <c r="D2261" s="15" t="s">
        <v>6986</v>
      </c>
      <c r="E2261" s="18" t="s">
        <v>954</v>
      </c>
      <c r="F2261" s="19" t="s">
        <v>6987</v>
      </c>
      <c r="G2261" s="18" t="s">
        <v>6988</v>
      </c>
      <c r="H2261" s="20" t="s">
        <v>5163</v>
      </c>
      <c r="I2261" s="15">
        <v>1</v>
      </c>
      <c r="J2261" s="15" t="s">
        <v>23</v>
      </c>
      <c r="K2261" s="15"/>
      <c r="L2261" s="21" t="s">
        <v>16</v>
      </c>
      <c r="M2261" s="22">
        <v>0</v>
      </c>
      <c r="N2261" s="22">
        <v>-1500</v>
      </c>
      <c r="O2261" s="22">
        <v>5100</v>
      </c>
      <c r="P2261" s="22">
        <v>5100</v>
      </c>
      <c r="Q2261" t="str" cm="1">
        <f t="array" ref="Q2261">_xlfn.TEXTJOIN("、",TRUE,IF('學員資料-三民高中'!$B$2:$B$454=$F2261,'學員資料-三民高中'!$G$2:$G$454,""))</f>
        <v>112024112024</v>
      </c>
      <c r="R2261" t="str" cm="1">
        <f t="array" ref="R2261">_xlfn.TEXTJOIN("、",TRUE,IF('學員資料-新北高中'!$B$2:$B$583=$F2261,'學員資料-新北高中'!$G$2:$G$583,""))</f>
        <v/>
      </c>
      <c r="S2261" t="str" cm="1">
        <f t="array" ref="S2261">_xlfn.TEXTJOIN("、",TRUE,IF('學員資料-三重商工'!$B$2:$B$472=$F2261,'學員資料-三重商工'!$G$2:$G$472,""))</f>
        <v/>
      </c>
      <c r="T2261">
        <f t="shared" si="35"/>
        <v>1</v>
      </c>
    </row>
    <row r="2262" spans="1:20" ht="28.5" customHeight="1">
      <c r="A2262" s="15">
        <v>2261</v>
      </c>
      <c r="B2262" s="16" t="s">
        <v>6989</v>
      </c>
      <c r="C2262" s="17">
        <v>45525</v>
      </c>
      <c r="D2262" s="15" t="s">
        <v>6990</v>
      </c>
      <c r="E2262" s="18" t="s">
        <v>954</v>
      </c>
      <c r="F2262" s="19" t="s">
        <v>6991</v>
      </c>
      <c r="G2262" s="18" t="s">
        <v>6992</v>
      </c>
      <c r="H2262" s="20" t="s">
        <v>5206</v>
      </c>
      <c r="I2262" s="15">
        <v>2</v>
      </c>
      <c r="J2262" s="15" t="s">
        <v>23</v>
      </c>
      <c r="K2262" s="15"/>
      <c r="L2262" s="21" t="s">
        <v>16</v>
      </c>
      <c r="M2262" s="22">
        <v>0</v>
      </c>
      <c r="N2262" s="22">
        <v>-1320</v>
      </c>
      <c r="O2262" s="22">
        <v>11880</v>
      </c>
      <c r="P2262" s="22">
        <v>11880</v>
      </c>
      <c r="Q2262" t="str" cm="1">
        <f t="array" ref="Q2262">_xlfn.TEXTJOIN("、",TRUE,IF('學員資料-三民高中'!$B$2:$B$454=$F2262,'學員資料-三民高中'!$G$2:$G$454,""))</f>
        <v/>
      </c>
      <c r="R2262" t="str" cm="1">
        <f t="array" ref="R2262">_xlfn.TEXTJOIN("、",TRUE,IF('學員資料-新北高中'!$B$2:$B$583=$F2262,'學員資料-新北高中'!$G$2:$G$583,""))</f>
        <v/>
      </c>
      <c r="S2262" t="str" cm="1">
        <f t="array" ref="S2262">_xlfn.TEXTJOIN("、",TRUE,IF('學員資料-三重商工'!$B$2:$B$472=$F2262,'學員資料-三重商工'!$G$2:$G$472,""))</f>
        <v/>
      </c>
      <c r="T2262">
        <f t="shared" si="35"/>
        <v>0</v>
      </c>
    </row>
    <row r="2263" spans="1:20" ht="14.25" hidden="1" customHeight="1">
      <c r="A2263" s="15">
        <v>2262</v>
      </c>
      <c r="B2263" s="16" t="s">
        <v>6993</v>
      </c>
      <c r="C2263" s="17">
        <v>45525</v>
      </c>
      <c r="D2263" s="15" t="s">
        <v>6994</v>
      </c>
      <c r="E2263" s="18" t="s">
        <v>954</v>
      </c>
      <c r="F2263" s="19" t="s">
        <v>6949</v>
      </c>
      <c r="G2263" s="18" t="s">
        <v>6950</v>
      </c>
      <c r="H2263" s="20" t="s">
        <v>5148</v>
      </c>
      <c r="I2263" s="15">
        <v>1</v>
      </c>
      <c r="J2263" s="15" t="s">
        <v>25</v>
      </c>
      <c r="K2263" s="15"/>
      <c r="L2263" s="21" t="s">
        <v>16</v>
      </c>
      <c r="M2263" s="22">
        <v>0</v>
      </c>
      <c r="N2263" s="22">
        <v>-2115</v>
      </c>
      <c r="O2263" s="22">
        <v>6885</v>
      </c>
      <c r="P2263" s="22">
        <v>6885</v>
      </c>
      <c r="Q2263" t="str" cm="1">
        <f t="array" ref="Q2263">_xlfn.TEXTJOIN("、",TRUE,IF('學員資料-三民高中'!$B$2:$B$454=$F2263,'學員資料-三民高中'!$G$2:$G$454,""))</f>
        <v/>
      </c>
      <c r="R2263" t="str" cm="1">
        <f t="array" ref="R2263">_xlfn.TEXTJOIN("、",TRUE,IF('學員資料-新北高中'!$B$2:$B$583=$F2263,'學員資料-新北高中'!$G$2:$G$583,""))</f>
        <v>112009112009</v>
      </c>
      <c r="S2263" t="str" cm="1">
        <f t="array" ref="S2263">_xlfn.TEXTJOIN("、",TRUE,IF('學員資料-三重商工'!$B$2:$B$472=$F2263,'學員資料-三重商工'!$G$2:$G$472,""))</f>
        <v/>
      </c>
      <c r="T2263">
        <f t="shared" si="35"/>
        <v>1</v>
      </c>
    </row>
    <row r="2264" spans="1:20" ht="14.25" hidden="1" customHeight="1">
      <c r="A2264" s="15">
        <v>2263</v>
      </c>
      <c r="B2264" s="16" t="s">
        <v>6995</v>
      </c>
      <c r="C2264" s="17">
        <v>45525</v>
      </c>
      <c r="D2264" s="15" t="s">
        <v>6996</v>
      </c>
      <c r="E2264" s="18" t="s">
        <v>954</v>
      </c>
      <c r="F2264" s="19" t="s">
        <v>6997</v>
      </c>
      <c r="G2264" s="18" t="s">
        <v>6998</v>
      </c>
      <c r="H2264" s="20" t="s">
        <v>5131</v>
      </c>
      <c r="I2264" s="15">
        <v>1</v>
      </c>
      <c r="J2264" s="15" t="s">
        <v>24</v>
      </c>
      <c r="K2264" s="15"/>
      <c r="L2264" s="21" t="s">
        <v>16</v>
      </c>
      <c r="M2264" s="22">
        <v>0</v>
      </c>
      <c r="N2264" s="22">
        <v>-1080</v>
      </c>
      <c r="O2264" s="22">
        <v>6120</v>
      </c>
      <c r="P2264" s="22">
        <v>6120</v>
      </c>
      <c r="Q2264" t="str" cm="1">
        <f t="array" ref="Q2264">_xlfn.TEXTJOIN("、",TRUE,IF('學員資料-三民高中'!$B$2:$B$454=$F2264,'學員資料-三民高中'!$G$2:$G$454,""))</f>
        <v/>
      </c>
      <c r="R2264" t="str" cm="1">
        <f t="array" ref="R2264">_xlfn.TEXTJOIN("、",TRUE,IF('學員資料-新北高中'!$B$2:$B$583=$F2264,'學員資料-新北高中'!$G$2:$G$583,""))</f>
        <v>0000000010</v>
      </c>
      <c r="S2264" t="str" cm="1">
        <f t="array" ref="S2264">_xlfn.TEXTJOIN("、",TRUE,IF('學員資料-三重商工'!$B$2:$B$472=$F2264,'學員資料-三重商工'!$G$2:$G$472,""))</f>
        <v/>
      </c>
      <c r="T2264">
        <f t="shared" si="35"/>
        <v>1</v>
      </c>
    </row>
    <row r="2265" spans="1:20" ht="14.25" hidden="1" customHeight="1">
      <c r="A2265" s="15">
        <v>2264</v>
      </c>
      <c r="B2265" s="16" t="s">
        <v>6999</v>
      </c>
      <c r="C2265" s="17">
        <v>45525</v>
      </c>
      <c r="D2265" s="15" t="s">
        <v>7000</v>
      </c>
      <c r="E2265" s="18" t="s">
        <v>954</v>
      </c>
      <c r="F2265" s="19" t="s">
        <v>7001</v>
      </c>
      <c r="G2265" s="18" t="s">
        <v>7002</v>
      </c>
      <c r="H2265" s="20" t="s">
        <v>5163</v>
      </c>
      <c r="I2265" s="15">
        <v>1</v>
      </c>
      <c r="J2265" s="15" t="s">
        <v>23</v>
      </c>
      <c r="K2265" s="15"/>
      <c r="L2265" s="21" t="s">
        <v>16</v>
      </c>
      <c r="M2265" s="22">
        <v>0</v>
      </c>
      <c r="N2265" s="22">
        <v>0</v>
      </c>
      <c r="O2265" s="22">
        <v>6600</v>
      </c>
      <c r="P2265" s="22">
        <v>6600</v>
      </c>
      <c r="Q2265" t="str" cm="1">
        <f t="array" ref="Q2265">_xlfn.TEXTJOIN("、",TRUE,IF('學員資料-三民高中'!$B$2:$B$454=$F2265,'學員資料-三民高中'!$G$2:$G$454,""))</f>
        <v/>
      </c>
      <c r="R2265" t="str" cm="1">
        <f t="array" ref="R2265">_xlfn.TEXTJOIN("、",TRUE,IF('學員資料-新北高中'!$B$2:$B$583=$F2265,'學員資料-新北高中'!$G$2:$G$583,""))</f>
        <v/>
      </c>
      <c r="S2265" t="str" cm="1">
        <f t="array" ref="S2265">_xlfn.TEXTJOIN("、",TRUE,IF('學員資料-三重商工'!$B$2:$B$472=$F2265,'學員資料-三重商工'!$G$2:$G$472,""))</f>
        <v>0958112332</v>
      </c>
      <c r="T2265">
        <f t="shared" si="35"/>
        <v>1</v>
      </c>
    </row>
    <row r="2266" spans="1:20" ht="14.25" hidden="1" customHeight="1">
      <c r="A2266" s="15">
        <v>2265</v>
      </c>
      <c r="B2266" s="16" t="s">
        <v>7003</v>
      </c>
      <c r="C2266" s="17">
        <v>45525</v>
      </c>
      <c r="D2266" s="15" t="s">
        <v>7004</v>
      </c>
      <c r="E2266" s="18" t="s">
        <v>954</v>
      </c>
      <c r="F2266" s="19" t="s">
        <v>7005</v>
      </c>
      <c r="G2266" s="18" t="s">
        <v>7006</v>
      </c>
      <c r="H2266" s="20" t="s">
        <v>5131</v>
      </c>
      <c r="I2266" s="15">
        <v>1</v>
      </c>
      <c r="J2266" s="15" t="s">
        <v>24</v>
      </c>
      <c r="K2266" s="15"/>
      <c r="L2266" s="21" t="s">
        <v>16</v>
      </c>
      <c r="M2266" s="22">
        <v>0</v>
      </c>
      <c r="N2266" s="22">
        <v>-1080</v>
      </c>
      <c r="O2266" s="22">
        <v>6120</v>
      </c>
      <c r="P2266" s="22">
        <v>6120</v>
      </c>
      <c r="Q2266" t="str" cm="1">
        <f t="array" ref="Q2266">_xlfn.TEXTJOIN("、",TRUE,IF('學員資料-三民高中'!$B$2:$B$454=$F2266,'學員資料-三民高中'!$G$2:$G$454,""))</f>
        <v>112038112038</v>
      </c>
      <c r="R2266" t="str" cm="1">
        <f t="array" ref="R2266">_xlfn.TEXTJOIN("、",TRUE,IF('學員資料-新北高中'!$B$2:$B$583=$F2266,'學員資料-新北高中'!$G$2:$G$583,""))</f>
        <v/>
      </c>
      <c r="S2266" t="str" cm="1">
        <f t="array" ref="S2266">_xlfn.TEXTJOIN("、",TRUE,IF('學員資料-三重商工'!$B$2:$B$472=$F2266,'學員資料-三重商工'!$G$2:$G$472,""))</f>
        <v/>
      </c>
      <c r="T2266">
        <f t="shared" si="35"/>
        <v>1</v>
      </c>
    </row>
    <row r="2267" spans="1:20" ht="14.25" hidden="1" customHeight="1">
      <c r="A2267" s="15">
        <v>2266</v>
      </c>
      <c r="B2267" s="16" t="s">
        <v>7007</v>
      </c>
      <c r="C2267" s="17">
        <v>45525</v>
      </c>
      <c r="D2267" s="15" t="s">
        <v>7008</v>
      </c>
      <c r="E2267" s="18" t="s">
        <v>954</v>
      </c>
      <c r="F2267" s="19" t="s">
        <v>7005</v>
      </c>
      <c r="G2267" s="18" t="s">
        <v>7006</v>
      </c>
      <c r="H2267" s="20" t="s">
        <v>5163</v>
      </c>
      <c r="I2267" s="15">
        <v>1</v>
      </c>
      <c r="J2267" s="15" t="s">
        <v>23</v>
      </c>
      <c r="K2267" s="15"/>
      <c r="L2267" s="21" t="s">
        <v>16</v>
      </c>
      <c r="M2267" s="22">
        <v>0</v>
      </c>
      <c r="N2267" s="22">
        <v>-1500</v>
      </c>
      <c r="O2267" s="22">
        <v>5100</v>
      </c>
      <c r="P2267" s="22">
        <v>5100</v>
      </c>
      <c r="Q2267" t="str" cm="1">
        <f t="array" ref="Q2267">_xlfn.TEXTJOIN("、",TRUE,IF('學員資料-三民高中'!$B$2:$B$454=$F2267,'學員資料-三民高中'!$G$2:$G$454,""))</f>
        <v>112038112038</v>
      </c>
      <c r="R2267" t="str" cm="1">
        <f t="array" ref="R2267">_xlfn.TEXTJOIN("、",TRUE,IF('學員資料-新北高中'!$B$2:$B$583=$F2267,'學員資料-新北高中'!$G$2:$G$583,""))</f>
        <v/>
      </c>
      <c r="S2267" t="str" cm="1">
        <f t="array" ref="S2267">_xlfn.TEXTJOIN("、",TRUE,IF('學員資料-三重商工'!$B$2:$B$472=$F2267,'學員資料-三重商工'!$G$2:$G$472,""))</f>
        <v/>
      </c>
      <c r="T2267">
        <f t="shared" si="35"/>
        <v>1</v>
      </c>
    </row>
    <row r="2268" spans="1:20" ht="14.25" hidden="1" customHeight="1">
      <c r="A2268" s="15">
        <v>2267</v>
      </c>
      <c r="B2268" s="16" t="s">
        <v>7009</v>
      </c>
      <c r="C2268" s="17">
        <v>45525</v>
      </c>
      <c r="D2268" s="15" t="s">
        <v>7010</v>
      </c>
      <c r="E2268" s="18" t="s">
        <v>954</v>
      </c>
      <c r="F2268" s="19" t="s">
        <v>7011</v>
      </c>
      <c r="G2268" s="18" t="s">
        <v>7012</v>
      </c>
      <c r="H2268" s="20" t="s">
        <v>5131</v>
      </c>
      <c r="I2268" s="15">
        <v>1</v>
      </c>
      <c r="J2268" s="15" t="s">
        <v>24</v>
      </c>
      <c r="K2268" s="15"/>
      <c r="L2268" s="21" t="s">
        <v>16</v>
      </c>
      <c r="M2268" s="22">
        <v>0</v>
      </c>
      <c r="N2268" s="22">
        <v>-1080</v>
      </c>
      <c r="O2268" s="22">
        <v>6120</v>
      </c>
      <c r="P2268" s="22">
        <v>6120</v>
      </c>
      <c r="Q2268" t="str" cm="1">
        <f t="array" ref="Q2268">_xlfn.TEXTJOIN("、",TRUE,IF('學員資料-三民高中'!$B$2:$B$454=$F2268,'學員資料-三民高中'!$G$2:$G$454,""))</f>
        <v/>
      </c>
      <c r="R2268" t="str" cm="1">
        <f t="array" ref="R2268">_xlfn.TEXTJOIN("、",TRUE,IF('學員資料-新北高中'!$B$2:$B$583=$F2268,'學員資料-新北高中'!$G$2:$G$583,""))</f>
        <v>111142111142</v>
      </c>
      <c r="S2268" t="str" cm="1">
        <f t="array" ref="S2268">_xlfn.TEXTJOIN("、",TRUE,IF('學員資料-三重商工'!$B$2:$B$472=$F2268,'學員資料-三重商工'!$G$2:$G$472,""))</f>
        <v/>
      </c>
      <c r="T2268">
        <f t="shared" si="35"/>
        <v>1</v>
      </c>
    </row>
    <row r="2269" spans="1:20" ht="14.25" hidden="1" customHeight="1">
      <c r="A2269" s="15">
        <v>2268</v>
      </c>
      <c r="B2269" s="16" t="s">
        <v>7013</v>
      </c>
      <c r="C2269" s="17">
        <v>45525</v>
      </c>
      <c r="D2269" s="15" t="s">
        <v>7014</v>
      </c>
      <c r="E2269" s="18" t="s">
        <v>954</v>
      </c>
      <c r="F2269" s="19" t="s">
        <v>7011</v>
      </c>
      <c r="G2269" s="18" t="s">
        <v>7012</v>
      </c>
      <c r="H2269" s="20" t="s">
        <v>5131</v>
      </c>
      <c r="I2269" s="15">
        <v>1</v>
      </c>
      <c r="J2269" s="15" t="s">
        <v>24</v>
      </c>
      <c r="K2269" s="15"/>
      <c r="L2269" s="21" t="s">
        <v>16</v>
      </c>
      <c r="M2269" s="22">
        <v>0</v>
      </c>
      <c r="N2269" s="22">
        <v>-1080</v>
      </c>
      <c r="O2269" s="22">
        <v>6120</v>
      </c>
      <c r="P2269" s="22">
        <v>6120</v>
      </c>
      <c r="Q2269" t="str" cm="1">
        <f t="array" ref="Q2269">_xlfn.TEXTJOIN("、",TRUE,IF('學員資料-三民高中'!$B$2:$B$454=$F2269,'學員資料-三民高中'!$G$2:$G$454,""))</f>
        <v/>
      </c>
      <c r="R2269" t="str" cm="1">
        <f t="array" ref="R2269">_xlfn.TEXTJOIN("、",TRUE,IF('學員資料-新北高中'!$B$2:$B$583=$F2269,'學員資料-新北高中'!$G$2:$G$583,""))</f>
        <v>111142111142</v>
      </c>
      <c r="S2269" t="str" cm="1">
        <f t="array" ref="S2269">_xlfn.TEXTJOIN("、",TRUE,IF('學員資料-三重商工'!$B$2:$B$472=$F2269,'學員資料-三重商工'!$G$2:$G$472,""))</f>
        <v/>
      </c>
      <c r="T2269">
        <f t="shared" si="35"/>
        <v>1</v>
      </c>
    </row>
    <row r="2270" spans="1:20" ht="14.25" hidden="1" customHeight="1">
      <c r="A2270" s="15">
        <v>2269</v>
      </c>
      <c r="B2270" s="16" t="s">
        <v>7015</v>
      </c>
      <c r="C2270" s="17">
        <v>45525</v>
      </c>
      <c r="D2270" s="15" t="s">
        <v>7016</v>
      </c>
      <c r="E2270" s="18" t="s">
        <v>954</v>
      </c>
      <c r="F2270" s="19" t="s">
        <v>7017</v>
      </c>
      <c r="G2270" s="18" t="s">
        <v>7018</v>
      </c>
      <c r="H2270" s="20" t="s">
        <v>5131</v>
      </c>
      <c r="I2270" s="15">
        <v>1</v>
      </c>
      <c r="J2270" s="15" t="s">
        <v>24</v>
      </c>
      <c r="K2270" s="15"/>
      <c r="L2270" s="21" t="s">
        <v>16</v>
      </c>
      <c r="M2270" s="22">
        <v>0</v>
      </c>
      <c r="N2270" s="22">
        <v>-1080</v>
      </c>
      <c r="O2270" s="22">
        <v>6120</v>
      </c>
      <c r="P2270" s="22">
        <v>6120</v>
      </c>
      <c r="Q2270" t="str" cm="1">
        <f t="array" ref="Q2270">_xlfn.TEXTJOIN("、",TRUE,IF('學員資料-三民高中'!$B$2:$B$454=$F2270,'學員資料-三民高中'!$G$2:$G$454,""))</f>
        <v>111131111131</v>
      </c>
      <c r="R2270" t="str" cm="1">
        <f t="array" ref="R2270">_xlfn.TEXTJOIN("、",TRUE,IF('學員資料-新北高中'!$B$2:$B$583=$F2270,'學員資料-新北高中'!$G$2:$G$583,""))</f>
        <v/>
      </c>
      <c r="S2270" t="str" cm="1">
        <f t="array" ref="S2270">_xlfn.TEXTJOIN("、",TRUE,IF('學員資料-三重商工'!$B$2:$B$472=$F2270,'學員資料-三重商工'!$G$2:$G$472,""))</f>
        <v/>
      </c>
      <c r="T2270">
        <f t="shared" si="35"/>
        <v>1</v>
      </c>
    </row>
    <row r="2271" spans="1:20" ht="14.25" hidden="1" customHeight="1">
      <c r="A2271" s="15">
        <v>2270</v>
      </c>
      <c r="B2271" s="16" t="s">
        <v>7019</v>
      </c>
      <c r="C2271" s="17">
        <v>45525</v>
      </c>
      <c r="D2271" s="15" t="s">
        <v>7020</v>
      </c>
      <c r="E2271" s="18" t="s">
        <v>954</v>
      </c>
      <c r="F2271" s="19" t="s">
        <v>7021</v>
      </c>
      <c r="G2271" s="18" t="s">
        <v>7022</v>
      </c>
      <c r="H2271" s="20" t="s">
        <v>5211</v>
      </c>
      <c r="I2271" s="15">
        <v>1</v>
      </c>
      <c r="J2271" s="15" t="s">
        <v>26</v>
      </c>
      <c r="K2271" s="15"/>
      <c r="L2271" s="21" t="s">
        <v>16</v>
      </c>
      <c r="M2271" s="22">
        <v>0</v>
      </c>
      <c r="N2271" s="22">
        <v>-2640</v>
      </c>
      <c r="O2271" s="22">
        <v>8160</v>
      </c>
      <c r="P2271" s="22">
        <v>8160</v>
      </c>
      <c r="Q2271" t="str" cm="1">
        <f t="array" ref="Q2271">_xlfn.TEXTJOIN("、",TRUE,IF('學員資料-三民高中'!$B$2:$B$454=$F2271,'學員資料-三民高中'!$G$2:$G$454,""))</f>
        <v>112048112048</v>
      </c>
      <c r="R2271" t="str" cm="1">
        <f t="array" ref="R2271">_xlfn.TEXTJOIN("、",TRUE,IF('學員資料-新北高中'!$B$2:$B$583=$F2271,'學員資料-新北高中'!$G$2:$G$583,""))</f>
        <v/>
      </c>
      <c r="S2271" t="str" cm="1">
        <f t="array" ref="S2271">_xlfn.TEXTJOIN("、",TRUE,IF('學員資料-三重商工'!$B$2:$B$472=$F2271,'學員資料-三重商工'!$G$2:$G$472,""))</f>
        <v/>
      </c>
      <c r="T2271">
        <f t="shared" si="35"/>
        <v>1</v>
      </c>
    </row>
    <row r="2272" spans="1:20" ht="14.25" hidden="1" customHeight="1">
      <c r="A2272" s="15">
        <v>2271</v>
      </c>
      <c r="B2272" s="16" t="s">
        <v>7023</v>
      </c>
      <c r="C2272" s="17">
        <v>45525</v>
      </c>
      <c r="D2272" s="15" t="s">
        <v>7024</v>
      </c>
      <c r="E2272" s="18" t="s">
        <v>954</v>
      </c>
      <c r="F2272" s="19" t="s">
        <v>7025</v>
      </c>
      <c r="G2272" s="18" t="s">
        <v>7026</v>
      </c>
      <c r="H2272" s="20" t="s">
        <v>5163</v>
      </c>
      <c r="I2272" s="15">
        <v>1</v>
      </c>
      <c r="J2272" s="15" t="s">
        <v>23</v>
      </c>
      <c r="K2272" s="15"/>
      <c r="L2272" s="21" t="s">
        <v>16</v>
      </c>
      <c r="M2272" s="22">
        <v>0</v>
      </c>
      <c r="N2272" s="22">
        <v>-1500</v>
      </c>
      <c r="O2272" s="22">
        <v>5100</v>
      </c>
      <c r="P2272" s="22">
        <v>5100</v>
      </c>
      <c r="Q2272" t="str" cm="1">
        <f t="array" ref="Q2272">_xlfn.TEXTJOIN("、",TRUE,IF('學員資料-三民高中'!$B$2:$B$454=$F2272,'學員資料-三民高中'!$G$2:$G$454,""))</f>
        <v>112017112017</v>
      </c>
      <c r="R2272" t="str" cm="1">
        <f t="array" ref="R2272">_xlfn.TEXTJOIN("、",TRUE,IF('學員資料-新北高中'!$B$2:$B$583=$F2272,'學員資料-新北高中'!$G$2:$G$583,""))</f>
        <v/>
      </c>
      <c r="S2272" t="str" cm="1">
        <f t="array" ref="S2272">_xlfn.TEXTJOIN("、",TRUE,IF('學員資料-三重商工'!$B$2:$B$472=$F2272,'學員資料-三重商工'!$G$2:$G$472,""))</f>
        <v/>
      </c>
      <c r="T2272">
        <f t="shared" si="35"/>
        <v>1</v>
      </c>
    </row>
    <row r="2273" spans="1:20" ht="14.25" hidden="1" customHeight="1">
      <c r="A2273" s="15">
        <v>2272</v>
      </c>
      <c r="B2273" s="16" t="s">
        <v>7027</v>
      </c>
      <c r="C2273" s="17">
        <v>45525</v>
      </c>
      <c r="D2273" s="15" t="s">
        <v>7028</v>
      </c>
      <c r="E2273" s="18" t="s">
        <v>954</v>
      </c>
      <c r="F2273" s="19" t="s">
        <v>7029</v>
      </c>
      <c r="G2273" s="18" t="s">
        <v>7030</v>
      </c>
      <c r="H2273" s="20" t="s">
        <v>5131</v>
      </c>
      <c r="I2273" s="15">
        <v>1</v>
      </c>
      <c r="J2273" s="15" t="s">
        <v>24</v>
      </c>
      <c r="K2273" s="15"/>
      <c r="L2273" s="21" t="s">
        <v>16</v>
      </c>
      <c r="M2273" s="22">
        <v>0</v>
      </c>
      <c r="N2273" s="22">
        <v>-1080</v>
      </c>
      <c r="O2273" s="22">
        <v>6120</v>
      </c>
      <c r="P2273" s="22">
        <v>6120</v>
      </c>
      <c r="Q2273" t="str" cm="1">
        <f t="array" ref="Q2273">_xlfn.TEXTJOIN("、",TRUE,IF('學員資料-三民高中'!$B$2:$B$454=$F2273,'學員資料-三民高中'!$G$2:$G$454,""))</f>
        <v>112028112028</v>
      </c>
      <c r="R2273" t="str" cm="1">
        <f t="array" ref="R2273">_xlfn.TEXTJOIN("、",TRUE,IF('學員資料-新北高中'!$B$2:$B$583=$F2273,'學員資料-新北高中'!$G$2:$G$583,""))</f>
        <v/>
      </c>
      <c r="S2273" t="str" cm="1">
        <f t="array" ref="S2273">_xlfn.TEXTJOIN("、",TRUE,IF('學員資料-三重商工'!$B$2:$B$472=$F2273,'學員資料-三重商工'!$G$2:$G$472,""))</f>
        <v/>
      </c>
      <c r="T2273">
        <f t="shared" si="35"/>
        <v>1</v>
      </c>
    </row>
    <row r="2274" spans="1:20" ht="14.25" hidden="1" customHeight="1">
      <c r="A2274" s="15">
        <v>2273</v>
      </c>
      <c r="B2274" s="16" t="s">
        <v>7031</v>
      </c>
      <c r="C2274" s="17">
        <v>45525</v>
      </c>
      <c r="D2274" s="15" t="s">
        <v>7032</v>
      </c>
      <c r="E2274" s="18" t="s">
        <v>954</v>
      </c>
      <c r="F2274" s="19" t="s">
        <v>7033</v>
      </c>
      <c r="G2274" s="18" t="s">
        <v>7034</v>
      </c>
      <c r="H2274" s="20" t="s">
        <v>5163</v>
      </c>
      <c r="I2274" s="15">
        <v>1</v>
      </c>
      <c r="J2274" s="15" t="s">
        <v>23</v>
      </c>
      <c r="K2274" s="15"/>
      <c r="L2274" s="21" t="s">
        <v>16</v>
      </c>
      <c r="M2274" s="22">
        <v>0</v>
      </c>
      <c r="N2274" s="22">
        <v>-600</v>
      </c>
      <c r="O2274" s="22">
        <v>6000</v>
      </c>
      <c r="P2274" s="22">
        <v>6000</v>
      </c>
      <c r="Q2274" t="str" cm="1">
        <f t="array" ref="Q2274">_xlfn.TEXTJOIN("、",TRUE,IF('學員資料-三民高中'!$B$2:$B$454=$F2274,'學員資料-三民高中'!$G$2:$G$454,""))</f>
        <v>112092112092</v>
      </c>
      <c r="R2274" t="str" cm="1">
        <f t="array" ref="R2274">_xlfn.TEXTJOIN("、",TRUE,IF('學員資料-新北高中'!$B$2:$B$583=$F2274,'學員資料-新北高中'!$G$2:$G$583,""))</f>
        <v/>
      </c>
      <c r="S2274" t="str" cm="1">
        <f t="array" ref="S2274">_xlfn.TEXTJOIN("、",TRUE,IF('學員資料-三重商工'!$B$2:$B$472=$F2274,'學員資料-三重商工'!$G$2:$G$472,""))</f>
        <v/>
      </c>
      <c r="T2274">
        <f t="shared" si="35"/>
        <v>1</v>
      </c>
    </row>
    <row r="2275" spans="1:20" ht="14.25" hidden="1" customHeight="1">
      <c r="A2275" s="15">
        <v>2274</v>
      </c>
      <c r="B2275" s="16" t="s">
        <v>7035</v>
      </c>
      <c r="C2275" s="17">
        <v>45525</v>
      </c>
      <c r="D2275" s="15" t="s">
        <v>7036</v>
      </c>
      <c r="E2275" s="18" t="s">
        <v>954</v>
      </c>
      <c r="F2275" s="19" t="s">
        <v>7037</v>
      </c>
      <c r="G2275" s="18" t="s">
        <v>7038</v>
      </c>
      <c r="H2275" s="20" t="s">
        <v>5507</v>
      </c>
      <c r="I2275" s="15">
        <v>1</v>
      </c>
      <c r="J2275" s="15" t="s">
        <v>25</v>
      </c>
      <c r="K2275" s="15"/>
      <c r="L2275" s="21" t="s">
        <v>16</v>
      </c>
      <c r="M2275" s="22">
        <v>0</v>
      </c>
      <c r="N2275" s="22">
        <v>-2835</v>
      </c>
      <c r="O2275" s="22">
        <v>6885</v>
      </c>
      <c r="P2275" s="22">
        <v>6885</v>
      </c>
      <c r="Q2275" t="str" cm="1">
        <f t="array" ref="Q2275">_xlfn.TEXTJOIN("、",TRUE,IF('學員資料-三民高中'!$B$2:$B$454=$F2275,'學員資料-三民高中'!$G$2:$G$454,""))</f>
        <v/>
      </c>
      <c r="R2275" t="str" cm="1">
        <f t="array" ref="R2275">_xlfn.TEXTJOIN("、",TRUE,IF('學員資料-新北高中'!$B$2:$B$583=$F2275,'學員資料-新北高中'!$G$2:$G$583,""))</f>
        <v>0911342957</v>
      </c>
      <c r="S2275" t="str" cm="1">
        <f t="array" ref="S2275">_xlfn.TEXTJOIN("、",TRUE,IF('學員資料-三重商工'!$B$2:$B$472=$F2275,'學員資料-三重商工'!$G$2:$G$472,""))</f>
        <v/>
      </c>
      <c r="T2275">
        <f t="shared" si="35"/>
        <v>1</v>
      </c>
    </row>
    <row r="2276" spans="1:20" ht="14.25" hidden="1" customHeight="1">
      <c r="A2276" s="15">
        <v>2275</v>
      </c>
      <c r="B2276" s="16" t="s">
        <v>7039</v>
      </c>
      <c r="C2276" s="17">
        <v>45525</v>
      </c>
      <c r="D2276" s="15" t="s">
        <v>7040</v>
      </c>
      <c r="E2276" s="18" t="s">
        <v>954</v>
      </c>
      <c r="F2276" s="19" t="s">
        <v>6938</v>
      </c>
      <c r="G2276" s="18" t="s">
        <v>6939</v>
      </c>
      <c r="H2276" s="20" t="s">
        <v>5163</v>
      </c>
      <c r="I2276" s="15">
        <v>1</v>
      </c>
      <c r="J2276" s="15" t="s">
        <v>23</v>
      </c>
      <c r="K2276" s="15"/>
      <c r="L2276" s="21" t="s">
        <v>16</v>
      </c>
      <c r="M2276" s="22">
        <v>0</v>
      </c>
      <c r="N2276" s="22">
        <v>-3600</v>
      </c>
      <c r="O2276" s="22">
        <v>3000</v>
      </c>
      <c r="P2276" s="22">
        <v>3000</v>
      </c>
      <c r="Q2276" t="str" cm="1">
        <f t="array" ref="Q2276">_xlfn.TEXTJOIN("、",TRUE,IF('學員資料-三民高中'!$B$2:$B$454=$F2276,'學員資料-三民高中'!$G$2:$G$454,""))</f>
        <v/>
      </c>
      <c r="R2276" t="str" cm="1">
        <f t="array" ref="R2276">_xlfn.TEXTJOIN("、",TRUE,IF('學員資料-新北高中'!$B$2:$B$583=$F2276,'學員資料-新北高中'!$G$2:$G$583,""))</f>
        <v>0958934014</v>
      </c>
      <c r="S2276" t="str" cm="1">
        <f t="array" ref="S2276">_xlfn.TEXTJOIN("、",TRUE,IF('學員資料-三重商工'!$B$2:$B$472=$F2276,'學員資料-三重商工'!$G$2:$G$472,""))</f>
        <v/>
      </c>
      <c r="T2276">
        <f t="shared" si="35"/>
        <v>1</v>
      </c>
    </row>
    <row r="2277" spans="1:20" ht="14.25" hidden="1" customHeight="1">
      <c r="A2277" s="15">
        <v>2276</v>
      </c>
      <c r="B2277" s="16" t="s">
        <v>7041</v>
      </c>
      <c r="C2277" s="17">
        <v>45525</v>
      </c>
      <c r="D2277" s="15" t="s">
        <v>7042</v>
      </c>
      <c r="E2277" s="18" t="s">
        <v>954</v>
      </c>
      <c r="F2277" s="19" t="s">
        <v>7043</v>
      </c>
      <c r="G2277" s="18" t="s">
        <v>7044</v>
      </c>
      <c r="H2277" s="20" t="s">
        <v>5131</v>
      </c>
      <c r="I2277" s="15">
        <v>1</v>
      </c>
      <c r="J2277" s="15" t="s">
        <v>24</v>
      </c>
      <c r="K2277" s="15"/>
      <c r="L2277" s="21" t="s">
        <v>16</v>
      </c>
      <c r="M2277" s="22">
        <v>0</v>
      </c>
      <c r="N2277" s="22">
        <v>-2880</v>
      </c>
      <c r="O2277" s="22">
        <v>4320</v>
      </c>
      <c r="P2277" s="22">
        <v>4320</v>
      </c>
      <c r="Q2277" t="str" cm="1">
        <f t="array" ref="Q2277">_xlfn.TEXTJOIN("、",TRUE,IF('學員資料-三民高中'!$B$2:$B$454=$F2277,'學員資料-三民高中'!$G$2:$G$454,""))</f>
        <v/>
      </c>
      <c r="R2277" t="str" cm="1">
        <f t="array" ref="R2277">_xlfn.TEXTJOIN("、",TRUE,IF('學員資料-新北高中'!$B$2:$B$583=$F2277,'學員資料-新北高中'!$G$2:$G$583,""))</f>
        <v>0958642117</v>
      </c>
      <c r="S2277" t="str" cm="1">
        <f t="array" ref="S2277">_xlfn.TEXTJOIN("、",TRUE,IF('學員資料-三重商工'!$B$2:$B$472=$F2277,'學員資料-三重商工'!$G$2:$G$472,""))</f>
        <v/>
      </c>
      <c r="T2277">
        <f t="shared" si="35"/>
        <v>1</v>
      </c>
    </row>
    <row r="2278" spans="1:20" ht="14.25" hidden="1" customHeight="1">
      <c r="A2278" s="15">
        <v>2277</v>
      </c>
      <c r="B2278" s="16" t="s">
        <v>7045</v>
      </c>
      <c r="C2278" s="17">
        <v>45525</v>
      </c>
      <c r="D2278" s="15" t="s">
        <v>7046</v>
      </c>
      <c r="E2278" s="18" t="s">
        <v>954</v>
      </c>
      <c r="F2278" s="19" t="s">
        <v>5185</v>
      </c>
      <c r="G2278" s="18" t="s">
        <v>5186</v>
      </c>
      <c r="H2278" s="20" t="s">
        <v>5180</v>
      </c>
      <c r="I2278" s="15">
        <v>1</v>
      </c>
      <c r="J2278" s="15" t="s">
        <v>24</v>
      </c>
      <c r="K2278" s="15"/>
      <c r="L2278" s="21" t="s">
        <v>16</v>
      </c>
      <c r="M2278" s="22">
        <v>0</v>
      </c>
      <c r="N2278" s="22">
        <v>0</v>
      </c>
      <c r="O2278" s="22">
        <v>8640</v>
      </c>
      <c r="P2278" s="22">
        <v>8640</v>
      </c>
      <c r="Q2278" t="str" cm="1">
        <f t="array" ref="Q2278">_xlfn.TEXTJOIN("、",TRUE,IF('學員資料-三民高中'!$B$2:$B$454=$F2278,'學員資料-三民高中'!$G$2:$G$454,""))</f>
        <v/>
      </c>
      <c r="R2278" t="str" cm="1">
        <f t="array" ref="R2278">_xlfn.TEXTJOIN("、",TRUE,IF('學員資料-新北高中'!$B$2:$B$583=$F2278,'學員資料-新北高中'!$G$2:$G$583,""))</f>
        <v/>
      </c>
      <c r="S2278" t="str" cm="1">
        <f t="array" ref="S2278">_xlfn.TEXTJOIN("、",TRUE,IF('學員資料-三重商工'!$B$2:$B$472=$F2278,'學員資料-三重商工'!$G$2:$G$472,""))</f>
        <v>0939933381</v>
      </c>
      <c r="T2278">
        <f t="shared" si="35"/>
        <v>1</v>
      </c>
    </row>
    <row r="2279" spans="1:20" ht="14.25" hidden="1" customHeight="1">
      <c r="A2279" s="15">
        <v>2278</v>
      </c>
      <c r="B2279" s="16" t="s">
        <v>7047</v>
      </c>
      <c r="C2279" s="17">
        <v>45525</v>
      </c>
      <c r="D2279" s="15" t="s">
        <v>7048</v>
      </c>
      <c r="E2279" s="18" t="s">
        <v>954</v>
      </c>
      <c r="F2279" s="19" t="s">
        <v>7049</v>
      </c>
      <c r="G2279" s="18" t="s">
        <v>7050</v>
      </c>
      <c r="H2279" s="20" t="s">
        <v>5163</v>
      </c>
      <c r="I2279" s="15">
        <v>1</v>
      </c>
      <c r="J2279" s="15" t="s">
        <v>23</v>
      </c>
      <c r="K2279" s="15"/>
      <c r="L2279" s="21" t="s">
        <v>16</v>
      </c>
      <c r="M2279" s="22">
        <v>0</v>
      </c>
      <c r="N2279" s="22">
        <v>-120</v>
      </c>
      <c r="O2279" s="22">
        <v>6480</v>
      </c>
      <c r="P2279" s="22">
        <v>6480</v>
      </c>
      <c r="Q2279" t="str" cm="1">
        <f t="array" ref="Q2279">_xlfn.TEXTJOIN("、",TRUE,IF('學員資料-三民高中'!$B$2:$B$454=$F2279,'學員資料-三民高中'!$G$2:$G$454,""))</f>
        <v/>
      </c>
      <c r="R2279" t="str" cm="1">
        <f t="array" ref="R2279">_xlfn.TEXTJOIN("、",TRUE,IF('學員資料-新北高中'!$B$2:$B$583=$F2279,'學員資料-新北高中'!$G$2:$G$583,""))</f>
        <v/>
      </c>
      <c r="S2279" t="str" cm="1">
        <f t="array" ref="S2279">_xlfn.TEXTJOIN("、",TRUE,IF('學員資料-三重商工'!$B$2:$B$472=$F2279,'學員資料-三重商工'!$G$2:$G$472,""))</f>
        <v>0951435722</v>
      </c>
      <c r="T2279">
        <f t="shared" si="35"/>
        <v>1</v>
      </c>
    </row>
    <row r="2280" spans="1:20" ht="14.25" hidden="1" customHeight="1">
      <c r="A2280" s="15">
        <v>2279</v>
      </c>
      <c r="B2280" s="16" t="s">
        <v>7051</v>
      </c>
      <c r="C2280" s="17">
        <v>45525</v>
      </c>
      <c r="D2280" s="15" t="s">
        <v>7052</v>
      </c>
      <c r="E2280" s="18" t="s">
        <v>954</v>
      </c>
      <c r="F2280" s="19" t="s">
        <v>6945</v>
      </c>
      <c r="G2280" s="18" t="s">
        <v>6946</v>
      </c>
      <c r="H2280" s="20" t="s">
        <v>5163</v>
      </c>
      <c r="I2280" s="15">
        <v>1</v>
      </c>
      <c r="J2280" s="15" t="s">
        <v>23</v>
      </c>
      <c r="K2280" s="15"/>
      <c r="L2280" s="21" t="s">
        <v>16</v>
      </c>
      <c r="M2280" s="22">
        <v>0</v>
      </c>
      <c r="N2280" s="22">
        <v>-1200</v>
      </c>
      <c r="O2280" s="22">
        <v>5400</v>
      </c>
      <c r="P2280" s="22">
        <v>5400</v>
      </c>
      <c r="Q2280" t="str" cm="1">
        <f t="array" ref="Q2280">_xlfn.TEXTJOIN("、",TRUE,IF('學員資料-三民高中'!$B$2:$B$454=$F2280,'學員資料-三民高中'!$G$2:$G$454,""))</f>
        <v>0958679422</v>
      </c>
      <c r="R2280" t="str" cm="1">
        <f t="array" ref="R2280">_xlfn.TEXTJOIN("、",TRUE,IF('學員資料-新北高中'!$B$2:$B$583=$F2280,'學員資料-新北高中'!$G$2:$G$583,""))</f>
        <v/>
      </c>
      <c r="S2280" t="str" cm="1">
        <f t="array" ref="S2280">_xlfn.TEXTJOIN("、",TRUE,IF('學員資料-三重商工'!$B$2:$B$472=$F2280,'學員資料-三重商工'!$G$2:$G$472,""))</f>
        <v/>
      </c>
      <c r="T2280">
        <f t="shared" si="35"/>
        <v>1</v>
      </c>
    </row>
    <row r="2281" spans="1:20" ht="14.25" hidden="1" customHeight="1">
      <c r="A2281" s="15">
        <v>2280</v>
      </c>
      <c r="B2281" s="16" t="s">
        <v>7053</v>
      </c>
      <c r="C2281" s="17">
        <v>45525</v>
      </c>
      <c r="D2281" s="15" t="s">
        <v>7054</v>
      </c>
      <c r="E2281" s="18" t="s">
        <v>954</v>
      </c>
      <c r="F2281" s="19" t="s">
        <v>7055</v>
      </c>
      <c r="G2281" s="18" t="s">
        <v>7056</v>
      </c>
      <c r="H2281" s="20" t="s">
        <v>5131</v>
      </c>
      <c r="I2281" s="15">
        <v>1</v>
      </c>
      <c r="J2281" s="15" t="s">
        <v>24</v>
      </c>
      <c r="K2281" s="15"/>
      <c r="L2281" s="21" t="s">
        <v>16</v>
      </c>
      <c r="M2281" s="22">
        <v>0</v>
      </c>
      <c r="N2281" s="22">
        <v>0</v>
      </c>
      <c r="O2281" s="22">
        <v>7200</v>
      </c>
      <c r="P2281" s="22">
        <v>7200</v>
      </c>
      <c r="Q2281" t="str" cm="1">
        <f t="array" ref="Q2281">_xlfn.TEXTJOIN("、",TRUE,IF('學員資料-三民高中'!$B$2:$B$454=$F2281,'學員資料-三民高中'!$G$2:$G$454,""))</f>
        <v>0954756891</v>
      </c>
      <c r="R2281" t="str" cm="1">
        <f t="array" ref="R2281">_xlfn.TEXTJOIN("、",TRUE,IF('學員資料-新北高中'!$B$2:$B$583=$F2281,'學員資料-新北高中'!$G$2:$G$583,""))</f>
        <v/>
      </c>
      <c r="S2281" t="str" cm="1">
        <f t="array" ref="S2281">_xlfn.TEXTJOIN("、",TRUE,IF('學員資料-三重商工'!$B$2:$B$472=$F2281,'學員資料-三重商工'!$G$2:$G$472,""))</f>
        <v/>
      </c>
      <c r="T2281">
        <f t="shared" si="35"/>
        <v>1</v>
      </c>
    </row>
    <row r="2282" spans="1:20" ht="14.25" hidden="1" customHeight="1">
      <c r="A2282" s="15">
        <v>2281</v>
      </c>
      <c r="B2282" s="16" t="s">
        <v>7057</v>
      </c>
      <c r="C2282" s="17">
        <v>45525</v>
      </c>
      <c r="D2282" s="15" t="s">
        <v>7058</v>
      </c>
      <c r="E2282" s="18" t="s">
        <v>954</v>
      </c>
      <c r="F2282" s="19" t="s">
        <v>7059</v>
      </c>
      <c r="G2282" s="18" t="s">
        <v>7060</v>
      </c>
      <c r="H2282" s="20" t="s">
        <v>7061</v>
      </c>
      <c r="I2282" s="15">
        <v>1</v>
      </c>
      <c r="J2282" s="15" t="s">
        <v>27</v>
      </c>
      <c r="K2282" s="15"/>
      <c r="L2282" s="21" t="s">
        <v>16</v>
      </c>
      <c r="M2282" s="22">
        <v>0</v>
      </c>
      <c r="N2282" s="22">
        <v>0</v>
      </c>
      <c r="O2282" s="22">
        <v>18000</v>
      </c>
      <c r="P2282" s="22">
        <v>18000</v>
      </c>
      <c r="Q2282" t="str" cm="1">
        <f t="array" ref="Q2282">_xlfn.TEXTJOIN("、",TRUE,IF('學員資料-三民高中'!$B$2:$B$454=$F2282,'學員資料-三民高中'!$G$2:$G$454,""))</f>
        <v>0933075090</v>
      </c>
      <c r="R2282" t="str" cm="1">
        <f t="array" ref="R2282">_xlfn.TEXTJOIN("、",TRUE,IF('學員資料-新北高中'!$B$2:$B$583=$F2282,'學員資料-新北高中'!$G$2:$G$583,""))</f>
        <v/>
      </c>
      <c r="S2282" t="str" cm="1">
        <f t="array" ref="S2282">_xlfn.TEXTJOIN("、",TRUE,IF('學員資料-三重商工'!$B$2:$B$472=$F2282,'學員資料-三重商工'!$G$2:$G$472,""))</f>
        <v/>
      </c>
      <c r="T2282">
        <f t="shared" si="35"/>
        <v>1</v>
      </c>
    </row>
    <row r="2283" spans="1:20" ht="14.25" hidden="1" customHeight="1">
      <c r="A2283" s="15">
        <v>2282</v>
      </c>
      <c r="B2283" s="16" t="s">
        <v>7062</v>
      </c>
      <c r="C2283" s="17">
        <v>45525</v>
      </c>
      <c r="D2283" s="15" t="s">
        <v>7063</v>
      </c>
      <c r="E2283" s="18" t="s">
        <v>954</v>
      </c>
      <c r="F2283" s="19" t="s">
        <v>7064</v>
      </c>
      <c r="G2283" s="18" t="s">
        <v>7065</v>
      </c>
      <c r="H2283" s="20" t="s">
        <v>5131</v>
      </c>
      <c r="I2283" s="15">
        <v>1</v>
      </c>
      <c r="J2283" s="15" t="s">
        <v>24</v>
      </c>
      <c r="K2283" s="15"/>
      <c r="L2283" s="21" t="s">
        <v>16</v>
      </c>
      <c r="M2283" s="22">
        <v>0</v>
      </c>
      <c r="N2283" s="22">
        <v>-720</v>
      </c>
      <c r="O2283" s="22">
        <v>6480</v>
      </c>
      <c r="P2283" s="22">
        <v>6480</v>
      </c>
      <c r="Q2283" t="str" cm="1">
        <f t="array" ref="Q2283">_xlfn.TEXTJOIN("、",TRUE,IF('學員資料-三民高中'!$B$2:$B$454=$F2283,'學員資料-三民高中'!$G$2:$G$454,""))</f>
        <v/>
      </c>
      <c r="R2283" t="str" cm="1">
        <f t="array" ref="R2283">_xlfn.TEXTJOIN("、",TRUE,IF('學員資料-新北高中'!$B$2:$B$583=$F2283,'學員資料-新北高中'!$G$2:$G$583,""))</f>
        <v>0928700918-1</v>
      </c>
      <c r="S2283" t="str" cm="1">
        <f t="array" ref="S2283">_xlfn.TEXTJOIN("、",TRUE,IF('學員資料-三重商工'!$B$2:$B$472=$F2283,'學員資料-三重商工'!$G$2:$G$472,""))</f>
        <v/>
      </c>
      <c r="T2283">
        <f t="shared" si="35"/>
        <v>1</v>
      </c>
    </row>
    <row r="2284" spans="1:20" ht="14.25" hidden="1" customHeight="1">
      <c r="A2284" s="15">
        <v>2283</v>
      </c>
      <c r="B2284" s="16" t="s">
        <v>7066</v>
      </c>
      <c r="C2284" s="17">
        <v>45525</v>
      </c>
      <c r="D2284" s="15" t="s">
        <v>7067</v>
      </c>
      <c r="E2284" s="18" t="s">
        <v>954</v>
      </c>
      <c r="F2284" s="19" t="s">
        <v>7068</v>
      </c>
      <c r="G2284" s="18" t="s">
        <v>7069</v>
      </c>
      <c r="H2284" s="20" t="s">
        <v>5180</v>
      </c>
      <c r="I2284" s="15">
        <v>1</v>
      </c>
      <c r="J2284" s="15" t="s">
        <v>24</v>
      </c>
      <c r="K2284" s="15"/>
      <c r="L2284" s="21" t="s">
        <v>16</v>
      </c>
      <c r="M2284" s="22">
        <v>0</v>
      </c>
      <c r="N2284" s="22">
        <v>-864</v>
      </c>
      <c r="O2284" s="22">
        <v>7776</v>
      </c>
      <c r="P2284" s="22">
        <v>7776</v>
      </c>
      <c r="Q2284" t="str" cm="1">
        <f t="array" ref="Q2284">_xlfn.TEXTJOIN("、",TRUE,IF('學員資料-三民高中'!$B$2:$B$454=$F2284,'學員資料-三民高中'!$G$2:$G$454,""))</f>
        <v>0974959700</v>
      </c>
      <c r="R2284" t="str" cm="1">
        <f t="array" ref="R2284">_xlfn.TEXTJOIN("、",TRUE,IF('學員資料-新北高中'!$B$2:$B$583=$F2284,'學員資料-新北高中'!$G$2:$G$583,""))</f>
        <v/>
      </c>
      <c r="S2284" t="str" cm="1">
        <f t="array" ref="S2284">_xlfn.TEXTJOIN("、",TRUE,IF('學員資料-三重商工'!$B$2:$B$472=$F2284,'學員資料-三重商工'!$G$2:$G$472,""))</f>
        <v/>
      </c>
      <c r="T2284">
        <f t="shared" si="35"/>
        <v>1</v>
      </c>
    </row>
    <row r="2285" spans="1:20" ht="14.25" hidden="1" customHeight="1">
      <c r="A2285" s="15">
        <v>2284</v>
      </c>
      <c r="B2285" s="16" t="s">
        <v>7070</v>
      </c>
      <c r="C2285" s="17">
        <v>45525</v>
      </c>
      <c r="D2285" s="15" t="s">
        <v>7071</v>
      </c>
      <c r="E2285" s="18" t="s">
        <v>954</v>
      </c>
      <c r="F2285" s="19" t="s">
        <v>7072</v>
      </c>
      <c r="G2285" s="18" t="s">
        <v>7073</v>
      </c>
      <c r="H2285" s="20" t="s">
        <v>5246</v>
      </c>
      <c r="I2285" s="15">
        <v>1</v>
      </c>
      <c r="J2285" s="15" t="s">
        <v>23</v>
      </c>
      <c r="K2285" s="15"/>
      <c r="L2285" s="21" t="s">
        <v>16</v>
      </c>
      <c r="M2285" s="22">
        <v>0</v>
      </c>
      <c r="N2285" s="22">
        <v>0</v>
      </c>
      <c r="O2285" s="22">
        <v>7200</v>
      </c>
      <c r="P2285" s="22">
        <v>7200</v>
      </c>
      <c r="Q2285" t="str" cm="1">
        <f t="array" ref="Q2285">_xlfn.TEXTJOIN("、",TRUE,IF('學員資料-三民高中'!$B$2:$B$454=$F2285,'學員資料-三民高中'!$G$2:$G$454,""))</f>
        <v>0955679458</v>
      </c>
      <c r="R2285" t="str" cm="1">
        <f t="array" ref="R2285">_xlfn.TEXTJOIN("、",TRUE,IF('學員資料-新北高中'!$B$2:$B$583=$F2285,'學員資料-新北高中'!$G$2:$G$583,""))</f>
        <v/>
      </c>
      <c r="S2285" t="str" cm="1">
        <f t="array" ref="S2285">_xlfn.TEXTJOIN("、",TRUE,IF('學員資料-三重商工'!$B$2:$B$472=$F2285,'學員資料-三重商工'!$G$2:$G$472,""))</f>
        <v/>
      </c>
      <c r="T2285">
        <f t="shared" si="35"/>
        <v>1</v>
      </c>
    </row>
    <row r="2286" spans="1:20" ht="14.25" hidden="1" customHeight="1">
      <c r="A2286" s="15">
        <v>2285</v>
      </c>
      <c r="B2286" s="16" t="s">
        <v>7074</v>
      </c>
      <c r="C2286" s="17">
        <v>45525</v>
      </c>
      <c r="D2286" s="15" t="s">
        <v>7075</v>
      </c>
      <c r="E2286" s="18" t="s">
        <v>954</v>
      </c>
      <c r="F2286" s="19" t="s">
        <v>7076</v>
      </c>
      <c r="G2286" s="18" t="s">
        <v>7077</v>
      </c>
      <c r="H2286" s="20" t="s">
        <v>5246</v>
      </c>
      <c r="I2286" s="15">
        <v>1</v>
      </c>
      <c r="J2286" s="15" t="s">
        <v>23</v>
      </c>
      <c r="K2286" s="15"/>
      <c r="L2286" s="21" t="s">
        <v>16</v>
      </c>
      <c r="M2286" s="22">
        <v>0</v>
      </c>
      <c r="N2286" s="22">
        <v>0</v>
      </c>
      <c r="O2286" s="22">
        <v>7200</v>
      </c>
      <c r="P2286" s="22">
        <v>7200</v>
      </c>
      <c r="Q2286" t="str" cm="1">
        <f t="array" ref="Q2286">_xlfn.TEXTJOIN("、",TRUE,IF('學員資料-三民高中'!$B$2:$B$454=$F2286,'學員資料-三民高中'!$G$2:$G$454,""))</f>
        <v>0973528657</v>
      </c>
      <c r="R2286" t="str" cm="1">
        <f t="array" ref="R2286">_xlfn.TEXTJOIN("、",TRUE,IF('學員資料-新北高中'!$B$2:$B$583=$F2286,'學員資料-新北高中'!$G$2:$G$583,""))</f>
        <v/>
      </c>
      <c r="S2286" t="str" cm="1">
        <f t="array" ref="S2286">_xlfn.TEXTJOIN("、",TRUE,IF('學員資料-三重商工'!$B$2:$B$472=$F2286,'學員資料-三重商工'!$G$2:$G$472,""))</f>
        <v/>
      </c>
      <c r="T2286">
        <f t="shared" si="35"/>
        <v>1</v>
      </c>
    </row>
    <row r="2287" spans="1:20" ht="57.75" hidden="1" customHeight="1">
      <c r="A2287" s="15">
        <v>2286</v>
      </c>
      <c r="B2287" s="16" t="s">
        <v>7078</v>
      </c>
      <c r="C2287" s="17">
        <v>45525</v>
      </c>
      <c r="D2287" s="15" t="s">
        <v>7079</v>
      </c>
      <c r="E2287" s="18" t="s">
        <v>954</v>
      </c>
      <c r="F2287" s="19" t="s">
        <v>7080</v>
      </c>
      <c r="G2287" s="18" t="s">
        <v>7081</v>
      </c>
      <c r="H2287" s="20" t="s">
        <v>5141</v>
      </c>
      <c r="I2287" s="15">
        <v>4</v>
      </c>
      <c r="J2287" s="15" t="s">
        <v>24</v>
      </c>
      <c r="K2287" s="15"/>
      <c r="L2287" s="21" t="s">
        <v>16</v>
      </c>
      <c r="M2287" s="22">
        <v>0</v>
      </c>
      <c r="N2287" s="22">
        <v>0</v>
      </c>
      <c r="O2287" s="22">
        <v>34560</v>
      </c>
      <c r="P2287" s="22">
        <v>34560</v>
      </c>
      <c r="Q2287" t="str" cm="1">
        <f t="array" ref="Q2287">_xlfn.TEXTJOIN("、",TRUE,IF('學員資料-三民高中'!$B$2:$B$454=$F2287,'學員資料-三民高中'!$G$2:$G$454,""))</f>
        <v>0963048896</v>
      </c>
      <c r="R2287" t="str" cm="1">
        <f t="array" ref="R2287">_xlfn.TEXTJOIN("、",TRUE,IF('學員資料-新北高中'!$B$2:$B$583=$F2287,'學員資料-新北高中'!$G$2:$G$583,""))</f>
        <v/>
      </c>
      <c r="S2287" t="str" cm="1">
        <f t="array" ref="S2287">_xlfn.TEXTJOIN("、",TRUE,IF('學員資料-三重商工'!$B$2:$B$472=$F2287,'學員資料-三重商工'!$G$2:$G$472,""))</f>
        <v/>
      </c>
      <c r="T2287">
        <f t="shared" si="35"/>
        <v>1</v>
      </c>
    </row>
    <row r="2288" spans="1:20" ht="28.5" hidden="1" customHeight="1">
      <c r="A2288" s="15">
        <v>2287</v>
      </c>
      <c r="B2288" s="16" t="s">
        <v>7082</v>
      </c>
      <c r="C2288" s="17">
        <v>45525</v>
      </c>
      <c r="D2288" s="15" t="s">
        <v>7083</v>
      </c>
      <c r="E2288" s="18" t="s">
        <v>954</v>
      </c>
      <c r="F2288" s="19" t="s">
        <v>4646</v>
      </c>
      <c r="G2288" s="18" t="s">
        <v>4647</v>
      </c>
      <c r="H2288" s="20" t="s">
        <v>5206</v>
      </c>
      <c r="I2288" s="15">
        <v>2</v>
      </c>
      <c r="J2288" s="15" t="s">
        <v>23</v>
      </c>
      <c r="K2288" s="15"/>
      <c r="L2288" s="21" t="s">
        <v>16</v>
      </c>
      <c r="M2288" s="22">
        <v>0</v>
      </c>
      <c r="N2288" s="22">
        <v>0</v>
      </c>
      <c r="O2288" s="22">
        <v>13200</v>
      </c>
      <c r="P2288" s="22">
        <v>13200</v>
      </c>
      <c r="Q2288" t="str" cm="1">
        <f t="array" ref="Q2288">_xlfn.TEXTJOIN("、",TRUE,IF('學員資料-三民高中'!$B$2:$B$454=$F2288,'學員資料-三民高中'!$G$2:$G$454,""))</f>
        <v/>
      </c>
      <c r="R2288" t="str" cm="1">
        <f t="array" ref="R2288">_xlfn.TEXTJOIN("、",TRUE,IF('學員資料-新北高中'!$B$2:$B$583=$F2288,'學員資料-新北高中'!$G$2:$G$583,""))</f>
        <v/>
      </c>
      <c r="S2288" t="str" cm="1">
        <f t="array" ref="S2288">_xlfn.TEXTJOIN("、",TRUE,IF('學員資料-三重商工'!$B$2:$B$472=$F2288,'學員資料-三重商工'!$G$2:$G$472,""))</f>
        <v>0935973198</v>
      </c>
      <c r="T2288">
        <f t="shared" si="35"/>
        <v>1</v>
      </c>
    </row>
    <row r="2289" spans="1:20" ht="43.5" hidden="1" customHeight="1">
      <c r="A2289" s="15">
        <v>2288</v>
      </c>
      <c r="B2289" s="16" t="s">
        <v>7084</v>
      </c>
      <c r="C2289" s="17">
        <v>45524</v>
      </c>
      <c r="D2289" s="15" t="s">
        <v>7085</v>
      </c>
      <c r="E2289" s="18" t="s">
        <v>954</v>
      </c>
      <c r="F2289" s="19" t="s">
        <v>7086</v>
      </c>
      <c r="G2289" s="18" t="s">
        <v>7087</v>
      </c>
      <c r="H2289" s="20" t="s">
        <v>5128</v>
      </c>
      <c r="I2289" s="15">
        <v>3</v>
      </c>
      <c r="J2289" s="15" t="s">
        <v>25</v>
      </c>
      <c r="K2289" s="15"/>
      <c r="L2289" s="21" t="s">
        <v>16</v>
      </c>
      <c r="M2289" s="22">
        <v>0</v>
      </c>
      <c r="N2289" s="22">
        <v>-3240</v>
      </c>
      <c r="O2289" s="22">
        <v>23760</v>
      </c>
      <c r="P2289" s="22">
        <v>23760</v>
      </c>
      <c r="Q2289" t="str" cm="1">
        <f t="array" ref="Q2289">_xlfn.TEXTJOIN("、",TRUE,IF('學員資料-三民高中'!$B$2:$B$454=$F2289,'學員資料-三民高中'!$G$2:$G$454,""))</f>
        <v/>
      </c>
      <c r="R2289" t="str" cm="1">
        <f t="array" ref="R2289">_xlfn.TEXTJOIN("、",TRUE,IF('學員資料-新北高中'!$B$2:$B$583=$F2289,'學員資料-新北高中'!$G$2:$G$583,""))</f>
        <v>0972803807</v>
      </c>
      <c r="S2289" t="str" cm="1">
        <f t="array" ref="S2289">_xlfn.TEXTJOIN("、",TRUE,IF('學員資料-三重商工'!$B$2:$B$472=$F2289,'學員資料-三重商工'!$G$2:$G$472,""))</f>
        <v/>
      </c>
      <c r="T2289">
        <f t="shared" si="35"/>
        <v>1</v>
      </c>
    </row>
    <row r="2290" spans="1:20" ht="14.25" hidden="1" customHeight="1">
      <c r="A2290" s="15">
        <v>2289</v>
      </c>
      <c r="B2290" s="16" t="s">
        <v>7088</v>
      </c>
      <c r="C2290" s="17">
        <v>45524</v>
      </c>
      <c r="D2290" s="15" t="s">
        <v>7089</v>
      </c>
      <c r="E2290" s="18" t="s">
        <v>954</v>
      </c>
      <c r="F2290" s="19" t="s">
        <v>5370</v>
      </c>
      <c r="G2290" s="18" t="s">
        <v>5371</v>
      </c>
      <c r="H2290" s="20" t="s">
        <v>5340</v>
      </c>
      <c r="I2290" s="15">
        <v>1</v>
      </c>
      <c r="J2290" s="15" t="s">
        <v>27</v>
      </c>
      <c r="K2290" s="15"/>
      <c r="L2290" s="21" t="s">
        <v>16</v>
      </c>
      <c r="M2290" s="22">
        <v>0</v>
      </c>
      <c r="N2290" s="22">
        <v>-1350</v>
      </c>
      <c r="O2290" s="22">
        <v>12150</v>
      </c>
      <c r="P2290" s="22">
        <v>12150</v>
      </c>
      <c r="Q2290" t="str" cm="1">
        <f t="array" ref="Q2290">_xlfn.TEXTJOIN("、",TRUE,IF('學員資料-三民高中'!$B$2:$B$454=$F2290,'學員資料-三民高中'!$G$2:$G$454,""))</f>
        <v/>
      </c>
      <c r="R2290" t="str" cm="1">
        <f t="array" ref="R2290">_xlfn.TEXTJOIN("、",TRUE,IF('學員資料-新北高中'!$B$2:$B$583=$F2290,'學員資料-新北高中'!$G$2:$G$583,""))</f>
        <v>0922989892</v>
      </c>
      <c r="S2290" t="str" cm="1">
        <f t="array" ref="S2290">_xlfn.TEXTJOIN("、",TRUE,IF('學員資料-三重商工'!$B$2:$B$472=$F2290,'學員資料-三重商工'!$G$2:$G$472,""))</f>
        <v/>
      </c>
      <c r="T2290">
        <f t="shared" si="35"/>
        <v>1</v>
      </c>
    </row>
    <row r="2291" spans="1:20" ht="43.5" hidden="1" customHeight="1">
      <c r="A2291" s="15">
        <v>2290</v>
      </c>
      <c r="B2291" s="16" t="s">
        <v>7090</v>
      </c>
      <c r="C2291" s="17">
        <v>45524</v>
      </c>
      <c r="D2291" s="15" t="s">
        <v>7091</v>
      </c>
      <c r="E2291" s="18" t="s">
        <v>954</v>
      </c>
      <c r="F2291" s="19" t="s">
        <v>5185</v>
      </c>
      <c r="G2291" s="18" t="s">
        <v>5186</v>
      </c>
      <c r="H2291" s="20" t="s">
        <v>5301</v>
      </c>
      <c r="I2291" s="15">
        <v>3</v>
      </c>
      <c r="J2291" s="15" t="s">
        <v>24</v>
      </c>
      <c r="K2291" s="15"/>
      <c r="L2291" s="21" t="s">
        <v>16</v>
      </c>
      <c r="M2291" s="22">
        <v>0</v>
      </c>
      <c r="N2291" s="22">
        <v>-2592</v>
      </c>
      <c r="O2291" s="22">
        <v>23328</v>
      </c>
      <c r="P2291" s="22">
        <v>23328</v>
      </c>
      <c r="Q2291" t="str" cm="1">
        <f t="array" ref="Q2291">_xlfn.TEXTJOIN("、",TRUE,IF('學員資料-三民高中'!$B$2:$B$454=$F2291,'學員資料-三民高中'!$G$2:$G$454,""))</f>
        <v/>
      </c>
      <c r="R2291" t="str" cm="1">
        <f t="array" ref="R2291">_xlfn.TEXTJOIN("、",TRUE,IF('學員資料-新北高中'!$B$2:$B$583=$F2291,'學員資料-新北高中'!$G$2:$G$583,""))</f>
        <v/>
      </c>
      <c r="S2291" t="str" cm="1">
        <f t="array" ref="S2291">_xlfn.TEXTJOIN("、",TRUE,IF('學員資料-三重商工'!$B$2:$B$472=$F2291,'學員資料-三重商工'!$G$2:$G$472,""))</f>
        <v>0939933381</v>
      </c>
      <c r="T2291">
        <f t="shared" si="35"/>
        <v>1</v>
      </c>
    </row>
    <row r="2292" spans="1:20" ht="14.25" hidden="1" customHeight="1">
      <c r="A2292" s="15">
        <v>2291</v>
      </c>
      <c r="B2292" s="16" t="s">
        <v>7092</v>
      </c>
      <c r="C2292" s="17">
        <v>45524</v>
      </c>
      <c r="D2292" s="15" t="s">
        <v>7093</v>
      </c>
      <c r="E2292" s="18" t="s">
        <v>954</v>
      </c>
      <c r="F2292" s="19" t="s">
        <v>1529</v>
      </c>
      <c r="G2292" s="18" t="s">
        <v>1530</v>
      </c>
      <c r="H2292" s="20" t="s">
        <v>266</v>
      </c>
      <c r="I2292" s="15">
        <v>1</v>
      </c>
      <c r="J2292" s="15" t="s">
        <v>24</v>
      </c>
      <c r="K2292" s="15"/>
      <c r="L2292" s="21" t="s">
        <v>16</v>
      </c>
      <c r="M2292" s="22">
        <v>0</v>
      </c>
      <c r="N2292" s="22">
        <v>-1080</v>
      </c>
      <c r="O2292" s="22">
        <v>9720</v>
      </c>
      <c r="P2292" s="22">
        <v>9720</v>
      </c>
      <c r="Q2292" t="str" cm="1">
        <f t="array" ref="Q2292">_xlfn.TEXTJOIN("、",TRUE,IF('學員資料-三民高中'!$B$2:$B$454=$F2292,'學員資料-三民高中'!$G$2:$G$454,""))</f>
        <v>0970081031</v>
      </c>
      <c r="R2292" t="str" cm="1">
        <f t="array" ref="R2292">_xlfn.TEXTJOIN("、",TRUE,IF('學員資料-新北高中'!$B$2:$B$583=$F2292,'學員資料-新北高中'!$G$2:$G$583,""))</f>
        <v/>
      </c>
      <c r="S2292" t="str" cm="1">
        <f t="array" ref="S2292">_xlfn.TEXTJOIN("、",TRUE,IF('學員資料-三重商工'!$B$2:$B$472=$F2292,'學員資料-三重商工'!$G$2:$G$472,""))</f>
        <v/>
      </c>
      <c r="T2292">
        <f t="shared" si="35"/>
        <v>1</v>
      </c>
    </row>
    <row r="2293" spans="1:20" ht="43.5" hidden="1" customHeight="1">
      <c r="A2293" s="15">
        <v>2292</v>
      </c>
      <c r="B2293" s="16" t="s">
        <v>7094</v>
      </c>
      <c r="C2293" s="17">
        <v>45524</v>
      </c>
      <c r="D2293" s="15" t="s">
        <v>7095</v>
      </c>
      <c r="E2293" s="18" t="s">
        <v>954</v>
      </c>
      <c r="F2293" s="19" t="s">
        <v>7096</v>
      </c>
      <c r="G2293" s="18" t="s">
        <v>7097</v>
      </c>
      <c r="H2293" s="20" t="s">
        <v>7098</v>
      </c>
      <c r="I2293" s="15">
        <v>3</v>
      </c>
      <c r="J2293" s="15" t="s">
        <v>25</v>
      </c>
      <c r="K2293" s="15"/>
      <c r="L2293" s="21" t="s">
        <v>16</v>
      </c>
      <c r="M2293" s="22">
        <v>0</v>
      </c>
      <c r="N2293" s="22">
        <v>0</v>
      </c>
      <c r="O2293" s="22">
        <v>36450</v>
      </c>
      <c r="P2293" s="22">
        <v>36450</v>
      </c>
      <c r="Q2293" t="str" cm="1">
        <f t="array" ref="Q2293">_xlfn.TEXTJOIN("、",TRUE,IF('學員資料-三民高中'!$B$2:$B$454=$F2293,'學員資料-三民高中'!$G$2:$G$454,""))</f>
        <v/>
      </c>
      <c r="R2293" t="str" cm="1">
        <f t="array" ref="R2293">_xlfn.TEXTJOIN("、",TRUE,IF('學員資料-新北高中'!$B$2:$B$583=$F2293,'學員資料-新北高中'!$G$2:$G$583,""))</f>
        <v>0939301404</v>
      </c>
      <c r="S2293" t="str" cm="1">
        <f t="array" ref="S2293">_xlfn.TEXTJOIN("、",TRUE,IF('學員資料-三重商工'!$B$2:$B$472=$F2293,'學員資料-三重商工'!$G$2:$G$472,""))</f>
        <v/>
      </c>
      <c r="T2293">
        <f t="shared" si="35"/>
        <v>1</v>
      </c>
    </row>
    <row r="2294" spans="1:20" ht="14.25" hidden="1" customHeight="1">
      <c r="A2294" s="15">
        <v>2293</v>
      </c>
      <c r="B2294" s="16" t="s">
        <v>7099</v>
      </c>
      <c r="C2294" s="17">
        <v>45524</v>
      </c>
      <c r="D2294" s="15" t="s">
        <v>7100</v>
      </c>
      <c r="E2294" s="18" t="s">
        <v>954</v>
      </c>
      <c r="F2294" s="19" t="s">
        <v>7101</v>
      </c>
      <c r="G2294" s="18" t="s">
        <v>7102</v>
      </c>
      <c r="H2294" s="20" t="s">
        <v>5180</v>
      </c>
      <c r="I2294" s="15">
        <v>1</v>
      </c>
      <c r="J2294" s="15" t="s">
        <v>24</v>
      </c>
      <c r="K2294" s="15"/>
      <c r="L2294" s="21" t="s">
        <v>16</v>
      </c>
      <c r="M2294" s="22">
        <v>0</v>
      </c>
      <c r="N2294" s="22">
        <v>-864</v>
      </c>
      <c r="O2294" s="22">
        <v>7776</v>
      </c>
      <c r="P2294" s="22">
        <v>7776</v>
      </c>
      <c r="Q2294" t="str" cm="1">
        <f t="array" ref="Q2294">_xlfn.TEXTJOIN("、",TRUE,IF('學員資料-三民高中'!$B$2:$B$454=$F2294,'學員資料-三民高中'!$G$2:$G$454,""))</f>
        <v>0928044604</v>
      </c>
      <c r="R2294" t="str" cm="1">
        <f t="array" ref="R2294">_xlfn.TEXTJOIN("、",TRUE,IF('學員資料-新北高中'!$B$2:$B$583=$F2294,'學員資料-新北高中'!$G$2:$G$583,""))</f>
        <v/>
      </c>
      <c r="S2294" t="str" cm="1">
        <f t="array" ref="S2294">_xlfn.TEXTJOIN("、",TRUE,IF('學員資料-三重商工'!$B$2:$B$472=$F2294,'學員資料-三重商工'!$G$2:$G$472,""))</f>
        <v/>
      </c>
      <c r="T2294">
        <f t="shared" si="35"/>
        <v>1</v>
      </c>
    </row>
    <row r="2295" spans="1:20" ht="14.25" hidden="1" customHeight="1">
      <c r="A2295" s="15">
        <v>2294</v>
      </c>
      <c r="B2295" s="16" t="s">
        <v>7103</v>
      </c>
      <c r="C2295" s="17">
        <v>45524</v>
      </c>
      <c r="D2295" s="15" t="s">
        <v>7104</v>
      </c>
      <c r="E2295" s="18" t="s">
        <v>954</v>
      </c>
      <c r="F2295" s="19" t="s">
        <v>1836</v>
      </c>
      <c r="G2295" s="18" t="s">
        <v>1837</v>
      </c>
      <c r="H2295" s="20" t="s">
        <v>266</v>
      </c>
      <c r="I2295" s="15">
        <v>1</v>
      </c>
      <c r="J2295" s="15" t="s">
        <v>24</v>
      </c>
      <c r="K2295" s="15"/>
      <c r="L2295" s="21" t="s">
        <v>16</v>
      </c>
      <c r="M2295" s="22">
        <v>0</v>
      </c>
      <c r="N2295" s="22">
        <v>0</v>
      </c>
      <c r="O2295" s="22">
        <v>10800</v>
      </c>
      <c r="P2295" s="22">
        <v>10800</v>
      </c>
      <c r="Q2295" t="str" cm="1">
        <f t="array" ref="Q2295">_xlfn.TEXTJOIN("、",TRUE,IF('學員資料-三民高中'!$B$2:$B$454=$F2295,'學員資料-三民高中'!$G$2:$G$454,""))</f>
        <v/>
      </c>
      <c r="R2295" t="str" cm="1">
        <f t="array" ref="R2295">_xlfn.TEXTJOIN("、",TRUE,IF('學員資料-新北高中'!$B$2:$B$583=$F2295,'學員資料-新北高中'!$G$2:$G$583,""))</f>
        <v>0919982200</v>
      </c>
      <c r="S2295" t="str" cm="1">
        <f t="array" ref="S2295">_xlfn.TEXTJOIN("、",TRUE,IF('學員資料-三重商工'!$B$2:$B$472=$F2295,'學員資料-三重商工'!$G$2:$G$472,""))</f>
        <v/>
      </c>
      <c r="T2295">
        <f t="shared" si="35"/>
        <v>1</v>
      </c>
    </row>
    <row r="2296" spans="1:20" ht="14.25" hidden="1" customHeight="1">
      <c r="A2296" s="15">
        <v>2295</v>
      </c>
      <c r="B2296" s="16" t="s">
        <v>7105</v>
      </c>
      <c r="C2296" s="17">
        <v>45524</v>
      </c>
      <c r="D2296" s="15" t="s">
        <v>7106</v>
      </c>
      <c r="E2296" s="18" t="s">
        <v>954</v>
      </c>
      <c r="F2296" s="19" t="s">
        <v>7107</v>
      </c>
      <c r="G2296" s="18" t="s">
        <v>7108</v>
      </c>
      <c r="H2296" s="20" t="s">
        <v>5131</v>
      </c>
      <c r="I2296" s="15">
        <v>1</v>
      </c>
      <c r="J2296" s="15" t="s">
        <v>24</v>
      </c>
      <c r="K2296" s="15"/>
      <c r="L2296" s="21" t="s">
        <v>16</v>
      </c>
      <c r="M2296" s="22">
        <v>0</v>
      </c>
      <c r="N2296" s="22">
        <v>-720</v>
      </c>
      <c r="O2296" s="22">
        <v>6480</v>
      </c>
      <c r="P2296" s="22">
        <v>6480</v>
      </c>
      <c r="Q2296" t="str" cm="1">
        <f t="array" ref="Q2296">_xlfn.TEXTJOIN("、",TRUE,IF('學員資料-三民高中'!$B$2:$B$454=$F2296,'學員資料-三民高中'!$G$2:$G$454,""))</f>
        <v/>
      </c>
      <c r="R2296" t="str" cm="1">
        <f t="array" ref="R2296">_xlfn.TEXTJOIN("、",TRUE,IF('學員資料-新北高中'!$B$2:$B$583=$F2296,'學員資料-新北高中'!$G$2:$G$583,""))</f>
        <v>0935666519</v>
      </c>
      <c r="S2296" t="str" cm="1">
        <f t="array" ref="S2296">_xlfn.TEXTJOIN("、",TRUE,IF('學員資料-三重商工'!$B$2:$B$472=$F2296,'學員資料-三重商工'!$G$2:$G$472,""))</f>
        <v/>
      </c>
      <c r="T2296">
        <f t="shared" si="35"/>
        <v>1</v>
      </c>
    </row>
    <row r="2297" spans="1:20" ht="14.25" hidden="1" customHeight="1">
      <c r="A2297" s="15">
        <v>2296</v>
      </c>
      <c r="B2297" s="16" t="s">
        <v>7109</v>
      </c>
      <c r="C2297" s="17">
        <v>45524</v>
      </c>
      <c r="D2297" s="15" t="s">
        <v>7110</v>
      </c>
      <c r="E2297" s="18" t="s">
        <v>954</v>
      </c>
      <c r="F2297" s="19" t="s">
        <v>7111</v>
      </c>
      <c r="G2297" s="18" t="s">
        <v>7112</v>
      </c>
      <c r="H2297" s="20" t="s">
        <v>5211</v>
      </c>
      <c r="I2297" s="15">
        <v>1</v>
      </c>
      <c r="J2297" s="15" t="s">
        <v>26</v>
      </c>
      <c r="K2297" s="15"/>
      <c r="L2297" s="21" t="s">
        <v>16</v>
      </c>
      <c r="M2297" s="22">
        <v>0</v>
      </c>
      <c r="N2297" s="22">
        <v>-1296</v>
      </c>
      <c r="O2297" s="22">
        <v>9504</v>
      </c>
      <c r="P2297" s="22">
        <v>9504</v>
      </c>
      <c r="Q2297" t="str" cm="1">
        <f t="array" ref="Q2297">_xlfn.TEXTJOIN("、",TRUE,IF('學員資料-三民高中'!$B$2:$B$454=$F2297,'學員資料-三民高中'!$G$2:$G$454,""))</f>
        <v>0911260204</v>
      </c>
      <c r="R2297" t="str" cm="1">
        <f t="array" ref="R2297">_xlfn.TEXTJOIN("、",TRUE,IF('學員資料-新北高中'!$B$2:$B$583=$F2297,'學員資料-新北高中'!$G$2:$G$583,""))</f>
        <v/>
      </c>
      <c r="S2297" t="str" cm="1">
        <f t="array" ref="S2297">_xlfn.TEXTJOIN("、",TRUE,IF('學員資料-三重商工'!$B$2:$B$472=$F2297,'學員資料-三重商工'!$G$2:$G$472,""))</f>
        <v/>
      </c>
      <c r="T2297">
        <f t="shared" si="35"/>
        <v>1</v>
      </c>
    </row>
    <row r="2298" spans="1:20" ht="14.25" hidden="1" customHeight="1">
      <c r="A2298" s="15">
        <v>2297</v>
      </c>
      <c r="B2298" s="16" t="s">
        <v>7113</v>
      </c>
      <c r="C2298" s="17">
        <v>45524</v>
      </c>
      <c r="D2298" s="15" t="s">
        <v>7114</v>
      </c>
      <c r="E2298" s="18" t="s">
        <v>954</v>
      </c>
      <c r="F2298" s="19" t="s">
        <v>6306</v>
      </c>
      <c r="G2298" s="18" t="s">
        <v>6307</v>
      </c>
      <c r="H2298" s="20" t="s">
        <v>266</v>
      </c>
      <c r="I2298" s="15">
        <v>1</v>
      </c>
      <c r="J2298" s="15" t="s">
        <v>24</v>
      </c>
      <c r="K2298" s="15"/>
      <c r="L2298" s="21" t="s">
        <v>16</v>
      </c>
      <c r="M2298" s="22">
        <v>0</v>
      </c>
      <c r="N2298" s="22">
        <v>0</v>
      </c>
      <c r="O2298" s="22">
        <v>10800</v>
      </c>
      <c r="P2298" s="22">
        <v>10800</v>
      </c>
      <c r="Q2298" t="str" cm="1">
        <f t="array" ref="Q2298">_xlfn.TEXTJOIN("、",TRUE,IF('學員資料-三民高中'!$B$2:$B$454=$F2298,'學員資料-三民高中'!$G$2:$G$454,""))</f>
        <v/>
      </c>
      <c r="R2298" t="str" cm="1">
        <f t="array" ref="R2298">_xlfn.TEXTJOIN("、",TRUE,IF('學員資料-新北高中'!$B$2:$B$583=$F2298,'學員資料-新北高中'!$G$2:$G$583,""))</f>
        <v>AQ0001</v>
      </c>
      <c r="S2298" t="str" cm="1">
        <f t="array" ref="S2298">_xlfn.TEXTJOIN("、",TRUE,IF('學員資料-三重商工'!$B$2:$B$472=$F2298,'學員資料-三重商工'!$G$2:$G$472,""))</f>
        <v/>
      </c>
      <c r="T2298">
        <f t="shared" si="35"/>
        <v>1</v>
      </c>
    </row>
    <row r="2299" spans="1:20" ht="43.5" hidden="1" customHeight="1">
      <c r="A2299" s="15">
        <v>2298</v>
      </c>
      <c r="B2299" s="16" t="s">
        <v>7115</v>
      </c>
      <c r="C2299" s="17">
        <v>45524</v>
      </c>
      <c r="D2299" s="15" t="s">
        <v>7116</v>
      </c>
      <c r="E2299" s="18" t="s">
        <v>954</v>
      </c>
      <c r="F2299" s="19" t="s">
        <v>4995</v>
      </c>
      <c r="G2299" s="18" t="s">
        <v>4996</v>
      </c>
      <c r="H2299" s="20" t="s">
        <v>7098</v>
      </c>
      <c r="I2299" s="15">
        <v>3</v>
      </c>
      <c r="J2299" s="15" t="s">
        <v>25</v>
      </c>
      <c r="K2299" s="15"/>
      <c r="L2299" s="21" t="s">
        <v>16</v>
      </c>
      <c r="M2299" s="22">
        <v>0</v>
      </c>
      <c r="N2299" s="22">
        <v>-4374</v>
      </c>
      <c r="O2299" s="22">
        <v>32076</v>
      </c>
      <c r="P2299" s="22">
        <v>32076</v>
      </c>
      <c r="Q2299" t="str" cm="1">
        <f t="array" ref="Q2299">_xlfn.TEXTJOIN("、",TRUE,IF('學員資料-三民高中'!$B$2:$B$454=$F2299,'學員資料-三民高中'!$G$2:$G$454,""))</f>
        <v/>
      </c>
      <c r="R2299" t="str" cm="1">
        <f t="array" ref="R2299">_xlfn.TEXTJOIN("、",TRUE,IF('學員資料-新北高中'!$B$2:$B$583=$F2299,'學員資料-新北高中'!$G$2:$G$583,""))</f>
        <v>0935546212</v>
      </c>
      <c r="S2299" t="str" cm="1">
        <f t="array" ref="S2299">_xlfn.TEXTJOIN("、",TRUE,IF('學員資料-三重商工'!$B$2:$B$472=$F2299,'學員資料-三重商工'!$G$2:$G$472,""))</f>
        <v/>
      </c>
      <c r="T2299">
        <f t="shared" si="35"/>
        <v>1</v>
      </c>
    </row>
    <row r="2300" spans="1:20" ht="28.5" hidden="1" customHeight="1">
      <c r="A2300" s="15">
        <v>2299</v>
      </c>
      <c r="B2300" s="16" t="s">
        <v>7117</v>
      </c>
      <c r="C2300" s="17">
        <v>45524</v>
      </c>
      <c r="D2300" s="15" t="s">
        <v>7118</v>
      </c>
      <c r="E2300" s="18" t="s">
        <v>954</v>
      </c>
      <c r="F2300" s="19" t="s">
        <v>7119</v>
      </c>
      <c r="G2300" s="18" t="s">
        <v>7120</v>
      </c>
      <c r="H2300" s="20" t="s">
        <v>5154</v>
      </c>
      <c r="I2300" s="15">
        <v>2</v>
      </c>
      <c r="J2300" s="15" t="s">
        <v>24</v>
      </c>
      <c r="K2300" s="15"/>
      <c r="L2300" s="21" t="s">
        <v>16</v>
      </c>
      <c r="M2300" s="22">
        <v>0</v>
      </c>
      <c r="N2300" s="22">
        <v>0</v>
      </c>
      <c r="O2300" s="22">
        <v>14400</v>
      </c>
      <c r="P2300" s="22">
        <v>14400</v>
      </c>
      <c r="Q2300" t="str" cm="1">
        <f t="array" ref="Q2300">_xlfn.TEXTJOIN("、",TRUE,IF('學員資料-三民高中'!$B$2:$B$454=$F2300,'學員資料-三民高中'!$G$2:$G$454,""))</f>
        <v/>
      </c>
      <c r="R2300" t="str" cm="1">
        <f t="array" ref="R2300">_xlfn.TEXTJOIN("、",TRUE,IF('學員資料-新北高中'!$B$2:$B$583=$F2300,'學員資料-新北高中'!$G$2:$G$583,""))</f>
        <v>0931754567</v>
      </c>
      <c r="S2300" t="str" cm="1">
        <f t="array" ref="S2300">_xlfn.TEXTJOIN("、",TRUE,IF('學員資料-三重商工'!$B$2:$B$472=$F2300,'學員資料-三重商工'!$G$2:$G$472,""))</f>
        <v/>
      </c>
      <c r="T2300">
        <f t="shared" si="35"/>
        <v>1</v>
      </c>
    </row>
    <row r="2301" spans="1:20" ht="14.25" hidden="1" customHeight="1">
      <c r="A2301" s="15">
        <v>2300</v>
      </c>
      <c r="B2301" s="16" t="s">
        <v>7121</v>
      </c>
      <c r="C2301" s="17">
        <v>45524</v>
      </c>
      <c r="D2301" s="15" t="s">
        <v>7122</v>
      </c>
      <c r="E2301" s="18" t="s">
        <v>954</v>
      </c>
      <c r="F2301" s="19" t="s">
        <v>4797</v>
      </c>
      <c r="G2301" s="18" t="s">
        <v>4798</v>
      </c>
      <c r="H2301" s="20" t="s">
        <v>5131</v>
      </c>
      <c r="I2301" s="15">
        <v>1</v>
      </c>
      <c r="J2301" s="15" t="s">
        <v>24</v>
      </c>
      <c r="K2301" s="15"/>
      <c r="L2301" s="21" t="s">
        <v>16</v>
      </c>
      <c r="M2301" s="22">
        <v>0</v>
      </c>
      <c r="N2301" s="22">
        <v>-720</v>
      </c>
      <c r="O2301" s="22">
        <v>6480</v>
      </c>
      <c r="P2301" s="22">
        <v>6480</v>
      </c>
      <c r="Q2301" t="str" cm="1">
        <f t="array" ref="Q2301">_xlfn.TEXTJOIN("、",TRUE,IF('學員資料-三民高中'!$B$2:$B$454=$F2301,'學員資料-三民高中'!$G$2:$G$454,""))</f>
        <v/>
      </c>
      <c r="R2301" t="str" cm="1">
        <f t="array" ref="R2301">_xlfn.TEXTJOIN("、",TRUE,IF('學員資料-新北高中'!$B$2:$B$583=$F2301,'學員資料-新北高中'!$G$2:$G$583,""))</f>
        <v>0926939361</v>
      </c>
      <c r="S2301" t="str" cm="1">
        <f t="array" ref="S2301">_xlfn.TEXTJOIN("、",TRUE,IF('學員資料-三重商工'!$B$2:$B$472=$F2301,'學員資料-三重商工'!$G$2:$G$472,""))</f>
        <v/>
      </c>
      <c r="T2301">
        <f t="shared" si="35"/>
        <v>1</v>
      </c>
    </row>
    <row r="2302" spans="1:20" ht="28.5" hidden="1" customHeight="1">
      <c r="A2302" s="15">
        <v>2301</v>
      </c>
      <c r="B2302" s="16" t="s">
        <v>7123</v>
      </c>
      <c r="C2302" s="17">
        <v>45524</v>
      </c>
      <c r="D2302" s="15" t="s">
        <v>7124</v>
      </c>
      <c r="E2302" s="18" t="s">
        <v>954</v>
      </c>
      <c r="F2302" s="19" t="s">
        <v>7125</v>
      </c>
      <c r="G2302" s="18" t="s">
        <v>7126</v>
      </c>
      <c r="H2302" s="20" t="s">
        <v>5206</v>
      </c>
      <c r="I2302" s="15">
        <v>2</v>
      </c>
      <c r="J2302" s="15" t="s">
        <v>23</v>
      </c>
      <c r="K2302" s="15"/>
      <c r="L2302" s="21" t="s">
        <v>16</v>
      </c>
      <c r="M2302" s="22">
        <v>0</v>
      </c>
      <c r="N2302" s="22">
        <v>-1320</v>
      </c>
      <c r="O2302" s="22">
        <v>11880</v>
      </c>
      <c r="P2302" s="22">
        <v>11880</v>
      </c>
      <c r="Q2302" t="str" cm="1">
        <f t="array" ref="Q2302">_xlfn.TEXTJOIN("、",TRUE,IF('學員資料-三民高中'!$B$2:$B$454=$F2302,'學員資料-三民高中'!$G$2:$G$454,""))</f>
        <v/>
      </c>
      <c r="R2302" t="str" cm="1">
        <f t="array" ref="R2302">_xlfn.TEXTJOIN("、",TRUE,IF('學員資料-新北高中'!$B$2:$B$583=$F2302,'學員資料-新北高中'!$G$2:$G$583,""))</f>
        <v>0919617953</v>
      </c>
      <c r="S2302" t="str" cm="1">
        <f t="array" ref="S2302">_xlfn.TEXTJOIN("、",TRUE,IF('學員資料-三重商工'!$B$2:$B$472=$F2302,'學員資料-三重商工'!$G$2:$G$472,""))</f>
        <v/>
      </c>
      <c r="T2302">
        <f t="shared" si="35"/>
        <v>1</v>
      </c>
    </row>
    <row r="2303" spans="1:20" ht="28.5" hidden="1" customHeight="1">
      <c r="A2303" s="15">
        <v>2302</v>
      </c>
      <c r="B2303" s="16" t="s">
        <v>7127</v>
      </c>
      <c r="C2303" s="17">
        <v>45524</v>
      </c>
      <c r="D2303" s="15" t="s">
        <v>7128</v>
      </c>
      <c r="E2303" s="18" t="s">
        <v>954</v>
      </c>
      <c r="F2303" s="19" t="s">
        <v>4360</v>
      </c>
      <c r="G2303" s="18" t="s">
        <v>4361</v>
      </c>
      <c r="H2303" s="20" t="s">
        <v>5138</v>
      </c>
      <c r="I2303" s="15">
        <v>2</v>
      </c>
      <c r="J2303" s="15" t="s">
        <v>23</v>
      </c>
      <c r="K2303" s="15"/>
      <c r="L2303" s="21" t="s">
        <v>16</v>
      </c>
      <c r="M2303" s="22">
        <v>0</v>
      </c>
      <c r="N2303" s="22">
        <v>-1440</v>
      </c>
      <c r="O2303" s="22">
        <v>12960</v>
      </c>
      <c r="P2303" s="22">
        <v>12960</v>
      </c>
      <c r="Q2303" t="str" cm="1">
        <f t="array" ref="Q2303">_xlfn.TEXTJOIN("、",TRUE,IF('學員資料-三民高中'!$B$2:$B$454=$F2303,'學員資料-三民高中'!$G$2:$G$454,""))</f>
        <v/>
      </c>
      <c r="R2303" t="str" cm="1">
        <f t="array" ref="R2303">_xlfn.TEXTJOIN("、",TRUE,IF('學員資料-新北高中'!$B$2:$B$583=$F2303,'學員資料-新北高中'!$G$2:$G$583,""))</f>
        <v/>
      </c>
      <c r="S2303" t="str" cm="1">
        <f t="array" ref="S2303">_xlfn.TEXTJOIN("、",TRUE,IF('學員資料-三重商工'!$B$2:$B$472=$F2303,'學員資料-三重商工'!$G$2:$G$472,""))</f>
        <v>0903170826</v>
      </c>
      <c r="T2303">
        <f t="shared" si="35"/>
        <v>1</v>
      </c>
    </row>
    <row r="2304" spans="1:20" ht="14.25" hidden="1" customHeight="1">
      <c r="A2304" s="15">
        <v>2303</v>
      </c>
      <c r="B2304" s="16" t="s">
        <v>7129</v>
      </c>
      <c r="C2304" s="17">
        <v>45523</v>
      </c>
      <c r="D2304" s="15" t="s">
        <v>7130</v>
      </c>
      <c r="E2304" s="18" t="s">
        <v>954</v>
      </c>
      <c r="F2304" s="19" t="s">
        <v>4733</v>
      </c>
      <c r="G2304" s="18" t="s">
        <v>4734</v>
      </c>
      <c r="H2304" s="20" t="s">
        <v>5163</v>
      </c>
      <c r="I2304" s="15">
        <v>1</v>
      </c>
      <c r="J2304" s="15" t="s">
        <v>23</v>
      </c>
      <c r="K2304" s="15"/>
      <c r="L2304" s="21" t="s">
        <v>16</v>
      </c>
      <c r="M2304" s="22">
        <v>0</v>
      </c>
      <c r="N2304" s="22">
        <v>-660</v>
      </c>
      <c r="O2304" s="22">
        <v>5940</v>
      </c>
      <c r="P2304" s="22">
        <v>5940</v>
      </c>
      <c r="Q2304" t="str" cm="1">
        <f t="array" ref="Q2304">_xlfn.TEXTJOIN("、",TRUE,IF('學員資料-三民高中'!$B$2:$B$454=$F2304,'學員資料-三民高中'!$G$2:$G$454,""))</f>
        <v/>
      </c>
      <c r="R2304" t="str" cm="1">
        <f t="array" ref="R2304">_xlfn.TEXTJOIN("、",TRUE,IF('學員資料-新北高中'!$B$2:$B$583=$F2304,'學員資料-新北高中'!$G$2:$G$583,""))</f>
        <v/>
      </c>
      <c r="S2304" t="str" cm="1">
        <f t="array" ref="S2304">_xlfn.TEXTJOIN("、",TRUE,IF('學員資料-三重商工'!$B$2:$B$472=$F2304,'學員資料-三重商工'!$G$2:$G$472,""))</f>
        <v>0911685342</v>
      </c>
      <c r="T2304">
        <f t="shared" si="35"/>
        <v>1</v>
      </c>
    </row>
    <row r="2305" spans="1:20" ht="14.25" hidden="1" customHeight="1">
      <c r="A2305" s="15">
        <v>2304</v>
      </c>
      <c r="B2305" s="16" t="s">
        <v>7131</v>
      </c>
      <c r="C2305" s="17">
        <v>45523</v>
      </c>
      <c r="D2305" s="15" t="s">
        <v>7132</v>
      </c>
      <c r="E2305" s="18" t="s">
        <v>954</v>
      </c>
      <c r="F2305" s="19" t="s">
        <v>4685</v>
      </c>
      <c r="G2305" s="18" t="s">
        <v>4686</v>
      </c>
      <c r="H2305" s="20" t="s">
        <v>5180</v>
      </c>
      <c r="I2305" s="15">
        <v>1</v>
      </c>
      <c r="J2305" s="15" t="s">
        <v>24</v>
      </c>
      <c r="K2305" s="15"/>
      <c r="L2305" s="21" t="s">
        <v>16</v>
      </c>
      <c r="M2305" s="22">
        <v>0</v>
      </c>
      <c r="N2305" s="22">
        <v>-864</v>
      </c>
      <c r="O2305" s="22">
        <v>7776</v>
      </c>
      <c r="P2305" s="22">
        <v>7776</v>
      </c>
      <c r="Q2305" t="str" cm="1">
        <f t="array" ref="Q2305">_xlfn.TEXTJOIN("、",TRUE,IF('學員資料-三民高中'!$B$2:$B$454=$F2305,'學員資料-三民高中'!$G$2:$G$454,""))</f>
        <v/>
      </c>
      <c r="R2305" t="str" cm="1">
        <f t="array" ref="R2305">_xlfn.TEXTJOIN("、",TRUE,IF('學員資料-新北高中'!$B$2:$B$583=$F2305,'學員資料-新北高中'!$G$2:$G$583,""))</f>
        <v/>
      </c>
      <c r="S2305" t="str" cm="1">
        <f t="array" ref="S2305">_xlfn.TEXTJOIN("、",TRUE,IF('學員資料-三重商工'!$B$2:$B$472=$F2305,'學員資料-三重商工'!$G$2:$G$472,""))</f>
        <v>0921812796</v>
      </c>
      <c r="T2305">
        <f t="shared" si="35"/>
        <v>1</v>
      </c>
    </row>
    <row r="2306" spans="1:20" ht="14.25" hidden="1" customHeight="1">
      <c r="A2306" s="15">
        <v>2305</v>
      </c>
      <c r="B2306" s="16" t="s">
        <v>7133</v>
      </c>
      <c r="C2306" s="17">
        <v>45523</v>
      </c>
      <c r="D2306" s="15" t="s">
        <v>7134</v>
      </c>
      <c r="E2306" s="18" t="s">
        <v>954</v>
      </c>
      <c r="F2306" s="19" t="s">
        <v>7135</v>
      </c>
      <c r="G2306" s="18" t="s">
        <v>7136</v>
      </c>
      <c r="H2306" s="20" t="s">
        <v>5163</v>
      </c>
      <c r="I2306" s="15">
        <v>1</v>
      </c>
      <c r="J2306" s="15" t="s">
        <v>23</v>
      </c>
      <c r="K2306" s="15"/>
      <c r="L2306" s="21" t="s">
        <v>16</v>
      </c>
      <c r="M2306" s="22">
        <v>0</v>
      </c>
      <c r="N2306" s="22">
        <v>0</v>
      </c>
      <c r="O2306" s="22">
        <v>6600</v>
      </c>
      <c r="P2306" s="22">
        <v>6600</v>
      </c>
      <c r="Q2306" t="str" cm="1">
        <f t="array" ref="Q2306">_xlfn.TEXTJOIN("、",TRUE,IF('學員資料-三民高中'!$B$2:$B$454=$F2306,'學員資料-三民高中'!$G$2:$G$454,""))</f>
        <v/>
      </c>
      <c r="R2306" t="str" cm="1">
        <f t="array" ref="R2306">_xlfn.TEXTJOIN("、",TRUE,IF('學員資料-新北高中'!$B$2:$B$583=$F2306,'學員資料-新北高中'!$G$2:$G$583,""))</f>
        <v>0900000025</v>
      </c>
      <c r="S2306" t="str" cm="1">
        <f t="array" ref="S2306">_xlfn.TEXTJOIN("、",TRUE,IF('學員資料-三重商工'!$B$2:$B$472=$F2306,'學員資料-三重商工'!$G$2:$G$472,""))</f>
        <v/>
      </c>
      <c r="T2306">
        <f t="shared" si="35"/>
        <v>1</v>
      </c>
    </row>
    <row r="2307" spans="1:20" ht="14.25" hidden="1" customHeight="1">
      <c r="A2307" s="15">
        <v>2306</v>
      </c>
      <c r="B2307" s="16" t="s">
        <v>7137</v>
      </c>
      <c r="C2307" s="17">
        <v>45523</v>
      </c>
      <c r="D2307" s="15" t="s">
        <v>7138</v>
      </c>
      <c r="E2307" s="18" t="s">
        <v>954</v>
      </c>
      <c r="F2307" s="19" t="s">
        <v>7139</v>
      </c>
      <c r="G2307" s="18" t="s">
        <v>7140</v>
      </c>
      <c r="H2307" s="20" t="s">
        <v>5163</v>
      </c>
      <c r="I2307" s="15">
        <v>1</v>
      </c>
      <c r="J2307" s="15" t="s">
        <v>23</v>
      </c>
      <c r="K2307" s="15"/>
      <c r="L2307" s="21" t="s">
        <v>16</v>
      </c>
      <c r="M2307" s="22">
        <v>0</v>
      </c>
      <c r="N2307" s="22">
        <v>0</v>
      </c>
      <c r="O2307" s="22">
        <v>6600</v>
      </c>
      <c r="P2307" s="22">
        <v>6600</v>
      </c>
      <c r="Q2307" t="str" cm="1">
        <f t="array" ref="Q2307">_xlfn.TEXTJOIN("、",TRUE,IF('學員資料-三民高中'!$B$2:$B$454=$F2307,'學員資料-三民高中'!$G$2:$G$454,""))</f>
        <v/>
      </c>
      <c r="R2307" t="str" cm="1">
        <f t="array" ref="R2307">_xlfn.TEXTJOIN("、",TRUE,IF('學員資料-新北高中'!$B$2:$B$583=$F2307,'學員資料-新北高中'!$G$2:$G$583,""))</f>
        <v>0900000024</v>
      </c>
      <c r="S2307" t="str" cm="1">
        <f t="array" ref="S2307">_xlfn.TEXTJOIN("、",TRUE,IF('學員資料-三重商工'!$B$2:$B$472=$F2307,'學員資料-三重商工'!$G$2:$G$472,""))</f>
        <v/>
      </c>
      <c r="T2307">
        <f t="shared" ref="T2307:T2370" si="36">3-COUNTBLANK(Q2307:S2307)</f>
        <v>1</v>
      </c>
    </row>
    <row r="2308" spans="1:20" ht="14.25" hidden="1" customHeight="1">
      <c r="A2308" s="15">
        <v>2307</v>
      </c>
      <c r="B2308" s="16" t="s">
        <v>7141</v>
      </c>
      <c r="C2308" s="17">
        <v>45523</v>
      </c>
      <c r="D2308" s="15" t="s">
        <v>7142</v>
      </c>
      <c r="E2308" s="18" t="s">
        <v>954</v>
      </c>
      <c r="F2308" s="19" t="s">
        <v>7143</v>
      </c>
      <c r="G2308" s="18" t="s">
        <v>7144</v>
      </c>
      <c r="H2308" s="20" t="s">
        <v>5163</v>
      </c>
      <c r="I2308" s="15">
        <v>1</v>
      </c>
      <c r="J2308" s="15" t="s">
        <v>23</v>
      </c>
      <c r="K2308" s="15"/>
      <c r="L2308" s="21" t="s">
        <v>16</v>
      </c>
      <c r="M2308" s="22">
        <v>0</v>
      </c>
      <c r="N2308" s="22">
        <v>0</v>
      </c>
      <c r="O2308" s="22">
        <v>6600</v>
      </c>
      <c r="P2308" s="22">
        <v>6600</v>
      </c>
      <c r="Q2308" t="str" cm="1">
        <f t="array" ref="Q2308">_xlfn.TEXTJOIN("、",TRUE,IF('學員資料-三民高中'!$B$2:$B$454=$F2308,'學員資料-三民高中'!$G$2:$G$454,""))</f>
        <v/>
      </c>
      <c r="R2308" t="str" cm="1">
        <f t="array" ref="R2308">_xlfn.TEXTJOIN("、",TRUE,IF('學員資料-新北高中'!$B$2:$B$583=$F2308,'學員資料-新北高中'!$G$2:$G$583,""))</f>
        <v>0900000023</v>
      </c>
      <c r="S2308" t="str" cm="1">
        <f t="array" ref="S2308">_xlfn.TEXTJOIN("、",TRUE,IF('學員資料-三重商工'!$B$2:$B$472=$F2308,'學員資料-三重商工'!$G$2:$G$472,""))</f>
        <v/>
      </c>
      <c r="T2308">
        <f t="shared" si="36"/>
        <v>1</v>
      </c>
    </row>
    <row r="2309" spans="1:20" ht="28.5" hidden="1" customHeight="1">
      <c r="A2309" s="15">
        <v>2308</v>
      </c>
      <c r="B2309" s="16" t="s">
        <v>7145</v>
      </c>
      <c r="C2309" s="17">
        <v>45523</v>
      </c>
      <c r="D2309" s="15" t="s">
        <v>7146</v>
      </c>
      <c r="E2309" s="18" t="s">
        <v>954</v>
      </c>
      <c r="F2309" s="19" t="s">
        <v>4646</v>
      </c>
      <c r="G2309" s="18" t="s">
        <v>4647</v>
      </c>
      <c r="H2309" s="20" t="s">
        <v>5206</v>
      </c>
      <c r="I2309" s="15">
        <v>2</v>
      </c>
      <c r="J2309" s="15" t="s">
        <v>23</v>
      </c>
      <c r="K2309" s="15"/>
      <c r="L2309" s="21" t="s">
        <v>16</v>
      </c>
      <c r="M2309" s="22">
        <v>0</v>
      </c>
      <c r="N2309" s="22">
        <v>0</v>
      </c>
      <c r="O2309" s="22">
        <v>13200</v>
      </c>
      <c r="P2309" s="22">
        <v>13200</v>
      </c>
      <c r="Q2309" t="str" cm="1">
        <f t="array" ref="Q2309">_xlfn.TEXTJOIN("、",TRUE,IF('學員資料-三民高中'!$B$2:$B$454=$F2309,'學員資料-三民高中'!$G$2:$G$454,""))</f>
        <v/>
      </c>
      <c r="R2309" t="str" cm="1">
        <f t="array" ref="R2309">_xlfn.TEXTJOIN("、",TRUE,IF('學員資料-新北高中'!$B$2:$B$583=$F2309,'學員資料-新北高中'!$G$2:$G$583,""))</f>
        <v/>
      </c>
      <c r="S2309" t="str" cm="1">
        <f t="array" ref="S2309">_xlfn.TEXTJOIN("、",TRUE,IF('學員資料-三重商工'!$B$2:$B$472=$F2309,'學員資料-三重商工'!$G$2:$G$472,""))</f>
        <v>0935973198</v>
      </c>
      <c r="T2309">
        <f t="shared" si="36"/>
        <v>1</v>
      </c>
    </row>
    <row r="2310" spans="1:20" ht="28.5" hidden="1" customHeight="1">
      <c r="A2310" s="15">
        <v>2309</v>
      </c>
      <c r="B2310" s="16" t="s">
        <v>7147</v>
      </c>
      <c r="C2310" s="17">
        <v>45523</v>
      </c>
      <c r="D2310" s="15" t="s">
        <v>7148</v>
      </c>
      <c r="E2310" s="18" t="s">
        <v>954</v>
      </c>
      <c r="F2310" s="19" t="s">
        <v>4271</v>
      </c>
      <c r="G2310" s="18" t="s">
        <v>4272</v>
      </c>
      <c r="H2310" s="20" t="s">
        <v>5151</v>
      </c>
      <c r="I2310" s="15">
        <v>2</v>
      </c>
      <c r="J2310" s="15" t="s">
        <v>24</v>
      </c>
      <c r="K2310" s="15"/>
      <c r="L2310" s="21" t="s">
        <v>16</v>
      </c>
      <c r="M2310" s="22">
        <v>0</v>
      </c>
      <c r="N2310" s="22">
        <v>-1728</v>
      </c>
      <c r="O2310" s="22">
        <v>15552</v>
      </c>
      <c r="P2310" s="22">
        <v>15552</v>
      </c>
      <c r="Q2310" t="str" cm="1">
        <f t="array" ref="Q2310">_xlfn.TEXTJOIN("、",TRUE,IF('學員資料-三民高中'!$B$2:$B$454=$F2310,'學員資料-三民高中'!$G$2:$G$454,""))</f>
        <v/>
      </c>
      <c r="R2310" t="str" cm="1">
        <f t="array" ref="R2310">_xlfn.TEXTJOIN("、",TRUE,IF('學員資料-新北高中'!$B$2:$B$583=$F2310,'學員資料-新北高中'!$G$2:$G$583,""))</f>
        <v/>
      </c>
      <c r="S2310" t="str" cm="1">
        <f t="array" ref="S2310">_xlfn.TEXTJOIN("、",TRUE,IF('學員資料-三重商工'!$B$2:$B$472=$F2310,'學員資料-三重商工'!$G$2:$G$472,""))</f>
        <v>0921604248</v>
      </c>
      <c r="T2310">
        <f t="shared" si="36"/>
        <v>1</v>
      </c>
    </row>
    <row r="2311" spans="1:20" ht="14.25" hidden="1" customHeight="1">
      <c r="A2311" s="15">
        <v>2310</v>
      </c>
      <c r="B2311" s="16" t="s">
        <v>7149</v>
      </c>
      <c r="C2311" s="17">
        <v>45523</v>
      </c>
      <c r="D2311" s="15" t="s">
        <v>7150</v>
      </c>
      <c r="E2311" s="18" t="s">
        <v>954</v>
      </c>
      <c r="F2311" s="19" t="s">
        <v>1516</v>
      </c>
      <c r="G2311" s="18" t="s">
        <v>1517</v>
      </c>
      <c r="H2311" s="20" t="s">
        <v>5131</v>
      </c>
      <c r="I2311" s="15">
        <v>1</v>
      </c>
      <c r="J2311" s="15" t="s">
        <v>24</v>
      </c>
      <c r="K2311" s="15"/>
      <c r="L2311" s="21" t="s">
        <v>16</v>
      </c>
      <c r="M2311" s="22">
        <v>0</v>
      </c>
      <c r="N2311" s="22">
        <v>0</v>
      </c>
      <c r="O2311" s="22">
        <v>7200</v>
      </c>
      <c r="P2311" s="22">
        <v>7200</v>
      </c>
      <c r="Q2311" t="str" cm="1">
        <f t="array" ref="Q2311">_xlfn.TEXTJOIN("、",TRUE,IF('學員資料-三民高中'!$B$2:$B$454=$F2311,'學員資料-三民高中'!$G$2:$G$454,""))</f>
        <v/>
      </c>
      <c r="R2311" t="str" cm="1">
        <f t="array" ref="R2311">_xlfn.TEXTJOIN("、",TRUE,IF('學員資料-新北高中'!$B$2:$B$583=$F2311,'學員資料-新北高中'!$G$2:$G$583,""))</f>
        <v/>
      </c>
      <c r="S2311" t="str" cm="1">
        <f t="array" ref="S2311">_xlfn.TEXTJOIN("、",TRUE,IF('學員資料-三重商工'!$B$2:$B$472=$F2311,'學員資料-三重商工'!$G$2:$G$472,""))</f>
        <v>0933701726</v>
      </c>
      <c r="T2311">
        <f t="shared" si="36"/>
        <v>1</v>
      </c>
    </row>
    <row r="2312" spans="1:20" ht="14.25" hidden="1" customHeight="1">
      <c r="A2312" s="15">
        <v>2311</v>
      </c>
      <c r="B2312" s="16" t="s">
        <v>7151</v>
      </c>
      <c r="C2312" s="17">
        <v>45523</v>
      </c>
      <c r="D2312" s="15" t="s">
        <v>7152</v>
      </c>
      <c r="E2312" s="18" t="s">
        <v>954</v>
      </c>
      <c r="F2312" s="19" t="s">
        <v>4976</v>
      </c>
      <c r="G2312" s="18" t="s">
        <v>4977</v>
      </c>
      <c r="H2312" s="20" t="s">
        <v>5131</v>
      </c>
      <c r="I2312" s="15">
        <v>1</v>
      </c>
      <c r="J2312" s="15" t="s">
        <v>24</v>
      </c>
      <c r="K2312" s="15"/>
      <c r="L2312" s="21" t="s">
        <v>16</v>
      </c>
      <c r="M2312" s="22">
        <v>0</v>
      </c>
      <c r="N2312" s="22">
        <v>0</v>
      </c>
      <c r="O2312" s="22">
        <v>7200</v>
      </c>
      <c r="P2312" s="22">
        <v>7200</v>
      </c>
      <c r="Q2312" t="str" cm="1">
        <f t="array" ref="Q2312">_xlfn.TEXTJOIN("、",TRUE,IF('學員資料-三民高中'!$B$2:$B$454=$F2312,'學員資料-三民高中'!$G$2:$G$454,""))</f>
        <v/>
      </c>
      <c r="R2312" t="str" cm="1">
        <f t="array" ref="R2312">_xlfn.TEXTJOIN("、",TRUE,IF('學員資料-新北高中'!$B$2:$B$583=$F2312,'學員資料-新北高中'!$G$2:$G$583,""))</f>
        <v/>
      </c>
      <c r="S2312" t="str" cm="1">
        <f t="array" ref="S2312">_xlfn.TEXTJOIN("、",TRUE,IF('學員資料-三重商工'!$B$2:$B$472=$F2312,'學員資料-三重商工'!$G$2:$G$472,""))</f>
        <v>0918903203</v>
      </c>
      <c r="T2312">
        <f t="shared" si="36"/>
        <v>1</v>
      </c>
    </row>
    <row r="2313" spans="1:20" ht="14.25" hidden="1" customHeight="1">
      <c r="A2313" s="15">
        <v>2312</v>
      </c>
      <c r="B2313" s="16" t="s">
        <v>7153</v>
      </c>
      <c r="C2313" s="17">
        <v>45523</v>
      </c>
      <c r="D2313" s="15" t="s">
        <v>7154</v>
      </c>
      <c r="E2313" s="18" t="s">
        <v>954</v>
      </c>
      <c r="F2313" s="19" t="s">
        <v>4685</v>
      </c>
      <c r="G2313" s="18" t="s">
        <v>4686</v>
      </c>
      <c r="H2313" s="20" t="s">
        <v>5131</v>
      </c>
      <c r="I2313" s="15">
        <v>1</v>
      </c>
      <c r="J2313" s="15" t="s">
        <v>24</v>
      </c>
      <c r="K2313" s="15"/>
      <c r="L2313" s="21" t="s">
        <v>16</v>
      </c>
      <c r="M2313" s="22">
        <v>0</v>
      </c>
      <c r="N2313" s="22">
        <v>0</v>
      </c>
      <c r="O2313" s="22">
        <v>7200</v>
      </c>
      <c r="P2313" s="22">
        <v>7200</v>
      </c>
      <c r="Q2313" t="str" cm="1">
        <f t="array" ref="Q2313">_xlfn.TEXTJOIN("、",TRUE,IF('學員資料-三民高中'!$B$2:$B$454=$F2313,'學員資料-三民高中'!$G$2:$G$454,""))</f>
        <v/>
      </c>
      <c r="R2313" t="str" cm="1">
        <f t="array" ref="R2313">_xlfn.TEXTJOIN("、",TRUE,IF('學員資料-新北高中'!$B$2:$B$583=$F2313,'學員資料-新北高中'!$G$2:$G$583,""))</f>
        <v/>
      </c>
      <c r="S2313" t="str" cm="1">
        <f t="array" ref="S2313">_xlfn.TEXTJOIN("、",TRUE,IF('學員資料-三重商工'!$B$2:$B$472=$F2313,'學員資料-三重商工'!$G$2:$G$472,""))</f>
        <v>0921812796</v>
      </c>
      <c r="T2313">
        <f t="shared" si="36"/>
        <v>1</v>
      </c>
    </row>
    <row r="2314" spans="1:20" ht="14.25" hidden="1" customHeight="1">
      <c r="A2314" s="15">
        <v>2313</v>
      </c>
      <c r="B2314" s="16" t="s">
        <v>7155</v>
      </c>
      <c r="C2314" s="17">
        <v>45523</v>
      </c>
      <c r="D2314" s="15" t="s">
        <v>7156</v>
      </c>
      <c r="E2314" s="18" t="s">
        <v>954</v>
      </c>
      <c r="F2314" s="19" t="s">
        <v>7157</v>
      </c>
      <c r="G2314" s="18" t="s">
        <v>7158</v>
      </c>
      <c r="H2314" s="20" t="s">
        <v>5180</v>
      </c>
      <c r="I2314" s="15">
        <v>1</v>
      </c>
      <c r="J2314" s="15" t="s">
        <v>24</v>
      </c>
      <c r="K2314" s="15"/>
      <c r="L2314" s="21" t="s">
        <v>16</v>
      </c>
      <c r="M2314" s="22">
        <v>0</v>
      </c>
      <c r="N2314" s="22">
        <v>-1440</v>
      </c>
      <c r="O2314" s="22">
        <v>7200</v>
      </c>
      <c r="P2314" s="22">
        <v>7200</v>
      </c>
      <c r="Q2314" t="str" cm="1">
        <f t="array" ref="Q2314">_xlfn.TEXTJOIN("、",TRUE,IF('學員資料-三民高中'!$B$2:$B$454=$F2314,'學員資料-三民高中'!$G$2:$G$454,""))</f>
        <v>0922616591</v>
      </c>
      <c r="R2314" t="str" cm="1">
        <f t="array" ref="R2314">_xlfn.TEXTJOIN("、",TRUE,IF('學員資料-新北高中'!$B$2:$B$583=$F2314,'學員資料-新北高中'!$G$2:$G$583,""))</f>
        <v/>
      </c>
      <c r="S2314" t="str" cm="1">
        <f t="array" ref="S2314">_xlfn.TEXTJOIN("、",TRUE,IF('學員資料-三重商工'!$B$2:$B$472=$F2314,'學員資料-三重商工'!$G$2:$G$472,""))</f>
        <v/>
      </c>
      <c r="T2314">
        <f t="shared" si="36"/>
        <v>1</v>
      </c>
    </row>
    <row r="2315" spans="1:20" ht="14.25" hidden="1" customHeight="1">
      <c r="A2315" s="15">
        <v>2314</v>
      </c>
      <c r="B2315" s="16" t="s">
        <v>7159</v>
      </c>
      <c r="C2315" s="17">
        <v>45523</v>
      </c>
      <c r="D2315" s="15" t="s">
        <v>7160</v>
      </c>
      <c r="E2315" s="18" t="s">
        <v>3862</v>
      </c>
      <c r="F2315" s="19" t="s">
        <v>7161</v>
      </c>
      <c r="G2315" s="18" t="s">
        <v>7162</v>
      </c>
      <c r="H2315" s="20" t="s">
        <v>5163</v>
      </c>
      <c r="I2315" s="15">
        <v>1</v>
      </c>
      <c r="J2315" s="15" t="s">
        <v>23</v>
      </c>
      <c r="K2315" s="15"/>
      <c r="L2315" s="21" t="s">
        <v>16</v>
      </c>
      <c r="M2315" s="22">
        <v>0</v>
      </c>
      <c r="N2315" s="22">
        <v>-660</v>
      </c>
      <c r="O2315" s="22">
        <v>5940</v>
      </c>
      <c r="P2315" s="22">
        <v>5940</v>
      </c>
      <c r="Q2315" t="str" cm="1">
        <f t="array" ref="Q2315">_xlfn.TEXTJOIN("、",TRUE,IF('學員資料-三民高中'!$B$2:$B$454=$F2315,'學員資料-三民高中'!$G$2:$G$454,""))</f>
        <v>0936992197</v>
      </c>
      <c r="R2315" t="str" cm="1">
        <f t="array" ref="R2315">_xlfn.TEXTJOIN("、",TRUE,IF('學員資料-新北高中'!$B$2:$B$583=$F2315,'學員資料-新北高中'!$G$2:$G$583,""))</f>
        <v/>
      </c>
      <c r="S2315" t="str" cm="1">
        <f t="array" ref="S2315">_xlfn.TEXTJOIN("、",TRUE,IF('學員資料-三重商工'!$B$2:$B$472=$F2315,'學員資料-三重商工'!$G$2:$G$472,""))</f>
        <v/>
      </c>
      <c r="T2315">
        <f t="shared" si="36"/>
        <v>1</v>
      </c>
    </row>
    <row r="2316" spans="1:20" ht="14.25" hidden="1" customHeight="1">
      <c r="A2316" s="15">
        <v>2315</v>
      </c>
      <c r="B2316" s="16" t="s">
        <v>7163</v>
      </c>
      <c r="C2316" s="17">
        <v>45523</v>
      </c>
      <c r="D2316" s="15" t="s">
        <v>7164</v>
      </c>
      <c r="E2316" s="18" t="s">
        <v>954</v>
      </c>
      <c r="F2316" s="19" t="s">
        <v>450</v>
      </c>
      <c r="G2316" s="18" t="s">
        <v>451</v>
      </c>
      <c r="H2316" s="20" t="s">
        <v>5131</v>
      </c>
      <c r="I2316" s="15">
        <v>1</v>
      </c>
      <c r="J2316" s="15" t="s">
        <v>24</v>
      </c>
      <c r="K2316" s="15"/>
      <c r="L2316" s="21" t="s">
        <v>16</v>
      </c>
      <c r="M2316" s="22">
        <v>0</v>
      </c>
      <c r="N2316" s="22">
        <v>-720</v>
      </c>
      <c r="O2316" s="22">
        <v>6480</v>
      </c>
      <c r="P2316" s="22">
        <v>6480</v>
      </c>
      <c r="Q2316" t="str" cm="1">
        <f t="array" ref="Q2316">_xlfn.TEXTJOIN("、",TRUE,IF('學員資料-三民高中'!$B$2:$B$454=$F2316,'學員資料-三民高中'!$G$2:$G$454,""))</f>
        <v/>
      </c>
      <c r="R2316" t="str" cm="1">
        <f t="array" ref="R2316">_xlfn.TEXTJOIN("、",TRUE,IF('學員資料-新北高中'!$B$2:$B$583=$F2316,'學員資料-新北高中'!$G$2:$G$583,""))</f>
        <v/>
      </c>
      <c r="S2316" t="str" cm="1">
        <f t="array" ref="S2316">_xlfn.TEXTJOIN("、",TRUE,IF('學員資料-三重商工'!$B$2:$B$472=$F2316,'學員資料-三重商工'!$G$2:$G$472,""))</f>
        <v>0916242232</v>
      </c>
      <c r="T2316">
        <f t="shared" si="36"/>
        <v>1</v>
      </c>
    </row>
    <row r="2317" spans="1:20" ht="14.25" hidden="1" customHeight="1">
      <c r="A2317" s="15">
        <v>2316</v>
      </c>
      <c r="B2317" s="16" t="s">
        <v>7165</v>
      </c>
      <c r="C2317" s="17">
        <v>45523</v>
      </c>
      <c r="D2317" s="15" t="s">
        <v>7166</v>
      </c>
      <c r="E2317" s="18" t="s">
        <v>954</v>
      </c>
      <c r="F2317" s="19" t="s">
        <v>7167</v>
      </c>
      <c r="G2317" s="18" t="s">
        <v>7168</v>
      </c>
      <c r="H2317" s="20" t="s">
        <v>5131</v>
      </c>
      <c r="I2317" s="15">
        <v>1</v>
      </c>
      <c r="J2317" s="15" t="s">
        <v>24</v>
      </c>
      <c r="K2317" s="15"/>
      <c r="L2317" s="21" t="s">
        <v>16</v>
      </c>
      <c r="M2317" s="22">
        <v>0</v>
      </c>
      <c r="N2317" s="22">
        <v>-1080</v>
      </c>
      <c r="O2317" s="22">
        <v>6120</v>
      </c>
      <c r="P2317" s="22">
        <v>6120</v>
      </c>
      <c r="Q2317" t="str" cm="1">
        <f t="array" ref="Q2317">_xlfn.TEXTJOIN("、",TRUE,IF('學員資料-三民高中'!$B$2:$B$454=$F2317,'學員資料-三民高中'!$G$2:$G$454,""))</f>
        <v/>
      </c>
      <c r="R2317" t="str" cm="1">
        <f t="array" ref="R2317">_xlfn.TEXTJOIN("、",TRUE,IF('學員資料-新北高中'!$B$2:$B$583=$F2317,'學員資料-新北高中'!$G$2:$G$583,""))</f>
        <v/>
      </c>
      <c r="S2317" t="str" cm="1">
        <f t="array" ref="S2317">_xlfn.TEXTJOIN("、",TRUE,IF('學員資料-三重商工'!$B$2:$B$472=$F2317,'學員資料-三重商工'!$G$2:$G$472,""))</f>
        <v>0973512337</v>
      </c>
      <c r="T2317">
        <f t="shared" si="36"/>
        <v>1</v>
      </c>
    </row>
    <row r="2318" spans="1:20" ht="14.25" hidden="1" customHeight="1">
      <c r="A2318" s="15">
        <v>2317</v>
      </c>
      <c r="B2318" s="16" t="s">
        <v>7169</v>
      </c>
      <c r="C2318" s="17">
        <v>45523</v>
      </c>
      <c r="D2318" s="15" t="s">
        <v>7170</v>
      </c>
      <c r="E2318" s="18" t="s">
        <v>954</v>
      </c>
      <c r="F2318" s="19" t="s">
        <v>7171</v>
      </c>
      <c r="G2318" s="18" t="s">
        <v>7172</v>
      </c>
      <c r="H2318" s="20" t="s">
        <v>5131</v>
      </c>
      <c r="I2318" s="15">
        <v>1</v>
      </c>
      <c r="J2318" s="15" t="s">
        <v>24</v>
      </c>
      <c r="K2318" s="15"/>
      <c r="L2318" s="21" t="s">
        <v>16</v>
      </c>
      <c r="M2318" s="22">
        <v>0</v>
      </c>
      <c r="N2318" s="22">
        <v>-720</v>
      </c>
      <c r="O2318" s="22">
        <v>6480</v>
      </c>
      <c r="P2318" s="22">
        <v>6480</v>
      </c>
      <c r="Q2318" t="str" cm="1">
        <f t="array" ref="Q2318">_xlfn.TEXTJOIN("、",TRUE,IF('學員資料-三民高中'!$B$2:$B$454=$F2318,'學員資料-三民高中'!$G$2:$G$454,""))</f>
        <v/>
      </c>
      <c r="R2318" t="str" cm="1">
        <f t="array" ref="R2318">_xlfn.TEXTJOIN("、",TRUE,IF('學員資料-新北高中'!$B$2:$B$583=$F2318,'學員資料-新北高中'!$G$2:$G$583,""))</f>
        <v>0900000020</v>
      </c>
      <c r="S2318" t="str" cm="1">
        <f t="array" ref="S2318">_xlfn.TEXTJOIN("、",TRUE,IF('學員資料-三重商工'!$B$2:$B$472=$F2318,'學員資料-三重商工'!$G$2:$G$472,""))</f>
        <v/>
      </c>
      <c r="T2318">
        <f t="shared" si="36"/>
        <v>1</v>
      </c>
    </row>
    <row r="2319" spans="1:20" ht="14.25" hidden="1" customHeight="1">
      <c r="A2319" s="15">
        <v>2318</v>
      </c>
      <c r="B2319" s="16" t="s">
        <v>7173</v>
      </c>
      <c r="C2319" s="17">
        <v>45523</v>
      </c>
      <c r="D2319" s="15" t="s">
        <v>7174</v>
      </c>
      <c r="E2319" s="18" t="s">
        <v>954</v>
      </c>
      <c r="F2319" s="19" t="s">
        <v>7175</v>
      </c>
      <c r="G2319" s="18" t="s">
        <v>7176</v>
      </c>
      <c r="H2319" s="20" t="s">
        <v>5148</v>
      </c>
      <c r="I2319" s="15">
        <v>1</v>
      </c>
      <c r="J2319" s="15" t="s">
        <v>25</v>
      </c>
      <c r="K2319" s="15"/>
      <c r="L2319" s="21" t="s">
        <v>16</v>
      </c>
      <c r="M2319" s="22">
        <v>0</v>
      </c>
      <c r="N2319" s="22">
        <v>0</v>
      </c>
      <c r="O2319" s="22">
        <v>9000</v>
      </c>
      <c r="P2319" s="22">
        <v>9000</v>
      </c>
      <c r="Q2319" t="str" cm="1">
        <f t="array" ref="Q2319">_xlfn.TEXTJOIN("、",TRUE,IF('學員資料-三民高中'!$B$2:$B$454=$F2319,'學員資料-三民高中'!$G$2:$G$454,""))</f>
        <v/>
      </c>
      <c r="R2319" t="str" cm="1">
        <f t="array" ref="R2319">_xlfn.TEXTJOIN("、",TRUE,IF('學員資料-新北高中'!$B$2:$B$583=$F2319,'學員資料-新北高中'!$G$2:$G$583,""))</f>
        <v/>
      </c>
      <c r="S2319" t="str" cm="1">
        <f t="array" ref="S2319">_xlfn.TEXTJOIN("、",TRUE,IF('學員資料-三重商工'!$B$2:$B$472=$F2319,'學員資料-三重商工'!$G$2:$G$472,""))</f>
        <v>112438112438</v>
      </c>
      <c r="T2319">
        <f t="shared" si="36"/>
        <v>1</v>
      </c>
    </row>
    <row r="2320" spans="1:20" ht="14.25" hidden="1" customHeight="1">
      <c r="A2320" s="15">
        <v>2319</v>
      </c>
      <c r="B2320" s="16" t="s">
        <v>7177</v>
      </c>
      <c r="C2320" s="17">
        <v>45523</v>
      </c>
      <c r="D2320" s="15" t="s">
        <v>7178</v>
      </c>
      <c r="E2320" s="18" t="s">
        <v>954</v>
      </c>
      <c r="F2320" s="19" t="s">
        <v>7179</v>
      </c>
      <c r="G2320" s="18" t="s">
        <v>7180</v>
      </c>
      <c r="H2320" s="20" t="s">
        <v>5211</v>
      </c>
      <c r="I2320" s="15">
        <v>1</v>
      </c>
      <c r="J2320" s="15" t="s">
        <v>26</v>
      </c>
      <c r="K2320" s="15"/>
      <c r="L2320" s="21" t="s">
        <v>16</v>
      </c>
      <c r="M2320" s="22">
        <v>0</v>
      </c>
      <c r="N2320" s="22">
        <v>0</v>
      </c>
      <c r="O2320" s="22">
        <v>10800</v>
      </c>
      <c r="P2320" s="22">
        <v>10800</v>
      </c>
      <c r="Q2320" t="str" cm="1">
        <f t="array" ref="Q2320">_xlfn.TEXTJOIN("、",TRUE,IF('學員資料-三民高中'!$B$2:$B$454=$F2320,'學員資料-三民高中'!$G$2:$G$454,""))</f>
        <v/>
      </c>
      <c r="R2320" t="str" cm="1">
        <f t="array" ref="R2320">_xlfn.TEXTJOIN("、",TRUE,IF('學員資料-新北高中'!$B$2:$B$583=$F2320,'學員資料-新北高中'!$G$2:$G$583,""))</f>
        <v>0972206526</v>
      </c>
      <c r="S2320" t="str" cm="1">
        <f t="array" ref="S2320">_xlfn.TEXTJOIN("、",TRUE,IF('學員資料-三重商工'!$B$2:$B$472=$F2320,'學員資料-三重商工'!$G$2:$G$472,""))</f>
        <v/>
      </c>
      <c r="T2320">
        <f t="shared" si="36"/>
        <v>1</v>
      </c>
    </row>
    <row r="2321" spans="1:20" ht="87" hidden="1" customHeight="1">
      <c r="A2321" s="15">
        <v>2320</v>
      </c>
      <c r="B2321" s="16" t="s">
        <v>7181</v>
      </c>
      <c r="C2321" s="17">
        <v>45523</v>
      </c>
      <c r="D2321" s="15" t="s">
        <v>7182</v>
      </c>
      <c r="E2321" s="18" t="s">
        <v>954</v>
      </c>
      <c r="F2321" s="19" t="s">
        <v>1795</v>
      </c>
      <c r="G2321" s="18" t="s">
        <v>1796</v>
      </c>
      <c r="H2321" s="20" t="s">
        <v>7183</v>
      </c>
      <c r="I2321" s="15">
        <v>6</v>
      </c>
      <c r="J2321" s="15" t="s">
        <v>24</v>
      </c>
      <c r="K2321" s="15"/>
      <c r="L2321" s="21" t="s">
        <v>16</v>
      </c>
      <c r="M2321" s="22">
        <v>0</v>
      </c>
      <c r="N2321" s="22">
        <v>-4320</v>
      </c>
      <c r="O2321" s="22">
        <v>38880</v>
      </c>
      <c r="P2321" s="22">
        <v>38880</v>
      </c>
      <c r="Q2321" t="str" cm="1">
        <f t="array" ref="Q2321">_xlfn.TEXTJOIN("、",TRUE,IF('學員資料-三民高中'!$B$2:$B$454=$F2321,'學員資料-三民高中'!$G$2:$G$454,""))</f>
        <v>0935242518</v>
      </c>
      <c r="R2321" t="str" cm="1">
        <f t="array" ref="R2321">_xlfn.TEXTJOIN("、",TRUE,IF('學員資料-新北高中'!$B$2:$B$583=$F2321,'學員資料-新北高中'!$G$2:$G$583,""))</f>
        <v/>
      </c>
      <c r="S2321" t="str" cm="1">
        <f t="array" ref="S2321">_xlfn.TEXTJOIN("、",TRUE,IF('學員資料-三重商工'!$B$2:$B$472=$F2321,'學員資料-三重商工'!$G$2:$G$472,""))</f>
        <v/>
      </c>
      <c r="T2321">
        <f t="shared" si="36"/>
        <v>1</v>
      </c>
    </row>
    <row r="2322" spans="1:20" ht="14.25" hidden="1" customHeight="1">
      <c r="A2322" s="15">
        <v>2321</v>
      </c>
      <c r="B2322" s="16" t="s">
        <v>7184</v>
      </c>
      <c r="C2322" s="17">
        <v>45523</v>
      </c>
      <c r="D2322" s="15" t="s">
        <v>7185</v>
      </c>
      <c r="E2322" s="18" t="s">
        <v>954</v>
      </c>
      <c r="F2322" s="19" t="s">
        <v>2953</v>
      </c>
      <c r="G2322" s="18" t="s">
        <v>2954</v>
      </c>
      <c r="H2322" s="20" t="s">
        <v>5131</v>
      </c>
      <c r="I2322" s="15">
        <v>1</v>
      </c>
      <c r="J2322" s="15" t="s">
        <v>24</v>
      </c>
      <c r="K2322" s="15"/>
      <c r="L2322" s="21" t="s">
        <v>16</v>
      </c>
      <c r="M2322" s="22">
        <v>0</v>
      </c>
      <c r="N2322" s="22">
        <v>-1080</v>
      </c>
      <c r="O2322" s="22">
        <v>6120</v>
      </c>
      <c r="P2322" s="22">
        <v>6120</v>
      </c>
      <c r="Q2322" t="str" cm="1">
        <f t="array" ref="Q2322">_xlfn.TEXTJOIN("、",TRUE,IF('學員資料-三民高中'!$B$2:$B$454=$F2322,'學員資料-三民高中'!$G$2:$G$454,""))</f>
        <v>0926187618-1</v>
      </c>
      <c r="R2322" t="str" cm="1">
        <f t="array" ref="R2322">_xlfn.TEXTJOIN("、",TRUE,IF('學員資料-新北高中'!$B$2:$B$583=$F2322,'學員資料-新北高中'!$G$2:$G$583,""))</f>
        <v/>
      </c>
      <c r="S2322" t="str" cm="1">
        <f t="array" ref="S2322">_xlfn.TEXTJOIN("、",TRUE,IF('學員資料-三重商工'!$B$2:$B$472=$F2322,'學員資料-三重商工'!$G$2:$G$472,""))</f>
        <v/>
      </c>
      <c r="T2322">
        <f t="shared" si="36"/>
        <v>1</v>
      </c>
    </row>
    <row r="2323" spans="1:20" ht="28.5" hidden="1" customHeight="1">
      <c r="A2323" s="15">
        <v>2322</v>
      </c>
      <c r="B2323" s="16" t="s">
        <v>7186</v>
      </c>
      <c r="C2323" s="17">
        <v>45523</v>
      </c>
      <c r="D2323" s="15" t="s">
        <v>7187</v>
      </c>
      <c r="E2323" s="18" t="s">
        <v>954</v>
      </c>
      <c r="F2323" s="19" t="s">
        <v>7188</v>
      </c>
      <c r="G2323" s="18" t="s">
        <v>7189</v>
      </c>
      <c r="H2323" s="20" t="s">
        <v>5206</v>
      </c>
      <c r="I2323" s="15">
        <v>2</v>
      </c>
      <c r="J2323" s="15" t="s">
        <v>23</v>
      </c>
      <c r="K2323" s="15"/>
      <c r="L2323" s="21" t="s">
        <v>16</v>
      </c>
      <c r="M2323" s="22">
        <v>0</v>
      </c>
      <c r="N2323" s="22">
        <v>-240</v>
      </c>
      <c r="O2323" s="22">
        <v>12960</v>
      </c>
      <c r="P2323" s="22">
        <v>12960</v>
      </c>
      <c r="Q2323" t="str" cm="1">
        <f t="array" ref="Q2323">_xlfn.TEXTJOIN("、",TRUE,IF('學員資料-三民高中'!$B$2:$B$454=$F2323,'學員資料-三民高中'!$G$2:$G$454,""))</f>
        <v/>
      </c>
      <c r="R2323" t="str" cm="1">
        <f t="array" ref="R2323">_xlfn.TEXTJOIN("、",TRUE,IF('學員資料-新北高中'!$B$2:$B$583=$F2323,'學員資料-新北高中'!$G$2:$G$583,""))</f>
        <v/>
      </c>
      <c r="S2323" t="str" cm="1">
        <f t="array" ref="S2323">_xlfn.TEXTJOIN("、",TRUE,IF('學員資料-三重商工'!$B$2:$B$472=$F2323,'學員資料-三重商工'!$G$2:$G$472,""))</f>
        <v>0955810185</v>
      </c>
      <c r="T2323">
        <f t="shared" si="36"/>
        <v>1</v>
      </c>
    </row>
    <row r="2324" spans="1:20" ht="14.25" hidden="1" customHeight="1">
      <c r="A2324" s="15">
        <v>2323</v>
      </c>
      <c r="B2324" s="16" t="s">
        <v>7190</v>
      </c>
      <c r="C2324" s="17">
        <v>45523</v>
      </c>
      <c r="D2324" s="15" t="s">
        <v>7191</v>
      </c>
      <c r="E2324" s="18" t="s">
        <v>954</v>
      </c>
      <c r="F2324" s="19" t="s">
        <v>7192</v>
      </c>
      <c r="G2324" s="18" t="s">
        <v>7193</v>
      </c>
      <c r="H2324" s="20" t="s">
        <v>5131</v>
      </c>
      <c r="I2324" s="15">
        <v>1</v>
      </c>
      <c r="J2324" s="15" t="s">
        <v>24</v>
      </c>
      <c r="K2324" s="15"/>
      <c r="L2324" s="21" t="s">
        <v>16</v>
      </c>
      <c r="M2324" s="22">
        <v>0</v>
      </c>
      <c r="N2324" s="22">
        <v>-1440</v>
      </c>
      <c r="O2324" s="22">
        <v>5760</v>
      </c>
      <c r="P2324" s="22">
        <v>5760</v>
      </c>
      <c r="Q2324" t="str" cm="1">
        <f t="array" ref="Q2324">_xlfn.TEXTJOIN("、",TRUE,IF('學員資料-三民高中'!$B$2:$B$454=$F2324,'學員資料-三民高中'!$G$2:$G$454,""))</f>
        <v>111095111095</v>
      </c>
      <c r="R2324" t="str" cm="1">
        <f t="array" ref="R2324">_xlfn.TEXTJOIN("、",TRUE,IF('學員資料-新北高中'!$B$2:$B$583=$F2324,'學員資料-新北高中'!$G$2:$G$583,""))</f>
        <v/>
      </c>
      <c r="S2324" t="str" cm="1">
        <f t="array" ref="S2324">_xlfn.TEXTJOIN("、",TRUE,IF('學員資料-三重商工'!$B$2:$B$472=$F2324,'學員資料-三重商工'!$G$2:$G$472,""))</f>
        <v/>
      </c>
      <c r="T2324">
        <f t="shared" si="36"/>
        <v>1</v>
      </c>
    </row>
    <row r="2325" spans="1:20" ht="14.25" hidden="1" customHeight="1">
      <c r="A2325" s="15">
        <v>2324</v>
      </c>
      <c r="B2325" s="16" t="s">
        <v>7194</v>
      </c>
      <c r="C2325" s="17">
        <v>45523</v>
      </c>
      <c r="D2325" s="15" t="s">
        <v>7195</v>
      </c>
      <c r="E2325" s="18" t="s">
        <v>954</v>
      </c>
      <c r="F2325" s="19" t="s">
        <v>7196</v>
      </c>
      <c r="G2325" s="18" t="s">
        <v>7197</v>
      </c>
      <c r="H2325" s="20" t="s">
        <v>5131</v>
      </c>
      <c r="I2325" s="15">
        <v>1</v>
      </c>
      <c r="J2325" s="15" t="s">
        <v>24</v>
      </c>
      <c r="K2325" s="15"/>
      <c r="L2325" s="21" t="s">
        <v>16</v>
      </c>
      <c r="M2325" s="22">
        <v>0</v>
      </c>
      <c r="N2325" s="22">
        <v>0</v>
      </c>
      <c r="O2325" s="22">
        <v>7200</v>
      </c>
      <c r="P2325" s="22">
        <v>7200</v>
      </c>
      <c r="Q2325" t="str" cm="1">
        <f t="array" ref="Q2325">_xlfn.TEXTJOIN("、",TRUE,IF('學員資料-三民高中'!$B$2:$B$454=$F2325,'學員資料-三民高中'!$G$2:$G$454,""))</f>
        <v>0963001667-1</v>
      </c>
      <c r="R2325" t="str" cm="1">
        <f t="array" ref="R2325">_xlfn.TEXTJOIN("、",TRUE,IF('學員資料-新北高中'!$B$2:$B$583=$F2325,'學員資料-新北高中'!$G$2:$G$583,""))</f>
        <v/>
      </c>
      <c r="S2325" t="str" cm="1">
        <f t="array" ref="S2325">_xlfn.TEXTJOIN("、",TRUE,IF('學員資料-三重商工'!$B$2:$B$472=$F2325,'學員資料-三重商工'!$G$2:$G$472,""))</f>
        <v/>
      </c>
      <c r="T2325">
        <f t="shared" si="36"/>
        <v>1</v>
      </c>
    </row>
    <row r="2326" spans="1:20" ht="14.25" hidden="1" customHeight="1">
      <c r="A2326" s="15">
        <v>2325</v>
      </c>
      <c r="B2326" s="16" t="s">
        <v>7198</v>
      </c>
      <c r="C2326" s="17">
        <v>45523</v>
      </c>
      <c r="D2326" s="15" t="s">
        <v>7199</v>
      </c>
      <c r="E2326" s="18" t="s">
        <v>954</v>
      </c>
      <c r="F2326" s="19" t="s">
        <v>4005</v>
      </c>
      <c r="G2326" s="18" t="s">
        <v>4006</v>
      </c>
      <c r="H2326" s="20" t="s">
        <v>5163</v>
      </c>
      <c r="I2326" s="15">
        <v>1</v>
      </c>
      <c r="J2326" s="15" t="s">
        <v>23</v>
      </c>
      <c r="K2326" s="15"/>
      <c r="L2326" s="21" t="s">
        <v>16</v>
      </c>
      <c r="M2326" s="22">
        <v>0</v>
      </c>
      <c r="N2326" s="22">
        <v>-660</v>
      </c>
      <c r="O2326" s="22">
        <v>5940</v>
      </c>
      <c r="P2326" s="22">
        <v>5940</v>
      </c>
      <c r="Q2326" t="str" cm="1">
        <f t="array" ref="Q2326">_xlfn.TEXTJOIN("、",TRUE,IF('學員資料-三民高中'!$B$2:$B$454=$F2326,'學員資料-三民高中'!$G$2:$G$454,""))</f>
        <v/>
      </c>
      <c r="R2326" t="str" cm="1">
        <f t="array" ref="R2326">_xlfn.TEXTJOIN("、",TRUE,IF('學員資料-新北高中'!$B$2:$B$583=$F2326,'學員資料-新北高中'!$G$2:$G$583,""))</f>
        <v>0933377810</v>
      </c>
      <c r="S2326" t="str" cm="1">
        <f t="array" ref="S2326">_xlfn.TEXTJOIN("、",TRUE,IF('學員資料-三重商工'!$B$2:$B$472=$F2326,'學員資料-三重商工'!$G$2:$G$472,""))</f>
        <v/>
      </c>
      <c r="T2326">
        <f t="shared" si="36"/>
        <v>1</v>
      </c>
    </row>
    <row r="2327" spans="1:20" ht="14.25" hidden="1" customHeight="1">
      <c r="A2327" s="15">
        <v>2326</v>
      </c>
      <c r="B2327" s="16" t="s">
        <v>7200</v>
      </c>
      <c r="C2327" s="17">
        <v>45523</v>
      </c>
      <c r="D2327" s="15" t="s">
        <v>7201</v>
      </c>
      <c r="E2327" s="18" t="s">
        <v>954</v>
      </c>
      <c r="F2327" s="19" t="s">
        <v>7202</v>
      </c>
      <c r="G2327" s="18" t="s">
        <v>7203</v>
      </c>
      <c r="H2327" s="20" t="s">
        <v>5148</v>
      </c>
      <c r="I2327" s="15">
        <v>1</v>
      </c>
      <c r="J2327" s="15" t="s">
        <v>25</v>
      </c>
      <c r="K2327" s="15"/>
      <c r="L2327" s="21" t="s">
        <v>16</v>
      </c>
      <c r="M2327" s="22">
        <v>0</v>
      </c>
      <c r="N2327" s="22">
        <v>-1080</v>
      </c>
      <c r="O2327" s="22">
        <v>7920</v>
      </c>
      <c r="P2327" s="22">
        <v>7920</v>
      </c>
      <c r="Q2327" t="str" cm="1">
        <f t="array" ref="Q2327">_xlfn.TEXTJOIN("、",TRUE,IF('學員資料-三民高中'!$B$2:$B$454=$F2327,'學員資料-三民高中'!$G$2:$G$454,""))</f>
        <v>0915008355</v>
      </c>
      <c r="R2327" t="str" cm="1">
        <f t="array" ref="R2327">_xlfn.TEXTJOIN("、",TRUE,IF('學員資料-新北高中'!$B$2:$B$583=$F2327,'學員資料-新北高中'!$G$2:$G$583,""))</f>
        <v/>
      </c>
      <c r="S2327" t="str" cm="1">
        <f t="array" ref="S2327">_xlfn.TEXTJOIN("、",TRUE,IF('學員資料-三重商工'!$B$2:$B$472=$F2327,'學員資料-三重商工'!$G$2:$G$472,""))</f>
        <v/>
      </c>
      <c r="T2327">
        <f t="shared" si="36"/>
        <v>1</v>
      </c>
    </row>
    <row r="2328" spans="1:20" ht="14.25" hidden="1" customHeight="1">
      <c r="A2328" s="15">
        <v>2327</v>
      </c>
      <c r="B2328" s="16" t="s">
        <v>7204</v>
      </c>
      <c r="C2328" s="17">
        <v>45523</v>
      </c>
      <c r="D2328" s="15" t="s">
        <v>7205</v>
      </c>
      <c r="E2328" s="18" t="s">
        <v>954</v>
      </c>
      <c r="F2328" s="19" t="s">
        <v>3931</v>
      </c>
      <c r="G2328" s="18" t="s">
        <v>3932</v>
      </c>
      <c r="H2328" s="20" t="s">
        <v>5163</v>
      </c>
      <c r="I2328" s="15">
        <v>1</v>
      </c>
      <c r="J2328" s="15" t="s">
        <v>23</v>
      </c>
      <c r="K2328" s="15"/>
      <c r="L2328" s="21" t="s">
        <v>16</v>
      </c>
      <c r="M2328" s="22">
        <v>0</v>
      </c>
      <c r="N2328" s="22">
        <v>-2640</v>
      </c>
      <c r="O2328" s="22">
        <v>3960</v>
      </c>
      <c r="P2328" s="22">
        <v>3960</v>
      </c>
      <c r="Q2328" t="str" cm="1">
        <f t="array" ref="Q2328">_xlfn.TEXTJOIN("、",TRUE,IF('學員資料-三民高中'!$B$2:$B$454=$F2328,'學員資料-三民高中'!$G$2:$G$454,""))</f>
        <v/>
      </c>
      <c r="R2328" t="str" cm="1">
        <f t="array" ref="R2328">_xlfn.TEXTJOIN("、",TRUE,IF('學員資料-新北高中'!$B$2:$B$583=$F2328,'學員資料-新北高中'!$G$2:$G$583,""))</f>
        <v>0930712206</v>
      </c>
      <c r="S2328" t="str" cm="1">
        <f t="array" ref="S2328">_xlfn.TEXTJOIN("、",TRUE,IF('學員資料-三重商工'!$B$2:$B$472=$F2328,'學員資料-三重商工'!$G$2:$G$472,""))</f>
        <v/>
      </c>
      <c r="T2328">
        <f t="shared" si="36"/>
        <v>1</v>
      </c>
    </row>
    <row r="2329" spans="1:20" ht="14.25" hidden="1" customHeight="1">
      <c r="A2329" s="15">
        <v>2328</v>
      </c>
      <c r="B2329" s="16" t="s">
        <v>7206</v>
      </c>
      <c r="C2329" s="17">
        <v>45523</v>
      </c>
      <c r="D2329" s="15" t="s">
        <v>7207</v>
      </c>
      <c r="E2329" s="18" t="s">
        <v>954</v>
      </c>
      <c r="F2329" s="19" t="s">
        <v>7208</v>
      </c>
      <c r="G2329" s="18" t="s">
        <v>7209</v>
      </c>
      <c r="H2329" s="20" t="s">
        <v>5340</v>
      </c>
      <c r="I2329" s="15">
        <v>1</v>
      </c>
      <c r="J2329" s="15" t="s">
        <v>27</v>
      </c>
      <c r="K2329" s="15"/>
      <c r="L2329" s="21" t="s">
        <v>16</v>
      </c>
      <c r="M2329" s="22">
        <v>0</v>
      </c>
      <c r="N2329" s="22">
        <v>-1620</v>
      </c>
      <c r="O2329" s="22">
        <v>11880</v>
      </c>
      <c r="P2329" s="22">
        <v>11880</v>
      </c>
      <c r="Q2329" t="str" cm="1">
        <f t="array" ref="Q2329">_xlfn.TEXTJOIN("、",TRUE,IF('學員資料-三民高中'!$B$2:$B$454=$F2329,'學員資料-三民高中'!$G$2:$G$454,""))</f>
        <v>0911070950</v>
      </c>
      <c r="R2329" t="str" cm="1">
        <f t="array" ref="R2329">_xlfn.TEXTJOIN("、",TRUE,IF('學員資料-新北高中'!$B$2:$B$583=$F2329,'學員資料-新北高中'!$G$2:$G$583,""))</f>
        <v/>
      </c>
      <c r="S2329" t="str" cm="1">
        <f t="array" ref="S2329">_xlfn.TEXTJOIN("、",TRUE,IF('學員資料-三重商工'!$B$2:$B$472=$F2329,'學員資料-三重商工'!$G$2:$G$472,""))</f>
        <v/>
      </c>
      <c r="T2329">
        <f t="shared" si="36"/>
        <v>1</v>
      </c>
    </row>
    <row r="2330" spans="1:20" ht="14.25" hidden="1" customHeight="1">
      <c r="A2330" s="15">
        <v>2329</v>
      </c>
      <c r="B2330" s="16" t="s">
        <v>7210</v>
      </c>
      <c r="C2330" s="17">
        <v>45523</v>
      </c>
      <c r="D2330" s="15" t="s">
        <v>7211</v>
      </c>
      <c r="E2330" s="18" t="s">
        <v>954</v>
      </c>
      <c r="F2330" s="19" t="s">
        <v>7212</v>
      </c>
      <c r="G2330" s="18" t="s">
        <v>7213</v>
      </c>
      <c r="H2330" s="20" t="s">
        <v>266</v>
      </c>
      <c r="I2330" s="15">
        <v>1</v>
      </c>
      <c r="J2330" s="15" t="s">
        <v>24</v>
      </c>
      <c r="K2330" s="15"/>
      <c r="L2330" s="21" t="s">
        <v>16</v>
      </c>
      <c r="M2330" s="22">
        <v>0</v>
      </c>
      <c r="N2330" s="22">
        <v>0</v>
      </c>
      <c r="O2330" s="22">
        <v>10800</v>
      </c>
      <c r="P2330" s="22">
        <v>10800</v>
      </c>
      <c r="Q2330" t="str" cm="1">
        <f t="array" ref="Q2330">_xlfn.TEXTJOIN("、",TRUE,IF('學員資料-三民高中'!$B$2:$B$454=$F2330,'學員資料-三民高中'!$G$2:$G$454,""))</f>
        <v/>
      </c>
      <c r="R2330" t="str" cm="1">
        <f t="array" ref="R2330">_xlfn.TEXTJOIN("、",TRUE,IF('學員資料-新北高中'!$B$2:$B$583=$F2330,'學員資料-新北高中'!$G$2:$G$583,""))</f>
        <v>0921173254</v>
      </c>
      <c r="S2330" t="str" cm="1">
        <f t="array" ref="S2330">_xlfn.TEXTJOIN("、",TRUE,IF('學員資料-三重商工'!$B$2:$B$472=$F2330,'學員資料-三重商工'!$G$2:$G$472,""))</f>
        <v/>
      </c>
      <c r="T2330">
        <f t="shared" si="36"/>
        <v>1</v>
      </c>
    </row>
    <row r="2331" spans="1:20" ht="28.5" hidden="1" customHeight="1">
      <c r="A2331" s="15">
        <v>2330</v>
      </c>
      <c r="B2331" s="16" t="s">
        <v>7214</v>
      </c>
      <c r="C2331" s="17">
        <v>45523</v>
      </c>
      <c r="D2331" s="15" t="s">
        <v>7215</v>
      </c>
      <c r="E2331" s="18" t="s">
        <v>954</v>
      </c>
      <c r="F2331" s="19" t="s">
        <v>7216</v>
      </c>
      <c r="G2331" s="18" t="s">
        <v>7217</v>
      </c>
      <c r="H2331" s="20" t="s">
        <v>5206</v>
      </c>
      <c r="I2331" s="15">
        <v>2</v>
      </c>
      <c r="J2331" s="15" t="s">
        <v>23</v>
      </c>
      <c r="K2331" s="15"/>
      <c r="L2331" s="21" t="s">
        <v>16</v>
      </c>
      <c r="M2331" s="22">
        <v>0</v>
      </c>
      <c r="N2331" s="22">
        <v>-1800</v>
      </c>
      <c r="O2331" s="22">
        <v>11400</v>
      </c>
      <c r="P2331" s="22">
        <v>11400</v>
      </c>
      <c r="Q2331" t="str" cm="1">
        <f t="array" ref="Q2331">_xlfn.TEXTJOIN("、",TRUE,IF('學員資料-三民高中'!$B$2:$B$454=$F2331,'學員資料-三民高中'!$G$2:$G$454,""))</f>
        <v>0937984657</v>
      </c>
      <c r="R2331" t="str" cm="1">
        <f t="array" ref="R2331">_xlfn.TEXTJOIN("、",TRUE,IF('學員資料-新北高中'!$B$2:$B$583=$F2331,'學員資料-新北高中'!$G$2:$G$583,""))</f>
        <v/>
      </c>
      <c r="S2331" t="str" cm="1">
        <f t="array" ref="S2331">_xlfn.TEXTJOIN("、",TRUE,IF('學員資料-三重商工'!$B$2:$B$472=$F2331,'學員資料-三重商工'!$G$2:$G$472,""))</f>
        <v/>
      </c>
      <c r="T2331">
        <f t="shared" si="36"/>
        <v>1</v>
      </c>
    </row>
    <row r="2332" spans="1:20" ht="14.25" hidden="1" customHeight="1">
      <c r="A2332" s="15">
        <v>2331</v>
      </c>
      <c r="B2332" s="16" t="s">
        <v>7218</v>
      </c>
      <c r="C2332" s="17">
        <v>45523</v>
      </c>
      <c r="D2332" s="15" t="s">
        <v>7219</v>
      </c>
      <c r="E2332" s="18" t="s">
        <v>954</v>
      </c>
      <c r="F2332" s="19" t="s">
        <v>7220</v>
      </c>
      <c r="G2332" s="18" t="s">
        <v>7221</v>
      </c>
      <c r="H2332" s="20" t="s">
        <v>5163</v>
      </c>
      <c r="I2332" s="15">
        <v>1</v>
      </c>
      <c r="J2332" s="15" t="s">
        <v>23</v>
      </c>
      <c r="K2332" s="15"/>
      <c r="L2332" s="21" t="s">
        <v>16</v>
      </c>
      <c r="M2332" s="22">
        <v>0</v>
      </c>
      <c r="N2332" s="22">
        <v>-1200</v>
      </c>
      <c r="O2332" s="22">
        <v>5400</v>
      </c>
      <c r="P2332" s="22">
        <v>5400</v>
      </c>
      <c r="Q2332" t="str" cm="1">
        <f t="array" ref="Q2332">_xlfn.TEXTJOIN("、",TRUE,IF('學員資料-三民高中'!$B$2:$B$454=$F2332,'學員資料-三民高中'!$G$2:$G$454,""))</f>
        <v/>
      </c>
      <c r="R2332" t="str" cm="1">
        <f t="array" ref="R2332">_xlfn.TEXTJOIN("、",TRUE,IF('學員資料-新北高中'!$B$2:$B$583=$F2332,'學員資料-新北高中'!$G$2:$G$583,""))</f>
        <v>0955742116</v>
      </c>
      <c r="S2332" t="str" cm="1">
        <f t="array" ref="S2332">_xlfn.TEXTJOIN("、",TRUE,IF('學員資料-三重商工'!$B$2:$B$472=$F2332,'學員資料-三重商工'!$G$2:$G$472,""))</f>
        <v/>
      </c>
      <c r="T2332">
        <f t="shared" si="36"/>
        <v>1</v>
      </c>
    </row>
    <row r="2333" spans="1:20" ht="14.25" customHeight="1">
      <c r="A2333" s="15">
        <v>2332</v>
      </c>
      <c r="B2333" s="16" t="s">
        <v>7222</v>
      </c>
      <c r="C2333" s="17">
        <v>45523</v>
      </c>
      <c r="D2333" s="15" t="s">
        <v>7223</v>
      </c>
      <c r="E2333" s="18" t="s">
        <v>954</v>
      </c>
      <c r="F2333" s="19"/>
      <c r="G2333" s="23" t="s">
        <v>6786</v>
      </c>
      <c r="H2333" s="20" t="s">
        <v>5131</v>
      </c>
      <c r="I2333" s="15">
        <v>1</v>
      </c>
      <c r="J2333" s="15" t="s">
        <v>24</v>
      </c>
      <c r="K2333" s="15"/>
      <c r="L2333" s="21" t="s">
        <v>16</v>
      </c>
      <c r="M2333" s="22">
        <v>0</v>
      </c>
      <c r="N2333" s="22">
        <v>-720</v>
      </c>
      <c r="O2333" s="22">
        <v>6480</v>
      </c>
      <c r="P2333" s="22">
        <v>6480</v>
      </c>
      <c r="Q2333" t="str" cm="1">
        <f t="array" ref="Q2333">_xlfn.TEXTJOIN("、",TRUE,IF('學員資料-三民高中'!$B$2:$B$454=$F2333,'學員資料-三民高中'!$G$2:$G$454,""))</f>
        <v/>
      </c>
      <c r="R2333" t="str" cm="1">
        <f t="array" ref="R2333">_xlfn.TEXTJOIN("、",TRUE,IF('學員資料-新北高中'!$B$2:$B$583=$F2333,'學員資料-新北高中'!$G$2:$G$583,""))</f>
        <v/>
      </c>
      <c r="S2333" t="str" cm="1">
        <f t="array" ref="S2333">_xlfn.TEXTJOIN("、",TRUE,IF('學員資料-三重商工'!$B$2:$B$472=$F2333,'學員資料-三重商工'!$G$2:$G$472,""))</f>
        <v/>
      </c>
      <c r="T2333">
        <f t="shared" si="36"/>
        <v>0</v>
      </c>
    </row>
    <row r="2334" spans="1:20" ht="43.5" hidden="1" customHeight="1">
      <c r="A2334" s="15">
        <v>2333</v>
      </c>
      <c r="B2334" s="16" t="s">
        <v>7224</v>
      </c>
      <c r="C2334" s="17">
        <v>45523</v>
      </c>
      <c r="D2334" s="15" t="s">
        <v>7225</v>
      </c>
      <c r="E2334" s="18" t="s">
        <v>954</v>
      </c>
      <c r="F2334" s="19" t="s">
        <v>7226</v>
      </c>
      <c r="G2334" s="18" t="s">
        <v>7227</v>
      </c>
      <c r="H2334" s="20" t="s">
        <v>5436</v>
      </c>
      <c r="I2334" s="15">
        <v>3</v>
      </c>
      <c r="J2334" s="15" t="s">
        <v>24</v>
      </c>
      <c r="K2334" s="15"/>
      <c r="L2334" s="21" t="s">
        <v>16</v>
      </c>
      <c r="M2334" s="22">
        <v>0</v>
      </c>
      <c r="N2334" s="22">
        <v>-2160</v>
      </c>
      <c r="O2334" s="22">
        <v>19440</v>
      </c>
      <c r="P2334" s="22">
        <v>19440</v>
      </c>
      <c r="Q2334" t="str" cm="1">
        <f t="array" ref="Q2334">_xlfn.TEXTJOIN("、",TRUE,IF('學員資料-三民高中'!$B$2:$B$454=$F2334,'學員資料-三民高中'!$G$2:$G$454,""))</f>
        <v/>
      </c>
      <c r="R2334" t="str" cm="1">
        <f t="array" ref="R2334">_xlfn.TEXTJOIN("、",TRUE,IF('學員資料-新北高中'!$B$2:$B$583=$F2334,'學員資料-新北高中'!$G$2:$G$583,""))</f>
        <v/>
      </c>
      <c r="S2334" t="str" cm="1">
        <f t="array" ref="S2334">_xlfn.TEXTJOIN("、",TRUE,IF('學員資料-三重商工'!$B$2:$B$472=$F2334,'學員資料-三重商工'!$G$2:$G$472,""))</f>
        <v>0989991556</v>
      </c>
      <c r="T2334">
        <f t="shared" si="36"/>
        <v>1</v>
      </c>
    </row>
    <row r="2335" spans="1:20" ht="43.5" customHeight="1">
      <c r="A2335" s="15">
        <v>2334</v>
      </c>
      <c r="B2335" s="16" t="s">
        <v>7228</v>
      </c>
      <c r="C2335" s="17">
        <v>45523</v>
      </c>
      <c r="D2335" s="15" t="s">
        <v>7229</v>
      </c>
      <c r="E2335" s="18" t="s">
        <v>954</v>
      </c>
      <c r="F2335" s="19" t="s">
        <v>7230</v>
      </c>
      <c r="G2335" s="18" t="s">
        <v>7231</v>
      </c>
      <c r="H2335" s="20" t="s">
        <v>5157</v>
      </c>
      <c r="I2335" s="15">
        <v>3</v>
      </c>
      <c r="J2335" s="15" t="s">
        <v>23</v>
      </c>
      <c r="K2335" s="15"/>
      <c r="L2335" s="21" t="s">
        <v>16</v>
      </c>
      <c r="M2335" s="22">
        <v>0</v>
      </c>
      <c r="N2335" s="22">
        <v>-1980</v>
      </c>
      <c r="O2335" s="22">
        <v>17820</v>
      </c>
      <c r="P2335" s="22">
        <v>17820</v>
      </c>
      <c r="Q2335" t="str" cm="1">
        <f t="array" ref="Q2335">_xlfn.TEXTJOIN("、",TRUE,IF('學員資料-三民高中'!$B$2:$B$454=$F2335,'學員資料-三民高中'!$G$2:$G$454,""))</f>
        <v/>
      </c>
      <c r="R2335" t="str" cm="1">
        <f t="array" ref="R2335">_xlfn.TEXTJOIN("、",TRUE,IF('學員資料-新北高中'!$B$2:$B$583=$F2335,'學員資料-新北高中'!$G$2:$G$583,""))</f>
        <v/>
      </c>
      <c r="S2335" t="str" cm="1">
        <f t="array" ref="S2335">_xlfn.TEXTJOIN("、",TRUE,IF('學員資料-三重商工'!$B$2:$B$472=$F2335,'學員資料-三重商工'!$G$2:$G$472,""))</f>
        <v/>
      </c>
      <c r="T2335">
        <f t="shared" si="36"/>
        <v>0</v>
      </c>
    </row>
    <row r="2336" spans="1:20" ht="14.25" hidden="1" customHeight="1">
      <c r="A2336" s="15">
        <v>2335</v>
      </c>
      <c r="B2336" s="16" t="s">
        <v>7232</v>
      </c>
      <c r="C2336" s="17">
        <v>45523</v>
      </c>
      <c r="D2336" s="15" t="s">
        <v>7233</v>
      </c>
      <c r="E2336" s="18" t="s">
        <v>954</v>
      </c>
      <c r="F2336" s="19" t="s">
        <v>7234</v>
      </c>
      <c r="G2336" s="18" t="s">
        <v>7235</v>
      </c>
      <c r="H2336" s="20" t="s">
        <v>5163</v>
      </c>
      <c r="I2336" s="15">
        <v>1</v>
      </c>
      <c r="J2336" s="15" t="s">
        <v>23</v>
      </c>
      <c r="K2336" s="15"/>
      <c r="L2336" s="21" t="s">
        <v>16</v>
      </c>
      <c r="M2336" s="22">
        <v>0</v>
      </c>
      <c r="N2336" s="22">
        <v>-660</v>
      </c>
      <c r="O2336" s="22">
        <v>5940</v>
      </c>
      <c r="P2336" s="22">
        <v>5940</v>
      </c>
      <c r="Q2336" t="str" cm="1">
        <f t="array" ref="Q2336">_xlfn.TEXTJOIN("、",TRUE,IF('學員資料-三民高中'!$B$2:$B$454=$F2336,'學員資料-三民高中'!$G$2:$G$454,""))</f>
        <v>0937966665-1</v>
      </c>
      <c r="R2336" t="str" cm="1">
        <f t="array" ref="R2336">_xlfn.TEXTJOIN("、",TRUE,IF('學員資料-新北高中'!$B$2:$B$583=$F2336,'學員資料-新北高中'!$G$2:$G$583,""))</f>
        <v/>
      </c>
      <c r="S2336" t="str" cm="1">
        <f t="array" ref="S2336">_xlfn.TEXTJOIN("、",TRUE,IF('學員資料-三重商工'!$B$2:$B$472=$F2336,'學員資料-三重商工'!$G$2:$G$472,""))</f>
        <v/>
      </c>
      <c r="T2336">
        <f t="shared" si="36"/>
        <v>1</v>
      </c>
    </row>
    <row r="2337" spans="1:20" ht="14.25" hidden="1" customHeight="1">
      <c r="A2337" s="15">
        <v>2336</v>
      </c>
      <c r="B2337" s="16" t="s">
        <v>7236</v>
      </c>
      <c r="C2337" s="17">
        <v>45523</v>
      </c>
      <c r="D2337" s="15" t="s">
        <v>7237</v>
      </c>
      <c r="E2337" s="18" t="s">
        <v>954</v>
      </c>
      <c r="F2337" s="19" t="s">
        <v>7238</v>
      </c>
      <c r="G2337" s="18" t="s">
        <v>7239</v>
      </c>
      <c r="H2337" s="20" t="s">
        <v>5131</v>
      </c>
      <c r="I2337" s="15">
        <v>1</v>
      </c>
      <c r="J2337" s="15" t="s">
        <v>24</v>
      </c>
      <c r="K2337" s="15"/>
      <c r="L2337" s="21" t="s">
        <v>16</v>
      </c>
      <c r="M2337" s="22">
        <v>0</v>
      </c>
      <c r="N2337" s="22">
        <v>0</v>
      </c>
      <c r="O2337" s="22">
        <v>7200</v>
      </c>
      <c r="P2337" s="22">
        <v>7200</v>
      </c>
      <c r="Q2337" t="str" cm="1">
        <f t="array" ref="Q2337">_xlfn.TEXTJOIN("、",TRUE,IF('學員資料-三民高中'!$B$2:$B$454=$F2337,'學員資料-三民高中'!$G$2:$G$454,""))</f>
        <v>0937966665</v>
      </c>
      <c r="R2337" t="str" cm="1">
        <f t="array" ref="R2337">_xlfn.TEXTJOIN("、",TRUE,IF('學員資料-新北高中'!$B$2:$B$583=$F2337,'學員資料-新北高中'!$G$2:$G$583,""))</f>
        <v/>
      </c>
      <c r="S2337" t="str" cm="1">
        <f t="array" ref="S2337">_xlfn.TEXTJOIN("、",TRUE,IF('學員資料-三重商工'!$B$2:$B$472=$F2337,'學員資料-三重商工'!$G$2:$G$472,""))</f>
        <v/>
      </c>
      <c r="T2337">
        <f t="shared" si="36"/>
        <v>1</v>
      </c>
    </row>
    <row r="2338" spans="1:20" ht="14.25" hidden="1" customHeight="1">
      <c r="A2338" s="15">
        <v>2337</v>
      </c>
      <c r="B2338" s="16" t="s">
        <v>7240</v>
      </c>
      <c r="C2338" s="17">
        <v>45523</v>
      </c>
      <c r="D2338" s="15" t="s">
        <v>7241</v>
      </c>
      <c r="E2338" s="18" t="s">
        <v>954</v>
      </c>
      <c r="F2338" s="19" t="s">
        <v>7242</v>
      </c>
      <c r="G2338" s="18" t="s">
        <v>7243</v>
      </c>
      <c r="H2338" s="20" t="s">
        <v>5163</v>
      </c>
      <c r="I2338" s="15">
        <v>1</v>
      </c>
      <c r="J2338" s="15" t="s">
        <v>23</v>
      </c>
      <c r="K2338" s="15"/>
      <c r="L2338" s="21" t="s">
        <v>16</v>
      </c>
      <c r="M2338" s="22">
        <v>0</v>
      </c>
      <c r="N2338" s="22">
        <v>-900</v>
      </c>
      <c r="O2338" s="22">
        <v>5700</v>
      </c>
      <c r="P2338" s="22">
        <v>5700</v>
      </c>
      <c r="Q2338" t="str" cm="1">
        <f t="array" ref="Q2338">_xlfn.TEXTJOIN("、",TRUE,IF('學員資料-三民高中'!$B$2:$B$454=$F2338,'學員資料-三民高中'!$G$2:$G$454,""))</f>
        <v/>
      </c>
      <c r="R2338" t="str" cm="1">
        <f t="array" ref="R2338">_xlfn.TEXTJOIN("、",TRUE,IF('學員資料-新北高中'!$B$2:$B$583=$F2338,'學員資料-新北高中'!$G$2:$G$583,""))</f>
        <v>0955624889</v>
      </c>
      <c r="S2338" t="str" cm="1">
        <f t="array" ref="S2338">_xlfn.TEXTJOIN("、",TRUE,IF('學員資料-三重商工'!$B$2:$B$472=$F2338,'學員資料-三重商工'!$G$2:$G$472,""))</f>
        <v/>
      </c>
      <c r="T2338">
        <f t="shared" si="36"/>
        <v>1</v>
      </c>
    </row>
    <row r="2339" spans="1:20" ht="14.25" hidden="1" customHeight="1">
      <c r="A2339" s="15">
        <v>2338</v>
      </c>
      <c r="B2339" s="16" t="s">
        <v>7244</v>
      </c>
      <c r="C2339" s="17">
        <v>45523</v>
      </c>
      <c r="D2339" s="15" t="s">
        <v>7245</v>
      </c>
      <c r="E2339" s="18" t="s">
        <v>954</v>
      </c>
      <c r="F2339" s="19" t="s">
        <v>1450</v>
      </c>
      <c r="G2339" s="18" t="s">
        <v>1451</v>
      </c>
      <c r="H2339" s="20" t="s">
        <v>5163</v>
      </c>
      <c r="I2339" s="15">
        <v>1</v>
      </c>
      <c r="J2339" s="15" t="s">
        <v>23</v>
      </c>
      <c r="K2339" s="15"/>
      <c r="L2339" s="21" t="s">
        <v>16</v>
      </c>
      <c r="M2339" s="22">
        <v>0</v>
      </c>
      <c r="N2339" s="22">
        <v>-660</v>
      </c>
      <c r="O2339" s="22">
        <v>5940</v>
      </c>
      <c r="P2339" s="22">
        <v>5940</v>
      </c>
      <c r="Q2339" t="str" cm="1">
        <f t="array" ref="Q2339">_xlfn.TEXTJOIN("、",TRUE,IF('學員資料-三民高中'!$B$2:$B$454=$F2339,'學員資料-三民高中'!$G$2:$G$454,""))</f>
        <v>0930941302</v>
      </c>
      <c r="R2339" t="str" cm="1">
        <f t="array" ref="R2339">_xlfn.TEXTJOIN("、",TRUE,IF('學員資料-新北高中'!$B$2:$B$583=$F2339,'學員資料-新北高中'!$G$2:$G$583,""))</f>
        <v/>
      </c>
      <c r="S2339" t="str" cm="1">
        <f t="array" ref="S2339">_xlfn.TEXTJOIN("、",TRUE,IF('學員資料-三重商工'!$B$2:$B$472=$F2339,'學員資料-三重商工'!$G$2:$G$472,""))</f>
        <v/>
      </c>
      <c r="T2339">
        <f t="shared" si="36"/>
        <v>1</v>
      </c>
    </row>
    <row r="2340" spans="1:20" ht="14.25" hidden="1" customHeight="1">
      <c r="A2340" s="15">
        <v>2339</v>
      </c>
      <c r="B2340" s="16" t="s">
        <v>7246</v>
      </c>
      <c r="C2340" s="17">
        <v>45523</v>
      </c>
      <c r="D2340" s="15" t="s">
        <v>7247</v>
      </c>
      <c r="E2340" s="18" t="s">
        <v>954</v>
      </c>
      <c r="F2340" s="19" t="s">
        <v>3138</v>
      </c>
      <c r="G2340" s="18" t="s">
        <v>3139</v>
      </c>
      <c r="H2340" s="20" t="s">
        <v>5131</v>
      </c>
      <c r="I2340" s="15">
        <v>1</v>
      </c>
      <c r="J2340" s="15" t="s">
        <v>24</v>
      </c>
      <c r="K2340" s="15"/>
      <c r="L2340" s="21" t="s">
        <v>16</v>
      </c>
      <c r="M2340" s="22">
        <v>0</v>
      </c>
      <c r="N2340" s="22">
        <v>0</v>
      </c>
      <c r="O2340" s="22">
        <v>7200</v>
      </c>
      <c r="P2340" s="22">
        <v>7200</v>
      </c>
      <c r="Q2340" t="str" cm="1">
        <f t="array" ref="Q2340">_xlfn.TEXTJOIN("、",TRUE,IF('學員資料-三民高中'!$B$2:$B$454=$F2340,'學員資料-三民高中'!$G$2:$G$454,""))</f>
        <v/>
      </c>
      <c r="R2340" t="str" cm="1">
        <f t="array" ref="R2340">_xlfn.TEXTJOIN("、",TRUE,IF('學員資料-新北高中'!$B$2:$B$583=$F2340,'學員資料-新北高中'!$G$2:$G$583,""))</f>
        <v>0916760790</v>
      </c>
      <c r="S2340" t="str" cm="1">
        <f t="array" ref="S2340">_xlfn.TEXTJOIN("、",TRUE,IF('學員資料-三重商工'!$B$2:$B$472=$F2340,'學員資料-三重商工'!$G$2:$G$472,""))</f>
        <v/>
      </c>
      <c r="T2340">
        <f t="shared" si="36"/>
        <v>1</v>
      </c>
    </row>
    <row r="2341" spans="1:20" ht="14.25" hidden="1" customHeight="1">
      <c r="A2341" s="15">
        <v>2340</v>
      </c>
      <c r="B2341" s="16" t="s">
        <v>7248</v>
      </c>
      <c r="C2341" s="17">
        <v>45523</v>
      </c>
      <c r="D2341" s="15" t="s">
        <v>7249</v>
      </c>
      <c r="E2341" s="18" t="s">
        <v>954</v>
      </c>
      <c r="F2341" s="19" t="s">
        <v>5101</v>
      </c>
      <c r="G2341" s="18" t="s">
        <v>5102</v>
      </c>
      <c r="H2341" s="20" t="s">
        <v>5131</v>
      </c>
      <c r="I2341" s="15">
        <v>1</v>
      </c>
      <c r="J2341" s="15" t="s">
        <v>24</v>
      </c>
      <c r="K2341" s="15"/>
      <c r="L2341" s="21" t="s">
        <v>16</v>
      </c>
      <c r="M2341" s="22">
        <v>0</v>
      </c>
      <c r="N2341" s="22">
        <v>0</v>
      </c>
      <c r="O2341" s="22">
        <v>7200</v>
      </c>
      <c r="P2341" s="22">
        <v>7200</v>
      </c>
      <c r="Q2341" t="str" cm="1">
        <f t="array" ref="Q2341">_xlfn.TEXTJOIN("、",TRUE,IF('學員資料-三民高中'!$B$2:$B$454=$F2341,'學員資料-三民高中'!$G$2:$G$454,""))</f>
        <v/>
      </c>
      <c r="R2341" t="str" cm="1">
        <f t="array" ref="R2341">_xlfn.TEXTJOIN("、",TRUE,IF('學員資料-新北高中'!$B$2:$B$583=$F2341,'學員資料-新北高中'!$G$2:$G$583,""))</f>
        <v>0972288989</v>
      </c>
      <c r="S2341" t="str" cm="1">
        <f t="array" ref="S2341">_xlfn.TEXTJOIN("、",TRUE,IF('學員資料-三重商工'!$B$2:$B$472=$F2341,'學員資料-三重商工'!$G$2:$G$472,""))</f>
        <v/>
      </c>
      <c r="T2341">
        <f t="shared" si="36"/>
        <v>1</v>
      </c>
    </row>
    <row r="2342" spans="1:20" ht="57.75" hidden="1" customHeight="1">
      <c r="A2342" s="15">
        <v>2341</v>
      </c>
      <c r="B2342" s="16" t="s">
        <v>7250</v>
      </c>
      <c r="C2342" s="17">
        <v>45522</v>
      </c>
      <c r="D2342" s="15" t="s">
        <v>7251</v>
      </c>
      <c r="E2342" s="18" t="s">
        <v>954</v>
      </c>
      <c r="F2342" s="19" t="s">
        <v>7252</v>
      </c>
      <c r="G2342" s="18" t="s">
        <v>7253</v>
      </c>
      <c r="H2342" s="20" t="s">
        <v>3288</v>
      </c>
      <c r="I2342" s="15">
        <v>4</v>
      </c>
      <c r="J2342" s="15" t="s">
        <v>24</v>
      </c>
      <c r="K2342" s="15"/>
      <c r="L2342" s="21" t="s">
        <v>16</v>
      </c>
      <c r="M2342" s="22">
        <v>0</v>
      </c>
      <c r="N2342" s="22">
        <v>-25920</v>
      </c>
      <c r="O2342" s="22">
        <v>17280</v>
      </c>
      <c r="P2342" s="22">
        <v>17280</v>
      </c>
      <c r="Q2342" t="str" cm="1">
        <f t="array" ref="Q2342">_xlfn.TEXTJOIN("、",TRUE,IF('學員資料-三民高中'!$B$2:$B$454=$F2342,'學員資料-三民高中'!$G$2:$G$454,""))</f>
        <v/>
      </c>
      <c r="R2342" t="str" cm="1">
        <f t="array" ref="R2342">_xlfn.TEXTJOIN("、",TRUE,IF('學員資料-新北高中'!$B$2:$B$583=$F2342,'學員資料-新北高中'!$G$2:$G$583,""))</f>
        <v/>
      </c>
      <c r="S2342" t="str" cm="1">
        <f t="array" ref="S2342">_xlfn.TEXTJOIN("、",TRUE,IF('學員資料-三重商工'!$B$2:$B$472=$F2342,'學員資料-三重商工'!$G$2:$G$472,""))</f>
        <v>0933074090</v>
      </c>
      <c r="T2342">
        <f t="shared" si="36"/>
        <v>1</v>
      </c>
    </row>
    <row r="2343" spans="1:20" ht="57.75" hidden="1" customHeight="1">
      <c r="A2343" s="15">
        <v>2342</v>
      </c>
      <c r="B2343" s="16" t="s">
        <v>7254</v>
      </c>
      <c r="C2343" s="17">
        <v>45522</v>
      </c>
      <c r="D2343" s="15" t="s">
        <v>7255</v>
      </c>
      <c r="E2343" s="18" t="s">
        <v>954</v>
      </c>
      <c r="F2343" s="19" t="s">
        <v>7256</v>
      </c>
      <c r="G2343" s="18" t="s">
        <v>7257</v>
      </c>
      <c r="H2343" s="20" t="s">
        <v>3288</v>
      </c>
      <c r="I2343" s="15">
        <v>4</v>
      </c>
      <c r="J2343" s="15" t="s">
        <v>24</v>
      </c>
      <c r="K2343" s="15"/>
      <c r="L2343" s="21" t="s">
        <v>16</v>
      </c>
      <c r="M2343" s="22">
        <v>0</v>
      </c>
      <c r="N2343" s="22">
        <v>-19320</v>
      </c>
      <c r="O2343" s="22">
        <v>23880</v>
      </c>
      <c r="P2343" s="22">
        <v>23880</v>
      </c>
      <c r="Q2343" t="str" cm="1">
        <f t="array" ref="Q2343">_xlfn.TEXTJOIN("、",TRUE,IF('學員資料-三民高中'!$B$2:$B$454=$F2343,'學員資料-三民高中'!$G$2:$G$454,""))</f>
        <v/>
      </c>
      <c r="R2343" t="str" cm="1">
        <f t="array" ref="R2343">_xlfn.TEXTJOIN("、",TRUE,IF('學員資料-新北高中'!$B$2:$B$583=$F2343,'學員資料-新北高中'!$G$2:$G$583,""))</f>
        <v>AQ0016</v>
      </c>
      <c r="S2343" t="str" cm="1">
        <f t="array" ref="S2343">_xlfn.TEXTJOIN("、",TRUE,IF('學員資料-三重商工'!$B$2:$B$472=$F2343,'學員資料-三重商工'!$G$2:$G$472,""))</f>
        <v/>
      </c>
      <c r="T2343">
        <f t="shared" si="36"/>
        <v>1</v>
      </c>
    </row>
    <row r="2344" spans="1:20" ht="14.25" hidden="1" customHeight="1">
      <c r="A2344" s="15">
        <v>2343</v>
      </c>
      <c r="B2344" s="16" t="s">
        <v>7258</v>
      </c>
      <c r="C2344" s="17">
        <v>45522</v>
      </c>
      <c r="D2344" s="15" t="s">
        <v>7259</v>
      </c>
      <c r="E2344" s="18" t="s">
        <v>954</v>
      </c>
      <c r="F2344" s="19" t="s">
        <v>7260</v>
      </c>
      <c r="G2344" s="18" t="s">
        <v>7261</v>
      </c>
      <c r="H2344" s="20" t="s">
        <v>683</v>
      </c>
      <c r="I2344" s="15">
        <v>1</v>
      </c>
      <c r="J2344" s="15" t="s">
        <v>23</v>
      </c>
      <c r="K2344" s="15"/>
      <c r="L2344" s="21" t="s">
        <v>16</v>
      </c>
      <c r="M2344" s="22">
        <v>0</v>
      </c>
      <c r="N2344" s="22">
        <v>-3600</v>
      </c>
      <c r="O2344" s="22">
        <v>5400</v>
      </c>
      <c r="P2344" s="22">
        <v>5400</v>
      </c>
      <c r="Q2344" t="str" cm="1">
        <f t="array" ref="Q2344">_xlfn.TEXTJOIN("、",TRUE,IF('學員資料-三民高中'!$B$2:$B$454=$F2344,'學員資料-三民高中'!$G$2:$G$454,""))</f>
        <v/>
      </c>
      <c r="R2344" t="str" cm="1">
        <f t="array" ref="R2344">_xlfn.TEXTJOIN("、",TRUE,IF('學員資料-新北高中'!$B$2:$B$583=$F2344,'學員資料-新北高中'!$G$2:$G$583,""))</f>
        <v>0974596741</v>
      </c>
      <c r="S2344" t="str" cm="1">
        <f t="array" ref="S2344">_xlfn.TEXTJOIN("、",TRUE,IF('學員資料-三重商工'!$B$2:$B$472=$F2344,'學員資料-三重商工'!$G$2:$G$472,""))</f>
        <v/>
      </c>
      <c r="T2344">
        <f t="shared" si="36"/>
        <v>1</v>
      </c>
    </row>
    <row r="2345" spans="1:20" ht="43.5" hidden="1" customHeight="1">
      <c r="A2345" s="15">
        <v>2344</v>
      </c>
      <c r="B2345" s="16" t="s">
        <v>7262</v>
      </c>
      <c r="C2345" s="17">
        <v>45522</v>
      </c>
      <c r="D2345" s="15" t="s">
        <v>7263</v>
      </c>
      <c r="E2345" s="18" t="s">
        <v>954</v>
      </c>
      <c r="F2345" s="19" t="s">
        <v>3126</v>
      </c>
      <c r="G2345" s="18" t="s">
        <v>3127</v>
      </c>
      <c r="H2345" s="20" t="s">
        <v>1531</v>
      </c>
      <c r="I2345" s="15">
        <v>3</v>
      </c>
      <c r="J2345" s="15" t="s">
        <v>24</v>
      </c>
      <c r="K2345" s="15"/>
      <c r="L2345" s="21" t="s">
        <v>16</v>
      </c>
      <c r="M2345" s="22">
        <v>0</v>
      </c>
      <c r="N2345" s="22">
        <v>-2160</v>
      </c>
      <c r="O2345" s="22">
        <v>30240</v>
      </c>
      <c r="P2345" s="22">
        <v>30240</v>
      </c>
      <c r="Q2345" t="str" cm="1">
        <f t="array" ref="Q2345">_xlfn.TEXTJOIN("、",TRUE,IF('學員資料-三民高中'!$B$2:$B$454=$F2345,'學員資料-三民高中'!$G$2:$G$454,""))</f>
        <v/>
      </c>
      <c r="R2345" t="str" cm="1">
        <f t="array" ref="R2345">_xlfn.TEXTJOIN("、",TRUE,IF('學員資料-新北高中'!$B$2:$B$583=$F2345,'學員資料-新北高中'!$G$2:$G$583,""))</f>
        <v>0913666118</v>
      </c>
      <c r="S2345" t="str" cm="1">
        <f t="array" ref="S2345">_xlfn.TEXTJOIN("、",TRUE,IF('學員資料-三重商工'!$B$2:$B$472=$F2345,'學員資料-三重商工'!$G$2:$G$472,""))</f>
        <v/>
      </c>
      <c r="T2345">
        <f t="shared" si="36"/>
        <v>1</v>
      </c>
    </row>
    <row r="2346" spans="1:20" ht="14.25" hidden="1" customHeight="1">
      <c r="A2346" s="15">
        <v>2345</v>
      </c>
      <c r="B2346" s="16" t="s">
        <v>7264</v>
      </c>
      <c r="C2346" s="17">
        <v>45522</v>
      </c>
      <c r="D2346" s="15" t="s">
        <v>7265</v>
      </c>
      <c r="E2346" s="18" t="s">
        <v>954</v>
      </c>
      <c r="F2346" s="19" t="s">
        <v>7266</v>
      </c>
      <c r="G2346" s="18" t="s">
        <v>7267</v>
      </c>
      <c r="H2346" s="20" t="s">
        <v>6338</v>
      </c>
      <c r="I2346" s="15">
        <v>1</v>
      </c>
      <c r="J2346" s="15" t="s">
        <v>26</v>
      </c>
      <c r="K2346" s="15"/>
      <c r="L2346" s="21" t="s">
        <v>16</v>
      </c>
      <c r="M2346" s="22">
        <v>0</v>
      </c>
      <c r="N2346" s="22">
        <v>-1440</v>
      </c>
      <c r="O2346" s="22">
        <v>12960</v>
      </c>
      <c r="P2346" s="22">
        <v>12960</v>
      </c>
      <c r="Q2346" t="str" cm="1">
        <f t="array" ref="Q2346">_xlfn.TEXTJOIN("、",TRUE,IF('學員資料-三民高中'!$B$2:$B$454=$F2346,'學員資料-三民高中'!$G$2:$G$454,""))</f>
        <v/>
      </c>
      <c r="R2346" t="str" cm="1">
        <f t="array" ref="R2346">_xlfn.TEXTJOIN("、",TRUE,IF('學員資料-新北高中'!$B$2:$B$583=$F2346,'學員資料-新北高中'!$G$2:$G$583,""))</f>
        <v>AQ0004</v>
      </c>
      <c r="S2346" t="str" cm="1">
        <f t="array" ref="S2346">_xlfn.TEXTJOIN("、",TRUE,IF('學員資料-三重商工'!$B$2:$B$472=$F2346,'學員資料-三重商工'!$G$2:$G$472,""))</f>
        <v/>
      </c>
      <c r="T2346">
        <f t="shared" si="36"/>
        <v>1</v>
      </c>
    </row>
    <row r="2347" spans="1:20" ht="14.25" hidden="1" customHeight="1">
      <c r="A2347" s="15">
        <v>2346</v>
      </c>
      <c r="B2347" s="16" t="s">
        <v>7268</v>
      </c>
      <c r="C2347" s="17">
        <v>45522</v>
      </c>
      <c r="D2347" s="15" t="s">
        <v>7269</v>
      </c>
      <c r="E2347" s="18" t="s">
        <v>954</v>
      </c>
      <c r="F2347" s="19" t="s">
        <v>7270</v>
      </c>
      <c r="G2347" s="18" t="s">
        <v>7271</v>
      </c>
      <c r="H2347" s="20" t="s">
        <v>683</v>
      </c>
      <c r="I2347" s="15">
        <v>1</v>
      </c>
      <c r="J2347" s="15" t="s">
        <v>23</v>
      </c>
      <c r="K2347" s="15"/>
      <c r="L2347" s="21" t="s">
        <v>16</v>
      </c>
      <c r="M2347" s="22">
        <v>0</v>
      </c>
      <c r="N2347" s="22">
        <v>-1800</v>
      </c>
      <c r="O2347" s="22">
        <v>7200</v>
      </c>
      <c r="P2347" s="22">
        <v>7200</v>
      </c>
      <c r="Q2347" t="str" cm="1">
        <f t="array" ref="Q2347">_xlfn.TEXTJOIN("、",TRUE,IF('學員資料-三民高中'!$B$2:$B$454=$F2347,'學員資料-三民高中'!$G$2:$G$454,""))</f>
        <v/>
      </c>
      <c r="R2347" t="str" cm="1">
        <f t="array" ref="R2347">_xlfn.TEXTJOIN("、",TRUE,IF('學員資料-新北高中'!$B$2:$B$583=$F2347,'學員資料-新北高中'!$G$2:$G$583,""))</f>
        <v>0917111777</v>
      </c>
      <c r="S2347" t="str" cm="1">
        <f t="array" ref="S2347">_xlfn.TEXTJOIN("、",TRUE,IF('學員資料-三重商工'!$B$2:$B$472=$F2347,'學員資料-三重商工'!$G$2:$G$472,""))</f>
        <v/>
      </c>
      <c r="T2347">
        <f t="shared" si="36"/>
        <v>1</v>
      </c>
    </row>
    <row r="2348" spans="1:20" ht="28.5" hidden="1" customHeight="1">
      <c r="A2348" s="15">
        <v>2347</v>
      </c>
      <c r="B2348" s="16" t="s">
        <v>7272</v>
      </c>
      <c r="C2348" s="17">
        <v>45522</v>
      </c>
      <c r="D2348" s="15" t="s">
        <v>7273</v>
      </c>
      <c r="E2348" s="18" t="s">
        <v>954</v>
      </c>
      <c r="F2348" s="19" t="s">
        <v>7274</v>
      </c>
      <c r="G2348" s="18" t="s">
        <v>7275</v>
      </c>
      <c r="H2348" s="20" t="s">
        <v>5206</v>
      </c>
      <c r="I2348" s="15">
        <v>2</v>
      </c>
      <c r="J2348" s="15" t="s">
        <v>23</v>
      </c>
      <c r="K2348" s="15"/>
      <c r="L2348" s="21" t="s">
        <v>16</v>
      </c>
      <c r="M2348" s="22">
        <v>0</v>
      </c>
      <c r="N2348" s="22">
        <v>-1320</v>
      </c>
      <c r="O2348" s="22">
        <v>11880</v>
      </c>
      <c r="P2348" s="22">
        <v>11880</v>
      </c>
      <c r="Q2348" t="str" cm="1">
        <f t="array" ref="Q2348">_xlfn.TEXTJOIN("、",TRUE,IF('學員資料-三民高中'!$B$2:$B$454=$F2348,'學員資料-三民高中'!$G$2:$G$454,""))</f>
        <v/>
      </c>
      <c r="R2348" t="str" cm="1">
        <f t="array" ref="R2348">_xlfn.TEXTJOIN("、",TRUE,IF('學員資料-新北高中'!$B$2:$B$583=$F2348,'學員資料-新北高中'!$G$2:$G$583,""))</f>
        <v>0956748223</v>
      </c>
      <c r="S2348" t="str" cm="1">
        <f t="array" ref="S2348">_xlfn.TEXTJOIN("、",TRUE,IF('學員資料-三重商工'!$B$2:$B$472=$F2348,'學員資料-三重商工'!$G$2:$G$472,""))</f>
        <v/>
      </c>
      <c r="T2348">
        <f t="shared" si="36"/>
        <v>1</v>
      </c>
    </row>
    <row r="2349" spans="1:20" ht="14.25" hidden="1" customHeight="1">
      <c r="A2349" s="15">
        <v>2348</v>
      </c>
      <c r="B2349" s="16" t="s">
        <v>7276</v>
      </c>
      <c r="C2349" s="17">
        <v>45522</v>
      </c>
      <c r="D2349" s="15" t="s">
        <v>7277</v>
      </c>
      <c r="E2349" s="18" t="s">
        <v>954</v>
      </c>
      <c r="F2349" s="19" t="s">
        <v>4538</v>
      </c>
      <c r="G2349" s="18" t="s">
        <v>4539</v>
      </c>
      <c r="H2349" s="20" t="s">
        <v>5131</v>
      </c>
      <c r="I2349" s="15">
        <v>1</v>
      </c>
      <c r="J2349" s="15" t="s">
        <v>24</v>
      </c>
      <c r="K2349" s="15"/>
      <c r="L2349" s="21" t="s">
        <v>16</v>
      </c>
      <c r="M2349" s="22">
        <v>0</v>
      </c>
      <c r="N2349" s="22">
        <v>0</v>
      </c>
      <c r="O2349" s="22">
        <v>7200</v>
      </c>
      <c r="P2349" s="22">
        <v>7200</v>
      </c>
      <c r="Q2349" t="str" cm="1">
        <f t="array" ref="Q2349">_xlfn.TEXTJOIN("、",TRUE,IF('學員資料-三民高中'!$B$2:$B$454=$F2349,'學員資料-三民高中'!$G$2:$G$454,""))</f>
        <v/>
      </c>
      <c r="R2349" t="str" cm="1">
        <f t="array" ref="R2349">_xlfn.TEXTJOIN("、",TRUE,IF('學員資料-新北高中'!$B$2:$B$583=$F2349,'學員資料-新北高中'!$G$2:$G$583,""))</f>
        <v/>
      </c>
      <c r="S2349" t="str" cm="1">
        <f t="array" ref="S2349">_xlfn.TEXTJOIN("、",TRUE,IF('學員資料-三重商工'!$B$2:$B$472=$F2349,'學員資料-三重商工'!$G$2:$G$472,""))</f>
        <v>0953289313</v>
      </c>
      <c r="T2349">
        <f t="shared" si="36"/>
        <v>1</v>
      </c>
    </row>
    <row r="2350" spans="1:20" ht="14.25" hidden="1" customHeight="1">
      <c r="A2350" s="15">
        <v>2349</v>
      </c>
      <c r="B2350" s="16" t="s">
        <v>7278</v>
      </c>
      <c r="C2350" s="17">
        <v>45522</v>
      </c>
      <c r="D2350" s="15" t="s">
        <v>7279</v>
      </c>
      <c r="E2350" s="18" t="s">
        <v>954</v>
      </c>
      <c r="F2350" s="19" t="s">
        <v>5291</v>
      </c>
      <c r="G2350" s="18" t="s">
        <v>5292</v>
      </c>
      <c r="H2350" s="20" t="s">
        <v>5163</v>
      </c>
      <c r="I2350" s="15">
        <v>1</v>
      </c>
      <c r="J2350" s="15" t="s">
        <v>23</v>
      </c>
      <c r="K2350" s="15"/>
      <c r="L2350" s="21" t="s">
        <v>16</v>
      </c>
      <c r="M2350" s="22">
        <v>0</v>
      </c>
      <c r="N2350" s="22">
        <v>0</v>
      </c>
      <c r="O2350" s="22">
        <v>6600</v>
      </c>
      <c r="P2350" s="22">
        <v>6600</v>
      </c>
      <c r="Q2350" t="str" cm="1">
        <f t="array" ref="Q2350">_xlfn.TEXTJOIN("、",TRUE,IF('學員資料-三民高中'!$B$2:$B$454=$F2350,'學員資料-三民高中'!$G$2:$G$454,""))</f>
        <v/>
      </c>
      <c r="R2350" t="str" cm="1">
        <f t="array" ref="R2350">_xlfn.TEXTJOIN("、",TRUE,IF('學員資料-新北高中'!$B$2:$B$583=$F2350,'學員資料-新北高中'!$G$2:$G$583,""))</f>
        <v/>
      </c>
      <c r="S2350" t="str" cm="1">
        <f t="array" ref="S2350">_xlfn.TEXTJOIN("、",TRUE,IF('學員資料-三重商工'!$B$2:$B$472=$F2350,'學員資料-三重商工'!$G$2:$G$472,""))</f>
        <v>0976613417</v>
      </c>
      <c r="T2350">
        <f t="shared" si="36"/>
        <v>1</v>
      </c>
    </row>
    <row r="2351" spans="1:20" ht="14.25" hidden="1" customHeight="1">
      <c r="A2351" s="15">
        <v>2350</v>
      </c>
      <c r="B2351" s="16" t="s">
        <v>7280</v>
      </c>
      <c r="C2351" s="17">
        <v>45522</v>
      </c>
      <c r="D2351" s="15" t="s">
        <v>7281</v>
      </c>
      <c r="E2351" s="18" t="s">
        <v>954</v>
      </c>
      <c r="F2351" s="19" t="s">
        <v>7282</v>
      </c>
      <c r="G2351" s="18" t="s">
        <v>7283</v>
      </c>
      <c r="H2351" s="20" t="s">
        <v>5148</v>
      </c>
      <c r="I2351" s="15">
        <v>1</v>
      </c>
      <c r="J2351" s="15" t="s">
        <v>25</v>
      </c>
      <c r="K2351" s="15"/>
      <c r="L2351" s="21" t="s">
        <v>16</v>
      </c>
      <c r="M2351" s="22">
        <v>0</v>
      </c>
      <c r="N2351" s="22">
        <v>0</v>
      </c>
      <c r="O2351" s="22">
        <v>9000</v>
      </c>
      <c r="P2351" s="22">
        <v>9000</v>
      </c>
      <c r="Q2351" t="str" cm="1">
        <f t="array" ref="Q2351">_xlfn.TEXTJOIN("、",TRUE,IF('學員資料-三民高中'!$B$2:$B$454=$F2351,'學員資料-三民高中'!$G$2:$G$454,""))</f>
        <v/>
      </c>
      <c r="R2351" t="str" cm="1">
        <f t="array" ref="R2351">_xlfn.TEXTJOIN("、",TRUE,IF('學員資料-新北高中'!$B$2:$B$583=$F2351,'學員資料-新北高中'!$G$2:$G$583,""))</f>
        <v/>
      </c>
      <c r="S2351" t="str" cm="1">
        <f t="array" ref="S2351">_xlfn.TEXTJOIN("、",TRUE,IF('學員資料-三重商工'!$B$2:$B$472=$F2351,'學員資料-三重商工'!$G$2:$G$472,""))</f>
        <v>0958934013</v>
      </c>
      <c r="T2351">
        <f t="shared" si="36"/>
        <v>1</v>
      </c>
    </row>
    <row r="2352" spans="1:20" ht="28.5" hidden="1" customHeight="1">
      <c r="A2352" s="15">
        <v>2351</v>
      </c>
      <c r="B2352" s="16" t="s">
        <v>7284</v>
      </c>
      <c r="C2352" s="17">
        <v>45522</v>
      </c>
      <c r="D2352" s="15" t="s">
        <v>7285</v>
      </c>
      <c r="E2352" s="18" t="s">
        <v>954</v>
      </c>
      <c r="F2352" s="19" t="s">
        <v>2565</v>
      </c>
      <c r="G2352" s="18" t="s">
        <v>2566</v>
      </c>
      <c r="H2352" s="20" t="s">
        <v>1985</v>
      </c>
      <c r="I2352" s="15">
        <v>2</v>
      </c>
      <c r="J2352" s="15" t="s">
        <v>23</v>
      </c>
      <c r="K2352" s="15"/>
      <c r="L2352" s="21" t="s">
        <v>16</v>
      </c>
      <c r="M2352" s="22">
        <v>0</v>
      </c>
      <c r="N2352" s="22">
        <v>-1800</v>
      </c>
      <c r="O2352" s="22">
        <v>16200</v>
      </c>
      <c r="P2352" s="22">
        <v>16200</v>
      </c>
      <c r="Q2352" t="str" cm="1">
        <f t="array" ref="Q2352">_xlfn.TEXTJOIN("、",TRUE,IF('學員資料-三民高中'!$B$2:$B$454=$F2352,'學員資料-三民高中'!$G$2:$G$454,""))</f>
        <v/>
      </c>
      <c r="R2352" t="str" cm="1">
        <f t="array" ref="R2352">_xlfn.TEXTJOIN("、",TRUE,IF('學員資料-新北高中'!$B$2:$B$583=$F2352,'學員資料-新北高中'!$G$2:$G$583,""))</f>
        <v>0987238688</v>
      </c>
      <c r="S2352" t="str" cm="1">
        <f t="array" ref="S2352">_xlfn.TEXTJOIN("、",TRUE,IF('學員資料-三重商工'!$B$2:$B$472=$F2352,'學員資料-三重商工'!$G$2:$G$472,""))</f>
        <v/>
      </c>
      <c r="T2352">
        <f t="shared" si="36"/>
        <v>1</v>
      </c>
    </row>
    <row r="2353" spans="1:20" ht="28.5" hidden="1" customHeight="1">
      <c r="A2353" s="15">
        <v>2352</v>
      </c>
      <c r="B2353" s="16" t="s">
        <v>7286</v>
      </c>
      <c r="C2353" s="17">
        <v>45522</v>
      </c>
      <c r="D2353" s="15" t="s">
        <v>7287</v>
      </c>
      <c r="E2353" s="18" t="s">
        <v>954</v>
      </c>
      <c r="F2353" s="19" t="s">
        <v>7288</v>
      </c>
      <c r="G2353" s="18" t="s">
        <v>7289</v>
      </c>
      <c r="H2353" s="20" t="s">
        <v>5206</v>
      </c>
      <c r="I2353" s="15">
        <v>2</v>
      </c>
      <c r="J2353" s="15" t="s">
        <v>23</v>
      </c>
      <c r="K2353" s="15"/>
      <c r="L2353" s="21" t="s">
        <v>16</v>
      </c>
      <c r="M2353" s="22">
        <v>0</v>
      </c>
      <c r="N2353" s="22">
        <v>0</v>
      </c>
      <c r="O2353" s="22">
        <v>13200</v>
      </c>
      <c r="P2353" s="22">
        <v>13200</v>
      </c>
      <c r="Q2353" t="str" cm="1">
        <f t="array" ref="Q2353">_xlfn.TEXTJOIN("、",TRUE,IF('學員資料-三民高中'!$B$2:$B$454=$F2353,'學員資料-三民高中'!$G$2:$G$454,""))</f>
        <v/>
      </c>
      <c r="R2353" t="str" cm="1">
        <f t="array" ref="R2353">_xlfn.TEXTJOIN("、",TRUE,IF('學員資料-新北高中'!$B$2:$B$583=$F2353,'學員資料-新北高中'!$G$2:$G$583,""))</f>
        <v>0958934001</v>
      </c>
      <c r="S2353" t="str" cm="1">
        <f t="array" ref="S2353">_xlfn.TEXTJOIN("、",TRUE,IF('學員資料-三重商工'!$B$2:$B$472=$F2353,'學員資料-三重商工'!$G$2:$G$472,""))</f>
        <v/>
      </c>
      <c r="T2353">
        <f t="shared" si="36"/>
        <v>1</v>
      </c>
    </row>
    <row r="2354" spans="1:20" ht="57.75" customHeight="1">
      <c r="A2354" s="15">
        <v>2353</v>
      </c>
      <c r="B2354" s="16" t="s">
        <v>7290</v>
      </c>
      <c r="C2354" s="17">
        <v>45522</v>
      </c>
      <c r="D2354" s="15" t="s">
        <v>7291</v>
      </c>
      <c r="E2354" s="18" t="s">
        <v>954</v>
      </c>
      <c r="F2354" s="19" t="s">
        <v>7292</v>
      </c>
      <c r="G2354" s="18" t="s">
        <v>7293</v>
      </c>
      <c r="H2354" s="20" t="s">
        <v>5457</v>
      </c>
      <c r="I2354" s="15">
        <v>4</v>
      </c>
      <c r="J2354" s="15" t="s">
        <v>24</v>
      </c>
      <c r="K2354" s="15"/>
      <c r="L2354" s="21" t="s">
        <v>16</v>
      </c>
      <c r="M2354" s="22">
        <v>0</v>
      </c>
      <c r="N2354" s="22">
        <v>0</v>
      </c>
      <c r="O2354" s="22">
        <v>28800</v>
      </c>
      <c r="P2354" s="22">
        <v>28800</v>
      </c>
      <c r="Q2354" t="str" cm="1">
        <f t="array" ref="Q2354">_xlfn.TEXTJOIN("、",TRUE,IF('學員資料-三民高中'!$B$2:$B$454=$F2354,'學員資料-三民高中'!$G$2:$G$454,""))</f>
        <v/>
      </c>
      <c r="R2354" t="str" cm="1">
        <f t="array" ref="R2354">_xlfn.TEXTJOIN("、",TRUE,IF('學員資料-新北高中'!$B$2:$B$583=$F2354,'學員資料-新北高中'!$G$2:$G$583,""))</f>
        <v/>
      </c>
      <c r="S2354" t="str" cm="1">
        <f t="array" ref="S2354">_xlfn.TEXTJOIN("、",TRUE,IF('學員資料-三重商工'!$B$2:$B$472=$F2354,'學員資料-三重商工'!$G$2:$G$472,""))</f>
        <v/>
      </c>
      <c r="T2354">
        <f t="shared" si="36"/>
        <v>0</v>
      </c>
    </row>
    <row r="2355" spans="1:20" ht="14.25" customHeight="1">
      <c r="A2355" s="15">
        <v>2354</v>
      </c>
      <c r="B2355" s="16" t="s">
        <v>7294</v>
      </c>
      <c r="C2355" s="17">
        <v>45522</v>
      </c>
      <c r="D2355" s="15" t="s">
        <v>7295</v>
      </c>
      <c r="E2355" s="18" t="s">
        <v>954</v>
      </c>
      <c r="F2355" s="19" t="s">
        <v>7296</v>
      </c>
      <c r="G2355" s="18" t="s">
        <v>7297</v>
      </c>
      <c r="H2355" s="20" t="s">
        <v>5131</v>
      </c>
      <c r="I2355" s="15">
        <v>1</v>
      </c>
      <c r="J2355" s="15" t="s">
        <v>24</v>
      </c>
      <c r="K2355" s="15"/>
      <c r="L2355" s="21" t="s">
        <v>16</v>
      </c>
      <c r="M2355" s="22">
        <v>0</v>
      </c>
      <c r="N2355" s="22">
        <v>0</v>
      </c>
      <c r="O2355" s="22">
        <v>7200</v>
      </c>
      <c r="P2355" s="22">
        <v>7200</v>
      </c>
      <c r="Q2355" t="str" cm="1">
        <f t="array" ref="Q2355">_xlfn.TEXTJOIN("、",TRUE,IF('學員資料-三民高中'!$B$2:$B$454=$F2355,'學員資料-三民高中'!$G$2:$G$454,""))</f>
        <v/>
      </c>
      <c r="R2355" t="str" cm="1">
        <f t="array" ref="R2355">_xlfn.TEXTJOIN("、",TRUE,IF('學員資料-新北高中'!$B$2:$B$583=$F2355,'學員資料-新北高中'!$G$2:$G$583,""))</f>
        <v/>
      </c>
      <c r="S2355" t="str" cm="1">
        <f t="array" ref="S2355">_xlfn.TEXTJOIN("、",TRUE,IF('學員資料-三重商工'!$B$2:$B$472=$F2355,'學員資料-三重商工'!$G$2:$G$472,""))</f>
        <v/>
      </c>
      <c r="T2355">
        <f t="shared" si="36"/>
        <v>0</v>
      </c>
    </row>
    <row r="2356" spans="1:20" ht="14.25" customHeight="1">
      <c r="A2356" s="15">
        <v>2355</v>
      </c>
      <c r="B2356" s="16" t="s">
        <v>7298</v>
      </c>
      <c r="C2356" s="17">
        <v>45522</v>
      </c>
      <c r="D2356" s="15" t="s">
        <v>7299</v>
      </c>
      <c r="E2356" s="18" t="s">
        <v>954</v>
      </c>
      <c r="F2356" s="19" t="s">
        <v>7300</v>
      </c>
      <c r="G2356" s="18" t="s">
        <v>7301</v>
      </c>
      <c r="H2356" s="20" t="s">
        <v>5163</v>
      </c>
      <c r="I2356" s="15">
        <v>1</v>
      </c>
      <c r="J2356" s="15" t="s">
        <v>23</v>
      </c>
      <c r="K2356" s="15"/>
      <c r="L2356" s="21" t="s">
        <v>16</v>
      </c>
      <c r="M2356" s="22">
        <v>0</v>
      </c>
      <c r="N2356" s="22">
        <v>0</v>
      </c>
      <c r="O2356" s="22">
        <v>6600</v>
      </c>
      <c r="P2356" s="22">
        <v>6600</v>
      </c>
      <c r="Q2356" t="str" cm="1">
        <f t="array" ref="Q2356">_xlfn.TEXTJOIN("、",TRUE,IF('學員資料-三民高中'!$B$2:$B$454=$F2356,'學員資料-三民高中'!$G$2:$G$454,""))</f>
        <v/>
      </c>
      <c r="R2356" t="str" cm="1">
        <f t="array" ref="R2356">_xlfn.TEXTJOIN("、",TRUE,IF('學員資料-新北高中'!$B$2:$B$583=$F2356,'學員資料-新北高中'!$G$2:$G$583,""))</f>
        <v/>
      </c>
      <c r="S2356" t="str" cm="1">
        <f t="array" ref="S2356">_xlfn.TEXTJOIN("、",TRUE,IF('學員資料-三重商工'!$B$2:$B$472=$F2356,'學員資料-三重商工'!$G$2:$G$472,""))</f>
        <v/>
      </c>
      <c r="T2356">
        <f t="shared" si="36"/>
        <v>0</v>
      </c>
    </row>
    <row r="2357" spans="1:20" ht="14.25" hidden="1" customHeight="1">
      <c r="A2357" s="15">
        <v>2356</v>
      </c>
      <c r="B2357" s="16" t="s">
        <v>7302</v>
      </c>
      <c r="C2357" s="17">
        <v>45522</v>
      </c>
      <c r="D2357" s="15" t="s">
        <v>7303</v>
      </c>
      <c r="E2357" s="18" t="s">
        <v>954</v>
      </c>
      <c r="F2357" s="19" t="s">
        <v>1907</v>
      </c>
      <c r="G2357" s="18" t="s">
        <v>1908</v>
      </c>
      <c r="H2357" s="20" t="s">
        <v>5163</v>
      </c>
      <c r="I2357" s="15">
        <v>1</v>
      </c>
      <c r="J2357" s="15" t="s">
        <v>23</v>
      </c>
      <c r="K2357" s="15"/>
      <c r="L2357" s="21" t="s">
        <v>16</v>
      </c>
      <c r="M2357" s="22">
        <v>0</v>
      </c>
      <c r="N2357" s="22">
        <v>0</v>
      </c>
      <c r="O2357" s="22">
        <v>6600</v>
      </c>
      <c r="P2357" s="22">
        <v>6600</v>
      </c>
      <c r="Q2357" t="str" cm="1">
        <f t="array" ref="Q2357">_xlfn.TEXTJOIN("、",TRUE,IF('學員資料-三民高中'!$B$2:$B$454=$F2357,'學員資料-三民高中'!$G$2:$G$454,""))</f>
        <v/>
      </c>
      <c r="R2357" t="str" cm="1">
        <f t="array" ref="R2357">_xlfn.TEXTJOIN("、",TRUE,IF('學員資料-新北高中'!$B$2:$B$583=$F2357,'學員資料-新北高中'!$G$2:$G$583,""))</f>
        <v/>
      </c>
      <c r="S2357" t="str" cm="1">
        <f t="array" ref="S2357">_xlfn.TEXTJOIN("、",TRUE,IF('學員資料-三重商工'!$B$2:$B$472=$F2357,'學員資料-三重商工'!$G$2:$G$472,""))</f>
        <v>0958934009</v>
      </c>
      <c r="T2357">
        <f t="shared" si="36"/>
        <v>1</v>
      </c>
    </row>
    <row r="2358" spans="1:20" ht="14.25" hidden="1" customHeight="1">
      <c r="A2358" s="15">
        <v>2357</v>
      </c>
      <c r="B2358" s="16" t="s">
        <v>7304</v>
      </c>
      <c r="C2358" s="17">
        <v>45522</v>
      </c>
      <c r="D2358" s="15" t="s">
        <v>7305</v>
      </c>
      <c r="E2358" s="18" t="s">
        <v>954</v>
      </c>
      <c r="F2358" s="19" t="s">
        <v>6469</v>
      </c>
      <c r="G2358" s="18" t="s">
        <v>6470</v>
      </c>
      <c r="H2358" s="20" t="s">
        <v>5131</v>
      </c>
      <c r="I2358" s="15">
        <v>1</v>
      </c>
      <c r="J2358" s="15" t="s">
        <v>24</v>
      </c>
      <c r="K2358" s="15"/>
      <c r="L2358" s="21" t="s">
        <v>16</v>
      </c>
      <c r="M2358" s="22">
        <v>0</v>
      </c>
      <c r="N2358" s="22">
        <v>0</v>
      </c>
      <c r="O2358" s="22">
        <v>7200</v>
      </c>
      <c r="P2358" s="22">
        <v>7200</v>
      </c>
      <c r="Q2358" t="str" cm="1">
        <f t="array" ref="Q2358">_xlfn.TEXTJOIN("、",TRUE,IF('學員資料-三民高中'!$B$2:$B$454=$F2358,'學員資料-三民高中'!$G$2:$G$454,""))</f>
        <v/>
      </c>
      <c r="R2358" t="str" cm="1">
        <f t="array" ref="R2358">_xlfn.TEXTJOIN("、",TRUE,IF('學員資料-新北高中'!$B$2:$B$583=$F2358,'學員資料-新北高中'!$G$2:$G$583,""))</f>
        <v/>
      </c>
      <c r="S2358" t="str" cm="1">
        <f t="array" ref="S2358">_xlfn.TEXTJOIN("、",TRUE,IF('學員資料-三重商工'!$B$2:$B$472=$F2358,'學員資料-三重商工'!$G$2:$G$472,""))</f>
        <v>0958934008</v>
      </c>
      <c r="T2358">
        <f t="shared" si="36"/>
        <v>1</v>
      </c>
    </row>
    <row r="2359" spans="1:20" ht="14.25" hidden="1" customHeight="1">
      <c r="A2359" s="15">
        <v>2358</v>
      </c>
      <c r="B2359" s="16" t="s">
        <v>7306</v>
      </c>
      <c r="C2359" s="17">
        <v>45522</v>
      </c>
      <c r="D2359" s="15" t="s">
        <v>7307</v>
      </c>
      <c r="E2359" s="18" t="s">
        <v>954</v>
      </c>
      <c r="F2359" s="19" t="s">
        <v>550</v>
      </c>
      <c r="G2359" s="18" t="s">
        <v>551</v>
      </c>
      <c r="H2359" s="20" t="s">
        <v>5163</v>
      </c>
      <c r="I2359" s="15">
        <v>1</v>
      </c>
      <c r="J2359" s="15" t="s">
        <v>23</v>
      </c>
      <c r="K2359" s="15"/>
      <c r="L2359" s="21" t="s">
        <v>16</v>
      </c>
      <c r="M2359" s="22">
        <v>0</v>
      </c>
      <c r="N2359" s="22">
        <v>0</v>
      </c>
      <c r="O2359" s="22">
        <v>6600</v>
      </c>
      <c r="P2359" s="22">
        <v>6600</v>
      </c>
      <c r="Q2359" t="str" cm="1">
        <f t="array" ref="Q2359">_xlfn.TEXTJOIN("、",TRUE,IF('學員資料-三民高中'!$B$2:$B$454=$F2359,'學員資料-三民高中'!$G$2:$G$454,""))</f>
        <v/>
      </c>
      <c r="R2359" t="str" cm="1">
        <f t="array" ref="R2359">_xlfn.TEXTJOIN("、",TRUE,IF('學員資料-新北高中'!$B$2:$B$583=$F2359,'學員資料-新北高中'!$G$2:$G$583,""))</f>
        <v/>
      </c>
      <c r="S2359" t="str" cm="1">
        <f t="array" ref="S2359">_xlfn.TEXTJOIN("、",TRUE,IF('學員資料-三重商工'!$B$2:$B$472=$F2359,'學員資料-三重商工'!$G$2:$G$472,""))</f>
        <v>0933037462</v>
      </c>
      <c r="T2359">
        <f t="shared" si="36"/>
        <v>1</v>
      </c>
    </row>
    <row r="2360" spans="1:20" ht="14.25" hidden="1" customHeight="1">
      <c r="A2360" s="15">
        <v>2359</v>
      </c>
      <c r="B2360" s="16" t="s">
        <v>7308</v>
      </c>
      <c r="C2360" s="17">
        <v>45522</v>
      </c>
      <c r="D2360" s="15" t="s">
        <v>7309</v>
      </c>
      <c r="E2360" s="18" t="s">
        <v>954</v>
      </c>
      <c r="F2360" s="19" t="s">
        <v>7310</v>
      </c>
      <c r="G2360" s="18" t="s">
        <v>7311</v>
      </c>
      <c r="H2360" s="20" t="s">
        <v>5131</v>
      </c>
      <c r="I2360" s="15">
        <v>1</v>
      </c>
      <c r="J2360" s="15" t="s">
        <v>24</v>
      </c>
      <c r="K2360" s="15"/>
      <c r="L2360" s="21" t="s">
        <v>16</v>
      </c>
      <c r="M2360" s="22">
        <v>0</v>
      </c>
      <c r="N2360" s="22">
        <v>0</v>
      </c>
      <c r="O2360" s="22">
        <v>7200</v>
      </c>
      <c r="P2360" s="22">
        <v>7200</v>
      </c>
      <c r="Q2360" t="str" cm="1">
        <f t="array" ref="Q2360">_xlfn.TEXTJOIN("、",TRUE,IF('學員資料-三民高中'!$B$2:$B$454=$F2360,'學員資料-三民高中'!$G$2:$G$454,""))</f>
        <v/>
      </c>
      <c r="R2360" t="str" cm="1">
        <f t="array" ref="R2360">_xlfn.TEXTJOIN("、",TRUE,IF('學員資料-新北高中'!$B$2:$B$583=$F2360,'學員資料-新北高中'!$G$2:$G$583,""))</f>
        <v/>
      </c>
      <c r="S2360" t="str" cm="1">
        <f t="array" ref="S2360">_xlfn.TEXTJOIN("、",TRUE,IF('學員資料-三重商工'!$B$2:$B$472=$F2360,'學員資料-三重商工'!$G$2:$G$472,""))</f>
        <v>0958934005</v>
      </c>
      <c r="T2360">
        <f t="shared" si="36"/>
        <v>1</v>
      </c>
    </row>
    <row r="2361" spans="1:20" ht="14.25" hidden="1" customHeight="1">
      <c r="A2361" s="15">
        <v>2360</v>
      </c>
      <c r="B2361" s="16" t="s">
        <v>7312</v>
      </c>
      <c r="C2361" s="17">
        <v>45522</v>
      </c>
      <c r="D2361" s="15" t="s">
        <v>7313</v>
      </c>
      <c r="E2361" s="18" t="s">
        <v>954</v>
      </c>
      <c r="F2361" s="19" t="s">
        <v>7314</v>
      </c>
      <c r="G2361" s="18" t="s">
        <v>7315</v>
      </c>
      <c r="H2361" s="20" t="s">
        <v>5163</v>
      </c>
      <c r="I2361" s="15">
        <v>1</v>
      </c>
      <c r="J2361" s="15" t="s">
        <v>23</v>
      </c>
      <c r="K2361" s="15"/>
      <c r="L2361" s="21" t="s">
        <v>16</v>
      </c>
      <c r="M2361" s="22">
        <v>0</v>
      </c>
      <c r="N2361" s="22">
        <v>0</v>
      </c>
      <c r="O2361" s="22">
        <v>6600</v>
      </c>
      <c r="P2361" s="22">
        <v>6600</v>
      </c>
      <c r="Q2361" t="str" cm="1">
        <f t="array" ref="Q2361">_xlfn.TEXTJOIN("、",TRUE,IF('學員資料-三民高中'!$B$2:$B$454=$F2361,'學員資料-三民高中'!$G$2:$G$454,""))</f>
        <v/>
      </c>
      <c r="R2361" t="str" cm="1">
        <f t="array" ref="R2361">_xlfn.TEXTJOIN("、",TRUE,IF('學員資料-新北高中'!$B$2:$B$583=$F2361,'學員資料-新北高中'!$G$2:$G$583,""))</f>
        <v/>
      </c>
      <c r="S2361" t="str" cm="1">
        <f t="array" ref="S2361">_xlfn.TEXTJOIN("、",TRUE,IF('學員資料-三重商工'!$B$2:$B$472=$F2361,'學員資料-三重商工'!$G$2:$G$472,""))</f>
        <v>0958934003</v>
      </c>
      <c r="T2361">
        <f t="shared" si="36"/>
        <v>1</v>
      </c>
    </row>
    <row r="2362" spans="1:20" ht="28.5" hidden="1" customHeight="1">
      <c r="A2362" s="15">
        <v>2361</v>
      </c>
      <c r="B2362" s="16" t="s">
        <v>7316</v>
      </c>
      <c r="C2362" s="17">
        <v>45522</v>
      </c>
      <c r="D2362" s="15" t="s">
        <v>7317</v>
      </c>
      <c r="E2362" s="18" t="s">
        <v>954</v>
      </c>
      <c r="F2362" s="19" t="s">
        <v>7318</v>
      </c>
      <c r="G2362" s="18" t="s">
        <v>7319</v>
      </c>
      <c r="H2362" s="20" t="s">
        <v>5263</v>
      </c>
      <c r="I2362" s="15">
        <v>2</v>
      </c>
      <c r="J2362" s="15" t="s">
        <v>25</v>
      </c>
      <c r="K2362" s="15"/>
      <c r="L2362" s="21" t="s">
        <v>16</v>
      </c>
      <c r="M2362" s="22">
        <v>0</v>
      </c>
      <c r="N2362" s="22">
        <v>0</v>
      </c>
      <c r="O2362" s="22">
        <v>18000</v>
      </c>
      <c r="P2362" s="22">
        <v>18000</v>
      </c>
      <c r="Q2362" t="str" cm="1">
        <f t="array" ref="Q2362">_xlfn.TEXTJOIN("、",TRUE,IF('學員資料-三民高中'!$B$2:$B$454=$F2362,'學員資料-三民高中'!$G$2:$G$454,""))</f>
        <v/>
      </c>
      <c r="R2362" t="str" cm="1">
        <f t="array" ref="R2362">_xlfn.TEXTJOIN("、",TRUE,IF('學員資料-新北高中'!$B$2:$B$583=$F2362,'學員資料-新北高中'!$G$2:$G$583,""))</f>
        <v/>
      </c>
      <c r="S2362" t="str" cm="1">
        <f t="array" ref="S2362">_xlfn.TEXTJOIN("、",TRUE,IF('學員資料-三重商工'!$B$2:$B$472=$F2362,'學員資料-三重商工'!$G$2:$G$472,""))</f>
        <v>0963469636</v>
      </c>
      <c r="T2362">
        <f t="shared" si="36"/>
        <v>1</v>
      </c>
    </row>
    <row r="2363" spans="1:20" ht="28.5" hidden="1" customHeight="1">
      <c r="A2363" s="15">
        <v>2362</v>
      </c>
      <c r="B2363" s="16" t="s">
        <v>7320</v>
      </c>
      <c r="C2363" s="17">
        <v>45522</v>
      </c>
      <c r="D2363" s="15" t="s">
        <v>7321</v>
      </c>
      <c r="E2363" s="18" t="s">
        <v>954</v>
      </c>
      <c r="F2363" s="19" t="s">
        <v>7318</v>
      </c>
      <c r="G2363" s="18" t="s">
        <v>7319</v>
      </c>
      <c r="H2363" s="20" t="s">
        <v>5154</v>
      </c>
      <c r="I2363" s="15">
        <v>2</v>
      </c>
      <c r="J2363" s="15" t="s">
        <v>24</v>
      </c>
      <c r="K2363" s="15"/>
      <c r="L2363" s="21" t="s">
        <v>16</v>
      </c>
      <c r="M2363" s="22">
        <v>0</v>
      </c>
      <c r="N2363" s="22">
        <v>0</v>
      </c>
      <c r="O2363" s="22">
        <v>14400</v>
      </c>
      <c r="P2363" s="22">
        <v>14400</v>
      </c>
      <c r="Q2363" t="str" cm="1">
        <f t="array" ref="Q2363">_xlfn.TEXTJOIN("、",TRUE,IF('學員資料-三民高中'!$B$2:$B$454=$F2363,'學員資料-三民高中'!$G$2:$G$454,""))</f>
        <v/>
      </c>
      <c r="R2363" t="str" cm="1">
        <f t="array" ref="R2363">_xlfn.TEXTJOIN("、",TRUE,IF('學員資料-新北高中'!$B$2:$B$583=$F2363,'學員資料-新北高中'!$G$2:$G$583,""))</f>
        <v/>
      </c>
      <c r="S2363" t="str" cm="1">
        <f t="array" ref="S2363">_xlfn.TEXTJOIN("、",TRUE,IF('學員資料-三重商工'!$B$2:$B$472=$F2363,'學員資料-三重商工'!$G$2:$G$472,""))</f>
        <v>0963469636</v>
      </c>
      <c r="T2363">
        <f t="shared" si="36"/>
        <v>1</v>
      </c>
    </row>
    <row r="2364" spans="1:20" ht="14.25" hidden="1" customHeight="1">
      <c r="A2364" s="15">
        <v>2363</v>
      </c>
      <c r="B2364" s="16" t="s">
        <v>7322</v>
      </c>
      <c r="C2364" s="17">
        <v>45522</v>
      </c>
      <c r="D2364" s="15" t="s">
        <v>7323</v>
      </c>
      <c r="E2364" s="18" t="s">
        <v>954</v>
      </c>
      <c r="F2364" s="19" t="s">
        <v>1349</v>
      </c>
      <c r="G2364" s="18" t="s">
        <v>1350</v>
      </c>
      <c r="H2364" s="20" t="s">
        <v>683</v>
      </c>
      <c r="I2364" s="15">
        <v>1</v>
      </c>
      <c r="J2364" s="15" t="s">
        <v>23</v>
      </c>
      <c r="K2364" s="15"/>
      <c r="L2364" s="21" t="s">
        <v>16</v>
      </c>
      <c r="M2364" s="22">
        <v>0</v>
      </c>
      <c r="N2364" s="22">
        <v>-1080</v>
      </c>
      <c r="O2364" s="22">
        <v>7920</v>
      </c>
      <c r="P2364" s="22">
        <v>7920</v>
      </c>
      <c r="Q2364" t="str" cm="1">
        <f t="array" ref="Q2364">_xlfn.TEXTJOIN("、",TRUE,IF('學員資料-三民高中'!$B$2:$B$454=$F2364,'學員資料-三民高中'!$G$2:$G$454,""))</f>
        <v/>
      </c>
      <c r="R2364" t="str" cm="1">
        <f t="array" ref="R2364">_xlfn.TEXTJOIN("、",TRUE,IF('學員資料-新北高中'!$B$2:$B$583=$F2364,'學員資料-新北高中'!$G$2:$G$583,""))</f>
        <v>0932313729</v>
      </c>
      <c r="S2364" t="str" cm="1">
        <f t="array" ref="S2364">_xlfn.TEXTJOIN("、",TRUE,IF('學員資料-三重商工'!$B$2:$B$472=$F2364,'學員資料-三重商工'!$G$2:$G$472,""))</f>
        <v/>
      </c>
      <c r="T2364">
        <f t="shared" si="36"/>
        <v>1</v>
      </c>
    </row>
    <row r="2365" spans="1:20" ht="14.25" hidden="1" customHeight="1">
      <c r="A2365" s="15">
        <v>2364</v>
      </c>
      <c r="B2365" s="16" t="s">
        <v>7324</v>
      </c>
      <c r="C2365" s="17">
        <v>45522</v>
      </c>
      <c r="D2365" s="15" t="s">
        <v>7325</v>
      </c>
      <c r="E2365" s="18" t="s">
        <v>954</v>
      </c>
      <c r="F2365" s="19" t="s">
        <v>7326</v>
      </c>
      <c r="G2365" s="18" t="s">
        <v>7327</v>
      </c>
      <c r="H2365" s="20" t="s">
        <v>5131</v>
      </c>
      <c r="I2365" s="15">
        <v>1</v>
      </c>
      <c r="J2365" s="15" t="s">
        <v>24</v>
      </c>
      <c r="K2365" s="15"/>
      <c r="L2365" s="21" t="s">
        <v>16</v>
      </c>
      <c r="M2365" s="22">
        <v>0</v>
      </c>
      <c r="N2365" s="22">
        <v>0</v>
      </c>
      <c r="O2365" s="22">
        <v>7200</v>
      </c>
      <c r="P2365" s="22">
        <v>7200</v>
      </c>
      <c r="Q2365" t="str" cm="1">
        <f t="array" ref="Q2365">_xlfn.TEXTJOIN("、",TRUE,IF('學員資料-三民高中'!$B$2:$B$454=$F2365,'學員資料-三民高中'!$G$2:$G$454,""))</f>
        <v/>
      </c>
      <c r="R2365" t="str" cm="1">
        <f t="array" ref="R2365">_xlfn.TEXTJOIN("、",TRUE,IF('學員資料-新北高中'!$B$2:$B$583=$F2365,'學員資料-新北高中'!$G$2:$G$583,""))</f>
        <v/>
      </c>
      <c r="S2365" t="str" cm="1">
        <f t="array" ref="S2365">_xlfn.TEXTJOIN("、",TRUE,IF('學員資料-三重商工'!$B$2:$B$472=$F2365,'學員資料-三重商工'!$G$2:$G$472,""))</f>
        <v>0958934007</v>
      </c>
      <c r="T2365">
        <f t="shared" si="36"/>
        <v>1</v>
      </c>
    </row>
    <row r="2366" spans="1:20" ht="28.5" customHeight="1">
      <c r="A2366" s="15">
        <v>2365</v>
      </c>
      <c r="B2366" s="16" t="s">
        <v>7328</v>
      </c>
      <c r="C2366" s="17">
        <v>45522</v>
      </c>
      <c r="D2366" s="15" t="s">
        <v>7329</v>
      </c>
      <c r="E2366" s="18" t="s">
        <v>954</v>
      </c>
      <c r="F2366" s="19" t="s">
        <v>5388</v>
      </c>
      <c r="G2366" s="18" t="s">
        <v>5389</v>
      </c>
      <c r="H2366" s="20" t="s">
        <v>5206</v>
      </c>
      <c r="I2366" s="15">
        <v>2</v>
      </c>
      <c r="J2366" s="15" t="s">
        <v>23</v>
      </c>
      <c r="K2366" s="15"/>
      <c r="L2366" s="21" t="s">
        <v>16</v>
      </c>
      <c r="M2366" s="22">
        <v>0</v>
      </c>
      <c r="N2366" s="22">
        <v>0</v>
      </c>
      <c r="O2366" s="22">
        <v>13200</v>
      </c>
      <c r="P2366" s="22">
        <v>13200</v>
      </c>
      <c r="Q2366" t="str" cm="1">
        <f t="array" ref="Q2366">_xlfn.TEXTJOIN("、",TRUE,IF('學員資料-三民高中'!$B$2:$B$454=$F2366,'學員資料-三民高中'!$G$2:$G$454,""))</f>
        <v/>
      </c>
      <c r="R2366" t="str" cm="1">
        <f t="array" ref="R2366">_xlfn.TEXTJOIN("、",TRUE,IF('學員資料-新北高中'!$B$2:$B$583=$F2366,'學員資料-新北高中'!$G$2:$G$583,""))</f>
        <v/>
      </c>
      <c r="S2366" t="str" cm="1">
        <f t="array" ref="S2366">_xlfn.TEXTJOIN("、",TRUE,IF('學員資料-三重商工'!$B$2:$B$472=$F2366,'學員資料-三重商工'!$G$2:$G$472,""))</f>
        <v/>
      </c>
      <c r="T2366">
        <f t="shared" si="36"/>
        <v>0</v>
      </c>
    </row>
    <row r="2367" spans="1:20" ht="14.25" customHeight="1">
      <c r="A2367" s="15">
        <v>2366</v>
      </c>
      <c r="B2367" s="16" t="s">
        <v>7330</v>
      </c>
      <c r="C2367" s="17">
        <v>45522</v>
      </c>
      <c r="D2367" s="15" t="s">
        <v>7331</v>
      </c>
      <c r="E2367" s="18" t="s">
        <v>954</v>
      </c>
      <c r="F2367" s="19" t="s">
        <v>5388</v>
      </c>
      <c r="G2367" s="18" t="s">
        <v>5389</v>
      </c>
      <c r="H2367" s="20" t="s">
        <v>5163</v>
      </c>
      <c r="I2367" s="15">
        <v>1</v>
      </c>
      <c r="J2367" s="15" t="s">
        <v>23</v>
      </c>
      <c r="K2367" s="15"/>
      <c r="L2367" s="21" t="s">
        <v>16</v>
      </c>
      <c r="M2367" s="22">
        <v>0</v>
      </c>
      <c r="N2367" s="22">
        <v>0</v>
      </c>
      <c r="O2367" s="22">
        <v>6600</v>
      </c>
      <c r="P2367" s="22">
        <v>6600</v>
      </c>
      <c r="Q2367" t="str" cm="1">
        <f t="array" ref="Q2367">_xlfn.TEXTJOIN("、",TRUE,IF('學員資料-三民高中'!$B$2:$B$454=$F2367,'學員資料-三民高中'!$G$2:$G$454,""))</f>
        <v/>
      </c>
      <c r="R2367" t="str" cm="1">
        <f t="array" ref="R2367">_xlfn.TEXTJOIN("、",TRUE,IF('學員資料-新北高中'!$B$2:$B$583=$F2367,'學員資料-新北高中'!$G$2:$G$583,""))</f>
        <v/>
      </c>
      <c r="S2367" t="str" cm="1">
        <f t="array" ref="S2367">_xlfn.TEXTJOIN("、",TRUE,IF('學員資料-三重商工'!$B$2:$B$472=$F2367,'學員資料-三重商工'!$G$2:$G$472,""))</f>
        <v/>
      </c>
      <c r="T2367">
        <f t="shared" si="36"/>
        <v>0</v>
      </c>
    </row>
    <row r="2368" spans="1:20" ht="14.25" hidden="1" customHeight="1">
      <c r="A2368" s="15">
        <v>2367</v>
      </c>
      <c r="B2368" s="16" t="s">
        <v>7332</v>
      </c>
      <c r="C2368" s="17">
        <v>45522</v>
      </c>
      <c r="D2368" s="15" t="s">
        <v>3332</v>
      </c>
      <c r="E2368" s="18" t="s">
        <v>954</v>
      </c>
      <c r="F2368" s="19" t="s">
        <v>4219</v>
      </c>
      <c r="G2368" s="18" t="s">
        <v>4220</v>
      </c>
      <c r="H2368" s="20" t="s">
        <v>5131</v>
      </c>
      <c r="I2368" s="15">
        <v>1</v>
      </c>
      <c r="J2368" s="15" t="s">
        <v>24</v>
      </c>
      <c r="K2368" s="15"/>
      <c r="L2368" s="21" t="s">
        <v>16</v>
      </c>
      <c r="M2368" s="22">
        <v>0</v>
      </c>
      <c r="N2368" s="22">
        <v>0</v>
      </c>
      <c r="O2368" s="22">
        <v>7200</v>
      </c>
      <c r="P2368" s="22">
        <v>7200</v>
      </c>
      <c r="Q2368" t="str" cm="1">
        <f t="array" ref="Q2368">_xlfn.TEXTJOIN("、",TRUE,IF('學員資料-三民高中'!$B$2:$B$454=$F2368,'學員資料-三民高中'!$G$2:$G$454,""))</f>
        <v/>
      </c>
      <c r="R2368" t="str" cm="1">
        <f t="array" ref="R2368">_xlfn.TEXTJOIN("、",TRUE,IF('學員資料-新北高中'!$B$2:$B$583=$F2368,'學員資料-新北高中'!$G$2:$G$583,""))</f>
        <v/>
      </c>
      <c r="S2368" t="str" cm="1">
        <f t="array" ref="S2368">_xlfn.TEXTJOIN("、",TRUE,IF('學員資料-三重商工'!$B$2:$B$472=$F2368,'學員資料-三重商工'!$G$2:$G$472,""))</f>
        <v>0926251535</v>
      </c>
      <c r="T2368">
        <f t="shared" si="36"/>
        <v>1</v>
      </c>
    </row>
    <row r="2369" spans="1:20" ht="14.25" hidden="1" customHeight="1">
      <c r="A2369" s="15">
        <v>2368</v>
      </c>
      <c r="B2369" s="16" t="s">
        <v>7333</v>
      </c>
      <c r="C2369" s="17">
        <v>45522</v>
      </c>
      <c r="D2369" s="15" t="s">
        <v>7334</v>
      </c>
      <c r="E2369" s="18" t="s">
        <v>3862</v>
      </c>
      <c r="F2369" s="19" t="s">
        <v>3488</v>
      </c>
      <c r="G2369" s="18" t="s">
        <v>7335</v>
      </c>
      <c r="H2369" s="20" t="s">
        <v>5131</v>
      </c>
      <c r="I2369" s="15">
        <v>1</v>
      </c>
      <c r="J2369" s="15" t="s">
        <v>24</v>
      </c>
      <c r="K2369" s="15"/>
      <c r="L2369" s="21" t="s">
        <v>16</v>
      </c>
      <c r="M2369" s="22">
        <v>0</v>
      </c>
      <c r="N2369" s="22">
        <v>-720</v>
      </c>
      <c r="O2369" s="22">
        <v>6480</v>
      </c>
      <c r="P2369" s="22">
        <v>6480</v>
      </c>
      <c r="Q2369" t="str" cm="1">
        <f t="array" ref="Q2369">_xlfn.TEXTJOIN("、",TRUE,IF('學員資料-三民高中'!$B$2:$B$454=$F2369,'學員資料-三民高中'!$G$2:$G$454,""))</f>
        <v/>
      </c>
      <c r="R2369" t="str" cm="1">
        <f t="array" ref="R2369">_xlfn.TEXTJOIN("、",TRUE,IF('學員資料-新北高中'!$B$2:$B$583=$F2369,'學員資料-新北高中'!$G$2:$G$583,""))</f>
        <v>0908553878</v>
      </c>
      <c r="S2369" t="str" cm="1">
        <f t="array" ref="S2369">_xlfn.TEXTJOIN("、",TRUE,IF('學員資料-三重商工'!$B$2:$B$472=$F2369,'學員資料-三重商工'!$G$2:$G$472,""))</f>
        <v/>
      </c>
      <c r="T2369">
        <f t="shared" si="36"/>
        <v>1</v>
      </c>
    </row>
    <row r="2370" spans="1:20" ht="14.25" hidden="1" customHeight="1">
      <c r="A2370" s="15">
        <v>2369</v>
      </c>
      <c r="B2370" s="16" t="s">
        <v>7336</v>
      </c>
      <c r="C2370" s="17">
        <v>45522</v>
      </c>
      <c r="D2370" s="15" t="s">
        <v>7337</v>
      </c>
      <c r="E2370" s="18" t="s">
        <v>954</v>
      </c>
      <c r="F2370" s="19" t="s">
        <v>1740</v>
      </c>
      <c r="G2370" s="18" t="s">
        <v>1741</v>
      </c>
      <c r="H2370" s="20" t="s">
        <v>5211</v>
      </c>
      <c r="I2370" s="15">
        <v>1</v>
      </c>
      <c r="J2370" s="15" t="s">
        <v>26</v>
      </c>
      <c r="K2370" s="15"/>
      <c r="L2370" s="21" t="s">
        <v>16</v>
      </c>
      <c r="M2370" s="22">
        <v>0</v>
      </c>
      <c r="N2370" s="22">
        <v>-1296</v>
      </c>
      <c r="O2370" s="22">
        <v>9504</v>
      </c>
      <c r="P2370" s="22">
        <v>9504</v>
      </c>
      <c r="Q2370" t="str" cm="1">
        <f t="array" ref="Q2370">_xlfn.TEXTJOIN("、",TRUE,IF('學員資料-三民高中'!$B$2:$B$454=$F2370,'學員資料-三民高中'!$G$2:$G$454,""))</f>
        <v/>
      </c>
      <c r="R2370" t="str" cm="1">
        <f t="array" ref="R2370">_xlfn.TEXTJOIN("、",TRUE,IF('學員資料-新北高中'!$B$2:$B$583=$F2370,'學員資料-新北高中'!$G$2:$G$583,""))</f>
        <v>0960755204</v>
      </c>
      <c r="S2370" t="str" cm="1">
        <f t="array" ref="S2370">_xlfn.TEXTJOIN("、",TRUE,IF('學員資料-三重商工'!$B$2:$B$472=$F2370,'學員資料-三重商工'!$G$2:$G$472,""))</f>
        <v/>
      </c>
      <c r="T2370">
        <f t="shared" si="36"/>
        <v>1</v>
      </c>
    </row>
    <row r="2371" spans="1:20" ht="72" customHeight="1">
      <c r="A2371" s="15">
        <v>2370</v>
      </c>
      <c r="B2371" s="16" t="s">
        <v>7338</v>
      </c>
      <c r="C2371" s="17">
        <v>45522</v>
      </c>
      <c r="D2371" s="15" t="s">
        <v>7339</v>
      </c>
      <c r="E2371" s="18" t="s">
        <v>954</v>
      </c>
      <c r="F2371" s="24" t="s">
        <v>7340</v>
      </c>
      <c r="G2371" s="18" t="s">
        <v>6192</v>
      </c>
      <c r="H2371" s="20" t="s">
        <v>7341</v>
      </c>
      <c r="I2371" s="15">
        <v>5</v>
      </c>
      <c r="J2371" s="15" t="s">
        <v>23</v>
      </c>
      <c r="K2371" s="21" t="s">
        <v>116</v>
      </c>
      <c r="L2371" s="21" t="s">
        <v>16</v>
      </c>
      <c r="M2371" s="22">
        <v>0</v>
      </c>
      <c r="N2371" s="22">
        <v>0</v>
      </c>
      <c r="O2371" s="22">
        <v>15000</v>
      </c>
      <c r="P2371" s="22">
        <v>15000</v>
      </c>
      <c r="Q2371" t="str" cm="1">
        <f t="array" ref="Q2371">_xlfn.TEXTJOIN("、",TRUE,IF('學員資料-三民高中'!$B$2:$B$454=$F2371,'學員資料-三民高中'!$G$2:$G$454,""))</f>
        <v/>
      </c>
      <c r="R2371" t="str" cm="1">
        <f t="array" ref="R2371">_xlfn.TEXTJOIN("、",TRUE,IF('學員資料-新北高中'!$B$2:$B$583=$F2371,'學員資料-新北高中'!$G$2:$G$583,""))</f>
        <v/>
      </c>
      <c r="S2371" t="str" cm="1">
        <f t="array" ref="S2371">_xlfn.TEXTJOIN("、",TRUE,IF('學員資料-三重商工'!$B$2:$B$472=$F2371,'學員資料-三重商工'!$G$2:$G$472,""))</f>
        <v/>
      </c>
      <c r="T2371">
        <f t="shared" ref="T2371:T2434" si="37">3-COUNTBLANK(Q2371:S2371)</f>
        <v>0</v>
      </c>
    </row>
    <row r="2372" spans="1:20" ht="14.25" hidden="1" customHeight="1">
      <c r="A2372" s="15">
        <v>2371</v>
      </c>
      <c r="B2372" s="16" t="s">
        <v>7342</v>
      </c>
      <c r="C2372" s="17">
        <v>45522</v>
      </c>
      <c r="D2372" s="15" t="s">
        <v>7343</v>
      </c>
      <c r="E2372" s="18" t="s">
        <v>954</v>
      </c>
      <c r="F2372" s="19" t="s">
        <v>7344</v>
      </c>
      <c r="G2372" s="18" t="s">
        <v>7345</v>
      </c>
      <c r="H2372" s="20" t="s">
        <v>5131</v>
      </c>
      <c r="I2372" s="15">
        <v>1</v>
      </c>
      <c r="J2372" s="15" t="s">
        <v>24</v>
      </c>
      <c r="K2372" s="15"/>
      <c r="L2372" s="21" t="s">
        <v>16</v>
      </c>
      <c r="M2372" s="22">
        <v>0</v>
      </c>
      <c r="N2372" s="22">
        <v>0</v>
      </c>
      <c r="O2372" s="22">
        <v>7200</v>
      </c>
      <c r="P2372" s="22">
        <v>7200</v>
      </c>
      <c r="Q2372" t="str" cm="1">
        <f t="array" ref="Q2372">_xlfn.TEXTJOIN("、",TRUE,IF('學員資料-三民高中'!$B$2:$B$454=$F2372,'學員資料-三民高中'!$G$2:$G$454,""))</f>
        <v/>
      </c>
      <c r="R2372" t="str" cm="1">
        <f t="array" ref="R2372">_xlfn.TEXTJOIN("、",TRUE,IF('學員資料-新北高中'!$B$2:$B$583=$F2372,'學員資料-新北高中'!$G$2:$G$583,""))</f>
        <v/>
      </c>
      <c r="S2372" t="str" cm="1">
        <f t="array" ref="S2372">_xlfn.TEXTJOIN("、",TRUE,IF('學員資料-三重商工'!$B$2:$B$472=$F2372,'學員資料-三重商工'!$G$2:$G$472,""))</f>
        <v>BJ88865043</v>
      </c>
      <c r="T2372">
        <f t="shared" si="37"/>
        <v>1</v>
      </c>
    </row>
    <row r="2373" spans="1:20" ht="14.25" hidden="1" customHeight="1">
      <c r="A2373" s="15">
        <v>2372</v>
      </c>
      <c r="B2373" s="16" t="s">
        <v>7346</v>
      </c>
      <c r="C2373" s="17">
        <v>45522</v>
      </c>
      <c r="D2373" s="15" t="s">
        <v>7347</v>
      </c>
      <c r="E2373" s="18" t="s">
        <v>954</v>
      </c>
      <c r="F2373" s="19" t="s">
        <v>1836</v>
      </c>
      <c r="G2373" s="18" t="s">
        <v>1837</v>
      </c>
      <c r="H2373" s="20" t="s">
        <v>266</v>
      </c>
      <c r="I2373" s="15">
        <v>1</v>
      </c>
      <c r="J2373" s="15" t="s">
        <v>24</v>
      </c>
      <c r="K2373" s="15"/>
      <c r="L2373" s="21" t="s">
        <v>16</v>
      </c>
      <c r="M2373" s="22">
        <v>0</v>
      </c>
      <c r="N2373" s="22">
        <v>0</v>
      </c>
      <c r="O2373" s="22">
        <v>10800</v>
      </c>
      <c r="P2373" s="22">
        <v>10800</v>
      </c>
      <c r="Q2373" t="str" cm="1">
        <f t="array" ref="Q2373">_xlfn.TEXTJOIN("、",TRUE,IF('學員資料-三民高中'!$B$2:$B$454=$F2373,'學員資料-三民高中'!$G$2:$G$454,""))</f>
        <v/>
      </c>
      <c r="R2373" t="str" cm="1">
        <f t="array" ref="R2373">_xlfn.TEXTJOIN("、",TRUE,IF('學員資料-新北高中'!$B$2:$B$583=$F2373,'學員資料-新北高中'!$G$2:$G$583,""))</f>
        <v>0919982200</v>
      </c>
      <c r="S2373" t="str" cm="1">
        <f t="array" ref="S2373">_xlfn.TEXTJOIN("、",TRUE,IF('學員資料-三重商工'!$B$2:$B$472=$F2373,'學員資料-三重商工'!$G$2:$G$472,""))</f>
        <v/>
      </c>
      <c r="T2373">
        <f t="shared" si="37"/>
        <v>1</v>
      </c>
    </row>
    <row r="2374" spans="1:20" ht="14.25" customHeight="1">
      <c r="A2374" s="15">
        <v>2373</v>
      </c>
      <c r="B2374" s="16" t="s">
        <v>7348</v>
      </c>
      <c r="C2374" s="17">
        <v>45522</v>
      </c>
      <c r="D2374" s="15" t="s">
        <v>7349</v>
      </c>
      <c r="E2374" s="18" t="s">
        <v>954</v>
      </c>
      <c r="F2374" s="19" t="s">
        <v>7350</v>
      </c>
      <c r="G2374" s="18" t="s">
        <v>7351</v>
      </c>
      <c r="H2374" s="20" t="s">
        <v>5246</v>
      </c>
      <c r="I2374" s="15">
        <v>1</v>
      </c>
      <c r="J2374" s="15" t="s">
        <v>23</v>
      </c>
      <c r="K2374" s="15"/>
      <c r="L2374" s="21" t="s">
        <v>16</v>
      </c>
      <c r="M2374" s="22">
        <v>0</v>
      </c>
      <c r="N2374" s="22">
        <v>0</v>
      </c>
      <c r="O2374" s="22">
        <v>7200</v>
      </c>
      <c r="P2374" s="22">
        <v>7200</v>
      </c>
      <c r="Q2374" t="str" cm="1">
        <f t="array" ref="Q2374">_xlfn.TEXTJOIN("、",TRUE,IF('學員資料-三民高中'!$B$2:$B$454=$F2374,'學員資料-三民高中'!$G$2:$G$454,""))</f>
        <v/>
      </c>
      <c r="R2374" t="str" cm="1">
        <f t="array" ref="R2374">_xlfn.TEXTJOIN("、",TRUE,IF('學員資料-新北高中'!$B$2:$B$583=$F2374,'學員資料-新北高中'!$G$2:$G$583,""))</f>
        <v/>
      </c>
      <c r="S2374" t="str" cm="1">
        <f t="array" ref="S2374">_xlfn.TEXTJOIN("、",TRUE,IF('學員資料-三重商工'!$B$2:$B$472=$F2374,'學員資料-三重商工'!$G$2:$G$472,""))</f>
        <v/>
      </c>
      <c r="T2374">
        <f t="shared" si="37"/>
        <v>0</v>
      </c>
    </row>
    <row r="2375" spans="1:20" ht="14.25" hidden="1" customHeight="1">
      <c r="A2375" s="15">
        <v>2374</v>
      </c>
      <c r="B2375" s="16" t="s">
        <v>7352</v>
      </c>
      <c r="C2375" s="17">
        <v>45522</v>
      </c>
      <c r="D2375" s="15" t="s">
        <v>7353</v>
      </c>
      <c r="E2375" s="18" t="s">
        <v>954</v>
      </c>
      <c r="F2375" s="19" t="s">
        <v>3094</v>
      </c>
      <c r="G2375" s="18" t="s">
        <v>3095</v>
      </c>
      <c r="H2375" s="20" t="s">
        <v>5148</v>
      </c>
      <c r="I2375" s="15">
        <v>1</v>
      </c>
      <c r="J2375" s="15" t="s">
        <v>25</v>
      </c>
      <c r="K2375" s="15"/>
      <c r="L2375" s="21" t="s">
        <v>16</v>
      </c>
      <c r="M2375" s="22">
        <v>0</v>
      </c>
      <c r="N2375" s="22">
        <v>0</v>
      </c>
      <c r="O2375" s="22">
        <v>9000</v>
      </c>
      <c r="P2375" s="22">
        <v>9000</v>
      </c>
      <c r="Q2375" t="str" cm="1">
        <f t="array" ref="Q2375">_xlfn.TEXTJOIN("、",TRUE,IF('學員資料-三民高中'!$B$2:$B$454=$F2375,'學員資料-三民高中'!$G$2:$G$454,""))</f>
        <v/>
      </c>
      <c r="R2375" t="str" cm="1">
        <f t="array" ref="R2375">_xlfn.TEXTJOIN("、",TRUE,IF('學員資料-新北高中'!$B$2:$B$583=$F2375,'學員資料-新北高中'!$G$2:$G$583,""))</f>
        <v>0975001701</v>
      </c>
      <c r="S2375" t="str" cm="1">
        <f t="array" ref="S2375">_xlfn.TEXTJOIN("、",TRUE,IF('學員資料-三重商工'!$B$2:$B$472=$F2375,'學員資料-三重商工'!$G$2:$G$472,""))</f>
        <v/>
      </c>
      <c r="T2375">
        <f t="shared" si="37"/>
        <v>1</v>
      </c>
    </row>
    <row r="2376" spans="1:20" ht="28.5" hidden="1" customHeight="1">
      <c r="A2376" s="15">
        <v>2375</v>
      </c>
      <c r="B2376" s="16" t="s">
        <v>7354</v>
      </c>
      <c r="C2376" s="17">
        <v>45522</v>
      </c>
      <c r="D2376" s="15" t="s">
        <v>7355</v>
      </c>
      <c r="E2376" s="18" t="s">
        <v>954</v>
      </c>
      <c r="F2376" s="19" t="s">
        <v>1169</v>
      </c>
      <c r="G2376" s="18" t="s">
        <v>1170</v>
      </c>
      <c r="H2376" s="20" t="s">
        <v>5138</v>
      </c>
      <c r="I2376" s="15">
        <v>2</v>
      </c>
      <c r="J2376" s="15" t="s">
        <v>23</v>
      </c>
      <c r="K2376" s="15"/>
      <c r="L2376" s="21" t="s">
        <v>16</v>
      </c>
      <c r="M2376" s="22">
        <v>0</v>
      </c>
      <c r="N2376" s="22">
        <v>0</v>
      </c>
      <c r="O2376" s="22">
        <v>14400</v>
      </c>
      <c r="P2376" s="22">
        <v>14400</v>
      </c>
      <c r="Q2376" t="str" cm="1">
        <f t="array" ref="Q2376">_xlfn.TEXTJOIN("、",TRUE,IF('學員資料-三民高中'!$B$2:$B$454=$F2376,'學員資料-三民高中'!$G$2:$G$454,""))</f>
        <v/>
      </c>
      <c r="R2376" t="str" cm="1">
        <f t="array" ref="R2376">_xlfn.TEXTJOIN("、",TRUE,IF('學員資料-新北高中'!$B$2:$B$583=$F2376,'學員資料-新北高中'!$G$2:$G$583,""))</f>
        <v/>
      </c>
      <c r="S2376" t="str" cm="1">
        <f t="array" ref="S2376">_xlfn.TEXTJOIN("、",TRUE,IF('學員資料-三重商工'!$B$2:$B$472=$F2376,'學員資料-三重商工'!$G$2:$G$472,""))</f>
        <v>0916803354</v>
      </c>
      <c r="T2376">
        <f t="shared" si="37"/>
        <v>1</v>
      </c>
    </row>
    <row r="2377" spans="1:20" ht="72" hidden="1" customHeight="1">
      <c r="A2377" s="15">
        <v>2376</v>
      </c>
      <c r="B2377" s="16" t="s">
        <v>7356</v>
      </c>
      <c r="C2377" s="17">
        <v>45522</v>
      </c>
      <c r="D2377" s="15" t="s">
        <v>7357</v>
      </c>
      <c r="E2377" s="18" t="s">
        <v>954</v>
      </c>
      <c r="F2377" s="19" t="s">
        <v>2026</v>
      </c>
      <c r="G2377" s="18" t="s">
        <v>2027</v>
      </c>
      <c r="H2377" s="20" t="s">
        <v>3393</v>
      </c>
      <c r="I2377" s="15">
        <v>5</v>
      </c>
      <c r="J2377" s="15" t="s">
        <v>24</v>
      </c>
      <c r="K2377" s="15"/>
      <c r="L2377" s="21" t="s">
        <v>16</v>
      </c>
      <c r="M2377" s="22">
        <v>0</v>
      </c>
      <c r="N2377" s="22">
        <v>-5400</v>
      </c>
      <c r="O2377" s="22">
        <v>48600</v>
      </c>
      <c r="P2377" s="22">
        <v>48600</v>
      </c>
      <c r="Q2377" t="str" cm="1">
        <f t="array" ref="Q2377">_xlfn.TEXTJOIN("、",TRUE,IF('學員資料-三民高中'!$B$2:$B$454=$F2377,'學員資料-三民高中'!$G$2:$G$454,""))</f>
        <v/>
      </c>
      <c r="R2377" t="str" cm="1">
        <f t="array" ref="R2377">_xlfn.TEXTJOIN("、",TRUE,IF('學員資料-新北高中'!$B$2:$B$583=$F2377,'學員資料-新北高中'!$G$2:$G$583,""))</f>
        <v>0953554707</v>
      </c>
      <c r="S2377" t="str" cm="1">
        <f t="array" ref="S2377">_xlfn.TEXTJOIN("、",TRUE,IF('學員資料-三重商工'!$B$2:$B$472=$F2377,'學員資料-三重商工'!$G$2:$G$472,""))</f>
        <v/>
      </c>
      <c r="T2377">
        <f t="shared" si="37"/>
        <v>1</v>
      </c>
    </row>
    <row r="2378" spans="1:20" ht="14.25" hidden="1" customHeight="1">
      <c r="A2378" s="15">
        <v>2377</v>
      </c>
      <c r="B2378" s="16" t="s">
        <v>7358</v>
      </c>
      <c r="C2378" s="17">
        <v>45522</v>
      </c>
      <c r="D2378" s="15" t="s">
        <v>4399</v>
      </c>
      <c r="E2378" s="18" t="s">
        <v>954</v>
      </c>
      <c r="F2378" s="19" t="s">
        <v>5122</v>
      </c>
      <c r="G2378" s="18" t="s">
        <v>5123</v>
      </c>
      <c r="H2378" s="20" t="s">
        <v>683</v>
      </c>
      <c r="I2378" s="15">
        <v>1</v>
      </c>
      <c r="J2378" s="15" t="s">
        <v>23</v>
      </c>
      <c r="K2378" s="15"/>
      <c r="L2378" s="21" t="s">
        <v>16</v>
      </c>
      <c r="M2378" s="22">
        <v>0</v>
      </c>
      <c r="N2378" s="22">
        <v>0</v>
      </c>
      <c r="O2378" s="22">
        <v>9000</v>
      </c>
      <c r="P2378" s="22">
        <v>9000</v>
      </c>
      <c r="Q2378" t="str" cm="1">
        <f t="array" ref="Q2378">_xlfn.TEXTJOIN("、",TRUE,IF('學員資料-三民高中'!$B$2:$B$454=$F2378,'學員資料-三民高中'!$G$2:$G$454,""))</f>
        <v/>
      </c>
      <c r="R2378" t="str" cm="1">
        <f t="array" ref="R2378">_xlfn.TEXTJOIN("、",TRUE,IF('學員資料-新北高中'!$B$2:$B$583=$F2378,'學員資料-新北高中'!$G$2:$G$583,""))</f>
        <v/>
      </c>
      <c r="S2378" t="str" cm="1">
        <f t="array" ref="S2378">_xlfn.TEXTJOIN("、",TRUE,IF('學員資料-三重商工'!$B$2:$B$472=$F2378,'學員資料-三重商工'!$G$2:$G$472,""))</f>
        <v>0928817342</v>
      </c>
      <c r="T2378">
        <f t="shared" si="37"/>
        <v>1</v>
      </c>
    </row>
    <row r="2379" spans="1:20" ht="14.25" customHeight="1">
      <c r="A2379" s="15">
        <v>2378</v>
      </c>
      <c r="B2379" s="16" t="s">
        <v>7359</v>
      </c>
      <c r="C2379" s="17">
        <v>45522</v>
      </c>
      <c r="D2379" s="15" t="s">
        <v>7360</v>
      </c>
      <c r="E2379" s="18" t="s">
        <v>3862</v>
      </c>
      <c r="F2379" s="19" t="s">
        <v>7361</v>
      </c>
      <c r="G2379" s="23"/>
      <c r="H2379" s="20" t="s">
        <v>5131</v>
      </c>
      <c r="I2379" s="15">
        <v>1</v>
      </c>
      <c r="J2379" s="15" t="s">
        <v>24</v>
      </c>
      <c r="K2379" s="15"/>
      <c r="L2379" s="21" t="s">
        <v>16</v>
      </c>
      <c r="M2379" s="22">
        <v>0</v>
      </c>
      <c r="N2379" s="22">
        <v>0</v>
      </c>
      <c r="O2379" s="22">
        <v>7200</v>
      </c>
      <c r="P2379" s="22">
        <v>7200</v>
      </c>
      <c r="Q2379" t="str" cm="1">
        <f t="array" ref="Q2379">_xlfn.TEXTJOIN("、",TRUE,IF('學員資料-三民高中'!$B$2:$B$454=$F2379,'學員資料-三民高中'!$G$2:$G$454,""))</f>
        <v/>
      </c>
      <c r="R2379" t="str" cm="1">
        <f t="array" ref="R2379">_xlfn.TEXTJOIN("、",TRUE,IF('學員資料-新北高中'!$B$2:$B$583=$F2379,'學員資料-新北高中'!$G$2:$G$583,""))</f>
        <v/>
      </c>
      <c r="S2379" t="str" cm="1">
        <f t="array" ref="S2379">_xlfn.TEXTJOIN("、",TRUE,IF('學員資料-三重商工'!$B$2:$B$472=$F2379,'學員資料-三重商工'!$G$2:$G$472,""))</f>
        <v/>
      </c>
      <c r="T2379">
        <f t="shared" si="37"/>
        <v>0</v>
      </c>
    </row>
    <row r="2380" spans="1:20" ht="14.25" hidden="1" customHeight="1">
      <c r="A2380" s="15">
        <v>2379</v>
      </c>
      <c r="B2380" s="16" t="s">
        <v>7362</v>
      </c>
      <c r="C2380" s="17">
        <v>45522</v>
      </c>
      <c r="D2380" s="15" t="s">
        <v>7363</v>
      </c>
      <c r="E2380" s="18" t="s">
        <v>954</v>
      </c>
      <c r="F2380" s="19" t="s">
        <v>7364</v>
      </c>
      <c r="G2380" s="18" t="s">
        <v>7365</v>
      </c>
      <c r="H2380" s="20" t="s">
        <v>5131</v>
      </c>
      <c r="I2380" s="15">
        <v>1</v>
      </c>
      <c r="J2380" s="15" t="s">
        <v>24</v>
      </c>
      <c r="K2380" s="15"/>
      <c r="L2380" s="21" t="s">
        <v>16</v>
      </c>
      <c r="M2380" s="22">
        <v>0</v>
      </c>
      <c r="N2380" s="22">
        <v>0</v>
      </c>
      <c r="O2380" s="22">
        <v>7200</v>
      </c>
      <c r="P2380" s="22">
        <v>7200</v>
      </c>
      <c r="Q2380" t="str" cm="1">
        <f t="array" ref="Q2380">_xlfn.TEXTJOIN("、",TRUE,IF('學員資料-三民高中'!$B$2:$B$454=$F2380,'學員資料-三民高中'!$G$2:$G$454,""))</f>
        <v/>
      </c>
      <c r="R2380" t="str" cm="1">
        <f t="array" ref="R2380">_xlfn.TEXTJOIN("、",TRUE,IF('學員資料-新北高中'!$B$2:$B$583=$F2380,'學員資料-新北高中'!$G$2:$G$583,""))</f>
        <v>0900000006</v>
      </c>
      <c r="S2380" t="str" cm="1">
        <f t="array" ref="S2380">_xlfn.TEXTJOIN("、",TRUE,IF('學員資料-三重商工'!$B$2:$B$472=$F2380,'學員資料-三重商工'!$G$2:$G$472,""))</f>
        <v/>
      </c>
      <c r="T2380">
        <f t="shared" si="37"/>
        <v>1</v>
      </c>
    </row>
    <row r="2381" spans="1:20" ht="14.25" hidden="1" customHeight="1">
      <c r="A2381" s="15">
        <v>2380</v>
      </c>
      <c r="B2381" s="16" t="s">
        <v>7366</v>
      </c>
      <c r="C2381" s="17">
        <v>45522</v>
      </c>
      <c r="D2381" s="15" t="s">
        <v>7367</v>
      </c>
      <c r="E2381" s="18" t="s">
        <v>954</v>
      </c>
      <c r="F2381" s="19" t="s">
        <v>6132</v>
      </c>
      <c r="G2381" s="18" t="s">
        <v>6133</v>
      </c>
      <c r="H2381" s="20" t="s">
        <v>683</v>
      </c>
      <c r="I2381" s="15">
        <v>1</v>
      </c>
      <c r="J2381" s="15" t="s">
        <v>23</v>
      </c>
      <c r="K2381" s="15"/>
      <c r="L2381" s="21" t="s">
        <v>16</v>
      </c>
      <c r="M2381" s="22">
        <v>0</v>
      </c>
      <c r="N2381" s="22">
        <v>-900</v>
      </c>
      <c r="O2381" s="22">
        <v>8100</v>
      </c>
      <c r="P2381" s="22">
        <v>8100</v>
      </c>
      <c r="Q2381" t="str" cm="1">
        <f t="array" ref="Q2381">_xlfn.TEXTJOIN("、",TRUE,IF('學員資料-三民高中'!$B$2:$B$454=$F2381,'學員資料-三民高中'!$G$2:$G$454,""))</f>
        <v/>
      </c>
      <c r="R2381" t="str" cm="1">
        <f t="array" ref="R2381">_xlfn.TEXTJOIN("、",TRUE,IF('學員資料-新北高中'!$B$2:$B$583=$F2381,'學員資料-新北高中'!$G$2:$G$583,""))</f>
        <v/>
      </c>
      <c r="S2381" t="str" cm="1">
        <f t="array" ref="S2381">_xlfn.TEXTJOIN("、",TRUE,IF('學員資料-三重商工'!$B$2:$B$472=$F2381,'學員資料-三重商工'!$G$2:$G$472,""))</f>
        <v>AQ0010</v>
      </c>
      <c r="T2381">
        <f t="shared" si="37"/>
        <v>1</v>
      </c>
    </row>
    <row r="2382" spans="1:20" ht="14.25" hidden="1" customHeight="1">
      <c r="A2382" s="15">
        <v>2381</v>
      </c>
      <c r="B2382" s="16" t="s">
        <v>7368</v>
      </c>
      <c r="C2382" s="17">
        <v>45522</v>
      </c>
      <c r="D2382" s="15" t="s">
        <v>7369</v>
      </c>
      <c r="E2382" s="18" t="s">
        <v>954</v>
      </c>
      <c r="F2382" s="19" t="s">
        <v>7370</v>
      </c>
      <c r="G2382" s="18" t="s">
        <v>7371</v>
      </c>
      <c r="H2382" s="20" t="s">
        <v>5211</v>
      </c>
      <c r="I2382" s="15">
        <v>1</v>
      </c>
      <c r="J2382" s="15" t="s">
        <v>26</v>
      </c>
      <c r="K2382" s="15"/>
      <c r="L2382" s="21" t="s">
        <v>16</v>
      </c>
      <c r="M2382" s="22">
        <v>0</v>
      </c>
      <c r="N2382" s="22">
        <v>0</v>
      </c>
      <c r="O2382" s="22">
        <v>10800</v>
      </c>
      <c r="P2382" s="22">
        <v>10800</v>
      </c>
      <c r="Q2382" t="str" cm="1">
        <f t="array" ref="Q2382">_xlfn.TEXTJOIN("、",TRUE,IF('學員資料-三民高中'!$B$2:$B$454=$F2382,'學員資料-三民高中'!$G$2:$G$454,""))</f>
        <v/>
      </c>
      <c r="R2382" t="str" cm="1">
        <f t="array" ref="R2382">_xlfn.TEXTJOIN("、",TRUE,IF('學員資料-新北高中'!$B$2:$B$583=$F2382,'學員資料-新北高中'!$G$2:$G$583,""))</f>
        <v/>
      </c>
      <c r="S2382" t="str" cm="1">
        <f t="array" ref="S2382">_xlfn.TEXTJOIN("、",TRUE,IF('學員資料-三重商工'!$B$2:$B$472=$F2382,'學員資料-三重商工'!$G$2:$G$472,""))</f>
        <v>AQ0006</v>
      </c>
      <c r="T2382">
        <f t="shared" si="37"/>
        <v>1</v>
      </c>
    </row>
    <row r="2383" spans="1:20" ht="14.25" hidden="1" customHeight="1">
      <c r="A2383" s="15">
        <v>2382</v>
      </c>
      <c r="B2383" s="16" t="s">
        <v>7372</v>
      </c>
      <c r="C2383" s="17">
        <v>45522</v>
      </c>
      <c r="D2383" s="15" t="s">
        <v>7373</v>
      </c>
      <c r="E2383" s="18" t="s">
        <v>954</v>
      </c>
      <c r="F2383" s="19" t="s">
        <v>7374</v>
      </c>
      <c r="G2383" s="18" t="s">
        <v>7375</v>
      </c>
      <c r="H2383" s="20" t="s">
        <v>683</v>
      </c>
      <c r="I2383" s="15">
        <v>1</v>
      </c>
      <c r="J2383" s="15" t="s">
        <v>23</v>
      </c>
      <c r="K2383" s="15"/>
      <c r="L2383" s="21" t="s">
        <v>16</v>
      </c>
      <c r="M2383" s="22">
        <v>0</v>
      </c>
      <c r="N2383" s="22">
        <v>-900</v>
      </c>
      <c r="O2383" s="22">
        <v>8100</v>
      </c>
      <c r="P2383" s="22">
        <v>8100</v>
      </c>
      <c r="Q2383" t="str" cm="1">
        <f t="array" ref="Q2383">_xlfn.TEXTJOIN("、",TRUE,IF('學員資料-三民高中'!$B$2:$B$454=$F2383,'學員資料-三民高中'!$G$2:$G$454,""))</f>
        <v/>
      </c>
      <c r="R2383" t="str" cm="1">
        <f t="array" ref="R2383">_xlfn.TEXTJOIN("、",TRUE,IF('學員資料-新北高中'!$B$2:$B$583=$F2383,'學員資料-新北高中'!$G$2:$G$583,""))</f>
        <v/>
      </c>
      <c r="S2383" t="str" cm="1">
        <f t="array" ref="S2383">_xlfn.TEXTJOIN("、",TRUE,IF('學員資料-三重商工'!$B$2:$B$472=$F2383,'學員資料-三重商工'!$G$2:$G$472,""))</f>
        <v>AQ0009</v>
      </c>
      <c r="T2383">
        <f t="shared" si="37"/>
        <v>1</v>
      </c>
    </row>
    <row r="2384" spans="1:20" ht="87" hidden="1" customHeight="1">
      <c r="A2384" s="15">
        <v>2383</v>
      </c>
      <c r="B2384" s="16" t="s">
        <v>7376</v>
      </c>
      <c r="C2384" s="17">
        <v>45521</v>
      </c>
      <c r="D2384" s="15" t="s">
        <v>7377</v>
      </c>
      <c r="E2384" s="18" t="s">
        <v>954</v>
      </c>
      <c r="F2384" s="19" t="s">
        <v>4843</v>
      </c>
      <c r="G2384" s="18" t="s">
        <v>4844</v>
      </c>
      <c r="H2384" s="20" t="s">
        <v>7183</v>
      </c>
      <c r="I2384" s="15">
        <v>6</v>
      </c>
      <c r="J2384" s="15" t="s">
        <v>24</v>
      </c>
      <c r="K2384" s="15"/>
      <c r="L2384" s="21" t="s">
        <v>16</v>
      </c>
      <c r="M2384" s="22">
        <v>0</v>
      </c>
      <c r="N2384" s="22">
        <v>-1440</v>
      </c>
      <c r="O2384" s="22">
        <v>41760</v>
      </c>
      <c r="P2384" s="22">
        <v>41760</v>
      </c>
      <c r="Q2384" t="str" cm="1">
        <f t="array" ref="Q2384">_xlfn.TEXTJOIN("、",TRUE,IF('學員資料-三民高中'!$B$2:$B$454=$F2384,'學員資料-三民高中'!$G$2:$G$454,""))</f>
        <v/>
      </c>
      <c r="R2384" t="str" cm="1">
        <f t="array" ref="R2384">_xlfn.TEXTJOIN("、",TRUE,IF('學員資料-新北高中'!$B$2:$B$583=$F2384,'學員資料-新北高中'!$G$2:$G$583,""))</f>
        <v>0981145800</v>
      </c>
      <c r="S2384" t="str" cm="1">
        <f t="array" ref="S2384">_xlfn.TEXTJOIN("、",TRUE,IF('學員資料-三重商工'!$B$2:$B$472=$F2384,'學員資料-三重商工'!$G$2:$G$472,""))</f>
        <v/>
      </c>
      <c r="T2384">
        <f t="shared" si="37"/>
        <v>1</v>
      </c>
    </row>
    <row r="2385" spans="1:20" ht="28.5" hidden="1" customHeight="1">
      <c r="A2385" s="15">
        <v>2384</v>
      </c>
      <c r="B2385" s="16" t="s">
        <v>7378</v>
      </c>
      <c r="C2385" s="17">
        <v>45521</v>
      </c>
      <c r="D2385" s="15" t="s">
        <v>7379</v>
      </c>
      <c r="E2385" s="18" t="s">
        <v>954</v>
      </c>
      <c r="F2385" s="19" t="s">
        <v>4942</v>
      </c>
      <c r="G2385" s="18" t="s">
        <v>4943</v>
      </c>
      <c r="H2385" s="20" t="s">
        <v>5263</v>
      </c>
      <c r="I2385" s="15">
        <v>2</v>
      </c>
      <c r="J2385" s="15" t="s">
        <v>25</v>
      </c>
      <c r="K2385" s="15"/>
      <c r="L2385" s="21" t="s">
        <v>16</v>
      </c>
      <c r="M2385" s="22">
        <v>0</v>
      </c>
      <c r="N2385" s="22">
        <v>-2160</v>
      </c>
      <c r="O2385" s="22">
        <v>15840</v>
      </c>
      <c r="P2385" s="22">
        <v>15840</v>
      </c>
      <c r="Q2385" t="str" cm="1">
        <f t="array" ref="Q2385">_xlfn.TEXTJOIN("、",TRUE,IF('學員資料-三民高中'!$B$2:$B$454=$F2385,'學員資料-三民高中'!$G$2:$G$454,""))</f>
        <v/>
      </c>
      <c r="R2385" t="str" cm="1">
        <f t="array" ref="R2385">_xlfn.TEXTJOIN("、",TRUE,IF('學員資料-新北高中'!$B$2:$B$583=$F2385,'學員資料-新北高中'!$G$2:$G$583,""))</f>
        <v>0918081552</v>
      </c>
      <c r="S2385" t="str" cm="1">
        <f t="array" ref="S2385">_xlfn.TEXTJOIN("、",TRUE,IF('學員資料-三重商工'!$B$2:$B$472=$F2385,'學員資料-三重商工'!$G$2:$G$472,""))</f>
        <v/>
      </c>
      <c r="T2385">
        <f t="shared" si="37"/>
        <v>1</v>
      </c>
    </row>
    <row r="2386" spans="1:20" ht="14.25" hidden="1" customHeight="1">
      <c r="A2386" s="15">
        <v>2385</v>
      </c>
      <c r="B2386" s="16" t="s">
        <v>7380</v>
      </c>
      <c r="C2386" s="17">
        <v>45521</v>
      </c>
      <c r="D2386" s="15" t="s">
        <v>7381</v>
      </c>
      <c r="E2386" s="18" t="s">
        <v>954</v>
      </c>
      <c r="F2386" s="19" t="s">
        <v>6332</v>
      </c>
      <c r="G2386" s="18" t="s">
        <v>6333</v>
      </c>
      <c r="H2386" s="20" t="s">
        <v>6334</v>
      </c>
      <c r="I2386" s="15">
        <v>1</v>
      </c>
      <c r="J2386" s="15" t="s">
        <v>28</v>
      </c>
      <c r="K2386" s="15"/>
      <c r="L2386" s="21" t="s">
        <v>16</v>
      </c>
      <c r="M2386" s="22">
        <v>0</v>
      </c>
      <c r="N2386" s="22">
        <v>0</v>
      </c>
      <c r="O2386" s="22">
        <v>21600</v>
      </c>
      <c r="P2386" s="22">
        <v>21600</v>
      </c>
      <c r="Q2386" t="str" cm="1">
        <f t="array" ref="Q2386">_xlfn.TEXTJOIN("、",TRUE,IF('學員資料-三民高中'!$B$2:$B$454=$F2386,'學員資料-三民高中'!$G$2:$G$454,""))</f>
        <v/>
      </c>
      <c r="R2386" t="str" cm="1">
        <f t="array" ref="R2386">_xlfn.TEXTJOIN("、",TRUE,IF('學員資料-新北高中'!$B$2:$B$583=$F2386,'學員資料-新北高中'!$G$2:$G$583,""))</f>
        <v>AQ0005</v>
      </c>
      <c r="S2386" t="str" cm="1">
        <f t="array" ref="S2386">_xlfn.TEXTJOIN("、",TRUE,IF('學員資料-三重商工'!$B$2:$B$472=$F2386,'學員資料-三重商工'!$G$2:$G$472,""))</f>
        <v/>
      </c>
      <c r="T2386">
        <f t="shared" si="37"/>
        <v>1</v>
      </c>
    </row>
    <row r="2387" spans="1:20" ht="14.25" hidden="1" customHeight="1">
      <c r="A2387" s="15">
        <v>2386</v>
      </c>
      <c r="B2387" s="16" t="s">
        <v>7382</v>
      </c>
      <c r="C2387" s="17">
        <v>45521</v>
      </c>
      <c r="D2387" s="15" t="s">
        <v>7383</v>
      </c>
      <c r="E2387" s="18" t="s">
        <v>954</v>
      </c>
      <c r="F2387" s="19" t="s">
        <v>7384</v>
      </c>
      <c r="G2387" s="18" t="s">
        <v>7385</v>
      </c>
      <c r="H2387" s="20" t="s">
        <v>266</v>
      </c>
      <c r="I2387" s="15">
        <v>1</v>
      </c>
      <c r="J2387" s="15" t="s">
        <v>24</v>
      </c>
      <c r="K2387" s="15"/>
      <c r="L2387" s="21" t="s">
        <v>16</v>
      </c>
      <c r="M2387" s="22">
        <v>0</v>
      </c>
      <c r="N2387" s="22">
        <v>-1080</v>
      </c>
      <c r="O2387" s="22">
        <v>9720</v>
      </c>
      <c r="P2387" s="22">
        <v>9720</v>
      </c>
      <c r="Q2387" t="str" cm="1">
        <f t="array" ref="Q2387">_xlfn.TEXTJOIN("、",TRUE,IF('學員資料-三民高中'!$B$2:$B$454=$F2387,'學員資料-三民高中'!$G$2:$G$454,""))</f>
        <v/>
      </c>
      <c r="R2387" t="str" cm="1">
        <f t="array" ref="R2387">_xlfn.TEXTJOIN("、",TRUE,IF('學員資料-新北高中'!$B$2:$B$583=$F2387,'學員資料-新北高中'!$G$2:$G$583,""))</f>
        <v>AQ0023</v>
      </c>
      <c r="S2387" t="str" cm="1">
        <f t="array" ref="S2387">_xlfn.TEXTJOIN("、",TRUE,IF('學員資料-三重商工'!$B$2:$B$472=$F2387,'學員資料-三重商工'!$G$2:$G$472,""))</f>
        <v/>
      </c>
      <c r="T2387">
        <f t="shared" si="37"/>
        <v>1</v>
      </c>
    </row>
    <row r="2388" spans="1:20" ht="43.5" hidden="1" customHeight="1">
      <c r="A2388" s="15">
        <v>2387</v>
      </c>
      <c r="B2388" s="16" t="s">
        <v>7386</v>
      </c>
      <c r="C2388" s="17">
        <v>45521</v>
      </c>
      <c r="D2388" s="15" t="s">
        <v>7387</v>
      </c>
      <c r="E2388" s="18" t="s">
        <v>954</v>
      </c>
      <c r="F2388" s="19" t="s">
        <v>7388</v>
      </c>
      <c r="G2388" s="18" t="s">
        <v>7389</v>
      </c>
      <c r="H2388" s="20" t="s">
        <v>5436</v>
      </c>
      <c r="I2388" s="15">
        <v>3</v>
      </c>
      <c r="J2388" s="15" t="s">
        <v>24</v>
      </c>
      <c r="K2388" s="15"/>
      <c r="L2388" s="21" t="s">
        <v>16</v>
      </c>
      <c r="M2388" s="22">
        <v>0</v>
      </c>
      <c r="N2388" s="22">
        <v>-2160</v>
      </c>
      <c r="O2388" s="22">
        <v>19440</v>
      </c>
      <c r="P2388" s="22">
        <v>19440</v>
      </c>
      <c r="Q2388" t="str" cm="1">
        <f t="array" ref="Q2388">_xlfn.TEXTJOIN("、",TRUE,IF('學員資料-三民高中'!$B$2:$B$454=$F2388,'學員資料-三民高中'!$G$2:$G$454,""))</f>
        <v/>
      </c>
      <c r="R2388" t="str" cm="1">
        <f t="array" ref="R2388">_xlfn.TEXTJOIN("、",TRUE,IF('學員資料-新北高中'!$B$2:$B$583=$F2388,'學員資料-新北高中'!$G$2:$G$583,""))</f>
        <v>AQ0022</v>
      </c>
      <c r="S2388" t="str" cm="1">
        <f t="array" ref="S2388">_xlfn.TEXTJOIN("、",TRUE,IF('學員資料-三重商工'!$B$2:$B$472=$F2388,'學員資料-三重商工'!$G$2:$G$472,""))</f>
        <v/>
      </c>
      <c r="T2388">
        <f t="shared" si="37"/>
        <v>1</v>
      </c>
    </row>
    <row r="2389" spans="1:20" ht="14.25" hidden="1" customHeight="1">
      <c r="A2389" s="15">
        <v>2388</v>
      </c>
      <c r="B2389" s="16" t="s">
        <v>7390</v>
      </c>
      <c r="C2389" s="17">
        <v>45521</v>
      </c>
      <c r="D2389" s="15" t="s">
        <v>7391</v>
      </c>
      <c r="E2389" s="18" t="s">
        <v>3862</v>
      </c>
      <c r="F2389" s="19" t="s">
        <v>7392</v>
      </c>
      <c r="G2389" s="18" t="s">
        <v>7393</v>
      </c>
      <c r="H2389" s="20" t="s">
        <v>5131</v>
      </c>
      <c r="I2389" s="15">
        <v>1</v>
      </c>
      <c r="J2389" s="15" t="s">
        <v>24</v>
      </c>
      <c r="K2389" s="15"/>
      <c r="L2389" s="21" t="s">
        <v>16</v>
      </c>
      <c r="M2389" s="22">
        <v>0</v>
      </c>
      <c r="N2389" s="22">
        <v>-720</v>
      </c>
      <c r="O2389" s="22">
        <v>6480</v>
      </c>
      <c r="P2389" s="22">
        <v>6480</v>
      </c>
      <c r="Q2389" t="str" cm="1">
        <f t="array" ref="Q2389">_xlfn.TEXTJOIN("、",TRUE,IF('學員資料-三民高中'!$B$2:$B$454=$F2389,'學員資料-三民高中'!$G$2:$G$454,""))</f>
        <v/>
      </c>
      <c r="R2389" t="str" cm="1">
        <f t="array" ref="R2389">_xlfn.TEXTJOIN("、",TRUE,IF('學員資料-新北高中'!$B$2:$B$583=$F2389,'學員資料-新北高中'!$G$2:$G$583,""))</f>
        <v/>
      </c>
      <c r="S2389" t="str" cm="1">
        <f t="array" ref="S2389">_xlfn.TEXTJOIN("、",TRUE,IF('學員資料-三重商工'!$B$2:$B$472=$F2389,'學員資料-三重商工'!$G$2:$G$472,""))</f>
        <v>AQ0020</v>
      </c>
      <c r="T2389">
        <f t="shared" si="37"/>
        <v>1</v>
      </c>
    </row>
    <row r="2390" spans="1:20" ht="14.25" hidden="1" customHeight="1">
      <c r="A2390" s="15">
        <v>2389</v>
      </c>
      <c r="B2390" s="16" t="s">
        <v>7394</v>
      </c>
      <c r="C2390" s="17">
        <v>45521</v>
      </c>
      <c r="D2390" s="15" t="s">
        <v>7395</v>
      </c>
      <c r="E2390" s="18" t="s">
        <v>954</v>
      </c>
      <c r="F2390" s="19" t="s">
        <v>7396</v>
      </c>
      <c r="G2390" s="18" t="s">
        <v>7397</v>
      </c>
      <c r="H2390" s="20" t="s">
        <v>6210</v>
      </c>
      <c r="I2390" s="15">
        <v>1</v>
      </c>
      <c r="J2390" s="15" t="s">
        <v>25</v>
      </c>
      <c r="K2390" s="15"/>
      <c r="L2390" s="21" t="s">
        <v>16</v>
      </c>
      <c r="M2390" s="22">
        <v>0</v>
      </c>
      <c r="N2390" s="22">
        <v>-5265</v>
      </c>
      <c r="O2390" s="22">
        <v>6885</v>
      </c>
      <c r="P2390" s="22">
        <v>6885</v>
      </c>
      <c r="Q2390" t="str" cm="1">
        <f t="array" ref="Q2390">_xlfn.TEXTJOIN("、",TRUE,IF('學員資料-三民高中'!$B$2:$B$454=$F2390,'學員資料-三民高中'!$G$2:$G$454,""))</f>
        <v/>
      </c>
      <c r="R2390" t="str" cm="1">
        <f t="array" ref="R2390">_xlfn.TEXTJOIN("、",TRUE,IF('學員資料-新北高中'!$B$2:$B$583=$F2390,'學員資料-新北高中'!$G$2:$G$583,""))</f>
        <v/>
      </c>
      <c r="S2390" t="str" cm="1">
        <f t="array" ref="S2390">_xlfn.TEXTJOIN("、",TRUE,IF('學員資料-三重商工'!$B$2:$B$472=$F2390,'學員資料-三重商工'!$G$2:$G$472,""))</f>
        <v>AQ0019</v>
      </c>
      <c r="T2390">
        <f t="shared" si="37"/>
        <v>1</v>
      </c>
    </row>
    <row r="2391" spans="1:20" ht="14.25" hidden="1" customHeight="1">
      <c r="A2391" s="15">
        <v>2390</v>
      </c>
      <c r="B2391" s="16" t="s">
        <v>7398</v>
      </c>
      <c r="C2391" s="17">
        <v>45521</v>
      </c>
      <c r="D2391" s="15" t="s">
        <v>7399</v>
      </c>
      <c r="E2391" s="18" t="s">
        <v>954</v>
      </c>
      <c r="F2391" s="19" t="s">
        <v>7400</v>
      </c>
      <c r="G2391" s="18" t="s">
        <v>7401</v>
      </c>
      <c r="H2391" s="20" t="s">
        <v>266</v>
      </c>
      <c r="I2391" s="15">
        <v>1</v>
      </c>
      <c r="J2391" s="15" t="s">
        <v>24</v>
      </c>
      <c r="K2391" s="15"/>
      <c r="L2391" s="21" t="s">
        <v>16</v>
      </c>
      <c r="M2391" s="22">
        <v>0</v>
      </c>
      <c r="N2391" s="22">
        <v>-6000</v>
      </c>
      <c r="O2391" s="22">
        <v>4800</v>
      </c>
      <c r="P2391" s="22">
        <v>4800</v>
      </c>
      <c r="Q2391" t="str" cm="1">
        <f t="array" ref="Q2391">_xlfn.TEXTJOIN("、",TRUE,IF('學員資料-三民高中'!$B$2:$B$454=$F2391,'學員資料-三民高中'!$G$2:$G$454,""))</f>
        <v/>
      </c>
      <c r="R2391" t="str" cm="1">
        <f t="array" ref="R2391">_xlfn.TEXTJOIN("、",TRUE,IF('學員資料-新北高中'!$B$2:$B$583=$F2391,'學員資料-新北高中'!$G$2:$G$583,""))</f>
        <v>AQ0018</v>
      </c>
      <c r="S2391" t="str" cm="1">
        <f t="array" ref="S2391">_xlfn.TEXTJOIN("、",TRUE,IF('學員資料-三重商工'!$B$2:$B$472=$F2391,'學員資料-三重商工'!$G$2:$G$472,""))</f>
        <v/>
      </c>
      <c r="T2391">
        <f t="shared" si="37"/>
        <v>1</v>
      </c>
    </row>
    <row r="2392" spans="1:20" ht="14.25" hidden="1" customHeight="1">
      <c r="A2392" s="15">
        <v>2391</v>
      </c>
      <c r="B2392" s="16" t="s">
        <v>7402</v>
      </c>
      <c r="C2392" s="17">
        <v>45521</v>
      </c>
      <c r="D2392" s="15" t="s">
        <v>7403</v>
      </c>
      <c r="E2392" s="18" t="s">
        <v>954</v>
      </c>
      <c r="F2392" s="19" t="s">
        <v>6579</v>
      </c>
      <c r="G2392" s="18" t="s">
        <v>6580</v>
      </c>
      <c r="H2392" s="20" t="s">
        <v>5148</v>
      </c>
      <c r="I2392" s="15">
        <v>1</v>
      </c>
      <c r="J2392" s="15" t="s">
        <v>25</v>
      </c>
      <c r="K2392" s="15"/>
      <c r="L2392" s="21" t="s">
        <v>16</v>
      </c>
      <c r="M2392" s="22">
        <v>0</v>
      </c>
      <c r="N2392" s="22">
        <v>-1080</v>
      </c>
      <c r="O2392" s="22">
        <v>7920</v>
      </c>
      <c r="P2392" s="22">
        <v>7920</v>
      </c>
      <c r="Q2392" t="str" cm="1">
        <f t="array" ref="Q2392">_xlfn.TEXTJOIN("、",TRUE,IF('學員資料-三民高中'!$B$2:$B$454=$F2392,'學員資料-三民高中'!$G$2:$G$454,""))</f>
        <v/>
      </c>
      <c r="R2392" t="str" cm="1">
        <f t="array" ref="R2392">_xlfn.TEXTJOIN("、",TRUE,IF('學員資料-新北高中'!$B$2:$B$583=$F2392,'學員資料-新北高中'!$G$2:$G$583,""))</f>
        <v>0921580921</v>
      </c>
      <c r="S2392" t="str" cm="1">
        <f t="array" ref="S2392">_xlfn.TEXTJOIN("、",TRUE,IF('學員資料-三重商工'!$B$2:$B$472=$F2392,'學員資料-三重商工'!$G$2:$G$472,""))</f>
        <v/>
      </c>
      <c r="T2392">
        <f t="shared" si="37"/>
        <v>1</v>
      </c>
    </row>
    <row r="2393" spans="1:20" ht="43.5" hidden="1" customHeight="1">
      <c r="A2393" s="15">
        <v>2392</v>
      </c>
      <c r="B2393" s="16" t="s">
        <v>7404</v>
      </c>
      <c r="C2393" s="17">
        <v>45521</v>
      </c>
      <c r="D2393" s="15" t="s">
        <v>7405</v>
      </c>
      <c r="E2393" s="18" t="s">
        <v>954</v>
      </c>
      <c r="F2393" s="19" t="s">
        <v>7406</v>
      </c>
      <c r="G2393" s="18" t="s">
        <v>7407</v>
      </c>
      <c r="H2393" s="20" t="s">
        <v>7408</v>
      </c>
      <c r="I2393" s="15">
        <v>3</v>
      </c>
      <c r="J2393" s="15" t="s">
        <v>26</v>
      </c>
      <c r="K2393" s="15"/>
      <c r="L2393" s="21" t="s">
        <v>16</v>
      </c>
      <c r="M2393" s="22">
        <v>0</v>
      </c>
      <c r="N2393" s="22">
        <v>-18770</v>
      </c>
      <c r="O2393" s="22">
        <v>24430</v>
      </c>
      <c r="P2393" s="22">
        <v>24430</v>
      </c>
      <c r="Q2393" t="str" cm="1">
        <f t="array" ref="Q2393">_xlfn.TEXTJOIN("、",TRUE,IF('學員資料-三民高中'!$B$2:$B$454=$F2393,'學員資料-三民高中'!$G$2:$G$454,""))</f>
        <v/>
      </c>
      <c r="R2393" t="str" cm="1">
        <f t="array" ref="R2393">_xlfn.TEXTJOIN("、",TRUE,IF('學員資料-新北高中'!$B$2:$B$583=$F2393,'學員資料-新北高中'!$G$2:$G$583,""))</f>
        <v/>
      </c>
      <c r="S2393" t="str" cm="1">
        <f t="array" ref="S2393">_xlfn.TEXTJOIN("、",TRUE,IF('學員資料-三重商工'!$B$2:$B$472=$F2393,'學員資料-三重商工'!$G$2:$G$472,""))</f>
        <v>AQ0017</v>
      </c>
      <c r="T2393">
        <f t="shared" si="37"/>
        <v>1</v>
      </c>
    </row>
    <row r="2394" spans="1:20" ht="14.25" hidden="1" customHeight="1">
      <c r="A2394" s="15">
        <v>2393</v>
      </c>
      <c r="B2394" s="16" t="s">
        <v>7409</v>
      </c>
      <c r="C2394" s="17">
        <v>45521</v>
      </c>
      <c r="D2394" s="15" t="s">
        <v>7410</v>
      </c>
      <c r="E2394" s="18" t="s">
        <v>954</v>
      </c>
      <c r="F2394" s="19" t="s">
        <v>4880</v>
      </c>
      <c r="G2394" s="18" t="s">
        <v>4881</v>
      </c>
      <c r="H2394" s="20" t="s">
        <v>5131</v>
      </c>
      <c r="I2394" s="15">
        <v>1</v>
      </c>
      <c r="J2394" s="15" t="s">
        <v>24</v>
      </c>
      <c r="K2394" s="15"/>
      <c r="L2394" s="21" t="s">
        <v>16</v>
      </c>
      <c r="M2394" s="22">
        <v>0</v>
      </c>
      <c r="N2394" s="22">
        <v>-720</v>
      </c>
      <c r="O2394" s="22">
        <v>6480</v>
      </c>
      <c r="P2394" s="22">
        <v>6480</v>
      </c>
      <c r="Q2394" t="str" cm="1">
        <f t="array" ref="Q2394">_xlfn.TEXTJOIN("、",TRUE,IF('學員資料-三民高中'!$B$2:$B$454=$F2394,'學員資料-三民高中'!$G$2:$G$454,""))</f>
        <v>0972285171</v>
      </c>
      <c r="R2394" t="str" cm="1">
        <f t="array" ref="R2394">_xlfn.TEXTJOIN("、",TRUE,IF('學員資料-新北高中'!$B$2:$B$583=$F2394,'學員資料-新北高中'!$G$2:$G$583,""))</f>
        <v/>
      </c>
      <c r="S2394" t="str" cm="1">
        <f t="array" ref="S2394">_xlfn.TEXTJOIN("、",TRUE,IF('學員資料-三重商工'!$B$2:$B$472=$F2394,'學員資料-三重商工'!$G$2:$G$472,""))</f>
        <v/>
      </c>
      <c r="T2394">
        <f t="shared" si="37"/>
        <v>1</v>
      </c>
    </row>
    <row r="2395" spans="1:20" ht="14.25" hidden="1" customHeight="1">
      <c r="A2395" s="15">
        <v>2394</v>
      </c>
      <c r="B2395" s="16" t="s">
        <v>7411</v>
      </c>
      <c r="C2395" s="17">
        <v>45521</v>
      </c>
      <c r="D2395" s="15" t="s">
        <v>7412</v>
      </c>
      <c r="E2395" s="18" t="s">
        <v>954</v>
      </c>
      <c r="F2395" s="19" t="s">
        <v>4880</v>
      </c>
      <c r="G2395" s="18" t="s">
        <v>4881</v>
      </c>
      <c r="H2395" s="20" t="s">
        <v>5131</v>
      </c>
      <c r="I2395" s="15">
        <v>1</v>
      </c>
      <c r="J2395" s="15" t="s">
        <v>24</v>
      </c>
      <c r="K2395" s="15"/>
      <c r="L2395" s="21" t="s">
        <v>16</v>
      </c>
      <c r="M2395" s="22">
        <v>0</v>
      </c>
      <c r="N2395" s="22">
        <v>-720</v>
      </c>
      <c r="O2395" s="22">
        <v>6480</v>
      </c>
      <c r="P2395" s="22">
        <v>6480</v>
      </c>
      <c r="Q2395" t="str" cm="1">
        <f t="array" ref="Q2395">_xlfn.TEXTJOIN("、",TRUE,IF('學員資料-三民高中'!$B$2:$B$454=$F2395,'學員資料-三民高中'!$G$2:$G$454,""))</f>
        <v>0972285171</v>
      </c>
      <c r="R2395" t="str" cm="1">
        <f t="array" ref="R2395">_xlfn.TEXTJOIN("、",TRUE,IF('學員資料-新北高中'!$B$2:$B$583=$F2395,'學員資料-新北高中'!$G$2:$G$583,""))</f>
        <v/>
      </c>
      <c r="S2395" t="str" cm="1">
        <f t="array" ref="S2395">_xlfn.TEXTJOIN("、",TRUE,IF('學員資料-三重商工'!$B$2:$B$472=$F2395,'學員資料-三重商工'!$G$2:$G$472,""))</f>
        <v/>
      </c>
      <c r="T2395">
        <f t="shared" si="37"/>
        <v>1</v>
      </c>
    </row>
    <row r="2396" spans="1:20" ht="14.25" hidden="1" customHeight="1">
      <c r="A2396" s="15">
        <v>2395</v>
      </c>
      <c r="B2396" s="16" t="s">
        <v>7413</v>
      </c>
      <c r="C2396" s="17">
        <v>45521</v>
      </c>
      <c r="D2396" s="15" t="s">
        <v>7414</v>
      </c>
      <c r="E2396" s="18" t="s">
        <v>954</v>
      </c>
      <c r="F2396" s="19" t="s">
        <v>4880</v>
      </c>
      <c r="G2396" s="18" t="s">
        <v>4881</v>
      </c>
      <c r="H2396" s="20" t="s">
        <v>5131</v>
      </c>
      <c r="I2396" s="15">
        <v>1</v>
      </c>
      <c r="J2396" s="15" t="s">
        <v>24</v>
      </c>
      <c r="K2396" s="15"/>
      <c r="L2396" s="21" t="s">
        <v>16</v>
      </c>
      <c r="M2396" s="22">
        <v>0</v>
      </c>
      <c r="N2396" s="22">
        <v>-720</v>
      </c>
      <c r="O2396" s="22">
        <v>6480</v>
      </c>
      <c r="P2396" s="22">
        <v>6480</v>
      </c>
      <c r="Q2396" t="str" cm="1">
        <f t="array" ref="Q2396">_xlfn.TEXTJOIN("、",TRUE,IF('學員資料-三民高中'!$B$2:$B$454=$F2396,'學員資料-三民高中'!$G$2:$G$454,""))</f>
        <v>0972285171</v>
      </c>
      <c r="R2396" t="str" cm="1">
        <f t="array" ref="R2396">_xlfn.TEXTJOIN("、",TRUE,IF('學員資料-新北高中'!$B$2:$B$583=$F2396,'學員資料-新北高中'!$G$2:$G$583,""))</f>
        <v/>
      </c>
      <c r="S2396" t="str" cm="1">
        <f t="array" ref="S2396">_xlfn.TEXTJOIN("、",TRUE,IF('學員資料-三重商工'!$B$2:$B$472=$F2396,'學員資料-三重商工'!$G$2:$G$472,""))</f>
        <v/>
      </c>
      <c r="T2396">
        <f t="shared" si="37"/>
        <v>1</v>
      </c>
    </row>
    <row r="2397" spans="1:20" ht="14.25" hidden="1" customHeight="1">
      <c r="A2397" s="15">
        <v>2396</v>
      </c>
      <c r="B2397" s="16" t="s">
        <v>7415</v>
      </c>
      <c r="C2397" s="17">
        <v>45521</v>
      </c>
      <c r="D2397" s="15" t="s">
        <v>7416</v>
      </c>
      <c r="E2397" s="18" t="s">
        <v>954</v>
      </c>
      <c r="F2397" s="19" t="s">
        <v>7417</v>
      </c>
      <c r="G2397" s="18" t="s">
        <v>7418</v>
      </c>
      <c r="H2397" s="20" t="s">
        <v>5163</v>
      </c>
      <c r="I2397" s="15">
        <v>1</v>
      </c>
      <c r="J2397" s="15" t="s">
        <v>23</v>
      </c>
      <c r="K2397" s="15"/>
      <c r="L2397" s="21" t="s">
        <v>16</v>
      </c>
      <c r="M2397" s="22">
        <v>0</v>
      </c>
      <c r="N2397" s="22">
        <v>-600</v>
      </c>
      <c r="O2397" s="22">
        <v>6000</v>
      </c>
      <c r="P2397" s="22">
        <v>6000</v>
      </c>
      <c r="Q2397" t="str" cm="1">
        <f t="array" ref="Q2397">_xlfn.TEXTJOIN("、",TRUE,IF('學員資料-三民高中'!$B$2:$B$454=$F2397,'學員資料-三民高中'!$G$2:$G$454,""))</f>
        <v/>
      </c>
      <c r="R2397" t="str" cm="1">
        <f t="array" ref="R2397">_xlfn.TEXTJOIN("、",TRUE,IF('學員資料-新北高中'!$B$2:$B$583=$F2397,'學員資料-新北高中'!$G$2:$G$583,""))</f>
        <v>AQ0015</v>
      </c>
      <c r="S2397" t="str" cm="1">
        <f t="array" ref="S2397">_xlfn.TEXTJOIN("、",TRUE,IF('學員資料-三重商工'!$B$2:$B$472=$F2397,'學員資料-三重商工'!$G$2:$G$472,""))</f>
        <v/>
      </c>
      <c r="T2397">
        <f t="shared" si="37"/>
        <v>1</v>
      </c>
    </row>
    <row r="2398" spans="1:20" ht="28.5" hidden="1" customHeight="1">
      <c r="A2398" s="15">
        <v>2397</v>
      </c>
      <c r="B2398" s="16" t="s">
        <v>7419</v>
      </c>
      <c r="C2398" s="17">
        <v>45521</v>
      </c>
      <c r="D2398" s="15" t="s">
        <v>7420</v>
      </c>
      <c r="E2398" s="18" t="s">
        <v>954</v>
      </c>
      <c r="F2398" s="19" t="s">
        <v>7421</v>
      </c>
      <c r="G2398" s="18" t="s">
        <v>7422</v>
      </c>
      <c r="H2398" s="20" t="s">
        <v>1838</v>
      </c>
      <c r="I2398" s="15">
        <v>2</v>
      </c>
      <c r="J2398" s="15" t="s">
        <v>24</v>
      </c>
      <c r="K2398" s="15"/>
      <c r="L2398" s="21" t="s">
        <v>16</v>
      </c>
      <c r="M2398" s="22">
        <v>0</v>
      </c>
      <c r="N2398" s="22">
        <v>0</v>
      </c>
      <c r="O2398" s="22">
        <v>21600</v>
      </c>
      <c r="P2398" s="22">
        <v>21600</v>
      </c>
      <c r="Q2398" t="str" cm="1">
        <f t="array" ref="Q2398">_xlfn.TEXTJOIN("、",TRUE,IF('學員資料-三民高中'!$B$2:$B$454=$F2398,'學員資料-三民高中'!$G$2:$G$454,""))</f>
        <v/>
      </c>
      <c r="R2398" t="str" cm="1">
        <f t="array" ref="R2398">_xlfn.TEXTJOIN("、",TRUE,IF('學員資料-新北高中'!$B$2:$B$583=$F2398,'學員資料-新北高中'!$G$2:$G$583,""))</f>
        <v>AQ0002</v>
      </c>
      <c r="S2398" t="str" cm="1">
        <f t="array" ref="S2398">_xlfn.TEXTJOIN("、",TRUE,IF('學員資料-三重商工'!$B$2:$B$472=$F2398,'學員資料-三重商工'!$G$2:$G$472,""))</f>
        <v/>
      </c>
      <c r="T2398">
        <f t="shared" si="37"/>
        <v>1</v>
      </c>
    </row>
    <row r="2399" spans="1:20" ht="14.25" hidden="1" customHeight="1">
      <c r="A2399" s="15">
        <v>2398</v>
      </c>
      <c r="B2399" s="16" t="s">
        <v>7423</v>
      </c>
      <c r="C2399" s="17">
        <v>45521</v>
      </c>
      <c r="D2399" s="15" t="s">
        <v>7424</v>
      </c>
      <c r="E2399" s="18" t="s">
        <v>954</v>
      </c>
      <c r="F2399" s="19" t="s">
        <v>4805</v>
      </c>
      <c r="G2399" s="18" t="s">
        <v>4806</v>
      </c>
      <c r="H2399" s="20" t="s">
        <v>5163</v>
      </c>
      <c r="I2399" s="15">
        <v>1</v>
      </c>
      <c r="J2399" s="15" t="s">
        <v>23</v>
      </c>
      <c r="K2399" s="15"/>
      <c r="L2399" s="21" t="s">
        <v>16</v>
      </c>
      <c r="M2399" s="22">
        <v>0</v>
      </c>
      <c r="N2399" s="22">
        <v>-660</v>
      </c>
      <c r="O2399" s="22">
        <v>5940</v>
      </c>
      <c r="P2399" s="22">
        <v>5940</v>
      </c>
      <c r="Q2399" t="str" cm="1">
        <f t="array" ref="Q2399">_xlfn.TEXTJOIN("、",TRUE,IF('學員資料-三民高中'!$B$2:$B$454=$F2399,'學員資料-三民高中'!$G$2:$G$454,""))</f>
        <v/>
      </c>
      <c r="R2399" t="str" cm="1">
        <f t="array" ref="R2399">_xlfn.TEXTJOIN("、",TRUE,IF('學員資料-新北高中'!$B$2:$B$583=$F2399,'學員資料-新北高中'!$G$2:$G$583,""))</f>
        <v>0939985581</v>
      </c>
      <c r="S2399" t="str" cm="1">
        <f t="array" ref="S2399">_xlfn.TEXTJOIN("、",TRUE,IF('學員資料-三重商工'!$B$2:$B$472=$F2399,'學員資料-三重商工'!$G$2:$G$472,""))</f>
        <v/>
      </c>
      <c r="T2399">
        <f t="shared" si="37"/>
        <v>1</v>
      </c>
    </row>
    <row r="2400" spans="1:20" ht="14.25" hidden="1" customHeight="1">
      <c r="A2400" s="15">
        <v>2399</v>
      </c>
      <c r="B2400" s="16" t="s">
        <v>7425</v>
      </c>
      <c r="C2400" s="17">
        <v>45521</v>
      </c>
      <c r="D2400" s="15" t="s">
        <v>7426</v>
      </c>
      <c r="E2400" s="18" t="s">
        <v>954</v>
      </c>
      <c r="F2400" s="19" t="s">
        <v>7427</v>
      </c>
      <c r="G2400" s="18" t="s">
        <v>7428</v>
      </c>
      <c r="H2400" s="20" t="s">
        <v>683</v>
      </c>
      <c r="I2400" s="15">
        <v>1</v>
      </c>
      <c r="J2400" s="15" t="s">
        <v>23</v>
      </c>
      <c r="K2400" s="15"/>
      <c r="L2400" s="21" t="s">
        <v>16</v>
      </c>
      <c r="M2400" s="22">
        <v>0</v>
      </c>
      <c r="N2400" s="22">
        <v>0</v>
      </c>
      <c r="O2400" s="22">
        <v>9000</v>
      </c>
      <c r="P2400" s="22">
        <v>9000</v>
      </c>
      <c r="Q2400" t="str" cm="1">
        <f t="array" ref="Q2400">_xlfn.TEXTJOIN("、",TRUE,IF('學員資料-三民高中'!$B$2:$B$454=$F2400,'學員資料-三民高中'!$G$2:$G$454,""))</f>
        <v/>
      </c>
      <c r="R2400" t="str" cm="1">
        <f t="array" ref="R2400">_xlfn.TEXTJOIN("、",TRUE,IF('學員資料-新北高中'!$B$2:$B$583=$F2400,'學員資料-新北高中'!$G$2:$G$583,""))</f>
        <v>AQ0014</v>
      </c>
      <c r="S2400" t="str" cm="1">
        <f t="array" ref="S2400">_xlfn.TEXTJOIN("、",TRUE,IF('學員資料-三重商工'!$B$2:$B$472=$F2400,'學員資料-三重商工'!$G$2:$G$472,""))</f>
        <v/>
      </c>
      <c r="T2400">
        <f t="shared" si="37"/>
        <v>1</v>
      </c>
    </row>
    <row r="2401" spans="1:20" ht="14.25" hidden="1" customHeight="1">
      <c r="A2401" s="15">
        <v>2400</v>
      </c>
      <c r="B2401" s="16" t="s">
        <v>7429</v>
      </c>
      <c r="C2401" s="17">
        <v>45521</v>
      </c>
      <c r="D2401" s="15" t="s">
        <v>7430</v>
      </c>
      <c r="E2401" s="18" t="s">
        <v>954</v>
      </c>
      <c r="F2401" s="19" t="s">
        <v>4629</v>
      </c>
      <c r="G2401" s="18" t="s">
        <v>4630</v>
      </c>
      <c r="H2401" s="20" t="s">
        <v>5211</v>
      </c>
      <c r="I2401" s="15">
        <v>1</v>
      </c>
      <c r="J2401" s="15" t="s">
        <v>26</v>
      </c>
      <c r="K2401" s="15"/>
      <c r="L2401" s="21" t="s">
        <v>16</v>
      </c>
      <c r="M2401" s="22">
        <v>0</v>
      </c>
      <c r="N2401" s="22">
        <v>-1080</v>
      </c>
      <c r="O2401" s="22">
        <v>9720</v>
      </c>
      <c r="P2401" s="22">
        <v>9720</v>
      </c>
      <c r="Q2401" t="str" cm="1">
        <f t="array" ref="Q2401">_xlfn.TEXTJOIN("、",TRUE,IF('學員資料-三民高中'!$B$2:$B$454=$F2401,'學員資料-三民高中'!$G$2:$G$454,""))</f>
        <v/>
      </c>
      <c r="R2401" t="str" cm="1">
        <f t="array" ref="R2401">_xlfn.TEXTJOIN("、",TRUE,IF('學員資料-新北高中'!$B$2:$B$583=$F2401,'學員資料-新北高中'!$G$2:$G$583,""))</f>
        <v>0987427287</v>
      </c>
      <c r="S2401" t="str" cm="1">
        <f t="array" ref="S2401">_xlfn.TEXTJOIN("、",TRUE,IF('學員資料-三重商工'!$B$2:$B$472=$F2401,'學員資料-三重商工'!$G$2:$G$472,""))</f>
        <v/>
      </c>
      <c r="T2401">
        <f t="shared" si="37"/>
        <v>1</v>
      </c>
    </row>
    <row r="2402" spans="1:20" ht="14.25" hidden="1" customHeight="1">
      <c r="A2402" s="15">
        <v>2401</v>
      </c>
      <c r="B2402" s="16" t="s">
        <v>7431</v>
      </c>
      <c r="C2402" s="17">
        <v>45521</v>
      </c>
      <c r="D2402" s="15" t="s">
        <v>7432</v>
      </c>
      <c r="E2402" s="18" t="s">
        <v>954</v>
      </c>
      <c r="F2402" s="19" t="s">
        <v>4164</v>
      </c>
      <c r="G2402" s="18" t="s">
        <v>2615</v>
      </c>
      <c r="H2402" s="20" t="s">
        <v>5148</v>
      </c>
      <c r="I2402" s="15">
        <v>1</v>
      </c>
      <c r="J2402" s="15" t="s">
        <v>25</v>
      </c>
      <c r="K2402" s="15"/>
      <c r="L2402" s="21" t="s">
        <v>16</v>
      </c>
      <c r="M2402" s="22">
        <v>0</v>
      </c>
      <c r="N2402" s="22">
        <v>-1080</v>
      </c>
      <c r="O2402" s="22">
        <v>7920</v>
      </c>
      <c r="P2402" s="22">
        <v>7920</v>
      </c>
      <c r="Q2402" t="str" cm="1">
        <f t="array" ref="Q2402">_xlfn.TEXTJOIN("、",TRUE,IF('學員資料-三民高中'!$B$2:$B$454=$F2402,'學員資料-三民高中'!$G$2:$G$454,""))</f>
        <v>0939355870</v>
      </c>
      <c r="R2402" t="str" cm="1">
        <f t="array" ref="R2402">_xlfn.TEXTJOIN("、",TRUE,IF('學員資料-新北高中'!$B$2:$B$583=$F2402,'學員資料-新北高中'!$G$2:$G$583,""))</f>
        <v/>
      </c>
      <c r="S2402" t="str" cm="1">
        <f t="array" ref="S2402">_xlfn.TEXTJOIN("、",TRUE,IF('學員資料-三重商工'!$B$2:$B$472=$F2402,'學員資料-三重商工'!$G$2:$G$472,""))</f>
        <v/>
      </c>
      <c r="T2402">
        <f t="shared" si="37"/>
        <v>1</v>
      </c>
    </row>
    <row r="2403" spans="1:20" ht="14.25" hidden="1" customHeight="1">
      <c r="A2403" s="15">
        <v>2402</v>
      </c>
      <c r="B2403" s="16" t="s">
        <v>7433</v>
      </c>
      <c r="C2403" s="17">
        <v>45521</v>
      </c>
      <c r="D2403" s="15" t="s">
        <v>7434</v>
      </c>
      <c r="E2403" s="18" t="s">
        <v>954</v>
      </c>
      <c r="F2403" s="19" t="s">
        <v>7435</v>
      </c>
      <c r="G2403" s="18" t="s">
        <v>7436</v>
      </c>
      <c r="H2403" s="20" t="s">
        <v>5163</v>
      </c>
      <c r="I2403" s="15">
        <v>1</v>
      </c>
      <c r="J2403" s="15" t="s">
        <v>23</v>
      </c>
      <c r="K2403" s="15"/>
      <c r="L2403" s="21" t="s">
        <v>16</v>
      </c>
      <c r="M2403" s="22">
        <v>0</v>
      </c>
      <c r="N2403" s="22">
        <v>-792</v>
      </c>
      <c r="O2403" s="22">
        <v>5808</v>
      </c>
      <c r="P2403" s="22">
        <v>5808</v>
      </c>
      <c r="Q2403" t="str" cm="1">
        <f t="array" ref="Q2403">_xlfn.TEXTJOIN("、",TRUE,IF('學員資料-三民高中'!$B$2:$B$454=$F2403,'學員資料-三民高中'!$G$2:$G$454,""))</f>
        <v>0958360413</v>
      </c>
      <c r="R2403" t="str" cm="1">
        <f t="array" ref="R2403">_xlfn.TEXTJOIN("、",TRUE,IF('學員資料-新北高中'!$B$2:$B$583=$F2403,'學員資料-新北高中'!$G$2:$G$583,""))</f>
        <v/>
      </c>
      <c r="S2403" t="str" cm="1">
        <f t="array" ref="S2403">_xlfn.TEXTJOIN("、",TRUE,IF('學員資料-三重商工'!$B$2:$B$472=$F2403,'學員資料-三重商工'!$G$2:$G$472,""))</f>
        <v/>
      </c>
      <c r="T2403">
        <f t="shared" si="37"/>
        <v>1</v>
      </c>
    </row>
    <row r="2404" spans="1:20" ht="14.25" hidden="1" customHeight="1">
      <c r="A2404" s="15">
        <v>2403</v>
      </c>
      <c r="B2404" s="16" t="s">
        <v>7437</v>
      </c>
      <c r="C2404" s="17">
        <v>45521</v>
      </c>
      <c r="D2404" s="15" t="s">
        <v>7438</v>
      </c>
      <c r="E2404" s="18" t="s">
        <v>954</v>
      </c>
      <c r="F2404" s="19" t="s">
        <v>7439</v>
      </c>
      <c r="G2404" s="18" t="s">
        <v>7440</v>
      </c>
      <c r="H2404" s="20" t="s">
        <v>5148</v>
      </c>
      <c r="I2404" s="15">
        <v>1</v>
      </c>
      <c r="J2404" s="15" t="s">
        <v>25</v>
      </c>
      <c r="K2404" s="15"/>
      <c r="L2404" s="21" t="s">
        <v>16</v>
      </c>
      <c r="M2404" s="22">
        <v>0</v>
      </c>
      <c r="N2404" s="22">
        <v>-1080</v>
      </c>
      <c r="O2404" s="22">
        <v>7920</v>
      </c>
      <c r="P2404" s="22">
        <v>7920</v>
      </c>
      <c r="Q2404" t="str" cm="1">
        <f t="array" ref="Q2404">_xlfn.TEXTJOIN("、",TRUE,IF('學員資料-三民高中'!$B$2:$B$454=$F2404,'學員資料-三民高中'!$G$2:$G$454,""))</f>
        <v>0939110232</v>
      </c>
      <c r="R2404" t="str" cm="1">
        <f t="array" ref="R2404">_xlfn.TEXTJOIN("、",TRUE,IF('學員資料-新北高中'!$B$2:$B$583=$F2404,'學員資料-新北高中'!$G$2:$G$583,""))</f>
        <v/>
      </c>
      <c r="S2404" t="str" cm="1">
        <f t="array" ref="S2404">_xlfn.TEXTJOIN("、",TRUE,IF('學員資料-三重商工'!$B$2:$B$472=$F2404,'學員資料-三重商工'!$G$2:$G$472,""))</f>
        <v/>
      </c>
      <c r="T2404">
        <f t="shared" si="37"/>
        <v>1</v>
      </c>
    </row>
    <row r="2405" spans="1:20" ht="14.25" hidden="1" customHeight="1">
      <c r="A2405" s="15">
        <v>2404</v>
      </c>
      <c r="B2405" s="16" t="s">
        <v>7441</v>
      </c>
      <c r="C2405" s="17">
        <v>45521</v>
      </c>
      <c r="D2405" s="15" t="s">
        <v>7442</v>
      </c>
      <c r="E2405" s="18" t="s">
        <v>954</v>
      </c>
      <c r="F2405" s="19" t="s">
        <v>4904</v>
      </c>
      <c r="G2405" s="18" t="s">
        <v>4905</v>
      </c>
      <c r="H2405" s="20" t="s">
        <v>5211</v>
      </c>
      <c r="I2405" s="15">
        <v>1</v>
      </c>
      <c r="J2405" s="15" t="s">
        <v>26</v>
      </c>
      <c r="K2405" s="15"/>
      <c r="L2405" s="21" t="s">
        <v>16</v>
      </c>
      <c r="M2405" s="22">
        <v>0</v>
      </c>
      <c r="N2405" s="22">
        <v>-1296</v>
      </c>
      <c r="O2405" s="22">
        <v>9504</v>
      </c>
      <c r="P2405" s="22">
        <v>9504</v>
      </c>
      <c r="Q2405" t="str" cm="1">
        <f t="array" ref="Q2405">_xlfn.TEXTJOIN("、",TRUE,IF('學員資料-三民高中'!$B$2:$B$454=$F2405,'學員資料-三民高中'!$G$2:$G$454,""))</f>
        <v>0988423486</v>
      </c>
      <c r="R2405" t="str" cm="1">
        <f t="array" ref="R2405">_xlfn.TEXTJOIN("、",TRUE,IF('學員資料-新北高中'!$B$2:$B$583=$F2405,'學員資料-新北高中'!$G$2:$G$583,""))</f>
        <v/>
      </c>
      <c r="S2405" t="str" cm="1">
        <f t="array" ref="S2405">_xlfn.TEXTJOIN("、",TRUE,IF('學員資料-三重商工'!$B$2:$B$472=$F2405,'學員資料-三重商工'!$G$2:$G$472,""))</f>
        <v/>
      </c>
      <c r="T2405">
        <f t="shared" si="37"/>
        <v>1</v>
      </c>
    </row>
    <row r="2406" spans="1:20" ht="14.25" hidden="1" customHeight="1">
      <c r="A2406" s="15">
        <v>2405</v>
      </c>
      <c r="B2406" s="16" t="s">
        <v>7443</v>
      </c>
      <c r="C2406" s="17">
        <v>45521</v>
      </c>
      <c r="D2406" s="15" t="s">
        <v>7444</v>
      </c>
      <c r="E2406" s="18" t="s">
        <v>954</v>
      </c>
      <c r="F2406" s="19" t="s">
        <v>4904</v>
      </c>
      <c r="G2406" s="18" t="s">
        <v>4905</v>
      </c>
      <c r="H2406" s="20" t="s">
        <v>5211</v>
      </c>
      <c r="I2406" s="15">
        <v>1</v>
      </c>
      <c r="J2406" s="15" t="s">
        <v>26</v>
      </c>
      <c r="K2406" s="15"/>
      <c r="L2406" s="21" t="s">
        <v>16</v>
      </c>
      <c r="M2406" s="22">
        <v>0</v>
      </c>
      <c r="N2406" s="22">
        <v>-1296</v>
      </c>
      <c r="O2406" s="22">
        <v>9504</v>
      </c>
      <c r="P2406" s="22">
        <v>9504</v>
      </c>
      <c r="Q2406" t="str" cm="1">
        <f t="array" ref="Q2406">_xlfn.TEXTJOIN("、",TRUE,IF('學員資料-三民高中'!$B$2:$B$454=$F2406,'學員資料-三民高中'!$G$2:$G$454,""))</f>
        <v>0988423486</v>
      </c>
      <c r="R2406" t="str" cm="1">
        <f t="array" ref="R2406">_xlfn.TEXTJOIN("、",TRUE,IF('學員資料-新北高中'!$B$2:$B$583=$F2406,'學員資料-新北高中'!$G$2:$G$583,""))</f>
        <v/>
      </c>
      <c r="S2406" t="str" cm="1">
        <f t="array" ref="S2406">_xlfn.TEXTJOIN("、",TRUE,IF('學員資料-三重商工'!$B$2:$B$472=$F2406,'學員資料-三重商工'!$G$2:$G$472,""))</f>
        <v/>
      </c>
      <c r="T2406">
        <f t="shared" si="37"/>
        <v>1</v>
      </c>
    </row>
    <row r="2407" spans="1:20" ht="14.25" hidden="1" customHeight="1">
      <c r="A2407" s="15">
        <v>2406</v>
      </c>
      <c r="B2407" s="16" t="s">
        <v>7445</v>
      </c>
      <c r="C2407" s="17">
        <v>45521</v>
      </c>
      <c r="D2407" s="15" t="s">
        <v>7446</v>
      </c>
      <c r="E2407" s="18" t="s">
        <v>954</v>
      </c>
      <c r="F2407" s="19" t="s">
        <v>1811</v>
      </c>
      <c r="G2407" s="18" t="s">
        <v>1812</v>
      </c>
      <c r="H2407" s="20" t="s">
        <v>683</v>
      </c>
      <c r="I2407" s="15">
        <v>1</v>
      </c>
      <c r="J2407" s="15" t="s">
        <v>23</v>
      </c>
      <c r="K2407" s="15"/>
      <c r="L2407" s="21" t="s">
        <v>16</v>
      </c>
      <c r="M2407" s="22">
        <v>0</v>
      </c>
      <c r="N2407" s="22">
        <v>-900</v>
      </c>
      <c r="O2407" s="22">
        <v>8100</v>
      </c>
      <c r="P2407" s="22">
        <v>8100</v>
      </c>
      <c r="Q2407" t="str" cm="1">
        <f t="array" ref="Q2407">_xlfn.TEXTJOIN("、",TRUE,IF('學員資料-三民高中'!$B$2:$B$454=$F2407,'學員資料-三民高中'!$G$2:$G$454,""))</f>
        <v/>
      </c>
      <c r="R2407" t="str" cm="1">
        <f t="array" ref="R2407">_xlfn.TEXTJOIN("、",TRUE,IF('學員資料-新北高中'!$B$2:$B$583=$F2407,'學員資料-新北高中'!$G$2:$G$583,""))</f>
        <v>0921387692</v>
      </c>
      <c r="S2407" t="str" cm="1">
        <f t="array" ref="S2407">_xlfn.TEXTJOIN("、",TRUE,IF('學員資料-三重商工'!$B$2:$B$472=$F2407,'學員資料-三重商工'!$G$2:$G$472,""))</f>
        <v/>
      </c>
      <c r="T2407">
        <f t="shared" si="37"/>
        <v>1</v>
      </c>
    </row>
    <row r="2408" spans="1:20" ht="14.25" hidden="1" customHeight="1">
      <c r="A2408" s="15">
        <v>2407</v>
      </c>
      <c r="B2408" s="16" t="s">
        <v>7447</v>
      </c>
      <c r="C2408" s="17">
        <v>45521</v>
      </c>
      <c r="D2408" s="15" t="s">
        <v>7448</v>
      </c>
      <c r="E2408" s="18" t="s">
        <v>954</v>
      </c>
      <c r="F2408" s="19" t="s">
        <v>7449</v>
      </c>
      <c r="G2408" s="18" t="s">
        <v>7450</v>
      </c>
      <c r="H2408" s="20" t="s">
        <v>5211</v>
      </c>
      <c r="I2408" s="15">
        <v>1</v>
      </c>
      <c r="J2408" s="15" t="s">
        <v>26</v>
      </c>
      <c r="K2408" s="15"/>
      <c r="L2408" s="21" t="s">
        <v>16</v>
      </c>
      <c r="M2408" s="22">
        <v>0</v>
      </c>
      <c r="N2408" s="22">
        <v>-2160</v>
      </c>
      <c r="O2408" s="22">
        <v>8640</v>
      </c>
      <c r="P2408" s="22">
        <v>8640</v>
      </c>
      <c r="Q2408" t="str" cm="1">
        <f t="array" ref="Q2408">_xlfn.TEXTJOIN("、",TRUE,IF('學員資料-三民高中'!$B$2:$B$454=$F2408,'學員資料-三民高中'!$G$2:$G$454,""))</f>
        <v/>
      </c>
      <c r="R2408" t="str" cm="1">
        <f t="array" ref="R2408">_xlfn.TEXTJOIN("、",TRUE,IF('學員資料-新北高中'!$B$2:$B$583=$F2408,'學員資料-新北高中'!$G$2:$G$583,""))</f>
        <v>AQ0013</v>
      </c>
      <c r="S2408" t="str" cm="1">
        <f t="array" ref="S2408">_xlfn.TEXTJOIN("、",TRUE,IF('學員資料-三重商工'!$B$2:$B$472=$F2408,'學員資料-三重商工'!$G$2:$G$472,""))</f>
        <v/>
      </c>
      <c r="T2408">
        <f t="shared" si="37"/>
        <v>1</v>
      </c>
    </row>
    <row r="2409" spans="1:20" ht="14.25" hidden="1" customHeight="1">
      <c r="A2409" s="15">
        <v>2408</v>
      </c>
      <c r="B2409" s="16" t="s">
        <v>7451</v>
      </c>
      <c r="C2409" s="17">
        <v>45521</v>
      </c>
      <c r="D2409" s="15" t="s">
        <v>5614</v>
      </c>
      <c r="E2409" s="18" t="s">
        <v>954</v>
      </c>
      <c r="F2409" s="19" t="s">
        <v>7449</v>
      </c>
      <c r="G2409" s="18" t="s">
        <v>7450</v>
      </c>
      <c r="H2409" s="20" t="s">
        <v>5340</v>
      </c>
      <c r="I2409" s="15">
        <v>1</v>
      </c>
      <c r="J2409" s="15" t="s">
        <v>27</v>
      </c>
      <c r="K2409" s="15"/>
      <c r="L2409" s="21" t="s">
        <v>16</v>
      </c>
      <c r="M2409" s="22">
        <v>0</v>
      </c>
      <c r="N2409" s="22">
        <v>-2700</v>
      </c>
      <c r="O2409" s="22">
        <v>10800</v>
      </c>
      <c r="P2409" s="22">
        <v>10800</v>
      </c>
      <c r="Q2409" t="str" cm="1">
        <f t="array" ref="Q2409">_xlfn.TEXTJOIN("、",TRUE,IF('學員資料-三民高中'!$B$2:$B$454=$F2409,'學員資料-三民高中'!$G$2:$G$454,""))</f>
        <v/>
      </c>
      <c r="R2409" t="str" cm="1">
        <f t="array" ref="R2409">_xlfn.TEXTJOIN("、",TRUE,IF('學員資料-新北高中'!$B$2:$B$583=$F2409,'學員資料-新北高中'!$G$2:$G$583,""))</f>
        <v>AQ0013</v>
      </c>
      <c r="S2409" t="str" cm="1">
        <f t="array" ref="S2409">_xlfn.TEXTJOIN("、",TRUE,IF('學員資料-三重商工'!$B$2:$B$472=$F2409,'學員資料-三重商工'!$G$2:$G$472,""))</f>
        <v/>
      </c>
      <c r="T2409">
        <f t="shared" si="37"/>
        <v>1</v>
      </c>
    </row>
    <row r="2410" spans="1:20" ht="14.25" hidden="1" customHeight="1">
      <c r="A2410" s="15">
        <v>2409</v>
      </c>
      <c r="B2410" s="16" t="s">
        <v>7452</v>
      </c>
      <c r="C2410" s="17">
        <v>45521</v>
      </c>
      <c r="D2410" s="15" t="s">
        <v>7453</v>
      </c>
      <c r="E2410" s="18" t="s">
        <v>954</v>
      </c>
      <c r="F2410" s="19" t="s">
        <v>2565</v>
      </c>
      <c r="G2410" s="18" t="s">
        <v>2566</v>
      </c>
      <c r="H2410" s="20" t="s">
        <v>683</v>
      </c>
      <c r="I2410" s="15">
        <v>1</v>
      </c>
      <c r="J2410" s="15" t="s">
        <v>23</v>
      </c>
      <c r="K2410" s="15"/>
      <c r="L2410" s="21" t="s">
        <v>16</v>
      </c>
      <c r="M2410" s="22">
        <v>0</v>
      </c>
      <c r="N2410" s="22">
        <v>-900</v>
      </c>
      <c r="O2410" s="22">
        <v>8100</v>
      </c>
      <c r="P2410" s="22">
        <v>8100</v>
      </c>
      <c r="Q2410" t="str" cm="1">
        <f t="array" ref="Q2410">_xlfn.TEXTJOIN("、",TRUE,IF('學員資料-三民高中'!$B$2:$B$454=$F2410,'學員資料-三民高中'!$G$2:$G$454,""))</f>
        <v/>
      </c>
      <c r="R2410" t="str" cm="1">
        <f t="array" ref="R2410">_xlfn.TEXTJOIN("、",TRUE,IF('學員資料-新北高中'!$B$2:$B$583=$F2410,'學員資料-新北高中'!$G$2:$G$583,""))</f>
        <v>0987238688</v>
      </c>
      <c r="S2410" t="str" cm="1">
        <f t="array" ref="S2410">_xlfn.TEXTJOIN("、",TRUE,IF('學員資料-三重商工'!$B$2:$B$472=$F2410,'學員資料-三重商工'!$G$2:$G$472,""))</f>
        <v/>
      </c>
      <c r="T2410">
        <f t="shared" si="37"/>
        <v>1</v>
      </c>
    </row>
    <row r="2411" spans="1:20" ht="14.25" hidden="1" customHeight="1">
      <c r="A2411" s="15">
        <v>2410</v>
      </c>
      <c r="B2411" s="16" t="s">
        <v>7454</v>
      </c>
      <c r="C2411" s="17">
        <v>45521</v>
      </c>
      <c r="D2411" s="15" t="s">
        <v>7455</v>
      </c>
      <c r="E2411" s="18" t="s">
        <v>954</v>
      </c>
      <c r="F2411" s="19" t="s">
        <v>2565</v>
      </c>
      <c r="G2411" s="18" t="s">
        <v>2566</v>
      </c>
      <c r="H2411" s="20" t="s">
        <v>683</v>
      </c>
      <c r="I2411" s="15">
        <v>1</v>
      </c>
      <c r="J2411" s="15" t="s">
        <v>23</v>
      </c>
      <c r="K2411" s="15"/>
      <c r="L2411" s="21" t="s">
        <v>16</v>
      </c>
      <c r="M2411" s="22">
        <v>0</v>
      </c>
      <c r="N2411" s="22">
        <v>-900</v>
      </c>
      <c r="O2411" s="22">
        <v>8100</v>
      </c>
      <c r="P2411" s="22">
        <v>8100</v>
      </c>
      <c r="Q2411" t="str" cm="1">
        <f t="array" ref="Q2411">_xlfn.TEXTJOIN("、",TRUE,IF('學員資料-三民高中'!$B$2:$B$454=$F2411,'學員資料-三民高中'!$G$2:$G$454,""))</f>
        <v/>
      </c>
      <c r="R2411" t="str" cm="1">
        <f t="array" ref="R2411">_xlfn.TEXTJOIN("、",TRUE,IF('學員資料-新北高中'!$B$2:$B$583=$F2411,'學員資料-新北高中'!$G$2:$G$583,""))</f>
        <v>0987238688</v>
      </c>
      <c r="S2411" t="str" cm="1">
        <f t="array" ref="S2411">_xlfn.TEXTJOIN("、",TRUE,IF('學員資料-三重商工'!$B$2:$B$472=$F2411,'學員資料-三重商工'!$G$2:$G$472,""))</f>
        <v/>
      </c>
      <c r="T2411">
        <f t="shared" si="37"/>
        <v>1</v>
      </c>
    </row>
    <row r="2412" spans="1:20" ht="14.25" hidden="1" customHeight="1">
      <c r="A2412" s="15">
        <v>2411</v>
      </c>
      <c r="B2412" s="16" t="s">
        <v>7456</v>
      </c>
      <c r="C2412" s="17">
        <v>45521</v>
      </c>
      <c r="D2412" s="15" t="s">
        <v>861</v>
      </c>
      <c r="E2412" s="18" t="s">
        <v>954</v>
      </c>
      <c r="F2412" s="19" t="s">
        <v>7457</v>
      </c>
      <c r="G2412" s="18" t="s">
        <v>7458</v>
      </c>
      <c r="H2412" s="20" t="s">
        <v>5148</v>
      </c>
      <c r="I2412" s="15">
        <v>1</v>
      </c>
      <c r="J2412" s="15" t="s">
        <v>25</v>
      </c>
      <c r="K2412" s="15"/>
      <c r="L2412" s="21" t="s">
        <v>16</v>
      </c>
      <c r="M2412" s="22">
        <v>0</v>
      </c>
      <c r="N2412" s="22">
        <v>-2250</v>
      </c>
      <c r="O2412" s="22">
        <v>6750</v>
      </c>
      <c r="P2412" s="22">
        <v>6750</v>
      </c>
      <c r="Q2412" t="str" cm="1">
        <f t="array" ref="Q2412">_xlfn.TEXTJOIN("、",TRUE,IF('學員資料-三民高中'!$B$2:$B$454=$F2412,'學員資料-三民高中'!$G$2:$G$454,""))</f>
        <v/>
      </c>
      <c r="R2412" t="str" cm="1">
        <f t="array" ref="R2412">_xlfn.TEXTJOIN("、",TRUE,IF('學員資料-新北高中'!$B$2:$B$583=$F2412,'學員資料-新北高中'!$G$2:$G$583,""))</f>
        <v>AQ0011</v>
      </c>
      <c r="S2412" t="str" cm="1">
        <f t="array" ref="S2412">_xlfn.TEXTJOIN("、",TRUE,IF('學員資料-三重商工'!$B$2:$B$472=$F2412,'學員資料-三重商工'!$G$2:$G$472,""))</f>
        <v/>
      </c>
      <c r="T2412">
        <f t="shared" si="37"/>
        <v>1</v>
      </c>
    </row>
    <row r="2413" spans="1:20" ht="14.25" hidden="1" customHeight="1">
      <c r="A2413" s="15">
        <v>2412</v>
      </c>
      <c r="B2413" s="16" t="s">
        <v>7459</v>
      </c>
      <c r="C2413" s="17">
        <v>45521</v>
      </c>
      <c r="D2413" s="15" t="s">
        <v>1058</v>
      </c>
      <c r="E2413" s="18" t="s">
        <v>954</v>
      </c>
      <c r="F2413" s="19" t="s">
        <v>7457</v>
      </c>
      <c r="G2413" s="18" t="s">
        <v>7458</v>
      </c>
      <c r="H2413" s="20" t="s">
        <v>5148</v>
      </c>
      <c r="I2413" s="15">
        <v>1</v>
      </c>
      <c r="J2413" s="15" t="s">
        <v>25</v>
      </c>
      <c r="K2413" s="15"/>
      <c r="L2413" s="21" t="s">
        <v>16</v>
      </c>
      <c r="M2413" s="22">
        <v>0</v>
      </c>
      <c r="N2413" s="22">
        <v>-2250</v>
      </c>
      <c r="O2413" s="22">
        <v>6750</v>
      </c>
      <c r="P2413" s="22">
        <v>6750</v>
      </c>
      <c r="Q2413" t="str" cm="1">
        <f t="array" ref="Q2413">_xlfn.TEXTJOIN("、",TRUE,IF('學員資料-三民高中'!$B$2:$B$454=$F2413,'學員資料-三民高中'!$G$2:$G$454,""))</f>
        <v/>
      </c>
      <c r="R2413" t="str" cm="1">
        <f t="array" ref="R2413">_xlfn.TEXTJOIN("、",TRUE,IF('學員資料-新北高中'!$B$2:$B$583=$F2413,'學員資料-新北高中'!$G$2:$G$583,""))</f>
        <v>AQ0011</v>
      </c>
      <c r="S2413" t="str" cm="1">
        <f t="array" ref="S2413">_xlfn.TEXTJOIN("、",TRUE,IF('學員資料-三重商工'!$B$2:$B$472=$F2413,'學員資料-三重商工'!$G$2:$G$472,""))</f>
        <v/>
      </c>
      <c r="T2413">
        <f t="shared" si="37"/>
        <v>1</v>
      </c>
    </row>
    <row r="2414" spans="1:20" ht="14.25" hidden="1" customHeight="1">
      <c r="A2414" s="15">
        <v>2413</v>
      </c>
      <c r="B2414" s="16" t="s">
        <v>7460</v>
      </c>
      <c r="C2414" s="17">
        <v>45521</v>
      </c>
      <c r="D2414" s="15" t="s">
        <v>7461</v>
      </c>
      <c r="E2414" s="18" t="s">
        <v>954</v>
      </c>
      <c r="F2414" s="19" t="s">
        <v>4952</v>
      </c>
      <c r="G2414" s="18" t="s">
        <v>4953</v>
      </c>
      <c r="H2414" s="20" t="s">
        <v>5131</v>
      </c>
      <c r="I2414" s="15">
        <v>1</v>
      </c>
      <c r="J2414" s="15" t="s">
        <v>24</v>
      </c>
      <c r="K2414" s="15"/>
      <c r="L2414" s="21" t="s">
        <v>16</v>
      </c>
      <c r="M2414" s="22">
        <v>0</v>
      </c>
      <c r="N2414" s="22">
        <v>-720</v>
      </c>
      <c r="O2414" s="22">
        <v>6480</v>
      </c>
      <c r="P2414" s="22">
        <v>6480</v>
      </c>
      <c r="Q2414" t="str" cm="1">
        <f t="array" ref="Q2414">_xlfn.TEXTJOIN("、",TRUE,IF('學員資料-三民高中'!$B$2:$B$454=$F2414,'學員資料-三民高中'!$G$2:$G$454,""))</f>
        <v/>
      </c>
      <c r="R2414" t="str" cm="1">
        <f t="array" ref="R2414">_xlfn.TEXTJOIN("、",TRUE,IF('學員資料-新北高中'!$B$2:$B$583=$F2414,'學員資料-新北高中'!$G$2:$G$583,""))</f>
        <v>0978071701</v>
      </c>
      <c r="S2414" t="str" cm="1">
        <f t="array" ref="S2414">_xlfn.TEXTJOIN("、",TRUE,IF('學員資料-三重商工'!$B$2:$B$472=$F2414,'學員資料-三重商工'!$G$2:$G$472,""))</f>
        <v/>
      </c>
      <c r="T2414">
        <f t="shared" si="37"/>
        <v>1</v>
      </c>
    </row>
    <row r="2415" spans="1:20" ht="28.5" hidden="1" customHeight="1">
      <c r="A2415" s="15">
        <v>2414</v>
      </c>
      <c r="B2415" s="16" t="s">
        <v>7462</v>
      </c>
      <c r="C2415" s="17">
        <v>45521</v>
      </c>
      <c r="D2415" s="15" t="s">
        <v>7463</v>
      </c>
      <c r="E2415" s="18" t="s">
        <v>954</v>
      </c>
      <c r="F2415" s="19" t="s">
        <v>1357</v>
      </c>
      <c r="G2415" s="18" t="s">
        <v>1358</v>
      </c>
      <c r="H2415" s="20" t="s">
        <v>5154</v>
      </c>
      <c r="I2415" s="15">
        <v>2</v>
      </c>
      <c r="J2415" s="15" t="s">
        <v>24</v>
      </c>
      <c r="K2415" s="15"/>
      <c r="L2415" s="21" t="s">
        <v>16</v>
      </c>
      <c r="M2415" s="22">
        <v>0</v>
      </c>
      <c r="N2415" s="22">
        <v>-1440</v>
      </c>
      <c r="O2415" s="22">
        <v>12960</v>
      </c>
      <c r="P2415" s="22">
        <v>12960</v>
      </c>
      <c r="Q2415" t="str" cm="1">
        <f t="array" ref="Q2415">_xlfn.TEXTJOIN("、",TRUE,IF('學員資料-三民高中'!$B$2:$B$454=$F2415,'學員資料-三民高中'!$G$2:$G$454,""))</f>
        <v/>
      </c>
      <c r="R2415" t="str" cm="1">
        <f t="array" ref="R2415">_xlfn.TEXTJOIN("、",TRUE,IF('學員資料-新北高中'!$B$2:$B$583=$F2415,'學員資料-新北高中'!$G$2:$G$583,""))</f>
        <v>0916008818</v>
      </c>
      <c r="S2415" t="str" cm="1">
        <f t="array" ref="S2415">_xlfn.TEXTJOIN("、",TRUE,IF('學員資料-三重商工'!$B$2:$B$472=$F2415,'學員資料-三重商工'!$G$2:$G$472,""))</f>
        <v/>
      </c>
      <c r="T2415">
        <f t="shared" si="37"/>
        <v>1</v>
      </c>
    </row>
    <row r="2416" spans="1:20" ht="14.25" hidden="1" customHeight="1">
      <c r="A2416" s="15">
        <v>2415</v>
      </c>
      <c r="B2416" s="16" t="s">
        <v>7464</v>
      </c>
      <c r="C2416" s="17">
        <v>45521</v>
      </c>
      <c r="D2416" s="15" t="s">
        <v>7465</v>
      </c>
      <c r="E2416" s="18" t="s">
        <v>954</v>
      </c>
      <c r="F2416" s="19" t="s">
        <v>4952</v>
      </c>
      <c r="G2416" s="18" t="s">
        <v>4953</v>
      </c>
      <c r="H2416" s="20" t="s">
        <v>5131</v>
      </c>
      <c r="I2416" s="15">
        <v>1</v>
      </c>
      <c r="J2416" s="15" t="s">
        <v>24</v>
      </c>
      <c r="K2416" s="15"/>
      <c r="L2416" s="21" t="s">
        <v>16</v>
      </c>
      <c r="M2416" s="22">
        <v>0</v>
      </c>
      <c r="N2416" s="22">
        <v>0</v>
      </c>
      <c r="O2416" s="22">
        <v>7200</v>
      </c>
      <c r="P2416" s="22">
        <v>7200</v>
      </c>
      <c r="Q2416" t="str" cm="1">
        <f t="array" ref="Q2416">_xlfn.TEXTJOIN("、",TRUE,IF('學員資料-三民高中'!$B$2:$B$454=$F2416,'學員資料-三民高中'!$G$2:$G$454,""))</f>
        <v/>
      </c>
      <c r="R2416" t="str" cm="1">
        <f t="array" ref="R2416">_xlfn.TEXTJOIN("、",TRUE,IF('學員資料-新北高中'!$B$2:$B$583=$F2416,'學員資料-新北高中'!$G$2:$G$583,""))</f>
        <v>0978071701</v>
      </c>
      <c r="S2416" t="str" cm="1">
        <f t="array" ref="S2416">_xlfn.TEXTJOIN("、",TRUE,IF('學員資料-三重商工'!$B$2:$B$472=$F2416,'學員資料-三重商工'!$G$2:$G$472,""))</f>
        <v/>
      </c>
      <c r="T2416">
        <f t="shared" si="37"/>
        <v>1</v>
      </c>
    </row>
    <row r="2417" spans="1:20" ht="14.25" hidden="1" customHeight="1">
      <c r="A2417" s="15">
        <v>2416</v>
      </c>
      <c r="B2417" s="16" t="s">
        <v>7466</v>
      </c>
      <c r="C2417" s="17">
        <v>45521</v>
      </c>
      <c r="D2417" s="15" t="s">
        <v>7467</v>
      </c>
      <c r="E2417" s="18" t="s">
        <v>954</v>
      </c>
      <c r="F2417" s="19" t="s">
        <v>7468</v>
      </c>
      <c r="G2417" s="18" t="s">
        <v>7469</v>
      </c>
      <c r="H2417" s="20" t="s">
        <v>5131</v>
      </c>
      <c r="I2417" s="15">
        <v>1</v>
      </c>
      <c r="J2417" s="15" t="s">
        <v>24</v>
      </c>
      <c r="K2417" s="15"/>
      <c r="L2417" s="21" t="s">
        <v>16</v>
      </c>
      <c r="M2417" s="22">
        <v>0</v>
      </c>
      <c r="N2417" s="22">
        <v>0</v>
      </c>
      <c r="O2417" s="22">
        <v>7200</v>
      </c>
      <c r="P2417" s="22">
        <v>7200</v>
      </c>
      <c r="Q2417" t="str" cm="1">
        <f t="array" ref="Q2417">_xlfn.TEXTJOIN("、",TRUE,IF('學員資料-三民高中'!$B$2:$B$454=$F2417,'學員資料-三民高中'!$G$2:$G$454,""))</f>
        <v/>
      </c>
      <c r="R2417" t="str" cm="1">
        <f t="array" ref="R2417">_xlfn.TEXTJOIN("、",TRUE,IF('學員資料-新北高中'!$B$2:$B$583=$F2417,'學員資料-新北高中'!$G$2:$G$583,""))</f>
        <v>KU85701064</v>
      </c>
      <c r="S2417" t="str" cm="1">
        <f t="array" ref="S2417">_xlfn.TEXTJOIN("、",TRUE,IF('學員資料-三重商工'!$B$2:$B$472=$F2417,'學員資料-三重商工'!$G$2:$G$472,""))</f>
        <v/>
      </c>
      <c r="T2417">
        <f t="shared" si="37"/>
        <v>1</v>
      </c>
    </row>
    <row r="2418" spans="1:20" ht="14.25" hidden="1" customHeight="1">
      <c r="A2418" s="15">
        <v>2417</v>
      </c>
      <c r="B2418" s="16" t="s">
        <v>7470</v>
      </c>
      <c r="C2418" s="17">
        <v>45520</v>
      </c>
      <c r="D2418" s="15" t="s">
        <v>7471</v>
      </c>
      <c r="E2418" s="18" t="s">
        <v>954</v>
      </c>
      <c r="F2418" s="19" t="s">
        <v>4300</v>
      </c>
      <c r="G2418" s="18" t="s">
        <v>4301</v>
      </c>
      <c r="H2418" s="20" t="s">
        <v>5131</v>
      </c>
      <c r="I2418" s="15">
        <v>1</v>
      </c>
      <c r="J2418" s="15" t="s">
        <v>24</v>
      </c>
      <c r="K2418" s="15"/>
      <c r="L2418" s="21" t="s">
        <v>16</v>
      </c>
      <c r="M2418" s="22">
        <v>0</v>
      </c>
      <c r="N2418" s="22">
        <v>-720</v>
      </c>
      <c r="O2418" s="22">
        <v>6480</v>
      </c>
      <c r="P2418" s="22">
        <v>6480</v>
      </c>
      <c r="Q2418" t="str" cm="1">
        <f t="array" ref="Q2418">_xlfn.TEXTJOIN("、",TRUE,IF('學員資料-三民高中'!$B$2:$B$454=$F2418,'學員資料-三民高中'!$G$2:$G$454,""))</f>
        <v/>
      </c>
      <c r="R2418" t="str" cm="1">
        <f t="array" ref="R2418">_xlfn.TEXTJOIN("、",TRUE,IF('學員資料-新北高中'!$B$2:$B$583=$F2418,'學員資料-新北高中'!$G$2:$G$583,""))</f>
        <v>0952668021</v>
      </c>
      <c r="S2418" t="str" cm="1">
        <f t="array" ref="S2418">_xlfn.TEXTJOIN("、",TRUE,IF('學員資料-三重商工'!$B$2:$B$472=$F2418,'學員資料-三重商工'!$G$2:$G$472,""))</f>
        <v/>
      </c>
      <c r="T2418">
        <f t="shared" si="37"/>
        <v>1</v>
      </c>
    </row>
    <row r="2419" spans="1:20" ht="14.25" hidden="1" customHeight="1">
      <c r="A2419" s="15">
        <v>2418</v>
      </c>
      <c r="B2419" s="16" t="s">
        <v>7472</v>
      </c>
      <c r="C2419" s="17">
        <v>45520</v>
      </c>
      <c r="D2419" s="15" t="s">
        <v>7473</v>
      </c>
      <c r="E2419" s="18" t="s">
        <v>954</v>
      </c>
      <c r="F2419" s="19" t="s">
        <v>7474</v>
      </c>
      <c r="G2419" s="18" t="s">
        <v>7475</v>
      </c>
      <c r="H2419" s="20" t="s">
        <v>5148</v>
      </c>
      <c r="I2419" s="15">
        <v>1</v>
      </c>
      <c r="J2419" s="15" t="s">
        <v>25</v>
      </c>
      <c r="K2419" s="15"/>
      <c r="L2419" s="21" t="s">
        <v>16</v>
      </c>
      <c r="M2419" s="22">
        <v>0</v>
      </c>
      <c r="N2419" s="22">
        <v>-1080</v>
      </c>
      <c r="O2419" s="22">
        <v>7920</v>
      </c>
      <c r="P2419" s="22">
        <v>7920</v>
      </c>
      <c r="Q2419" t="str" cm="1">
        <f t="array" ref="Q2419">_xlfn.TEXTJOIN("、",TRUE,IF('學員資料-三民高中'!$B$2:$B$454=$F2419,'學員資料-三民高中'!$G$2:$G$454,""))</f>
        <v/>
      </c>
      <c r="R2419" t="str" cm="1">
        <f t="array" ref="R2419">_xlfn.TEXTJOIN("、",TRUE,IF('學員資料-新北高中'!$B$2:$B$583=$F2419,'學員資料-新北高中'!$G$2:$G$583,""))</f>
        <v>1331170980</v>
      </c>
      <c r="S2419" t="str" cm="1">
        <f t="array" ref="S2419">_xlfn.TEXTJOIN("、",TRUE,IF('學員資料-三重商工'!$B$2:$B$472=$F2419,'學員資料-三重商工'!$G$2:$G$472,""))</f>
        <v/>
      </c>
      <c r="T2419">
        <f t="shared" si="37"/>
        <v>1</v>
      </c>
    </row>
    <row r="2420" spans="1:20" ht="14.25" customHeight="1">
      <c r="A2420" s="15">
        <v>2419</v>
      </c>
      <c r="B2420" s="16" t="s">
        <v>7476</v>
      </c>
      <c r="C2420" s="17">
        <v>45520</v>
      </c>
      <c r="D2420" s="15" t="s">
        <v>7477</v>
      </c>
      <c r="E2420" s="18" t="s">
        <v>954</v>
      </c>
      <c r="F2420" s="19" t="s">
        <v>6991</v>
      </c>
      <c r="G2420" s="18" t="s">
        <v>6992</v>
      </c>
      <c r="H2420" s="20" t="s">
        <v>5163</v>
      </c>
      <c r="I2420" s="15">
        <v>1</v>
      </c>
      <c r="J2420" s="15" t="s">
        <v>23</v>
      </c>
      <c r="K2420" s="15"/>
      <c r="L2420" s="21" t="s">
        <v>16</v>
      </c>
      <c r="M2420" s="22">
        <v>0</v>
      </c>
      <c r="N2420" s="22">
        <v>0</v>
      </c>
      <c r="O2420" s="22">
        <v>6600</v>
      </c>
      <c r="P2420" s="22">
        <v>6600</v>
      </c>
      <c r="Q2420" t="str" cm="1">
        <f t="array" ref="Q2420">_xlfn.TEXTJOIN("、",TRUE,IF('學員資料-三民高中'!$B$2:$B$454=$F2420,'學員資料-三民高中'!$G$2:$G$454,""))</f>
        <v/>
      </c>
      <c r="R2420" t="str" cm="1">
        <f t="array" ref="R2420">_xlfn.TEXTJOIN("、",TRUE,IF('學員資料-新北高中'!$B$2:$B$583=$F2420,'學員資料-新北高中'!$G$2:$G$583,""))</f>
        <v/>
      </c>
      <c r="S2420" t="str" cm="1">
        <f t="array" ref="S2420">_xlfn.TEXTJOIN("、",TRUE,IF('學員資料-三重商工'!$B$2:$B$472=$F2420,'學員資料-三重商工'!$G$2:$G$472,""))</f>
        <v/>
      </c>
      <c r="T2420">
        <f t="shared" si="37"/>
        <v>0</v>
      </c>
    </row>
    <row r="2421" spans="1:20" ht="14.25" hidden="1" customHeight="1">
      <c r="A2421" s="15">
        <v>2420</v>
      </c>
      <c r="B2421" s="16" t="s">
        <v>7478</v>
      </c>
      <c r="C2421" s="17">
        <v>45520</v>
      </c>
      <c r="D2421" s="15" t="s">
        <v>7479</v>
      </c>
      <c r="E2421" s="18" t="s">
        <v>954</v>
      </c>
      <c r="F2421" s="19" t="s">
        <v>3309</v>
      </c>
      <c r="G2421" s="18" t="s">
        <v>3310</v>
      </c>
      <c r="H2421" s="20" t="s">
        <v>5131</v>
      </c>
      <c r="I2421" s="15">
        <v>1</v>
      </c>
      <c r="J2421" s="15" t="s">
        <v>24</v>
      </c>
      <c r="K2421" s="15"/>
      <c r="L2421" s="21" t="s">
        <v>16</v>
      </c>
      <c r="M2421" s="22">
        <v>0</v>
      </c>
      <c r="N2421" s="22">
        <v>-720</v>
      </c>
      <c r="O2421" s="22">
        <v>6480</v>
      </c>
      <c r="P2421" s="22">
        <v>6480</v>
      </c>
      <c r="Q2421" t="str" cm="1">
        <f t="array" ref="Q2421">_xlfn.TEXTJOIN("、",TRUE,IF('學員資料-三民高中'!$B$2:$B$454=$F2421,'學員資料-三民高中'!$G$2:$G$454,""))</f>
        <v>0988523082</v>
      </c>
      <c r="R2421" t="str" cm="1">
        <f t="array" ref="R2421">_xlfn.TEXTJOIN("、",TRUE,IF('學員資料-新北高中'!$B$2:$B$583=$F2421,'學員資料-新北高中'!$G$2:$G$583,""))</f>
        <v/>
      </c>
      <c r="S2421" t="str" cm="1">
        <f t="array" ref="S2421">_xlfn.TEXTJOIN("、",TRUE,IF('學員資料-三重商工'!$B$2:$B$472=$F2421,'學員資料-三重商工'!$G$2:$G$472,""))</f>
        <v/>
      </c>
      <c r="T2421">
        <f t="shared" si="37"/>
        <v>1</v>
      </c>
    </row>
    <row r="2422" spans="1:20" ht="14.25" hidden="1" customHeight="1">
      <c r="A2422" s="15">
        <v>2421</v>
      </c>
      <c r="B2422" s="16" t="s">
        <v>7480</v>
      </c>
      <c r="C2422" s="17">
        <v>45520</v>
      </c>
      <c r="D2422" s="15" t="s">
        <v>7481</v>
      </c>
      <c r="E2422" s="18" t="s">
        <v>954</v>
      </c>
      <c r="F2422" s="19" t="s">
        <v>7482</v>
      </c>
      <c r="G2422" s="18" t="s">
        <v>7483</v>
      </c>
      <c r="H2422" s="20" t="s">
        <v>5131</v>
      </c>
      <c r="I2422" s="15">
        <v>1</v>
      </c>
      <c r="J2422" s="15" t="s">
        <v>24</v>
      </c>
      <c r="K2422" s="15"/>
      <c r="L2422" s="21" t="s">
        <v>16</v>
      </c>
      <c r="M2422" s="22">
        <v>0</v>
      </c>
      <c r="N2422" s="22">
        <v>0</v>
      </c>
      <c r="O2422" s="22">
        <v>7200</v>
      </c>
      <c r="P2422" s="22">
        <v>7200</v>
      </c>
      <c r="Q2422" t="str" cm="1">
        <f t="array" ref="Q2422">_xlfn.TEXTJOIN("、",TRUE,IF('學員資料-三民高中'!$B$2:$B$454=$F2422,'學員資料-三民高中'!$G$2:$G$454,""))</f>
        <v>CQ112035</v>
      </c>
      <c r="R2422" t="str" cm="1">
        <f t="array" ref="R2422">_xlfn.TEXTJOIN("、",TRUE,IF('學員資料-新北高中'!$B$2:$B$583=$F2422,'學員資料-新北高中'!$G$2:$G$583,""))</f>
        <v/>
      </c>
      <c r="S2422" t="str" cm="1">
        <f t="array" ref="S2422">_xlfn.TEXTJOIN("、",TRUE,IF('學員資料-三重商工'!$B$2:$B$472=$F2422,'學員資料-三重商工'!$G$2:$G$472,""))</f>
        <v/>
      </c>
      <c r="T2422">
        <f t="shared" si="37"/>
        <v>1</v>
      </c>
    </row>
    <row r="2423" spans="1:20" ht="14.25" hidden="1" customHeight="1">
      <c r="A2423" s="15">
        <v>2422</v>
      </c>
      <c r="B2423" s="16" t="s">
        <v>7484</v>
      </c>
      <c r="C2423" s="17">
        <v>45520</v>
      </c>
      <c r="D2423" s="15" t="s">
        <v>7485</v>
      </c>
      <c r="E2423" s="18" t="s">
        <v>3862</v>
      </c>
      <c r="F2423" s="19" t="s">
        <v>7486</v>
      </c>
      <c r="G2423" s="18" t="s">
        <v>7487</v>
      </c>
      <c r="H2423" s="20" t="s">
        <v>5131</v>
      </c>
      <c r="I2423" s="15">
        <v>1</v>
      </c>
      <c r="J2423" s="15" t="s">
        <v>24</v>
      </c>
      <c r="K2423" s="15"/>
      <c r="L2423" s="21" t="s">
        <v>16</v>
      </c>
      <c r="M2423" s="22">
        <v>0</v>
      </c>
      <c r="N2423" s="22">
        <v>0</v>
      </c>
      <c r="O2423" s="22">
        <v>7200</v>
      </c>
      <c r="P2423" s="22">
        <v>7200</v>
      </c>
      <c r="Q2423" t="str" cm="1">
        <f t="array" ref="Q2423">_xlfn.TEXTJOIN("、",TRUE,IF('學員資料-三民高中'!$B$2:$B$454=$F2423,'學員資料-三民高中'!$G$2:$G$454,""))</f>
        <v>CQ111149</v>
      </c>
      <c r="R2423" t="str" cm="1">
        <f t="array" ref="R2423">_xlfn.TEXTJOIN("、",TRUE,IF('學員資料-新北高中'!$B$2:$B$583=$F2423,'學員資料-新北高中'!$G$2:$G$583,""))</f>
        <v/>
      </c>
      <c r="S2423" t="str" cm="1">
        <f t="array" ref="S2423">_xlfn.TEXTJOIN("、",TRUE,IF('學員資料-三重商工'!$B$2:$B$472=$F2423,'學員資料-三重商工'!$G$2:$G$472,""))</f>
        <v/>
      </c>
      <c r="T2423">
        <f t="shared" si="37"/>
        <v>1</v>
      </c>
    </row>
    <row r="2424" spans="1:20" ht="14.25" hidden="1" customHeight="1">
      <c r="A2424" s="15">
        <v>2423</v>
      </c>
      <c r="B2424" s="16" t="s">
        <v>7488</v>
      </c>
      <c r="C2424" s="17">
        <v>45520</v>
      </c>
      <c r="D2424" s="15" t="s">
        <v>7489</v>
      </c>
      <c r="E2424" s="18" t="s">
        <v>954</v>
      </c>
      <c r="F2424" s="19" t="s">
        <v>7490</v>
      </c>
      <c r="G2424" s="18" t="s">
        <v>7491</v>
      </c>
      <c r="H2424" s="20" t="s">
        <v>5163</v>
      </c>
      <c r="I2424" s="15">
        <v>1</v>
      </c>
      <c r="J2424" s="15" t="s">
        <v>23</v>
      </c>
      <c r="K2424" s="15"/>
      <c r="L2424" s="21" t="s">
        <v>16</v>
      </c>
      <c r="M2424" s="22">
        <v>0</v>
      </c>
      <c r="N2424" s="22">
        <v>0</v>
      </c>
      <c r="O2424" s="22">
        <v>6600</v>
      </c>
      <c r="P2424" s="22">
        <v>6600</v>
      </c>
      <c r="Q2424" t="str" cm="1">
        <f t="array" ref="Q2424">_xlfn.TEXTJOIN("、",TRUE,IF('學員資料-三民高中'!$B$2:$B$454=$F2424,'學員資料-三民高中'!$G$2:$G$454,""))</f>
        <v>CQ112303</v>
      </c>
      <c r="R2424" t="str" cm="1">
        <f t="array" ref="R2424">_xlfn.TEXTJOIN("、",TRUE,IF('學員資料-新北高中'!$B$2:$B$583=$F2424,'學員資料-新北高中'!$G$2:$G$583,""))</f>
        <v/>
      </c>
      <c r="S2424" t="str" cm="1">
        <f t="array" ref="S2424">_xlfn.TEXTJOIN("、",TRUE,IF('學員資料-三重商工'!$B$2:$B$472=$F2424,'學員資料-三重商工'!$G$2:$G$472,""))</f>
        <v/>
      </c>
      <c r="T2424">
        <f t="shared" si="37"/>
        <v>1</v>
      </c>
    </row>
    <row r="2425" spans="1:20" ht="14.25" hidden="1" customHeight="1">
      <c r="A2425" s="15">
        <v>2424</v>
      </c>
      <c r="B2425" s="16" t="s">
        <v>7492</v>
      </c>
      <c r="C2425" s="17">
        <v>45520</v>
      </c>
      <c r="D2425" s="15" t="s">
        <v>7493</v>
      </c>
      <c r="E2425" s="18" t="s">
        <v>954</v>
      </c>
      <c r="F2425" s="19" t="s">
        <v>7494</v>
      </c>
      <c r="G2425" s="18" t="s">
        <v>7495</v>
      </c>
      <c r="H2425" s="20" t="s">
        <v>5148</v>
      </c>
      <c r="I2425" s="15">
        <v>1</v>
      </c>
      <c r="J2425" s="15" t="s">
        <v>25</v>
      </c>
      <c r="K2425" s="15"/>
      <c r="L2425" s="21" t="s">
        <v>16</v>
      </c>
      <c r="M2425" s="22">
        <v>0</v>
      </c>
      <c r="N2425" s="22">
        <v>0</v>
      </c>
      <c r="O2425" s="22">
        <v>9000</v>
      </c>
      <c r="P2425" s="22">
        <v>9000</v>
      </c>
      <c r="Q2425" t="str" cm="1">
        <f t="array" ref="Q2425">_xlfn.TEXTJOIN("、",TRUE,IF('學員資料-三民高中'!$B$2:$B$454=$F2425,'學員資料-三民高中'!$G$2:$G$454,""))</f>
        <v>CQ109268</v>
      </c>
      <c r="R2425" t="str" cm="1">
        <f t="array" ref="R2425">_xlfn.TEXTJOIN("、",TRUE,IF('學員資料-新北高中'!$B$2:$B$583=$F2425,'學員資料-新北高中'!$G$2:$G$583,""))</f>
        <v/>
      </c>
      <c r="S2425" t="str" cm="1">
        <f t="array" ref="S2425">_xlfn.TEXTJOIN("、",TRUE,IF('學員資料-三重商工'!$B$2:$B$472=$F2425,'學員資料-三重商工'!$G$2:$G$472,""))</f>
        <v/>
      </c>
      <c r="T2425">
        <f t="shared" si="37"/>
        <v>1</v>
      </c>
    </row>
    <row r="2426" spans="1:20" ht="43.5" hidden="1" customHeight="1">
      <c r="A2426" s="15">
        <v>2425</v>
      </c>
      <c r="B2426" s="16" t="s">
        <v>7496</v>
      </c>
      <c r="C2426" s="17">
        <v>45520</v>
      </c>
      <c r="D2426" s="15" t="s">
        <v>7497</v>
      </c>
      <c r="E2426" s="18" t="s">
        <v>954</v>
      </c>
      <c r="F2426" s="19" t="s">
        <v>5185</v>
      </c>
      <c r="G2426" s="18" t="s">
        <v>5186</v>
      </c>
      <c r="H2426" s="20" t="s">
        <v>5394</v>
      </c>
      <c r="I2426" s="15">
        <v>3</v>
      </c>
      <c r="J2426" s="15" t="s">
        <v>23</v>
      </c>
      <c r="K2426" s="15"/>
      <c r="L2426" s="21" t="s">
        <v>16</v>
      </c>
      <c r="M2426" s="22">
        <v>0</v>
      </c>
      <c r="N2426" s="22">
        <v>0</v>
      </c>
      <c r="O2426" s="22">
        <v>21600</v>
      </c>
      <c r="P2426" s="22">
        <v>21600</v>
      </c>
      <c r="Q2426" t="str" cm="1">
        <f t="array" ref="Q2426">_xlfn.TEXTJOIN("、",TRUE,IF('學員資料-三民高中'!$B$2:$B$454=$F2426,'學員資料-三民高中'!$G$2:$G$454,""))</f>
        <v/>
      </c>
      <c r="R2426" t="str" cm="1">
        <f t="array" ref="R2426">_xlfn.TEXTJOIN("、",TRUE,IF('學員資料-新北高中'!$B$2:$B$583=$F2426,'學員資料-新北高中'!$G$2:$G$583,""))</f>
        <v/>
      </c>
      <c r="S2426" t="str" cm="1">
        <f t="array" ref="S2426">_xlfn.TEXTJOIN("、",TRUE,IF('學員資料-三重商工'!$B$2:$B$472=$F2426,'學員資料-三重商工'!$G$2:$G$472,""))</f>
        <v>0939933381</v>
      </c>
      <c r="T2426">
        <f t="shared" si="37"/>
        <v>1</v>
      </c>
    </row>
    <row r="2427" spans="1:20" ht="28.5" hidden="1" customHeight="1">
      <c r="A2427" s="15">
        <v>2426</v>
      </c>
      <c r="B2427" s="16" t="s">
        <v>7498</v>
      </c>
      <c r="C2427" s="17">
        <v>45520</v>
      </c>
      <c r="D2427" s="15" t="s">
        <v>7499</v>
      </c>
      <c r="E2427" s="18" t="s">
        <v>954</v>
      </c>
      <c r="F2427" s="19" t="s">
        <v>7500</v>
      </c>
      <c r="G2427" s="18" t="s">
        <v>7501</v>
      </c>
      <c r="H2427" s="20" t="s">
        <v>5263</v>
      </c>
      <c r="I2427" s="15">
        <v>2</v>
      </c>
      <c r="J2427" s="15" t="s">
        <v>25</v>
      </c>
      <c r="K2427" s="15"/>
      <c r="L2427" s="21" t="s">
        <v>16</v>
      </c>
      <c r="M2427" s="22">
        <v>0</v>
      </c>
      <c r="N2427" s="22">
        <v>0</v>
      </c>
      <c r="O2427" s="22">
        <v>18000</v>
      </c>
      <c r="P2427" s="22">
        <v>18000</v>
      </c>
      <c r="Q2427" t="str" cm="1">
        <f t="array" ref="Q2427">_xlfn.TEXTJOIN("、",TRUE,IF('學員資料-三民高中'!$B$2:$B$454=$F2427,'學員資料-三民高中'!$G$2:$G$454,""))</f>
        <v>0916696039</v>
      </c>
      <c r="R2427" t="str" cm="1">
        <f t="array" ref="R2427">_xlfn.TEXTJOIN("、",TRUE,IF('學員資料-新北高中'!$B$2:$B$583=$F2427,'學員資料-新北高中'!$G$2:$G$583,""))</f>
        <v/>
      </c>
      <c r="S2427" t="str" cm="1">
        <f t="array" ref="S2427">_xlfn.TEXTJOIN("、",TRUE,IF('學員資料-三重商工'!$B$2:$B$472=$F2427,'學員資料-三重商工'!$G$2:$G$472,""))</f>
        <v/>
      </c>
      <c r="T2427">
        <f t="shared" si="37"/>
        <v>1</v>
      </c>
    </row>
    <row r="2428" spans="1:20" ht="28.5" hidden="1" customHeight="1">
      <c r="A2428" s="15">
        <v>2427</v>
      </c>
      <c r="B2428" s="16" t="s">
        <v>7502</v>
      </c>
      <c r="C2428" s="17">
        <v>45520</v>
      </c>
      <c r="D2428" s="15" t="s">
        <v>7503</v>
      </c>
      <c r="E2428" s="18" t="s">
        <v>954</v>
      </c>
      <c r="F2428" s="19" t="s">
        <v>7504</v>
      </c>
      <c r="G2428" s="18" t="s">
        <v>7505</v>
      </c>
      <c r="H2428" s="20" t="s">
        <v>5206</v>
      </c>
      <c r="I2428" s="15">
        <v>2</v>
      </c>
      <c r="J2428" s="15" t="s">
        <v>23</v>
      </c>
      <c r="K2428" s="15"/>
      <c r="L2428" s="21" t="s">
        <v>16</v>
      </c>
      <c r="M2428" s="22">
        <v>0</v>
      </c>
      <c r="N2428" s="22">
        <v>0</v>
      </c>
      <c r="O2428" s="22">
        <v>13200</v>
      </c>
      <c r="P2428" s="22">
        <v>13200</v>
      </c>
      <c r="Q2428" t="str" cm="1">
        <f t="array" ref="Q2428">_xlfn.TEXTJOIN("、",TRUE,IF('學員資料-三民高中'!$B$2:$B$454=$F2428,'學員資料-三民高中'!$G$2:$G$454,""))</f>
        <v>CQ110002</v>
      </c>
      <c r="R2428" t="str" cm="1">
        <f t="array" ref="R2428">_xlfn.TEXTJOIN("、",TRUE,IF('學員資料-新北高中'!$B$2:$B$583=$F2428,'學員資料-新北高中'!$G$2:$G$583,""))</f>
        <v/>
      </c>
      <c r="S2428" t="str" cm="1">
        <f t="array" ref="S2428">_xlfn.TEXTJOIN("、",TRUE,IF('學員資料-三重商工'!$B$2:$B$472=$F2428,'學員資料-三重商工'!$G$2:$G$472,""))</f>
        <v/>
      </c>
      <c r="T2428">
        <f t="shared" si="37"/>
        <v>1</v>
      </c>
    </row>
    <row r="2429" spans="1:20" ht="14.25" hidden="1" customHeight="1">
      <c r="A2429" s="15">
        <v>2428</v>
      </c>
      <c r="B2429" s="16" t="s">
        <v>7506</v>
      </c>
      <c r="C2429" s="17">
        <v>45520</v>
      </c>
      <c r="D2429" s="15" t="s">
        <v>7507</v>
      </c>
      <c r="E2429" s="18" t="s">
        <v>954</v>
      </c>
      <c r="F2429" s="19" t="s">
        <v>7508</v>
      </c>
      <c r="G2429" s="18" t="s">
        <v>7509</v>
      </c>
      <c r="H2429" s="20" t="s">
        <v>5163</v>
      </c>
      <c r="I2429" s="15">
        <v>1</v>
      </c>
      <c r="J2429" s="15" t="s">
        <v>23</v>
      </c>
      <c r="K2429" s="15"/>
      <c r="L2429" s="21" t="s">
        <v>16</v>
      </c>
      <c r="M2429" s="22">
        <v>0</v>
      </c>
      <c r="N2429" s="22">
        <v>0</v>
      </c>
      <c r="O2429" s="22">
        <v>6600</v>
      </c>
      <c r="P2429" s="22">
        <v>6600</v>
      </c>
      <c r="Q2429" t="str" cm="1">
        <f t="array" ref="Q2429">_xlfn.TEXTJOIN("、",TRUE,IF('學員資料-三民高中'!$B$2:$B$454=$F2429,'學員資料-三民高中'!$G$2:$G$454,""))</f>
        <v>0938926005</v>
      </c>
      <c r="R2429" t="str" cm="1">
        <f t="array" ref="R2429">_xlfn.TEXTJOIN("、",TRUE,IF('學員資料-新北高中'!$B$2:$B$583=$F2429,'學員資料-新北高中'!$G$2:$G$583,""))</f>
        <v/>
      </c>
      <c r="S2429" t="str" cm="1">
        <f t="array" ref="S2429">_xlfn.TEXTJOIN("、",TRUE,IF('學員資料-三重商工'!$B$2:$B$472=$F2429,'學員資料-三重商工'!$G$2:$G$472,""))</f>
        <v/>
      </c>
      <c r="T2429">
        <f t="shared" si="37"/>
        <v>1</v>
      </c>
    </row>
    <row r="2430" spans="1:20" ht="14.25" hidden="1" customHeight="1">
      <c r="A2430" s="15">
        <v>2429</v>
      </c>
      <c r="B2430" s="16" t="s">
        <v>7510</v>
      </c>
      <c r="C2430" s="17">
        <v>45520</v>
      </c>
      <c r="D2430" s="15" t="s">
        <v>7511</v>
      </c>
      <c r="E2430" s="18" t="s">
        <v>954</v>
      </c>
      <c r="F2430" s="19" t="s">
        <v>7512</v>
      </c>
      <c r="G2430" s="18" t="s">
        <v>7513</v>
      </c>
      <c r="H2430" s="20" t="s">
        <v>5163</v>
      </c>
      <c r="I2430" s="15">
        <v>1</v>
      </c>
      <c r="J2430" s="15" t="s">
        <v>23</v>
      </c>
      <c r="K2430" s="15"/>
      <c r="L2430" s="21" t="s">
        <v>16</v>
      </c>
      <c r="M2430" s="22">
        <v>0</v>
      </c>
      <c r="N2430" s="22">
        <v>0</v>
      </c>
      <c r="O2430" s="22">
        <v>6600</v>
      </c>
      <c r="P2430" s="22">
        <v>6600</v>
      </c>
      <c r="Q2430" t="str" cm="1">
        <f t="array" ref="Q2430">_xlfn.TEXTJOIN("、",TRUE,IF('學員資料-三民高中'!$B$2:$B$454=$F2430,'學員資料-三民高中'!$G$2:$G$454,""))</f>
        <v>CQ110284</v>
      </c>
      <c r="R2430" t="str" cm="1">
        <f t="array" ref="R2430">_xlfn.TEXTJOIN("、",TRUE,IF('學員資料-新北高中'!$B$2:$B$583=$F2430,'學員資料-新北高中'!$G$2:$G$583,""))</f>
        <v/>
      </c>
      <c r="S2430" t="str" cm="1">
        <f t="array" ref="S2430">_xlfn.TEXTJOIN("、",TRUE,IF('學員資料-三重商工'!$B$2:$B$472=$F2430,'學員資料-三重商工'!$G$2:$G$472,""))</f>
        <v/>
      </c>
      <c r="T2430">
        <f t="shared" si="37"/>
        <v>1</v>
      </c>
    </row>
    <row r="2431" spans="1:20" ht="14.25" hidden="1" customHeight="1">
      <c r="A2431" s="15">
        <v>2430</v>
      </c>
      <c r="B2431" s="16" t="s">
        <v>7514</v>
      </c>
      <c r="C2431" s="17">
        <v>45520</v>
      </c>
      <c r="D2431" s="15" t="s">
        <v>7515</v>
      </c>
      <c r="E2431" s="18" t="s">
        <v>954</v>
      </c>
      <c r="F2431" s="19" t="s">
        <v>7512</v>
      </c>
      <c r="G2431" s="18" t="s">
        <v>7513</v>
      </c>
      <c r="H2431" s="20" t="s">
        <v>5163</v>
      </c>
      <c r="I2431" s="15">
        <v>1</v>
      </c>
      <c r="J2431" s="15" t="s">
        <v>23</v>
      </c>
      <c r="K2431" s="15"/>
      <c r="L2431" s="21" t="s">
        <v>16</v>
      </c>
      <c r="M2431" s="22">
        <v>0</v>
      </c>
      <c r="N2431" s="22">
        <v>0</v>
      </c>
      <c r="O2431" s="22">
        <v>6600</v>
      </c>
      <c r="P2431" s="22">
        <v>6600</v>
      </c>
      <c r="Q2431" t="str" cm="1">
        <f t="array" ref="Q2431">_xlfn.TEXTJOIN("、",TRUE,IF('學員資料-三民高中'!$B$2:$B$454=$F2431,'學員資料-三民高中'!$G$2:$G$454,""))</f>
        <v>CQ110284</v>
      </c>
      <c r="R2431" t="str" cm="1">
        <f t="array" ref="R2431">_xlfn.TEXTJOIN("、",TRUE,IF('學員資料-新北高中'!$B$2:$B$583=$F2431,'學員資料-新北高中'!$G$2:$G$583,""))</f>
        <v/>
      </c>
      <c r="S2431" t="str" cm="1">
        <f t="array" ref="S2431">_xlfn.TEXTJOIN("、",TRUE,IF('學員資料-三重商工'!$B$2:$B$472=$F2431,'學員資料-三重商工'!$G$2:$G$472,""))</f>
        <v/>
      </c>
      <c r="T2431">
        <f t="shared" si="37"/>
        <v>1</v>
      </c>
    </row>
    <row r="2432" spans="1:20" ht="14.25" hidden="1" customHeight="1">
      <c r="A2432" s="15">
        <v>2431</v>
      </c>
      <c r="B2432" s="16" t="s">
        <v>7516</v>
      </c>
      <c r="C2432" s="17">
        <v>45520</v>
      </c>
      <c r="D2432" s="15" t="s">
        <v>7517</v>
      </c>
      <c r="E2432" s="18" t="s">
        <v>954</v>
      </c>
      <c r="F2432" s="19" t="s">
        <v>7512</v>
      </c>
      <c r="G2432" s="18" t="s">
        <v>7513</v>
      </c>
      <c r="H2432" s="20" t="s">
        <v>5163</v>
      </c>
      <c r="I2432" s="15">
        <v>1</v>
      </c>
      <c r="J2432" s="15" t="s">
        <v>23</v>
      </c>
      <c r="K2432" s="15"/>
      <c r="L2432" s="21" t="s">
        <v>16</v>
      </c>
      <c r="M2432" s="22">
        <v>0</v>
      </c>
      <c r="N2432" s="22">
        <v>0</v>
      </c>
      <c r="O2432" s="22">
        <v>6600</v>
      </c>
      <c r="P2432" s="22">
        <v>6600</v>
      </c>
      <c r="Q2432" t="str" cm="1">
        <f t="array" ref="Q2432">_xlfn.TEXTJOIN("、",TRUE,IF('學員資料-三民高中'!$B$2:$B$454=$F2432,'學員資料-三民高中'!$G$2:$G$454,""))</f>
        <v>CQ110284</v>
      </c>
      <c r="R2432" t="str" cm="1">
        <f t="array" ref="R2432">_xlfn.TEXTJOIN("、",TRUE,IF('學員資料-新北高中'!$B$2:$B$583=$F2432,'學員資料-新北高中'!$G$2:$G$583,""))</f>
        <v/>
      </c>
      <c r="S2432" t="str" cm="1">
        <f t="array" ref="S2432">_xlfn.TEXTJOIN("、",TRUE,IF('學員資料-三重商工'!$B$2:$B$472=$F2432,'學員資料-三重商工'!$G$2:$G$472,""))</f>
        <v/>
      </c>
      <c r="T2432">
        <f t="shared" si="37"/>
        <v>1</v>
      </c>
    </row>
    <row r="2433" spans="1:20" ht="14.25" hidden="1" customHeight="1">
      <c r="A2433" s="15">
        <v>2432</v>
      </c>
      <c r="B2433" s="16" t="s">
        <v>7518</v>
      </c>
      <c r="C2433" s="17">
        <v>45520</v>
      </c>
      <c r="D2433" s="15" t="s">
        <v>7519</v>
      </c>
      <c r="E2433" s="18" t="s">
        <v>954</v>
      </c>
      <c r="F2433" s="19" t="s">
        <v>7520</v>
      </c>
      <c r="G2433" s="18" t="s">
        <v>7521</v>
      </c>
      <c r="H2433" s="20" t="s">
        <v>5131</v>
      </c>
      <c r="I2433" s="15">
        <v>1</v>
      </c>
      <c r="J2433" s="15" t="s">
        <v>24</v>
      </c>
      <c r="K2433" s="15"/>
      <c r="L2433" s="21" t="s">
        <v>16</v>
      </c>
      <c r="M2433" s="22">
        <v>0</v>
      </c>
      <c r="N2433" s="22">
        <v>0</v>
      </c>
      <c r="O2433" s="22">
        <v>7200</v>
      </c>
      <c r="P2433" s="22">
        <v>7200</v>
      </c>
      <c r="Q2433" t="str" cm="1">
        <f t="array" ref="Q2433">_xlfn.TEXTJOIN("、",TRUE,IF('學員資料-三民高中'!$B$2:$B$454=$F2433,'學員資料-三民高中'!$G$2:$G$454,""))</f>
        <v>CQ112375</v>
      </c>
      <c r="R2433" t="str" cm="1">
        <f t="array" ref="R2433">_xlfn.TEXTJOIN("、",TRUE,IF('學員資料-新北高中'!$B$2:$B$583=$F2433,'學員資料-新北高中'!$G$2:$G$583,""))</f>
        <v/>
      </c>
      <c r="S2433" t="str" cm="1">
        <f t="array" ref="S2433">_xlfn.TEXTJOIN("、",TRUE,IF('學員資料-三重商工'!$B$2:$B$472=$F2433,'學員資料-三重商工'!$G$2:$G$472,""))</f>
        <v/>
      </c>
      <c r="T2433">
        <f t="shared" si="37"/>
        <v>1</v>
      </c>
    </row>
    <row r="2434" spans="1:20" ht="43.5" hidden="1" customHeight="1">
      <c r="A2434" s="15">
        <v>2433</v>
      </c>
      <c r="B2434" s="16" t="s">
        <v>7522</v>
      </c>
      <c r="C2434" s="17">
        <v>45520</v>
      </c>
      <c r="D2434" s="15" t="s">
        <v>7523</v>
      </c>
      <c r="E2434" s="18" t="s">
        <v>954</v>
      </c>
      <c r="F2434" s="19" t="s">
        <v>1819</v>
      </c>
      <c r="G2434" s="18" t="s">
        <v>1820</v>
      </c>
      <c r="H2434" s="20" t="s">
        <v>1531</v>
      </c>
      <c r="I2434" s="15">
        <v>3</v>
      </c>
      <c r="J2434" s="15" t="s">
        <v>24</v>
      </c>
      <c r="K2434" s="15"/>
      <c r="L2434" s="21" t="s">
        <v>16</v>
      </c>
      <c r="M2434" s="22">
        <v>0</v>
      </c>
      <c r="N2434" s="22">
        <v>-3240</v>
      </c>
      <c r="O2434" s="22">
        <v>29160</v>
      </c>
      <c r="P2434" s="22">
        <v>29160</v>
      </c>
      <c r="Q2434" t="str" cm="1">
        <f t="array" ref="Q2434">_xlfn.TEXTJOIN("、",TRUE,IF('學員資料-三民高中'!$B$2:$B$454=$F2434,'學員資料-三民高中'!$G$2:$G$454,""))</f>
        <v/>
      </c>
      <c r="R2434" t="str" cm="1">
        <f t="array" ref="R2434">_xlfn.TEXTJOIN("、",TRUE,IF('學員資料-新北高中'!$B$2:$B$583=$F2434,'學員資料-新北高中'!$G$2:$G$583,""))</f>
        <v>0958715328</v>
      </c>
      <c r="S2434" t="str" cm="1">
        <f t="array" ref="S2434">_xlfn.TEXTJOIN("、",TRUE,IF('學員資料-三重商工'!$B$2:$B$472=$F2434,'學員資料-三重商工'!$G$2:$G$472,""))</f>
        <v/>
      </c>
      <c r="T2434">
        <f t="shared" si="37"/>
        <v>1</v>
      </c>
    </row>
    <row r="2435" spans="1:20" ht="28.5" hidden="1" customHeight="1">
      <c r="A2435" s="15">
        <v>2434</v>
      </c>
      <c r="B2435" s="16" t="s">
        <v>7524</v>
      </c>
      <c r="C2435" s="17">
        <v>45520</v>
      </c>
      <c r="D2435" s="15" t="s">
        <v>7525</v>
      </c>
      <c r="E2435" s="18" t="s">
        <v>954</v>
      </c>
      <c r="F2435" s="19" t="s">
        <v>1847</v>
      </c>
      <c r="G2435" s="18" t="s">
        <v>1848</v>
      </c>
      <c r="H2435" s="20" t="s">
        <v>1985</v>
      </c>
      <c r="I2435" s="15">
        <v>2</v>
      </c>
      <c r="J2435" s="15" t="s">
        <v>23</v>
      </c>
      <c r="K2435" s="15"/>
      <c r="L2435" s="21" t="s">
        <v>16</v>
      </c>
      <c r="M2435" s="22">
        <v>0</v>
      </c>
      <c r="N2435" s="22">
        <v>-1800</v>
      </c>
      <c r="O2435" s="22">
        <v>16200</v>
      </c>
      <c r="P2435" s="22">
        <v>16200</v>
      </c>
      <c r="Q2435" t="str" cm="1">
        <f t="array" ref="Q2435">_xlfn.TEXTJOIN("、",TRUE,IF('學員資料-三民高中'!$B$2:$B$454=$F2435,'學員資料-三民高中'!$G$2:$G$454,""))</f>
        <v/>
      </c>
      <c r="R2435" t="str" cm="1">
        <f t="array" ref="R2435">_xlfn.TEXTJOIN("、",TRUE,IF('學員資料-新北高中'!$B$2:$B$583=$F2435,'學員資料-新北高中'!$G$2:$G$583,""))</f>
        <v>0955171617</v>
      </c>
      <c r="S2435" t="str" cm="1">
        <f t="array" ref="S2435">_xlfn.TEXTJOIN("、",TRUE,IF('學員資料-三重商工'!$B$2:$B$472=$F2435,'學員資料-三重商工'!$G$2:$G$472,""))</f>
        <v/>
      </c>
      <c r="T2435">
        <f t="shared" ref="T2435:T2498" si="38">3-COUNTBLANK(Q2435:S2435)</f>
        <v>1</v>
      </c>
    </row>
    <row r="2436" spans="1:20" ht="14.25" hidden="1" customHeight="1">
      <c r="A2436" s="15">
        <v>2435</v>
      </c>
      <c r="B2436" s="16" t="s">
        <v>7526</v>
      </c>
      <c r="C2436" s="17">
        <v>45520</v>
      </c>
      <c r="D2436" s="15" t="s">
        <v>7527</v>
      </c>
      <c r="E2436" s="18" t="s">
        <v>954</v>
      </c>
      <c r="F2436" s="19" t="s">
        <v>4995</v>
      </c>
      <c r="G2436" s="18" t="s">
        <v>4996</v>
      </c>
      <c r="H2436" s="20" t="s">
        <v>6210</v>
      </c>
      <c r="I2436" s="15">
        <v>1</v>
      </c>
      <c r="J2436" s="15" t="s">
        <v>25</v>
      </c>
      <c r="K2436" s="15"/>
      <c r="L2436" s="21" t="s">
        <v>16</v>
      </c>
      <c r="M2436" s="22">
        <v>0</v>
      </c>
      <c r="N2436" s="22">
        <v>-1215</v>
      </c>
      <c r="O2436" s="22">
        <v>10935</v>
      </c>
      <c r="P2436" s="22">
        <v>10935</v>
      </c>
      <c r="Q2436" t="str" cm="1">
        <f t="array" ref="Q2436">_xlfn.TEXTJOIN("、",TRUE,IF('學員資料-三民高中'!$B$2:$B$454=$F2436,'學員資料-三民高中'!$G$2:$G$454,""))</f>
        <v/>
      </c>
      <c r="R2436" t="str" cm="1">
        <f t="array" ref="R2436">_xlfn.TEXTJOIN("、",TRUE,IF('學員資料-新北高中'!$B$2:$B$583=$F2436,'學員資料-新北高中'!$G$2:$G$583,""))</f>
        <v>0935546212</v>
      </c>
      <c r="S2436" t="str" cm="1">
        <f t="array" ref="S2436">_xlfn.TEXTJOIN("、",TRUE,IF('學員資料-三重商工'!$B$2:$B$472=$F2436,'學員資料-三重商工'!$G$2:$G$472,""))</f>
        <v/>
      </c>
      <c r="T2436">
        <f t="shared" si="38"/>
        <v>1</v>
      </c>
    </row>
    <row r="2437" spans="1:20" ht="14.25" hidden="1" customHeight="1">
      <c r="A2437" s="15">
        <v>2436</v>
      </c>
      <c r="B2437" s="16" t="s">
        <v>7528</v>
      </c>
      <c r="C2437" s="17">
        <v>45520</v>
      </c>
      <c r="D2437" s="15" t="s">
        <v>7529</v>
      </c>
      <c r="E2437" s="18" t="s">
        <v>954</v>
      </c>
      <c r="F2437" s="19" t="s">
        <v>7530</v>
      </c>
      <c r="G2437" s="18" t="s">
        <v>7531</v>
      </c>
      <c r="H2437" s="20" t="s">
        <v>5163</v>
      </c>
      <c r="I2437" s="15">
        <v>1</v>
      </c>
      <c r="J2437" s="15" t="s">
        <v>23</v>
      </c>
      <c r="K2437" s="15"/>
      <c r="L2437" s="21" t="s">
        <v>16</v>
      </c>
      <c r="M2437" s="22">
        <v>0</v>
      </c>
      <c r="N2437" s="22">
        <v>0</v>
      </c>
      <c r="O2437" s="22">
        <v>6600</v>
      </c>
      <c r="P2437" s="22">
        <v>6600</v>
      </c>
      <c r="Q2437" t="str" cm="1">
        <f t="array" ref="Q2437">_xlfn.TEXTJOIN("、",TRUE,IF('學員資料-三民高中'!$B$2:$B$454=$F2437,'學員資料-三民高中'!$G$2:$G$454,""))</f>
        <v>CQ112285</v>
      </c>
      <c r="R2437" t="str" cm="1">
        <f t="array" ref="R2437">_xlfn.TEXTJOIN("、",TRUE,IF('學員資料-新北高中'!$B$2:$B$583=$F2437,'學員資料-新北高中'!$G$2:$G$583,""))</f>
        <v/>
      </c>
      <c r="S2437" t="str" cm="1">
        <f t="array" ref="S2437">_xlfn.TEXTJOIN("、",TRUE,IF('學員資料-三重商工'!$B$2:$B$472=$F2437,'學員資料-三重商工'!$G$2:$G$472,""))</f>
        <v/>
      </c>
      <c r="T2437">
        <f t="shared" si="38"/>
        <v>1</v>
      </c>
    </row>
    <row r="2438" spans="1:20" ht="43.5" hidden="1" customHeight="1">
      <c r="A2438" s="15">
        <v>2437</v>
      </c>
      <c r="B2438" s="16" t="s">
        <v>7532</v>
      </c>
      <c r="C2438" s="17">
        <v>45520</v>
      </c>
      <c r="D2438" s="15" t="s">
        <v>7533</v>
      </c>
      <c r="E2438" s="18" t="s">
        <v>954</v>
      </c>
      <c r="F2438" s="19" t="s">
        <v>1702</v>
      </c>
      <c r="G2438" s="18" t="s">
        <v>1703</v>
      </c>
      <c r="H2438" s="20" t="s">
        <v>1531</v>
      </c>
      <c r="I2438" s="15">
        <v>3</v>
      </c>
      <c r="J2438" s="15" t="s">
        <v>24</v>
      </c>
      <c r="K2438" s="15"/>
      <c r="L2438" s="21" t="s">
        <v>16</v>
      </c>
      <c r="M2438" s="22">
        <v>0</v>
      </c>
      <c r="N2438" s="22">
        <v>-3240</v>
      </c>
      <c r="O2438" s="22">
        <v>29160</v>
      </c>
      <c r="P2438" s="22">
        <v>29160</v>
      </c>
      <c r="Q2438" t="str" cm="1">
        <f t="array" ref="Q2438">_xlfn.TEXTJOIN("、",TRUE,IF('學員資料-三民高中'!$B$2:$B$454=$F2438,'學員資料-三民高中'!$G$2:$G$454,""))</f>
        <v/>
      </c>
      <c r="R2438" t="str" cm="1">
        <f t="array" ref="R2438">_xlfn.TEXTJOIN("、",TRUE,IF('學員資料-新北高中'!$B$2:$B$583=$F2438,'學員資料-新北高中'!$G$2:$G$583,""))</f>
        <v>0933075099</v>
      </c>
      <c r="S2438" t="str" cm="1">
        <f t="array" ref="S2438">_xlfn.TEXTJOIN("、",TRUE,IF('學員資料-三重商工'!$B$2:$B$472=$F2438,'學員資料-三重商工'!$G$2:$G$472,""))</f>
        <v/>
      </c>
      <c r="T2438">
        <f t="shared" si="38"/>
        <v>1</v>
      </c>
    </row>
    <row r="2439" spans="1:20" ht="28.5" hidden="1" customHeight="1">
      <c r="A2439" s="15">
        <v>2438</v>
      </c>
      <c r="B2439" s="16" t="s">
        <v>7534</v>
      </c>
      <c r="C2439" s="17">
        <v>45520</v>
      </c>
      <c r="D2439" s="15" t="s">
        <v>7535</v>
      </c>
      <c r="E2439" s="18" t="s">
        <v>954</v>
      </c>
      <c r="F2439" s="19" t="s">
        <v>7536</v>
      </c>
      <c r="G2439" s="18" t="s">
        <v>7537</v>
      </c>
      <c r="H2439" s="20" t="s">
        <v>5263</v>
      </c>
      <c r="I2439" s="15">
        <v>2</v>
      </c>
      <c r="J2439" s="15" t="s">
        <v>25</v>
      </c>
      <c r="K2439" s="15"/>
      <c r="L2439" s="21" t="s">
        <v>16</v>
      </c>
      <c r="M2439" s="22">
        <v>0</v>
      </c>
      <c r="N2439" s="22">
        <v>0</v>
      </c>
      <c r="O2439" s="22">
        <v>18000</v>
      </c>
      <c r="P2439" s="22">
        <v>18000</v>
      </c>
      <c r="Q2439" t="str" cm="1">
        <f t="array" ref="Q2439">_xlfn.TEXTJOIN("、",TRUE,IF('學員資料-三民高中'!$B$2:$B$454=$F2439,'學員資料-三民高中'!$G$2:$G$454,""))</f>
        <v>CQ112006</v>
      </c>
      <c r="R2439" t="str" cm="1">
        <f t="array" ref="R2439">_xlfn.TEXTJOIN("、",TRUE,IF('學員資料-新北高中'!$B$2:$B$583=$F2439,'學員資料-新北高中'!$G$2:$G$583,""))</f>
        <v/>
      </c>
      <c r="S2439" t="str" cm="1">
        <f t="array" ref="S2439">_xlfn.TEXTJOIN("、",TRUE,IF('學員資料-三重商工'!$B$2:$B$472=$F2439,'學員資料-三重商工'!$G$2:$G$472,""))</f>
        <v/>
      </c>
      <c r="T2439">
        <f t="shared" si="38"/>
        <v>1</v>
      </c>
    </row>
    <row r="2440" spans="1:20" ht="14.25" hidden="1" customHeight="1">
      <c r="A2440" s="15">
        <v>2439</v>
      </c>
      <c r="B2440" s="16" t="s">
        <v>7538</v>
      </c>
      <c r="C2440" s="17">
        <v>45520</v>
      </c>
      <c r="D2440" s="15" t="s">
        <v>7539</v>
      </c>
      <c r="E2440" s="18" t="s">
        <v>954</v>
      </c>
      <c r="F2440" s="19" t="s">
        <v>7536</v>
      </c>
      <c r="G2440" s="18" t="s">
        <v>7537</v>
      </c>
      <c r="H2440" s="20" t="s">
        <v>5148</v>
      </c>
      <c r="I2440" s="15">
        <v>1</v>
      </c>
      <c r="J2440" s="15" t="s">
        <v>25</v>
      </c>
      <c r="K2440" s="15"/>
      <c r="L2440" s="21" t="s">
        <v>16</v>
      </c>
      <c r="M2440" s="22">
        <v>0</v>
      </c>
      <c r="N2440" s="22">
        <v>0</v>
      </c>
      <c r="O2440" s="22">
        <v>9000</v>
      </c>
      <c r="P2440" s="22">
        <v>9000</v>
      </c>
      <c r="Q2440" t="str" cm="1">
        <f t="array" ref="Q2440">_xlfn.TEXTJOIN("、",TRUE,IF('學員資料-三民高中'!$B$2:$B$454=$F2440,'學員資料-三民高中'!$G$2:$G$454,""))</f>
        <v>CQ112006</v>
      </c>
      <c r="R2440" t="str" cm="1">
        <f t="array" ref="R2440">_xlfn.TEXTJOIN("、",TRUE,IF('學員資料-新北高中'!$B$2:$B$583=$F2440,'學員資料-新北高中'!$G$2:$G$583,""))</f>
        <v/>
      </c>
      <c r="S2440" t="str" cm="1">
        <f t="array" ref="S2440">_xlfn.TEXTJOIN("、",TRUE,IF('學員資料-三重商工'!$B$2:$B$472=$F2440,'學員資料-三重商工'!$G$2:$G$472,""))</f>
        <v/>
      </c>
      <c r="T2440">
        <f t="shared" si="38"/>
        <v>1</v>
      </c>
    </row>
    <row r="2441" spans="1:20" ht="14.25" hidden="1" customHeight="1">
      <c r="A2441" s="15">
        <v>2440</v>
      </c>
      <c r="B2441" s="16" t="s">
        <v>7540</v>
      </c>
      <c r="C2441" s="17">
        <v>45520</v>
      </c>
      <c r="D2441" s="15" t="s">
        <v>7541</v>
      </c>
      <c r="E2441" s="18" t="s">
        <v>954</v>
      </c>
      <c r="F2441" s="19" t="s">
        <v>7542</v>
      </c>
      <c r="G2441" s="18" t="s">
        <v>7543</v>
      </c>
      <c r="H2441" s="20" t="s">
        <v>5163</v>
      </c>
      <c r="I2441" s="15">
        <v>1</v>
      </c>
      <c r="J2441" s="15" t="s">
        <v>23</v>
      </c>
      <c r="K2441" s="15"/>
      <c r="L2441" s="21" t="s">
        <v>16</v>
      </c>
      <c r="M2441" s="22">
        <v>0</v>
      </c>
      <c r="N2441" s="22">
        <v>0</v>
      </c>
      <c r="O2441" s="22">
        <v>6600</v>
      </c>
      <c r="P2441" s="22">
        <v>6600</v>
      </c>
      <c r="Q2441" t="str" cm="1">
        <f t="array" ref="Q2441">_xlfn.TEXTJOIN("、",TRUE,IF('學員資料-三民高中'!$B$2:$B$454=$F2441,'學員資料-三民高中'!$G$2:$G$454,""))</f>
        <v>CQ112118</v>
      </c>
      <c r="R2441" t="str" cm="1">
        <f t="array" ref="R2441">_xlfn.TEXTJOIN("、",TRUE,IF('學員資料-新北高中'!$B$2:$B$583=$F2441,'學員資料-新北高中'!$G$2:$G$583,""))</f>
        <v/>
      </c>
      <c r="S2441" t="str" cm="1">
        <f t="array" ref="S2441">_xlfn.TEXTJOIN("、",TRUE,IF('學員資料-三重商工'!$B$2:$B$472=$F2441,'學員資料-三重商工'!$G$2:$G$472,""))</f>
        <v/>
      </c>
      <c r="T2441">
        <f t="shared" si="38"/>
        <v>1</v>
      </c>
    </row>
    <row r="2442" spans="1:20" ht="43.5" hidden="1" customHeight="1">
      <c r="A2442" s="15">
        <v>2441</v>
      </c>
      <c r="B2442" s="16" t="s">
        <v>7544</v>
      </c>
      <c r="C2442" s="17">
        <v>45520</v>
      </c>
      <c r="D2442" s="15" t="s">
        <v>7545</v>
      </c>
      <c r="E2442" s="18" t="s">
        <v>954</v>
      </c>
      <c r="F2442" s="19" t="s">
        <v>7546</v>
      </c>
      <c r="G2442" s="18" t="s">
        <v>7547</v>
      </c>
      <c r="H2442" s="20" t="s">
        <v>1531</v>
      </c>
      <c r="I2442" s="15">
        <v>3</v>
      </c>
      <c r="J2442" s="15" t="s">
        <v>24</v>
      </c>
      <c r="K2442" s="15"/>
      <c r="L2442" s="21" t="s">
        <v>16</v>
      </c>
      <c r="M2442" s="22">
        <v>0</v>
      </c>
      <c r="N2442" s="22">
        <v>-3240</v>
      </c>
      <c r="O2442" s="22">
        <v>29160</v>
      </c>
      <c r="P2442" s="22">
        <v>29160</v>
      </c>
      <c r="Q2442" t="str" cm="1">
        <f t="array" ref="Q2442">_xlfn.TEXTJOIN("、",TRUE,IF('學員資料-三民高中'!$B$2:$B$454=$F2442,'學員資料-三民高中'!$G$2:$G$454,""))</f>
        <v/>
      </c>
      <c r="R2442" t="str" cm="1">
        <f t="array" ref="R2442">_xlfn.TEXTJOIN("、",TRUE,IF('學員資料-新北高中'!$B$2:$B$583=$F2442,'學員資料-新北高中'!$G$2:$G$583,""))</f>
        <v>0936551588</v>
      </c>
      <c r="S2442" t="str" cm="1">
        <f t="array" ref="S2442">_xlfn.TEXTJOIN("、",TRUE,IF('學員資料-三重商工'!$B$2:$B$472=$F2442,'學員資料-三重商工'!$G$2:$G$472,""))</f>
        <v/>
      </c>
      <c r="T2442">
        <f t="shared" si="38"/>
        <v>1</v>
      </c>
    </row>
    <row r="2443" spans="1:20" ht="14.25" hidden="1" customHeight="1">
      <c r="A2443" s="15">
        <v>2442</v>
      </c>
      <c r="B2443" s="16" t="s">
        <v>7548</v>
      </c>
      <c r="C2443" s="17">
        <v>45520</v>
      </c>
      <c r="D2443" s="15" t="s">
        <v>5106</v>
      </c>
      <c r="E2443" s="18" t="s">
        <v>954</v>
      </c>
      <c r="F2443" s="19" t="s">
        <v>7542</v>
      </c>
      <c r="G2443" s="18" t="s">
        <v>7543</v>
      </c>
      <c r="H2443" s="20" t="s">
        <v>5163</v>
      </c>
      <c r="I2443" s="15">
        <v>1</v>
      </c>
      <c r="J2443" s="15" t="s">
        <v>23</v>
      </c>
      <c r="K2443" s="15"/>
      <c r="L2443" s="21" t="s">
        <v>16</v>
      </c>
      <c r="M2443" s="22">
        <v>0</v>
      </c>
      <c r="N2443" s="22">
        <v>0</v>
      </c>
      <c r="O2443" s="22">
        <v>6600</v>
      </c>
      <c r="P2443" s="22">
        <v>6600</v>
      </c>
      <c r="Q2443" t="str" cm="1">
        <f t="array" ref="Q2443">_xlfn.TEXTJOIN("、",TRUE,IF('學員資料-三民高中'!$B$2:$B$454=$F2443,'學員資料-三民高中'!$G$2:$G$454,""))</f>
        <v>CQ112118</v>
      </c>
      <c r="R2443" t="str" cm="1">
        <f t="array" ref="R2443">_xlfn.TEXTJOIN("、",TRUE,IF('學員資料-新北高中'!$B$2:$B$583=$F2443,'學員資料-新北高中'!$G$2:$G$583,""))</f>
        <v/>
      </c>
      <c r="S2443" t="str" cm="1">
        <f t="array" ref="S2443">_xlfn.TEXTJOIN("、",TRUE,IF('學員資料-三重商工'!$B$2:$B$472=$F2443,'學員資料-三重商工'!$G$2:$G$472,""))</f>
        <v/>
      </c>
      <c r="T2443">
        <f t="shared" si="38"/>
        <v>1</v>
      </c>
    </row>
    <row r="2444" spans="1:20" ht="14.25" hidden="1" customHeight="1">
      <c r="A2444" s="15">
        <v>2443</v>
      </c>
      <c r="B2444" s="16" t="s">
        <v>7549</v>
      </c>
      <c r="C2444" s="17">
        <v>45520</v>
      </c>
      <c r="D2444" s="15" t="s">
        <v>7550</v>
      </c>
      <c r="E2444" s="18" t="s">
        <v>954</v>
      </c>
      <c r="F2444" s="19" t="s">
        <v>7551</v>
      </c>
      <c r="G2444" s="18" t="s">
        <v>6988</v>
      </c>
      <c r="H2444" s="20" t="s">
        <v>5163</v>
      </c>
      <c r="I2444" s="15">
        <v>1</v>
      </c>
      <c r="J2444" s="15" t="s">
        <v>23</v>
      </c>
      <c r="K2444" s="15"/>
      <c r="L2444" s="21" t="s">
        <v>16</v>
      </c>
      <c r="M2444" s="22">
        <v>0</v>
      </c>
      <c r="N2444" s="22">
        <v>0</v>
      </c>
      <c r="O2444" s="22">
        <v>6600</v>
      </c>
      <c r="P2444" s="22">
        <v>6600</v>
      </c>
      <c r="Q2444" t="str" cm="1">
        <f t="array" ref="Q2444">_xlfn.TEXTJOIN("、",TRUE,IF('學員資料-三民高中'!$B$2:$B$454=$F2444,'學員資料-三民高中'!$G$2:$G$454,""))</f>
        <v>CQ112025</v>
      </c>
      <c r="R2444" t="str" cm="1">
        <f t="array" ref="R2444">_xlfn.TEXTJOIN("、",TRUE,IF('學員資料-新北高中'!$B$2:$B$583=$F2444,'學員資料-新北高中'!$G$2:$G$583,""))</f>
        <v/>
      </c>
      <c r="S2444" t="str" cm="1">
        <f t="array" ref="S2444">_xlfn.TEXTJOIN("、",TRUE,IF('學員資料-三重商工'!$B$2:$B$472=$F2444,'學員資料-三重商工'!$G$2:$G$472,""))</f>
        <v/>
      </c>
      <c r="T2444">
        <f t="shared" si="38"/>
        <v>1</v>
      </c>
    </row>
    <row r="2445" spans="1:20" ht="14.25" hidden="1" customHeight="1">
      <c r="A2445" s="15">
        <v>2444</v>
      </c>
      <c r="B2445" s="16" t="s">
        <v>7552</v>
      </c>
      <c r="C2445" s="17">
        <v>45520</v>
      </c>
      <c r="D2445" s="15" t="s">
        <v>7553</v>
      </c>
      <c r="E2445" s="18" t="s">
        <v>954</v>
      </c>
      <c r="F2445" s="19" t="s">
        <v>7554</v>
      </c>
      <c r="G2445" s="18" t="s">
        <v>7555</v>
      </c>
      <c r="H2445" s="20" t="s">
        <v>5211</v>
      </c>
      <c r="I2445" s="15">
        <v>1</v>
      </c>
      <c r="J2445" s="15" t="s">
        <v>26</v>
      </c>
      <c r="K2445" s="15"/>
      <c r="L2445" s="21" t="s">
        <v>16</v>
      </c>
      <c r="M2445" s="22">
        <v>0</v>
      </c>
      <c r="N2445" s="22">
        <v>-1200</v>
      </c>
      <c r="O2445" s="22">
        <v>9600</v>
      </c>
      <c r="P2445" s="22">
        <v>9600</v>
      </c>
      <c r="Q2445" t="str" cm="1">
        <f t="array" ref="Q2445">_xlfn.TEXTJOIN("、",TRUE,IF('學員資料-三民高中'!$B$2:$B$454=$F2445,'學員資料-三民高中'!$G$2:$G$454,""))</f>
        <v/>
      </c>
      <c r="R2445" t="str" cm="1">
        <f t="array" ref="R2445">_xlfn.TEXTJOIN("、",TRUE,IF('學員資料-新北高中'!$B$2:$B$583=$F2445,'學員資料-新北高中'!$G$2:$G$583,""))</f>
        <v>AQ00000</v>
      </c>
      <c r="S2445" t="str" cm="1">
        <f t="array" ref="S2445">_xlfn.TEXTJOIN("、",TRUE,IF('學員資料-三重商工'!$B$2:$B$472=$F2445,'學員資料-三重商工'!$G$2:$G$472,""))</f>
        <v/>
      </c>
      <c r="T2445">
        <f t="shared" si="38"/>
        <v>1</v>
      </c>
    </row>
    <row r="2446" spans="1:20" ht="14.25" hidden="1" customHeight="1">
      <c r="A2446" s="15">
        <v>2445</v>
      </c>
      <c r="B2446" s="16" t="s">
        <v>7556</v>
      </c>
      <c r="C2446" s="17">
        <v>45520</v>
      </c>
      <c r="D2446" s="15" t="s">
        <v>7557</v>
      </c>
      <c r="E2446" s="18" t="s">
        <v>954</v>
      </c>
      <c r="F2446" s="19" t="s">
        <v>7558</v>
      </c>
      <c r="G2446" s="18" t="s">
        <v>7559</v>
      </c>
      <c r="H2446" s="20" t="s">
        <v>6334</v>
      </c>
      <c r="I2446" s="15">
        <v>1</v>
      </c>
      <c r="J2446" s="15" t="s">
        <v>28</v>
      </c>
      <c r="K2446" s="15"/>
      <c r="L2446" s="21" t="s">
        <v>16</v>
      </c>
      <c r="M2446" s="22">
        <v>0</v>
      </c>
      <c r="N2446" s="22">
        <v>-4320</v>
      </c>
      <c r="O2446" s="22">
        <v>17280</v>
      </c>
      <c r="P2446" s="22">
        <v>17280</v>
      </c>
      <c r="Q2446" t="str" cm="1">
        <f t="array" ref="Q2446">_xlfn.TEXTJOIN("、",TRUE,IF('學員資料-三民高中'!$B$2:$B$454=$F2446,'學員資料-三民高中'!$G$2:$G$454,""))</f>
        <v/>
      </c>
      <c r="R2446" t="str" cm="1">
        <f t="array" ref="R2446">_xlfn.TEXTJOIN("、",TRUE,IF('學員資料-新北高中'!$B$2:$B$583=$F2446,'學員資料-新北高中'!$G$2:$G$583,""))</f>
        <v>AQ0008</v>
      </c>
      <c r="S2446" t="str" cm="1">
        <f t="array" ref="S2446">_xlfn.TEXTJOIN("、",TRUE,IF('學員資料-三重商工'!$B$2:$B$472=$F2446,'學員資料-三重商工'!$G$2:$G$472,""))</f>
        <v/>
      </c>
      <c r="T2446">
        <f t="shared" si="38"/>
        <v>1</v>
      </c>
    </row>
    <row r="2447" spans="1:20" ht="14.25" hidden="1" customHeight="1">
      <c r="A2447" s="15">
        <v>2446</v>
      </c>
      <c r="B2447" s="16" t="s">
        <v>7560</v>
      </c>
      <c r="C2447" s="17">
        <v>45520</v>
      </c>
      <c r="D2447" s="15" t="s">
        <v>7561</v>
      </c>
      <c r="E2447" s="18" t="s">
        <v>954</v>
      </c>
      <c r="F2447" s="19" t="s">
        <v>7562</v>
      </c>
      <c r="G2447" s="18" t="s">
        <v>7563</v>
      </c>
      <c r="H2447" s="20" t="s">
        <v>683</v>
      </c>
      <c r="I2447" s="15">
        <v>1</v>
      </c>
      <c r="J2447" s="15" t="s">
        <v>23</v>
      </c>
      <c r="K2447" s="15"/>
      <c r="L2447" s="21" t="s">
        <v>16</v>
      </c>
      <c r="M2447" s="22">
        <v>0</v>
      </c>
      <c r="N2447" s="22">
        <v>-450</v>
      </c>
      <c r="O2447" s="22">
        <v>8550</v>
      </c>
      <c r="P2447" s="22">
        <v>8550</v>
      </c>
      <c r="Q2447" t="str" cm="1">
        <f t="array" ref="Q2447">_xlfn.TEXTJOIN("、",TRUE,IF('學員資料-三民高中'!$B$2:$B$454=$F2447,'學員資料-三民高中'!$G$2:$G$454,""))</f>
        <v/>
      </c>
      <c r="R2447" t="str" cm="1">
        <f t="array" ref="R2447">_xlfn.TEXTJOIN("、",TRUE,IF('學員資料-新北高中'!$B$2:$B$583=$F2447,'學員資料-新北高中'!$G$2:$G$583,""))</f>
        <v>0928406699</v>
      </c>
      <c r="S2447" t="str" cm="1">
        <f t="array" ref="S2447">_xlfn.TEXTJOIN("、",TRUE,IF('學員資料-三重商工'!$B$2:$B$472=$F2447,'學員資料-三重商工'!$G$2:$G$472,""))</f>
        <v/>
      </c>
      <c r="T2447">
        <f t="shared" si="38"/>
        <v>1</v>
      </c>
    </row>
    <row r="2448" spans="1:20" ht="28.5" hidden="1" customHeight="1">
      <c r="A2448" s="15">
        <v>2447</v>
      </c>
      <c r="B2448" s="16" t="s">
        <v>7564</v>
      </c>
      <c r="C2448" s="17">
        <v>45520</v>
      </c>
      <c r="D2448" s="15" t="s">
        <v>7565</v>
      </c>
      <c r="E2448" s="18" t="s">
        <v>954</v>
      </c>
      <c r="F2448" s="19" t="s">
        <v>2776</v>
      </c>
      <c r="G2448" s="18" t="s">
        <v>2777</v>
      </c>
      <c r="H2448" s="20" t="s">
        <v>5206</v>
      </c>
      <c r="I2448" s="15">
        <v>2</v>
      </c>
      <c r="J2448" s="15" t="s">
        <v>23</v>
      </c>
      <c r="K2448" s="15"/>
      <c r="L2448" s="21" t="s">
        <v>16</v>
      </c>
      <c r="M2448" s="22">
        <v>0</v>
      </c>
      <c r="N2448" s="22">
        <v>-1320</v>
      </c>
      <c r="O2448" s="22">
        <v>11880</v>
      </c>
      <c r="P2448" s="22">
        <v>11880</v>
      </c>
      <c r="Q2448" t="str" cm="1">
        <f t="array" ref="Q2448">_xlfn.TEXTJOIN("、",TRUE,IF('學員資料-三民高中'!$B$2:$B$454=$F2448,'學員資料-三民高中'!$G$2:$G$454,""))</f>
        <v>0953305887</v>
      </c>
      <c r="R2448" t="str" cm="1">
        <f t="array" ref="R2448">_xlfn.TEXTJOIN("、",TRUE,IF('學員資料-新北高中'!$B$2:$B$583=$F2448,'學員資料-新北高中'!$G$2:$G$583,""))</f>
        <v/>
      </c>
      <c r="S2448" t="str" cm="1">
        <f t="array" ref="S2448">_xlfn.TEXTJOIN("、",TRUE,IF('學員資料-三重商工'!$B$2:$B$472=$F2448,'學員資料-三重商工'!$G$2:$G$472,""))</f>
        <v/>
      </c>
      <c r="T2448">
        <f t="shared" si="38"/>
        <v>1</v>
      </c>
    </row>
    <row r="2449" spans="1:20" ht="14.25" hidden="1" customHeight="1">
      <c r="A2449" s="15">
        <v>2448</v>
      </c>
      <c r="B2449" s="16" t="s">
        <v>7566</v>
      </c>
      <c r="C2449" s="17">
        <v>45520</v>
      </c>
      <c r="D2449" s="15" t="s">
        <v>5504</v>
      </c>
      <c r="E2449" s="18" t="s">
        <v>954</v>
      </c>
      <c r="F2449" s="19" t="s">
        <v>3424</v>
      </c>
      <c r="G2449" s="18" t="s">
        <v>3425</v>
      </c>
      <c r="H2449" s="20" t="s">
        <v>5131</v>
      </c>
      <c r="I2449" s="15">
        <v>1</v>
      </c>
      <c r="J2449" s="15" t="s">
        <v>24</v>
      </c>
      <c r="K2449" s="15"/>
      <c r="L2449" s="21" t="s">
        <v>16</v>
      </c>
      <c r="M2449" s="22">
        <v>0</v>
      </c>
      <c r="N2449" s="22">
        <v>0</v>
      </c>
      <c r="O2449" s="22">
        <v>7200</v>
      </c>
      <c r="P2449" s="22">
        <v>7200</v>
      </c>
      <c r="Q2449" t="str" cm="1">
        <f t="array" ref="Q2449">_xlfn.TEXTJOIN("、",TRUE,IF('學員資料-三民高中'!$B$2:$B$454=$F2449,'學員資料-三民高中'!$G$2:$G$454,""))</f>
        <v/>
      </c>
      <c r="R2449" t="str" cm="1">
        <f t="array" ref="R2449">_xlfn.TEXTJOIN("、",TRUE,IF('學員資料-新北高中'!$B$2:$B$583=$F2449,'學員資料-新北高中'!$G$2:$G$583,""))</f>
        <v/>
      </c>
      <c r="S2449" t="str" cm="1">
        <f t="array" ref="S2449">_xlfn.TEXTJOIN("、",TRUE,IF('學員資料-三重商工'!$B$2:$B$472=$F2449,'學員資料-三重商工'!$G$2:$G$472,""))</f>
        <v>0926238656-1</v>
      </c>
      <c r="T2449">
        <f t="shared" si="38"/>
        <v>1</v>
      </c>
    </row>
    <row r="2450" spans="1:20" ht="14.25" hidden="1" customHeight="1">
      <c r="A2450" s="15">
        <v>2449</v>
      </c>
      <c r="B2450" s="16" t="s">
        <v>7567</v>
      </c>
      <c r="C2450" s="17">
        <v>45520</v>
      </c>
      <c r="D2450" s="15" t="s">
        <v>7568</v>
      </c>
      <c r="E2450" s="18" t="s">
        <v>954</v>
      </c>
      <c r="F2450" s="19" t="s">
        <v>7569</v>
      </c>
      <c r="G2450" s="18" t="s">
        <v>7570</v>
      </c>
      <c r="H2450" s="20" t="s">
        <v>5246</v>
      </c>
      <c r="I2450" s="15">
        <v>1</v>
      </c>
      <c r="J2450" s="15" t="s">
        <v>23</v>
      </c>
      <c r="K2450" s="15"/>
      <c r="L2450" s="21" t="s">
        <v>16</v>
      </c>
      <c r="M2450" s="22">
        <v>0</v>
      </c>
      <c r="N2450" s="22">
        <v>0</v>
      </c>
      <c r="O2450" s="22">
        <v>7200</v>
      </c>
      <c r="P2450" s="22">
        <v>7200</v>
      </c>
      <c r="Q2450" t="str" cm="1">
        <f t="array" ref="Q2450">_xlfn.TEXTJOIN("、",TRUE,IF('學員資料-三民高中'!$B$2:$B$454=$F2450,'學員資料-三民高中'!$G$2:$G$454,""))</f>
        <v/>
      </c>
      <c r="R2450" t="str" cm="1">
        <f t="array" ref="R2450">_xlfn.TEXTJOIN("、",TRUE,IF('學員資料-新北高中'!$B$2:$B$583=$F2450,'學員資料-新北高中'!$G$2:$G$583,""))</f>
        <v/>
      </c>
      <c r="S2450" t="str" cm="1">
        <f t="array" ref="S2450">_xlfn.TEXTJOIN("、",TRUE,IF('學員資料-三重商工'!$B$2:$B$472=$F2450,'學員資料-三重商工'!$G$2:$G$472,""))</f>
        <v>0911565832</v>
      </c>
      <c r="T2450">
        <f t="shared" si="38"/>
        <v>1</v>
      </c>
    </row>
    <row r="2451" spans="1:20" ht="14.25" hidden="1" customHeight="1">
      <c r="A2451" s="15">
        <v>2450</v>
      </c>
      <c r="B2451" s="16" t="s">
        <v>7571</v>
      </c>
      <c r="C2451" s="17">
        <v>45520</v>
      </c>
      <c r="D2451" s="15" t="s">
        <v>7572</v>
      </c>
      <c r="E2451" s="18" t="s">
        <v>954</v>
      </c>
      <c r="F2451" s="19" t="s">
        <v>7573</v>
      </c>
      <c r="G2451" s="18" t="s">
        <v>7574</v>
      </c>
      <c r="H2451" s="20" t="s">
        <v>5163</v>
      </c>
      <c r="I2451" s="15">
        <v>1</v>
      </c>
      <c r="J2451" s="15" t="s">
        <v>23</v>
      </c>
      <c r="K2451" s="15"/>
      <c r="L2451" s="21" t="s">
        <v>16</v>
      </c>
      <c r="M2451" s="22">
        <v>0</v>
      </c>
      <c r="N2451" s="22">
        <v>0</v>
      </c>
      <c r="O2451" s="22">
        <v>6600</v>
      </c>
      <c r="P2451" s="22">
        <v>6600</v>
      </c>
      <c r="Q2451" t="str" cm="1">
        <f t="array" ref="Q2451">_xlfn.TEXTJOIN("、",TRUE,IF('學員資料-三民高中'!$B$2:$B$454=$F2451,'學員資料-三民高中'!$G$2:$G$454,""))</f>
        <v/>
      </c>
      <c r="R2451" t="str" cm="1">
        <f t="array" ref="R2451">_xlfn.TEXTJOIN("、",TRUE,IF('學員資料-新北高中'!$B$2:$B$583=$F2451,'學員資料-新北高中'!$G$2:$G$583,""))</f>
        <v>0900000005</v>
      </c>
      <c r="S2451" t="str" cm="1">
        <f t="array" ref="S2451">_xlfn.TEXTJOIN("、",TRUE,IF('學員資料-三重商工'!$B$2:$B$472=$F2451,'學員資料-三重商工'!$G$2:$G$472,""))</f>
        <v/>
      </c>
      <c r="T2451">
        <f t="shared" si="38"/>
        <v>1</v>
      </c>
    </row>
    <row r="2452" spans="1:20" ht="14.25" hidden="1" customHeight="1">
      <c r="A2452" s="15">
        <v>2451</v>
      </c>
      <c r="B2452" s="16" t="s">
        <v>7575</v>
      </c>
      <c r="C2452" s="17">
        <v>45520</v>
      </c>
      <c r="D2452" s="15" t="s">
        <v>7576</v>
      </c>
      <c r="E2452" s="18" t="s">
        <v>954</v>
      </c>
      <c r="F2452" s="19" t="s">
        <v>7577</v>
      </c>
      <c r="G2452" s="18" t="s">
        <v>7578</v>
      </c>
      <c r="H2452" s="20" t="s">
        <v>266</v>
      </c>
      <c r="I2452" s="15">
        <v>1</v>
      </c>
      <c r="J2452" s="15" t="s">
        <v>24</v>
      </c>
      <c r="K2452" s="15"/>
      <c r="L2452" s="21" t="s">
        <v>16</v>
      </c>
      <c r="M2452" s="22">
        <v>0</v>
      </c>
      <c r="N2452" s="22">
        <v>-1080</v>
      </c>
      <c r="O2452" s="22">
        <v>9720</v>
      </c>
      <c r="P2452" s="22">
        <v>9720</v>
      </c>
      <c r="Q2452" t="str" cm="1">
        <f t="array" ref="Q2452">_xlfn.TEXTJOIN("、",TRUE,IF('學員資料-三民高中'!$B$2:$B$454=$F2452,'學員資料-三民高中'!$G$2:$G$454,""))</f>
        <v/>
      </c>
      <c r="R2452" t="str" cm="1">
        <f t="array" ref="R2452">_xlfn.TEXTJOIN("、",TRUE,IF('學員資料-新北高中'!$B$2:$B$583=$F2452,'學員資料-新北高中'!$G$2:$G$583,""))</f>
        <v>0958717662</v>
      </c>
      <c r="S2452" t="str" cm="1">
        <f t="array" ref="S2452">_xlfn.TEXTJOIN("、",TRUE,IF('學員資料-三重商工'!$B$2:$B$472=$F2452,'學員資料-三重商工'!$G$2:$G$472,""))</f>
        <v/>
      </c>
      <c r="T2452">
        <f t="shared" si="38"/>
        <v>1</v>
      </c>
    </row>
    <row r="2453" spans="1:20" ht="14.25" hidden="1" customHeight="1">
      <c r="A2453" s="15">
        <v>2452</v>
      </c>
      <c r="B2453" s="16" t="s">
        <v>7579</v>
      </c>
      <c r="C2453" s="17">
        <v>45520</v>
      </c>
      <c r="D2453" s="15" t="s">
        <v>7580</v>
      </c>
      <c r="E2453" s="18" t="s">
        <v>954</v>
      </c>
      <c r="F2453" s="19" t="s">
        <v>7581</v>
      </c>
      <c r="G2453" s="18" t="s">
        <v>7582</v>
      </c>
      <c r="H2453" s="20" t="s">
        <v>6210</v>
      </c>
      <c r="I2453" s="15">
        <v>1</v>
      </c>
      <c r="J2453" s="15" t="s">
        <v>25</v>
      </c>
      <c r="K2453" s="15"/>
      <c r="L2453" s="21" t="s">
        <v>16</v>
      </c>
      <c r="M2453" s="22">
        <v>0</v>
      </c>
      <c r="N2453" s="22">
        <v>-1215</v>
      </c>
      <c r="O2453" s="22">
        <v>10935</v>
      </c>
      <c r="P2453" s="22">
        <v>10935</v>
      </c>
      <c r="Q2453" t="str" cm="1">
        <f t="array" ref="Q2453">_xlfn.TEXTJOIN("、",TRUE,IF('學員資料-三民高中'!$B$2:$B$454=$F2453,'學員資料-三民高中'!$G$2:$G$454,""))</f>
        <v/>
      </c>
      <c r="R2453" t="str" cm="1">
        <f t="array" ref="R2453">_xlfn.TEXTJOIN("、",TRUE,IF('學員資料-新北高中'!$B$2:$B$583=$F2453,'學員資料-新北高中'!$G$2:$G$583,""))</f>
        <v>0951613799</v>
      </c>
      <c r="S2453" t="str" cm="1">
        <f t="array" ref="S2453">_xlfn.TEXTJOIN("、",TRUE,IF('學員資料-三重商工'!$B$2:$B$472=$F2453,'學員資料-三重商工'!$G$2:$G$472,""))</f>
        <v/>
      </c>
      <c r="T2453">
        <f t="shared" si="38"/>
        <v>1</v>
      </c>
    </row>
    <row r="2454" spans="1:20" ht="14.25" hidden="1" customHeight="1">
      <c r="A2454" s="15">
        <v>2453</v>
      </c>
      <c r="B2454" s="16" t="s">
        <v>7583</v>
      </c>
      <c r="C2454" s="17">
        <v>45520</v>
      </c>
      <c r="D2454" s="15" t="s">
        <v>7584</v>
      </c>
      <c r="E2454" s="18" t="s">
        <v>954</v>
      </c>
      <c r="F2454" s="19" t="s">
        <v>6300</v>
      </c>
      <c r="G2454" s="18" t="s">
        <v>6301</v>
      </c>
      <c r="H2454" s="20" t="s">
        <v>266</v>
      </c>
      <c r="I2454" s="15">
        <v>1</v>
      </c>
      <c r="J2454" s="15" t="s">
        <v>24</v>
      </c>
      <c r="K2454" s="15"/>
      <c r="L2454" s="21" t="s">
        <v>16</v>
      </c>
      <c r="M2454" s="22">
        <v>0</v>
      </c>
      <c r="N2454" s="22">
        <v>-1080</v>
      </c>
      <c r="O2454" s="22">
        <v>9720</v>
      </c>
      <c r="P2454" s="22">
        <v>9720</v>
      </c>
      <c r="Q2454" t="str" cm="1">
        <f t="array" ref="Q2454">_xlfn.TEXTJOIN("、",TRUE,IF('學員資料-三民高中'!$B$2:$B$454=$F2454,'學員資料-三民高中'!$G$2:$G$454,""))</f>
        <v/>
      </c>
      <c r="R2454" t="str" cm="1">
        <f t="array" ref="R2454">_xlfn.TEXTJOIN("、",TRUE,IF('學員資料-新北高中'!$B$2:$B$583=$F2454,'學員資料-新北高中'!$G$2:$G$583,""))</f>
        <v>0952117685</v>
      </c>
      <c r="S2454" t="str" cm="1">
        <f t="array" ref="S2454">_xlfn.TEXTJOIN("、",TRUE,IF('學員資料-三重商工'!$B$2:$B$472=$F2454,'學員資料-三重商工'!$G$2:$G$472,""))</f>
        <v/>
      </c>
      <c r="T2454">
        <f t="shared" si="38"/>
        <v>1</v>
      </c>
    </row>
    <row r="2455" spans="1:20" ht="72" hidden="1" customHeight="1">
      <c r="A2455" s="15">
        <v>2454</v>
      </c>
      <c r="B2455" s="16" t="s">
        <v>7585</v>
      </c>
      <c r="C2455" s="17">
        <v>45520</v>
      </c>
      <c r="D2455" s="15" t="s">
        <v>7586</v>
      </c>
      <c r="E2455" s="18" t="s">
        <v>954</v>
      </c>
      <c r="F2455" s="19" t="s">
        <v>7587</v>
      </c>
      <c r="G2455" s="18" t="s">
        <v>7588</v>
      </c>
      <c r="H2455" s="20" t="s">
        <v>3393</v>
      </c>
      <c r="I2455" s="15">
        <v>5</v>
      </c>
      <c r="J2455" s="15" t="s">
        <v>24</v>
      </c>
      <c r="K2455" s="15"/>
      <c r="L2455" s="21" t="s">
        <v>16</v>
      </c>
      <c r="M2455" s="22">
        <v>0</v>
      </c>
      <c r="N2455" s="22">
        <v>0</v>
      </c>
      <c r="O2455" s="22">
        <v>75600</v>
      </c>
      <c r="P2455" s="22">
        <v>75600</v>
      </c>
      <c r="Q2455" t="str" cm="1">
        <f t="array" ref="Q2455">_xlfn.TEXTJOIN("、",TRUE,IF('學員資料-三民高中'!$B$2:$B$454=$F2455,'學員資料-三民高中'!$G$2:$G$454,""))</f>
        <v/>
      </c>
      <c r="R2455" t="str" cm="1">
        <f t="array" ref="R2455">_xlfn.TEXTJOIN("、",TRUE,IF('學員資料-新北高中'!$B$2:$B$583=$F2455,'學員資料-新北高中'!$G$2:$G$583,""))</f>
        <v>0937544216</v>
      </c>
      <c r="S2455" t="str" cm="1">
        <f t="array" ref="S2455">_xlfn.TEXTJOIN("、",TRUE,IF('學員資料-三重商工'!$B$2:$B$472=$F2455,'學員資料-三重商工'!$G$2:$G$472,""))</f>
        <v/>
      </c>
      <c r="T2455">
        <f t="shared" si="38"/>
        <v>1</v>
      </c>
    </row>
    <row r="2456" spans="1:20" ht="14.25" hidden="1" customHeight="1">
      <c r="A2456" s="15">
        <v>2455</v>
      </c>
      <c r="B2456" s="16" t="s">
        <v>7589</v>
      </c>
      <c r="C2456" s="17">
        <v>45520</v>
      </c>
      <c r="D2456" s="15" t="s">
        <v>7590</v>
      </c>
      <c r="E2456" s="18" t="s">
        <v>954</v>
      </c>
      <c r="F2456" s="19" t="s">
        <v>4080</v>
      </c>
      <c r="G2456" s="18" t="s">
        <v>4081</v>
      </c>
      <c r="H2456" s="20" t="s">
        <v>683</v>
      </c>
      <c r="I2456" s="15">
        <v>1</v>
      </c>
      <c r="J2456" s="15" t="s">
        <v>23</v>
      </c>
      <c r="K2456" s="15"/>
      <c r="L2456" s="21" t="s">
        <v>16</v>
      </c>
      <c r="M2456" s="22">
        <v>0</v>
      </c>
      <c r="N2456" s="22">
        <v>0</v>
      </c>
      <c r="O2456" s="22">
        <v>9000</v>
      </c>
      <c r="P2456" s="22">
        <v>9000</v>
      </c>
      <c r="Q2456" t="str" cm="1">
        <f t="array" ref="Q2456">_xlfn.TEXTJOIN("、",TRUE,IF('學員資料-三民高中'!$B$2:$B$454=$F2456,'學員資料-三民高中'!$G$2:$G$454,""))</f>
        <v/>
      </c>
      <c r="R2456" t="str" cm="1">
        <f t="array" ref="R2456">_xlfn.TEXTJOIN("、",TRUE,IF('學員資料-新北高中'!$B$2:$B$583=$F2456,'學員資料-新北高中'!$G$2:$G$583,""))</f>
        <v>0933054112</v>
      </c>
      <c r="S2456" t="str" cm="1">
        <f t="array" ref="S2456">_xlfn.TEXTJOIN("、",TRUE,IF('學員資料-三重商工'!$B$2:$B$472=$F2456,'學員資料-三重商工'!$G$2:$G$472,""))</f>
        <v/>
      </c>
      <c r="T2456">
        <f t="shared" si="38"/>
        <v>1</v>
      </c>
    </row>
    <row r="2457" spans="1:20" ht="72" hidden="1" customHeight="1">
      <c r="A2457" s="15">
        <v>2456</v>
      </c>
      <c r="B2457" s="16" t="s">
        <v>7591</v>
      </c>
      <c r="C2457" s="17">
        <v>45520</v>
      </c>
      <c r="D2457" s="15" t="s">
        <v>7592</v>
      </c>
      <c r="E2457" s="18" t="s">
        <v>954</v>
      </c>
      <c r="F2457" s="19" t="s">
        <v>6191</v>
      </c>
      <c r="G2457" s="18" t="s">
        <v>6192</v>
      </c>
      <c r="H2457" s="20" t="s">
        <v>7593</v>
      </c>
      <c r="I2457" s="15">
        <v>5</v>
      </c>
      <c r="J2457" s="15" t="s">
        <v>23</v>
      </c>
      <c r="K2457" s="21" t="s">
        <v>116</v>
      </c>
      <c r="L2457" s="21" t="s">
        <v>16</v>
      </c>
      <c r="M2457" s="22">
        <v>0</v>
      </c>
      <c r="N2457" s="22">
        <v>-17100</v>
      </c>
      <c r="O2457" s="22">
        <v>20000</v>
      </c>
      <c r="P2457" s="22">
        <v>20000</v>
      </c>
      <c r="Q2457" t="str" cm="1">
        <f t="array" ref="Q2457">_xlfn.TEXTJOIN("、",TRUE,IF('學員資料-三民高中'!$B$2:$B$454=$F2457,'學員資料-三民高中'!$G$2:$G$454,""))</f>
        <v/>
      </c>
      <c r="R2457" t="str" cm="1">
        <f t="array" ref="R2457">_xlfn.TEXTJOIN("、",TRUE,IF('學員資料-新北高中'!$B$2:$B$583=$F2457,'學員資料-新北高中'!$G$2:$G$583,""))</f>
        <v>0953417659</v>
      </c>
      <c r="S2457" t="str" cm="1">
        <f t="array" ref="S2457">_xlfn.TEXTJOIN("、",TRUE,IF('學員資料-三重商工'!$B$2:$B$472=$F2457,'學員資料-三重商工'!$G$2:$G$472,""))</f>
        <v/>
      </c>
      <c r="T2457">
        <f t="shared" si="38"/>
        <v>1</v>
      </c>
    </row>
    <row r="2458" spans="1:20" ht="14.25" hidden="1" customHeight="1">
      <c r="A2458" s="15">
        <v>2457</v>
      </c>
      <c r="B2458" s="16" t="s">
        <v>7594</v>
      </c>
      <c r="C2458" s="17">
        <v>45520</v>
      </c>
      <c r="D2458" s="15" t="s">
        <v>7595</v>
      </c>
      <c r="E2458" s="18" t="s">
        <v>954</v>
      </c>
      <c r="F2458" s="19" t="s">
        <v>7596</v>
      </c>
      <c r="G2458" s="18" t="s">
        <v>7597</v>
      </c>
      <c r="H2458" s="20" t="s">
        <v>5361</v>
      </c>
      <c r="I2458" s="15">
        <v>1</v>
      </c>
      <c r="J2458" s="15" t="s">
        <v>23</v>
      </c>
      <c r="K2458" s="21" t="s">
        <v>116</v>
      </c>
      <c r="L2458" s="21" t="s">
        <v>16</v>
      </c>
      <c r="M2458" s="22">
        <v>0</v>
      </c>
      <c r="N2458" s="22">
        <v>0</v>
      </c>
      <c r="O2458" s="22">
        <v>1100</v>
      </c>
      <c r="P2458" s="22">
        <v>1100</v>
      </c>
      <c r="Q2458" t="str" cm="1">
        <f t="array" ref="Q2458">_xlfn.TEXTJOIN("、",TRUE,IF('學員資料-三民高中'!$B$2:$B$454=$F2458,'學員資料-三民高中'!$G$2:$G$454,""))</f>
        <v/>
      </c>
      <c r="R2458" t="str" cm="1">
        <f t="array" ref="R2458">_xlfn.TEXTJOIN("、",TRUE,IF('學員資料-新北高中'!$B$2:$B$583=$F2458,'學員資料-新北高中'!$G$2:$G$583,""))</f>
        <v>0976171313</v>
      </c>
      <c r="S2458" t="str" cm="1">
        <f t="array" ref="S2458">_xlfn.TEXTJOIN("、",TRUE,IF('學員資料-三重商工'!$B$2:$B$472=$F2458,'學員資料-三重商工'!$G$2:$G$472,""))</f>
        <v/>
      </c>
      <c r="T2458">
        <f t="shared" si="38"/>
        <v>1</v>
      </c>
    </row>
    <row r="2459" spans="1:20" ht="14.25" hidden="1" customHeight="1">
      <c r="A2459" s="15">
        <v>2458</v>
      </c>
      <c r="B2459" s="16" t="s">
        <v>7598</v>
      </c>
      <c r="C2459" s="17">
        <v>45520</v>
      </c>
      <c r="D2459" s="15" t="s">
        <v>7599</v>
      </c>
      <c r="E2459" s="18" t="s">
        <v>954</v>
      </c>
      <c r="F2459" s="19" t="s">
        <v>7600</v>
      </c>
      <c r="G2459" s="18" t="s">
        <v>7601</v>
      </c>
      <c r="H2459" s="20" t="s">
        <v>5507</v>
      </c>
      <c r="I2459" s="15">
        <v>1</v>
      </c>
      <c r="J2459" s="15" t="s">
        <v>25</v>
      </c>
      <c r="K2459" s="15"/>
      <c r="L2459" s="21" t="s">
        <v>16</v>
      </c>
      <c r="M2459" s="22">
        <v>0</v>
      </c>
      <c r="N2459" s="22">
        <v>-3888</v>
      </c>
      <c r="O2459" s="22">
        <v>5832</v>
      </c>
      <c r="P2459" s="22">
        <v>5832</v>
      </c>
      <c r="Q2459" t="str" cm="1">
        <f t="array" ref="Q2459">_xlfn.TEXTJOIN("、",TRUE,IF('學員資料-三民高中'!$B$2:$B$454=$F2459,'學員資料-三民高中'!$G$2:$G$454,""))</f>
        <v/>
      </c>
      <c r="R2459" t="str" cm="1">
        <f t="array" ref="R2459">_xlfn.TEXTJOIN("、",TRUE,IF('學員資料-新北高中'!$B$2:$B$583=$F2459,'學員資料-新北高中'!$G$2:$G$583,""))</f>
        <v>67631775</v>
      </c>
      <c r="S2459" t="str" cm="1">
        <f t="array" ref="S2459">_xlfn.TEXTJOIN("、",TRUE,IF('學員資料-三重商工'!$B$2:$B$472=$F2459,'學員資料-三重商工'!$G$2:$G$472,""))</f>
        <v/>
      </c>
      <c r="T2459">
        <f t="shared" si="38"/>
        <v>1</v>
      </c>
    </row>
    <row r="2460" spans="1:20" ht="14.25" hidden="1" customHeight="1">
      <c r="A2460" s="15">
        <v>2459</v>
      </c>
      <c r="B2460" s="16" t="s">
        <v>7602</v>
      </c>
      <c r="C2460" s="17">
        <v>45520</v>
      </c>
      <c r="D2460" s="15" t="s">
        <v>7603</v>
      </c>
      <c r="E2460" s="18" t="s">
        <v>954</v>
      </c>
      <c r="F2460" s="19" t="s">
        <v>7600</v>
      </c>
      <c r="G2460" s="18" t="s">
        <v>7601</v>
      </c>
      <c r="H2460" s="20" t="s">
        <v>5507</v>
      </c>
      <c r="I2460" s="15">
        <v>1</v>
      </c>
      <c r="J2460" s="15" t="s">
        <v>25</v>
      </c>
      <c r="K2460" s="15"/>
      <c r="L2460" s="21" t="s">
        <v>16</v>
      </c>
      <c r="M2460" s="22">
        <v>0</v>
      </c>
      <c r="N2460" s="22">
        <v>-3888</v>
      </c>
      <c r="O2460" s="22">
        <v>5832</v>
      </c>
      <c r="P2460" s="22">
        <v>5832</v>
      </c>
      <c r="Q2460" t="str" cm="1">
        <f t="array" ref="Q2460">_xlfn.TEXTJOIN("、",TRUE,IF('學員資料-三民高中'!$B$2:$B$454=$F2460,'學員資料-三民高中'!$G$2:$G$454,""))</f>
        <v/>
      </c>
      <c r="R2460" t="str" cm="1">
        <f t="array" ref="R2460">_xlfn.TEXTJOIN("、",TRUE,IF('學員資料-新北高中'!$B$2:$B$583=$F2460,'學員資料-新北高中'!$G$2:$G$583,""))</f>
        <v>67631775</v>
      </c>
      <c r="S2460" t="str" cm="1">
        <f t="array" ref="S2460">_xlfn.TEXTJOIN("、",TRUE,IF('學員資料-三重商工'!$B$2:$B$472=$F2460,'學員資料-三重商工'!$G$2:$G$472,""))</f>
        <v/>
      </c>
      <c r="T2460">
        <f t="shared" si="38"/>
        <v>1</v>
      </c>
    </row>
    <row r="2461" spans="1:20" ht="14.25" hidden="1" customHeight="1">
      <c r="A2461" s="15">
        <v>2460</v>
      </c>
      <c r="B2461" s="16" t="s">
        <v>7604</v>
      </c>
      <c r="C2461" s="17">
        <v>45520</v>
      </c>
      <c r="D2461" s="15" t="s">
        <v>7605</v>
      </c>
      <c r="E2461" s="18" t="s">
        <v>954</v>
      </c>
      <c r="F2461" s="19" t="s">
        <v>5257</v>
      </c>
      <c r="G2461" s="18" t="s">
        <v>5258</v>
      </c>
      <c r="H2461" s="20" t="s">
        <v>5148</v>
      </c>
      <c r="I2461" s="15">
        <v>1</v>
      </c>
      <c r="J2461" s="15" t="s">
        <v>25</v>
      </c>
      <c r="K2461" s="15"/>
      <c r="L2461" s="21" t="s">
        <v>16</v>
      </c>
      <c r="M2461" s="22">
        <v>0</v>
      </c>
      <c r="N2461" s="22">
        <v>-1080</v>
      </c>
      <c r="O2461" s="22">
        <v>7920</v>
      </c>
      <c r="P2461" s="22">
        <v>7920</v>
      </c>
      <c r="Q2461" t="str" cm="1">
        <f t="array" ref="Q2461">_xlfn.TEXTJOIN("、",TRUE,IF('學員資料-三民高中'!$B$2:$B$454=$F2461,'學員資料-三民高中'!$G$2:$G$454,""))</f>
        <v/>
      </c>
      <c r="R2461" t="str" cm="1">
        <f t="array" ref="R2461">_xlfn.TEXTJOIN("、",TRUE,IF('學員資料-新北高中'!$B$2:$B$583=$F2461,'學員資料-新北高中'!$G$2:$G$583,""))</f>
        <v>0973200395</v>
      </c>
      <c r="S2461" t="str" cm="1">
        <f t="array" ref="S2461">_xlfn.TEXTJOIN("、",TRUE,IF('學員資料-三重商工'!$B$2:$B$472=$F2461,'學員資料-三重商工'!$G$2:$G$472,""))</f>
        <v/>
      </c>
      <c r="T2461">
        <f t="shared" si="38"/>
        <v>1</v>
      </c>
    </row>
    <row r="2462" spans="1:20" ht="14.25" hidden="1" customHeight="1">
      <c r="A2462" s="15">
        <v>2461</v>
      </c>
      <c r="B2462" s="16" t="s">
        <v>7606</v>
      </c>
      <c r="C2462" s="17">
        <v>45519</v>
      </c>
      <c r="D2462" s="15" t="s">
        <v>7607</v>
      </c>
      <c r="E2462" s="18" t="s">
        <v>954</v>
      </c>
      <c r="F2462" s="19" t="s">
        <v>4868</v>
      </c>
      <c r="G2462" s="18" t="s">
        <v>4869</v>
      </c>
      <c r="H2462" s="20" t="s">
        <v>5131</v>
      </c>
      <c r="I2462" s="15">
        <v>1</v>
      </c>
      <c r="J2462" s="15" t="s">
        <v>24</v>
      </c>
      <c r="K2462" s="15"/>
      <c r="L2462" s="21" t="s">
        <v>16</v>
      </c>
      <c r="M2462" s="22">
        <v>0</v>
      </c>
      <c r="N2462" s="22">
        <v>-720</v>
      </c>
      <c r="O2462" s="22">
        <v>6480</v>
      </c>
      <c r="P2462" s="22">
        <v>6480</v>
      </c>
      <c r="Q2462" t="str" cm="1">
        <f t="array" ref="Q2462">_xlfn.TEXTJOIN("、",TRUE,IF('學員資料-三民高中'!$B$2:$B$454=$F2462,'學員資料-三民高中'!$G$2:$G$454,""))</f>
        <v/>
      </c>
      <c r="R2462" t="str" cm="1">
        <f t="array" ref="R2462">_xlfn.TEXTJOIN("、",TRUE,IF('學員資料-新北高中'!$B$2:$B$583=$F2462,'學員資料-新北高中'!$G$2:$G$583,""))</f>
        <v>0955621258</v>
      </c>
      <c r="S2462" t="str" cm="1">
        <f t="array" ref="S2462">_xlfn.TEXTJOIN("、",TRUE,IF('學員資料-三重商工'!$B$2:$B$472=$F2462,'學員資料-三重商工'!$G$2:$G$472,""))</f>
        <v/>
      </c>
      <c r="T2462">
        <f t="shared" si="38"/>
        <v>1</v>
      </c>
    </row>
    <row r="2463" spans="1:20" ht="14.25" hidden="1" customHeight="1">
      <c r="A2463" s="15">
        <v>2462</v>
      </c>
      <c r="B2463" s="16" t="s">
        <v>7608</v>
      </c>
      <c r="C2463" s="17">
        <v>45519</v>
      </c>
      <c r="D2463" s="15" t="s">
        <v>7609</v>
      </c>
      <c r="E2463" s="18" t="s">
        <v>954</v>
      </c>
      <c r="F2463" s="19" t="s">
        <v>6997</v>
      </c>
      <c r="G2463" s="18" t="s">
        <v>6998</v>
      </c>
      <c r="H2463" s="20" t="s">
        <v>5131</v>
      </c>
      <c r="I2463" s="15">
        <v>1</v>
      </c>
      <c r="J2463" s="15" t="s">
        <v>24</v>
      </c>
      <c r="K2463" s="15"/>
      <c r="L2463" s="21" t="s">
        <v>16</v>
      </c>
      <c r="M2463" s="22">
        <v>0</v>
      </c>
      <c r="N2463" s="22">
        <v>0</v>
      </c>
      <c r="O2463" s="22">
        <v>7200</v>
      </c>
      <c r="P2463" s="22">
        <v>7200</v>
      </c>
      <c r="Q2463" t="str" cm="1">
        <f t="array" ref="Q2463">_xlfn.TEXTJOIN("、",TRUE,IF('學員資料-三民高中'!$B$2:$B$454=$F2463,'學員資料-三民高中'!$G$2:$G$454,""))</f>
        <v/>
      </c>
      <c r="R2463" t="str" cm="1">
        <f t="array" ref="R2463">_xlfn.TEXTJOIN("、",TRUE,IF('學員資料-新北高中'!$B$2:$B$583=$F2463,'學員資料-新北高中'!$G$2:$G$583,""))</f>
        <v>0000000010</v>
      </c>
      <c r="S2463" t="str" cm="1">
        <f t="array" ref="S2463">_xlfn.TEXTJOIN("、",TRUE,IF('學員資料-三重商工'!$B$2:$B$472=$F2463,'學員資料-三重商工'!$G$2:$G$472,""))</f>
        <v/>
      </c>
      <c r="T2463">
        <f t="shared" si="38"/>
        <v>1</v>
      </c>
    </row>
    <row r="2464" spans="1:20" ht="14.25" hidden="1" customHeight="1">
      <c r="A2464" s="15">
        <v>2463</v>
      </c>
      <c r="B2464" s="16" t="s">
        <v>7610</v>
      </c>
      <c r="C2464" s="17">
        <v>45519</v>
      </c>
      <c r="D2464" s="15" t="s">
        <v>4784</v>
      </c>
      <c r="E2464" s="18" t="s">
        <v>954</v>
      </c>
      <c r="F2464" s="19" t="s">
        <v>7611</v>
      </c>
      <c r="G2464" s="18" t="s">
        <v>7612</v>
      </c>
      <c r="H2464" s="20" t="s">
        <v>5148</v>
      </c>
      <c r="I2464" s="15">
        <v>1</v>
      </c>
      <c r="J2464" s="15" t="s">
        <v>25</v>
      </c>
      <c r="K2464" s="15"/>
      <c r="L2464" s="21" t="s">
        <v>16</v>
      </c>
      <c r="M2464" s="22">
        <v>0</v>
      </c>
      <c r="N2464" s="22">
        <v>-900</v>
      </c>
      <c r="O2464" s="22">
        <v>8100</v>
      </c>
      <c r="P2464" s="22">
        <v>8100</v>
      </c>
      <c r="Q2464" t="str" cm="1">
        <f t="array" ref="Q2464">_xlfn.TEXTJOIN("、",TRUE,IF('學員資料-三民高中'!$B$2:$B$454=$F2464,'學員資料-三民高中'!$G$2:$G$454,""))</f>
        <v/>
      </c>
      <c r="R2464" t="str" cm="1">
        <f t="array" ref="R2464">_xlfn.TEXTJOIN("、",TRUE,IF('學員資料-新北高中'!$B$2:$B$583=$F2464,'學員資料-新北高中'!$G$2:$G$583,""))</f>
        <v>0900000009</v>
      </c>
      <c r="S2464" t="str" cm="1">
        <f t="array" ref="S2464">_xlfn.TEXTJOIN("、",TRUE,IF('學員資料-三重商工'!$B$2:$B$472=$F2464,'學員資料-三重商工'!$G$2:$G$472,""))</f>
        <v/>
      </c>
      <c r="T2464">
        <f t="shared" si="38"/>
        <v>1</v>
      </c>
    </row>
    <row r="2465" spans="1:20" ht="14.25" hidden="1" customHeight="1">
      <c r="A2465" s="15">
        <v>2464</v>
      </c>
      <c r="B2465" s="16" t="s">
        <v>7613</v>
      </c>
      <c r="C2465" s="17">
        <v>45519</v>
      </c>
      <c r="D2465" s="15" t="s">
        <v>7614</v>
      </c>
      <c r="E2465" s="18" t="s">
        <v>954</v>
      </c>
      <c r="F2465" s="19" t="s">
        <v>7615</v>
      </c>
      <c r="G2465" s="18" t="s">
        <v>7616</v>
      </c>
      <c r="H2465" s="20" t="s">
        <v>5340</v>
      </c>
      <c r="I2465" s="15">
        <v>1</v>
      </c>
      <c r="J2465" s="15" t="s">
        <v>27</v>
      </c>
      <c r="K2465" s="15"/>
      <c r="L2465" s="21" t="s">
        <v>16</v>
      </c>
      <c r="M2465" s="22">
        <v>0</v>
      </c>
      <c r="N2465" s="22">
        <v>0</v>
      </c>
      <c r="O2465" s="22">
        <v>13500</v>
      </c>
      <c r="P2465" s="22">
        <v>13500</v>
      </c>
      <c r="Q2465" t="str" cm="1">
        <f t="array" ref="Q2465">_xlfn.TEXTJOIN("、",TRUE,IF('學員資料-三民高中'!$B$2:$B$454=$F2465,'學員資料-三民高中'!$G$2:$G$454,""))</f>
        <v/>
      </c>
      <c r="R2465" t="str" cm="1">
        <f t="array" ref="R2465">_xlfn.TEXTJOIN("、",TRUE,IF('學員資料-新北高中'!$B$2:$B$583=$F2465,'學員資料-新北高中'!$G$2:$G$583,""))</f>
        <v>0000000008</v>
      </c>
      <c r="S2465" t="str" cm="1">
        <f t="array" ref="S2465">_xlfn.TEXTJOIN("、",TRUE,IF('學員資料-三重商工'!$B$2:$B$472=$F2465,'學員資料-三重商工'!$G$2:$G$472,""))</f>
        <v/>
      </c>
      <c r="T2465">
        <f t="shared" si="38"/>
        <v>1</v>
      </c>
    </row>
    <row r="2466" spans="1:20" ht="14.25" hidden="1" customHeight="1">
      <c r="A2466" s="15">
        <v>2465</v>
      </c>
      <c r="B2466" s="16" t="s">
        <v>7617</v>
      </c>
      <c r="C2466" s="17">
        <v>45519</v>
      </c>
      <c r="D2466" s="15" t="s">
        <v>7618</v>
      </c>
      <c r="E2466" s="18" t="s">
        <v>954</v>
      </c>
      <c r="F2466" s="19" t="s">
        <v>7619</v>
      </c>
      <c r="G2466" s="18" t="s">
        <v>7620</v>
      </c>
      <c r="H2466" s="20" t="s">
        <v>5148</v>
      </c>
      <c r="I2466" s="15">
        <v>1</v>
      </c>
      <c r="J2466" s="15" t="s">
        <v>25</v>
      </c>
      <c r="K2466" s="15"/>
      <c r="L2466" s="21" t="s">
        <v>16</v>
      </c>
      <c r="M2466" s="22">
        <v>0</v>
      </c>
      <c r="N2466" s="22">
        <v>-900</v>
      </c>
      <c r="O2466" s="22">
        <v>8100</v>
      </c>
      <c r="P2466" s="22">
        <v>8100</v>
      </c>
      <c r="Q2466" t="str" cm="1">
        <f t="array" ref="Q2466">_xlfn.TEXTJOIN("、",TRUE,IF('學員資料-三民高中'!$B$2:$B$454=$F2466,'學員資料-三民高中'!$G$2:$G$454,""))</f>
        <v/>
      </c>
      <c r="R2466" t="str" cm="1">
        <f t="array" ref="R2466">_xlfn.TEXTJOIN("、",TRUE,IF('學員資料-新北高中'!$B$2:$B$583=$F2466,'學員資料-新北高中'!$G$2:$G$583,""))</f>
        <v>0900000008</v>
      </c>
      <c r="S2466" t="str" cm="1">
        <f t="array" ref="S2466">_xlfn.TEXTJOIN("、",TRUE,IF('學員資料-三重商工'!$B$2:$B$472=$F2466,'學員資料-三重商工'!$G$2:$G$472,""))</f>
        <v/>
      </c>
      <c r="T2466">
        <f t="shared" si="38"/>
        <v>1</v>
      </c>
    </row>
    <row r="2467" spans="1:20" ht="14.25" hidden="1" customHeight="1">
      <c r="A2467" s="15">
        <v>2466</v>
      </c>
      <c r="B2467" s="16" t="s">
        <v>7621</v>
      </c>
      <c r="C2467" s="17">
        <v>45519</v>
      </c>
      <c r="D2467" s="15" t="s">
        <v>7622</v>
      </c>
      <c r="E2467" s="18" t="s">
        <v>954</v>
      </c>
      <c r="F2467" s="19" t="s">
        <v>7623</v>
      </c>
      <c r="G2467" s="18" t="s">
        <v>7624</v>
      </c>
      <c r="H2467" s="20" t="s">
        <v>5131</v>
      </c>
      <c r="I2467" s="15">
        <v>1</v>
      </c>
      <c r="J2467" s="15" t="s">
        <v>24</v>
      </c>
      <c r="K2467" s="15"/>
      <c r="L2467" s="21" t="s">
        <v>16</v>
      </c>
      <c r="M2467" s="22">
        <v>0</v>
      </c>
      <c r="N2467" s="22">
        <v>0</v>
      </c>
      <c r="O2467" s="22">
        <v>7200</v>
      </c>
      <c r="P2467" s="22">
        <v>7200</v>
      </c>
      <c r="Q2467" t="str" cm="1">
        <f t="array" ref="Q2467">_xlfn.TEXTJOIN("、",TRUE,IF('學員資料-三民高中'!$B$2:$B$454=$F2467,'學員資料-三民高中'!$G$2:$G$454,""))</f>
        <v/>
      </c>
      <c r="R2467" t="str" cm="1">
        <f t="array" ref="R2467">_xlfn.TEXTJOIN("、",TRUE,IF('學員資料-新北高中'!$B$2:$B$583=$F2467,'學員資料-新北高中'!$G$2:$G$583,""))</f>
        <v>0937542161</v>
      </c>
      <c r="S2467" t="str" cm="1">
        <f t="array" ref="S2467">_xlfn.TEXTJOIN("、",TRUE,IF('學員資料-三重商工'!$B$2:$B$472=$F2467,'學員資料-三重商工'!$G$2:$G$472,""))</f>
        <v/>
      </c>
      <c r="T2467">
        <f t="shared" si="38"/>
        <v>1</v>
      </c>
    </row>
    <row r="2468" spans="1:20" ht="14.25" hidden="1" customHeight="1">
      <c r="A2468" s="15">
        <v>2467</v>
      </c>
      <c r="B2468" s="16" t="s">
        <v>7625</v>
      </c>
      <c r="C2468" s="17">
        <v>45519</v>
      </c>
      <c r="D2468" s="15" t="s">
        <v>7626</v>
      </c>
      <c r="E2468" s="18" t="s">
        <v>954</v>
      </c>
      <c r="F2468" s="19" t="s">
        <v>7627</v>
      </c>
      <c r="G2468" s="18" t="s">
        <v>7628</v>
      </c>
      <c r="H2468" s="20" t="s">
        <v>5163</v>
      </c>
      <c r="I2468" s="15">
        <v>1</v>
      </c>
      <c r="J2468" s="15" t="s">
        <v>23</v>
      </c>
      <c r="K2468" s="15"/>
      <c r="L2468" s="21" t="s">
        <v>16</v>
      </c>
      <c r="M2468" s="22">
        <v>0</v>
      </c>
      <c r="N2468" s="22">
        <v>0</v>
      </c>
      <c r="O2468" s="22">
        <v>6600</v>
      </c>
      <c r="P2468" s="22">
        <v>6600</v>
      </c>
      <c r="Q2468" t="str" cm="1">
        <f t="array" ref="Q2468">_xlfn.TEXTJOIN("、",TRUE,IF('學員資料-三民高中'!$B$2:$B$454=$F2468,'學員資料-三民高中'!$G$2:$G$454,""))</f>
        <v/>
      </c>
      <c r="R2468" t="str" cm="1">
        <f t="array" ref="R2468">_xlfn.TEXTJOIN("、",TRUE,IF('學員資料-新北高中'!$B$2:$B$583=$F2468,'學員資料-新北高中'!$G$2:$G$583,""))</f>
        <v>0936590062</v>
      </c>
      <c r="S2468" t="str" cm="1">
        <f t="array" ref="S2468">_xlfn.TEXTJOIN("、",TRUE,IF('學員資料-三重商工'!$B$2:$B$472=$F2468,'學員資料-三重商工'!$G$2:$G$472,""))</f>
        <v/>
      </c>
      <c r="T2468">
        <f t="shared" si="38"/>
        <v>1</v>
      </c>
    </row>
    <row r="2469" spans="1:20" ht="14.25" hidden="1" customHeight="1">
      <c r="A2469" s="15">
        <v>2468</v>
      </c>
      <c r="B2469" s="16" t="s">
        <v>7629</v>
      </c>
      <c r="C2469" s="17">
        <v>45519</v>
      </c>
      <c r="D2469" s="15" t="s">
        <v>7630</v>
      </c>
      <c r="E2469" s="18" t="s">
        <v>954</v>
      </c>
      <c r="F2469" s="19" t="s">
        <v>7631</v>
      </c>
      <c r="G2469" s="18" t="s">
        <v>7632</v>
      </c>
      <c r="H2469" s="20" t="s">
        <v>5131</v>
      </c>
      <c r="I2469" s="15">
        <v>1</v>
      </c>
      <c r="J2469" s="15" t="s">
        <v>24</v>
      </c>
      <c r="K2469" s="15"/>
      <c r="L2469" s="21" t="s">
        <v>16</v>
      </c>
      <c r="M2469" s="22">
        <v>0</v>
      </c>
      <c r="N2469" s="22">
        <v>-864</v>
      </c>
      <c r="O2469" s="22">
        <v>6336</v>
      </c>
      <c r="P2469" s="22">
        <v>6336</v>
      </c>
      <c r="Q2469" t="str" cm="1">
        <f t="array" ref="Q2469">_xlfn.TEXTJOIN("、",TRUE,IF('學員資料-三民高中'!$B$2:$B$454=$F2469,'學員資料-三民高中'!$G$2:$G$454,""))</f>
        <v/>
      </c>
      <c r="R2469" t="str" cm="1">
        <f t="array" ref="R2469">_xlfn.TEXTJOIN("、",TRUE,IF('學員資料-新北高中'!$B$2:$B$583=$F2469,'學員資料-新北高中'!$G$2:$G$583,""))</f>
        <v>0952468578</v>
      </c>
      <c r="S2469" t="str" cm="1">
        <f t="array" ref="S2469">_xlfn.TEXTJOIN("、",TRUE,IF('學員資料-三重商工'!$B$2:$B$472=$F2469,'學員資料-三重商工'!$G$2:$G$472,""))</f>
        <v/>
      </c>
      <c r="T2469">
        <f t="shared" si="38"/>
        <v>1</v>
      </c>
    </row>
    <row r="2470" spans="1:20" ht="14.25" customHeight="1">
      <c r="A2470" s="15">
        <v>2469</v>
      </c>
      <c r="B2470" s="16" t="s">
        <v>7633</v>
      </c>
      <c r="C2470" s="17">
        <v>45519</v>
      </c>
      <c r="D2470" s="15" t="s">
        <v>7634</v>
      </c>
      <c r="E2470" s="18" t="s">
        <v>954</v>
      </c>
      <c r="F2470" s="19" t="s">
        <v>7635</v>
      </c>
      <c r="G2470" s="18" t="s">
        <v>7636</v>
      </c>
      <c r="H2470" s="20" t="s">
        <v>5163</v>
      </c>
      <c r="I2470" s="15">
        <v>1</v>
      </c>
      <c r="J2470" s="15" t="s">
        <v>23</v>
      </c>
      <c r="K2470" s="15"/>
      <c r="L2470" s="21" t="s">
        <v>16</v>
      </c>
      <c r="M2470" s="22">
        <v>0</v>
      </c>
      <c r="N2470" s="22">
        <v>0</v>
      </c>
      <c r="O2470" s="22">
        <v>6600</v>
      </c>
      <c r="P2470" s="22">
        <v>6600</v>
      </c>
      <c r="Q2470" t="str" cm="1">
        <f t="array" ref="Q2470">_xlfn.TEXTJOIN("、",TRUE,IF('學員資料-三民高中'!$B$2:$B$454=$F2470,'學員資料-三民高中'!$G$2:$G$454,""))</f>
        <v/>
      </c>
      <c r="R2470" t="str" cm="1">
        <f t="array" ref="R2470">_xlfn.TEXTJOIN("、",TRUE,IF('學員資料-新北高中'!$B$2:$B$583=$F2470,'學員資料-新北高中'!$G$2:$G$583,""))</f>
        <v/>
      </c>
      <c r="S2470" t="str" cm="1">
        <f t="array" ref="S2470">_xlfn.TEXTJOIN("、",TRUE,IF('學員資料-三重商工'!$B$2:$B$472=$F2470,'學員資料-三重商工'!$G$2:$G$472,""))</f>
        <v/>
      </c>
      <c r="T2470">
        <f t="shared" si="38"/>
        <v>0</v>
      </c>
    </row>
    <row r="2471" spans="1:20" ht="14.25" hidden="1" customHeight="1">
      <c r="A2471" s="15">
        <v>2470</v>
      </c>
      <c r="B2471" s="16" t="s">
        <v>7637</v>
      </c>
      <c r="C2471" s="17">
        <v>45519</v>
      </c>
      <c r="D2471" s="15" t="s">
        <v>7638</v>
      </c>
      <c r="E2471" s="18" t="s">
        <v>954</v>
      </c>
      <c r="F2471" s="19" t="s">
        <v>7573</v>
      </c>
      <c r="G2471" s="18" t="s">
        <v>7574</v>
      </c>
      <c r="H2471" s="20" t="s">
        <v>5163</v>
      </c>
      <c r="I2471" s="15">
        <v>1</v>
      </c>
      <c r="J2471" s="15" t="s">
        <v>23</v>
      </c>
      <c r="K2471" s="15"/>
      <c r="L2471" s="21" t="s">
        <v>16</v>
      </c>
      <c r="M2471" s="22">
        <v>0</v>
      </c>
      <c r="N2471" s="22">
        <v>0</v>
      </c>
      <c r="O2471" s="22">
        <v>6600</v>
      </c>
      <c r="P2471" s="22">
        <v>6600</v>
      </c>
      <c r="Q2471" t="str" cm="1">
        <f t="array" ref="Q2471">_xlfn.TEXTJOIN("、",TRUE,IF('學員資料-三民高中'!$B$2:$B$454=$F2471,'學員資料-三民高中'!$G$2:$G$454,""))</f>
        <v/>
      </c>
      <c r="R2471" t="str" cm="1">
        <f t="array" ref="R2471">_xlfn.TEXTJOIN("、",TRUE,IF('學員資料-新北高中'!$B$2:$B$583=$F2471,'學員資料-新北高中'!$G$2:$G$583,""))</f>
        <v>0900000005</v>
      </c>
      <c r="S2471" t="str" cm="1">
        <f t="array" ref="S2471">_xlfn.TEXTJOIN("、",TRUE,IF('學員資料-三重商工'!$B$2:$B$472=$F2471,'學員資料-三重商工'!$G$2:$G$472,""))</f>
        <v/>
      </c>
      <c r="T2471">
        <f t="shared" si="38"/>
        <v>1</v>
      </c>
    </row>
    <row r="2472" spans="1:20" ht="14.25" hidden="1" customHeight="1">
      <c r="A2472" s="15">
        <v>2471</v>
      </c>
      <c r="B2472" s="16" t="s">
        <v>7639</v>
      </c>
      <c r="C2472" s="17">
        <v>45519</v>
      </c>
      <c r="D2472" s="15" t="s">
        <v>7640</v>
      </c>
      <c r="E2472" s="18" t="s">
        <v>954</v>
      </c>
      <c r="F2472" s="19" t="s">
        <v>5462</v>
      </c>
      <c r="G2472" s="18" t="s">
        <v>5463</v>
      </c>
      <c r="H2472" s="20" t="s">
        <v>5163</v>
      </c>
      <c r="I2472" s="15">
        <v>1</v>
      </c>
      <c r="J2472" s="15" t="s">
        <v>23</v>
      </c>
      <c r="K2472" s="15"/>
      <c r="L2472" s="21" t="s">
        <v>16</v>
      </c>
      <c r="M2472" s="22">
        <v>0</v>
      </c>
      <c r="N2472" s="22">
        <v>0</v>
      </c>
      <c r="O2472" s="22">
        <v>6600</v>
      </c>
      <c r="P2472" s="22">
        <v>6600</v>
      </c>
      <c r="Q2472" t="str" cm="1">
        <f t="array" ref="Q2472">_xlfn.TEXTJOIN("、",TRUE,IF('學員資料-三民高中'!$B$2:$B$454=$F2472,'學員資料-三民高中'!$G$2:$G$454,""))</f>
        <v/>
      </c>
      <c r="R2472" t="str" cm="1">
        <f t="array" ref="R2472">_xlfn.TEXTJOIN("、",TRUE,IF('學員資料-新北高中'!$B$2:$B$583=$F2472,'學員資料-新北高中'!$G$2:$G$583,""))</f>
        <v>0900000004</v>
      </c>
      <c r="S2472" t="str" cm="1">
        <f t="array" ref="S2472">_xlfn.TEXTJOIN("、",TRUE,IF('學員資料-三重商工'!$B$2:$B$472=$F2472,'學員資料-三重商工'!$G$2:$G$472,""))</f>
        <v/>
      </c>
      <c r="T2472">
        <f t="shared" si="38"/>
        <v>1</v>
      </c>
    </row>
    <row r="2473" spans="1:20" ht="14.25" hidden="1" customHeight="1">
      <c r="A2473" s="15">
        <v>2472</v>
      </c>
      <c r="B2473" s="16" t="s">
        <v>7641</v>
      </c>
      <c r="C2473" s="17">
        <v>45519</v>
      </c>
      <c r="D2473" s="15" t="s">
        <v>7642</v>
      </c>
      <c r="E2473" s="18" t="s">
        <v>954</v>
      </c>
      <c r="F2473" s="19" t="s">
        <v>569</v>
      </c>
      <c r="G2473" s="18" t="s">
        <v>570</v>
      </c>
      <c r="H2473" s="20" t="s">
        <v>5163</v>
      </c>
      <c r="I2473" s="15">
        <v>1</v>
      </c>
      <c r="J2473" s="15" t="s">
        <v>23</v>
      </c>
      <c r="K2473" s="15"/>
      <c r="L2473" s="21" t="s">
        <v>16</v>
      </c>
      <c r="M2473" s="22">
        <v>0</v>
      </c>
      <c r="N2473" s="22">
        <v>0</v>
      </c>
      <c r="O2473" s="22">
        <v>6600</v>
      </c>
      <c r="P2473" s="22">
        <v>6600</v>
      </c>
      <c r="Q2473" t="str" cm="1">
        <f t="array" ref="Q2473">_xlfn.TEXTJOIN("、",TRUE,IF('學員資料-三民高中'!$B$2:$B$454=$F2473,'學員資料-三民高中'!$G$2:$G$454,""))</f>
        <v/>
      </c>
      <c r="R2473" t="str" cm="1">
        <f t="array" ref="R2473">_xlfn.TEXTJOIN("、",TRUE,IF('學員資料-新北高中'!$B$2:$B$583=$F2473,'學員資料-新北高中'!$G$2:$G$583,""))</f>
        <v>0963296308</v>
      </c>
      <c r="S2473" t="str" cm="1">
        <f t="array" ref="S2473">_xlfn.TEXTJOIN("、",TRUE,IF('學員資料-三重商工'!$B$2:$B$472=$F2473,'學員資料-三重商工'!$G$2:$G$472,""))</f>
        <v/>
      </c>
      <c r="T2473">
        <f t="shared" si="38"/>
        <v>1</v>
      </c>
    </row>
    <row r="2474" spans="1:20" ht="14.25" hidden="1" customHeight="1">
      <c r="A2474" s="15">
        <v>2473</v>
      </c>
      <c r="B2474" s="16" t="s">
        <v>7643</v>
      </c>
      <c r="C2474" s="17">
        <v>45519</v>
      </c>
      <c r="D2474" s="15" t="s">
        <v>7644</v>
      </c>
      <c r="E2474" s="18" t="s">
        <v>954</v>
      </c>
      <c r="F2474" s="19" t="s">
        <v>7645</v>
      </c>
      <c r="G2474" s="18" t="s">
        <v>7646</v>
      </c>
      <c r="H2474" s="20" t="s">
        <v>5163</v>
      </c>
      <c r="I2474" s="15">
        <v>1</v>
      </c>
      <c r="J2474" s="15" t="s">
        <v>23</v>
      </c>
      <c r="K2474" s="15"/>
      <c r="L2474" s="21" t="s">
        <v>16</v>
      </c>
      <c r="M2474" s="22">
        <v>0</v>
      </c>
      <c r="N2474" s="22">
        <v>0</v>
      </c>
      <c r="O2474" s="22">
        <v>6600</v>
      </c>
      <c r="P2474" s="22">
        <v>6600</v>
      </c>
      <c r="Q2474" t="str" cm="1">
        <f t="array" ref="Q2474">_xlfn.TEXTJOIN("、",TRUE,IF('學員資料-三民高中'!$B$2:$B$454=$F2474,'學員資料-三民高中'!$G$2:$G$454,""))</f>
        <v/>
      </c>
      <c r="R2474" t="str" cm="1">
        <f t="array" ref="R2474">_xlfn.TEXTJOIN("、",TRUE,IF('學員資料-新北高中'!$B$2:$B$583=$F2474,'學員資料-新北高中'!$G$2:$G$583,""))</f>
        <v>0900000002</v>
      </c>
      <c r="S2474" t="str" cm="1">
        <f t="array" ref="S2474">_xlfn.TEXTJOIN("、",TRUE,IF('學員資料-三重商工'!$B$2:$B$472=$F2474,'學員資料-三重商工'!$G$2:$G$472,""))</f>
        <v/>
      </c>
      <c r="T2474">
        <f t="shared" si="38"/>
        <v>1</v>
      </c>
    </row>
    <row r="2475" spans="1:20" ht="14.25" hidden="1" customHeight="1">
      <c r="A2475" s="15">
        <v>2474</v>
      </c>
      <c r="B2475" s="16" t="s">
        <v>7647</v>
      </c>
      <c r="C2475" s="17">
        <v>45519</v>
      </c>
      <c r="D2475" s="15" t="s">
        <v>7648</v>
      </c>
      <c r="E2475" s="18" t="s">
        <v>954</v>
      </c>
      <c r="F2475" s="19" t="s">
        <v>7649</v>
      </c>
      <c r="G2475" s="18" t="s">
        <v>7650</v>
      </c>
      <c r="H2475" s="20" t="s">
        <v>683</v>
      </c>
      <c r="I2475" s="15">
        <v>1</v>
      </c>
      <c r="J2475" s="15" t="s">
        <v>23</v>
      </c>
      <c r="K2475" s="15"/>
      <c r="L2475" s="21" t="s">
        <v>16</v>
      </c>
      <c r="M2475" s="22">
        <v>0</v>
      </c>
      <c r="N2475" s="22">
        <v>-900</v>
      </c>
      <c r="O2475" s="22">
        <v>8100</v>
      </c>
      <c r="P2475" s="22">
        <v>8100</v>
      </c>
      <c r="Q2475" t="str" cm="1">
        <f t="array" ref="Q2475">_xlfn.TEXTJOIN("、",TRUE,IF('學員資料-三民高中'!$B$2:$B$454=$F2475,'學員資料-三民高中'!$G$2:$G$454,""))</f>
        <v/>
      </c>
      <c r="R2475" t="str" cm="1">
        <f t="array" ref="R2475">_xlfn.TEXTJOIN("、",TRUE,IF('學員資料-新北高中'!$B$2:$B$583=$F2475,'學員資料-新北高中'!$G$2:$G$583,""))</f>
        <v>0914151085</v>
      </c>
      <c r="S2475" t="str" cm="1">
        <f t="array" ref="S2475">_xlfn.TEXTJOIN("、",TRUE,IF('學員資料-三重商工'!$B$2:$B$472=$F2475,'學員資料-三重商工'!$G$2:$G$472,""))</f>
        <v/>
      </c>
      <c r="T2475">
        <f t="shared" si="38"/>
        <v>1</v>
      </c>
    </row>
    <row r="2476" spans="1:20" ht="14.25" hidden="1" customHeight="1">
      <c r="A2476" s="15">
        <v>2475</v>
      </c>
      <c r="B2476" s="16" t="s">
        <v>7651</v>
      </c>
      <c r="C2476" s="17">
        <v>45519</v>
      </c>
      <c r="D2476" s="15" t="s">
        <v>3839</v>
      </c>
      <c r="E2476" s="18" t="s">
        <v>954</v>
      </c>
      <c r="F2476" s="19" t="s">
        <v>7652</v>
      </c>
      <c r="G2476" s="18" t="s">
        <v>7653</v>
      </c>
      <c r="H2476" s="20" t="s">
        <v>5163</v>
      </c>
      <c r="I2476" s="15">
        <v>1</v>
      </c>
      <c r="J2476" s="15" t="s">
        <v>23</v>
      </c>
      <c r="K2476" s="15"/>
      <c r="L2476" s="21" t="s">
        <v>16</v>
      </c>
      <c r="M2476" s="22">
        <v>0</v>
      </c>
      <c r="N2476" s="22">
        <v>-600</v>
      </c>
      <c r="O2476" s="22">
        <v>6000</v>
      </c>
      <c r="P2476" s="22">
        <v>6000</v>
      </c>
      <c r="Q2476" t="str" cm="1">
        <f t="array" ref="Q2476">_xlfn.TEXTJOIN("、",TRUE,IF('學員資料-三民高中'!$B$2:$B$454=$F2476,'學員資料-三民高中'!$G$2:$G$454,""))</f>
        <v/>
      </c>
      <c r="R2476" t="str" cm="1">
        <f t="array" ref="R2476">_xlfn.TEXTJOIN("、",TRUE,IF('學員資料-新北高中'!$B$2:$B$583=$F2476,'學員資料-新北高中'!$G$2:$G$583,""))</f>
        <v>0945657396</v>
      </c>
      <c r="S2476" t="str" cm="1">
        <f t="array" ref="S2476">_xlfn.TEXTJOIN("、",TRUE,IF('學員資料-三重商工'!$B$2:$B$472=$F2476,'學員資料-三重商工'!$G$2:$G$472,""))</f>
        <v/>
      </c>
      <c r="T2476">
        <f t="shared" si="38"/>
        <v>1</v>
      </c>
    </row>
    <row r="2477" spans="1:20" ht="14.25" hidden="1" customHeight="1">
      <c r="A2477" s="15">
        <v>2476</v>
      </c>
      <c r="B2477" s="16" t="s">
        <v>7654</v>
      </c>
      <c r="C2477" s="17">
        <v>45519</v>
      </c>
      <c r="D2477" s="15" t="s">
        <v>7655</v>
      </c>
      <c r="E2477" s="18" t="s">
        <v>954</v>
      </c>
      <c r="F2477" s="19" t="s">
        <v>7656</v>
      </c>
      <c r="G2477" s="18" t="s">
        <v>7657</v>
      </c>
      <c r="H2477" s="20" t="s">
        <v>5131</v>
      </c>
      <c r="I2477" s="15">
        <v>1</v>
      </c>
      <c r="J2477" s="15" t="s">
        <v>24</v>
      </c>
      <c r="K2477" s="15"/>
      <c r="L2477" s="21" t="s">
        <v>16</v>
      </c>
      <c r="M2477" s="22">
        <v>0</v>
      </c>
      <c r="N2477" s="22">
        <v>0</v>
      </c>
      <c r="O2477" s="22">
        <v>7200</v>
      </c>
      <c r="P2477" s="22">
        <v>7200</v>
      </c>
      <c r="Q2477" t="str" cm="1">
        <f t="array" ref="Q2477">_xlfn.TEXTJOIN("、",TRUE,IF('學員資料-三民高中'!$B$2:$B$454=$F2477,'學員資料-三民高中'!$G$2:$G$454,""))</f>
        <v/>
      </c>
      <c r="R2477" t="str" cm="1">
        <f t="array" ref="R2477">_xlfn.TEXTJOIN("、",TRUE,IF('學員資料-新北高中'!$B$2:$B$583=$F2477,'學員資料-新北高中'!$G$2:$G$583,""))</f>
        <v>0000000005</v>
      </c>
      <c r="S2477" t="str" cm="1">
        <f t="array" ref="S2477">_xlfn.TEXTJOIN("、",TRUE,IF('學員資料-三重商工'!$B$2:$B$472=$F2477,'學員資料-三重商工'!$G$2:$G$472,""))</f>
        <v/>
      </c>
      <c r="T2477">
        <f t="shared" si="38"/>
        <v>1</v>
      </c>
    </row>
    <row r="2478" spans="1:20" ht="14.25" hidden="1" customHeight="1">
      <c r="A2478" s="15">
        <v>2477</v>
      </c>
      <c r="B2478" s="16" t="s">
        <v>7658</v>
      </c>
      <c r="C2478" s="17">
        <v>45519</v>
      </c>
      <c r="D2478" s="15" t="s">
        <v>7659</v>
      </c>
      <c r="E2478" s="18" t="s">
        <v>954</v>
      </c>
      <c r="F2478" s="19" t="s">
        <v>7660</v>
      </c>
      <c r="G2478" s="18" t="s">
        <v>7661</v>
      </c>
      <c r="H2478" s="20" t="s">
        <v>5211</v>
      </c>
      <c r="I2478" s="15">
        <v>1</v>
      </c>
      <c r="J2478" s="15" t="s">
        <v>26</v>
      </c>
      <c r="K2478" s="15"/>
      <c r="L2478" s="21" t="s">
        <v>16</v>
      </c>
      <c r="M2478" s="22">
        <v>0</v>
      </c>
      <c r="N2478" s="22">
        <v>-1080</v>
      </c>
      <c r="O2478" s="22">
        <v>9720</v>
      </c>
      <c r="P2478" s="22">
        <v>9720</v>
      </c>
      <c r="Q2478" t="str" cm="1">
        <f t="array" ref="Q2478">_xlfn.TEXTJOIN("、",TRUE,IF('學員資料-三民高中'!$B$2:$B$454=$F2478,'學員資料-三民高中'!$G$2:$G$454,""))</f>
        <v/>
      </c>
      <c r="R2478" t="str" cm="1">
        <f t="array" ref="R2478">_xlfn.TEXTJOIN("、",TRUE,IF('學員資料-新北高中'!$B$2:$B$583=$F2478,'學員資料-新北高中'!$G$2:$G$583,""))</f>
        <v>0954126337</v>
      </c>
      <c r="S2478" t="str" cm="1">
        <f t="array" ref="S2478">_xlfn.TEXTJOIN("、",TRUE,IF('學員資料-三重商工'!$B$2:$B$472=$F2478,'學員資料-三重商工'!$G$2:$G$472,""))</f>
        <v/>
      </c>
      <c r="T2478">
        <f t="shared" si="38"/>
        <v>1</v>
      </c>
    </row>
    <row r="2479" spans="1:20" ht="14.25" hidden="1" customHeight="1">
      <c r="A2479" s="15">
        <v>2478</v>
      </c>
      <c r="B2479" s="16" t="s">
        <v>7662</v>
      </c>
      <c r="C2479" s="17">
        <v>45519</v>
      </c>
      <c r="D2479" s="15" t="s">
        <v>7663</v>
      </c>
      <c r="E2479" s="18" t="s">
        <v>954</v>
      </c>
      <c r="F2479" s="19" t="s">
        <v>7288</v>
      </c>
      <c r="G2479" s="18" t="s">
        <v>7289</v>
      </c>
      <c r="H2479" s="20" t="s">
        <v>5163</v>
      </c>
      <c r="I2479" s="15">
        <v>1</v>
      </c>
      <c r="J2479" s="15" t="s">
        <v>23</v>
      </c>
      <c r="K2479" s="15"/>
      <c r="L2479" s="21" t="s">
        <v>16</v>
      </c>
      <c r="M2479" s="22">
        <v>0</v>
      </c>
      <c r="N2479" s="22">
        <v>0</v>
      </c>
      <c r="O2479" s="22">
        <v>6600</v>
      </c>
      <c r="P2479" s="22">
        <v>6600</v>
      </c>
      <c r="Q2479" t="str" cm="1">
        <f t="array" ref="Q2479">_xlfn.TEXTJOIN("、",TRUE,IF('學員資料-三民高中'!$B$2:$B$454=$F2479,'學員資料-三民高中'!$G$2:$G$454,""))</f>
        <v/>
      </c>
      <c r="R2479" t="str" cm="1">
        <f t="array" ref="R2479">_xlfn.TEXTJOIN("、",TRUE,IF('學員資料-新北高中'!$B$2:$B$583=$F2479,'學員資料-新北高中'!$G$2:$G$583,""))</f>
        <v>0958934001</v>
      </c>
      <c r="S2479" t="str" cm="1">
        <f t="array" ref="S2479">_xlfn.TEXTJOIN("、",TRUE,IF('學員資料-三重商工'!$B$2:$B$472=$F2479,'學員資料-三重商工'!$G$2:$G$472,""))</f>
        <v/>
      </c>
      <c r="T2479">
        <f t="shared" si="38"/>
        <v>1</v>
      </c>
    </row>
    <row r="2480" spans="1:20" ht="43.5" hidden="1" customHeight="1">
      <c r="A2480" s="15">
        <v>2479</v>
      </c>
      <c r="B2480" s="16" t="s">
        <v>7664</v>
      </c>
      <c r="C2480" s="17">
        <v>45519</v>
      </c>
      <c r="D2480" s="15" t="s">
        <v>7665</v>
      </c>
      <c r="E2480" s="18" t="s">
        <v>954</v>
      </c>
      <c r="F2480" s="19" t="s">
        <v>2301</v>
      </c>
      <c r="G2480" s="18" t="s">
        <v>2302</v>
      </c>
      <c r="H2480" s="20" t="s">
        <v>5436</v>
      </c>
      <c r="I2480" s="15">
        <v>3</v>
      </c>
      <c r="J2480" s="15" t="s">
        <v>24</v>
      </c>
      <c r="K2480" s="15"/>
      <c r="L2480" s="21" t="s">
        <v>16</v>
      </c>
      <c r="M2480" s="22">
        <v>0</v>
      </c>
      <c r="N2480" s="22">
        <v>-2592</v>
      </c>
      <c r="O2480" s="22">
        <v>19008</v>
      </c>
      <c r="P2480" s="22">
        <v>19008</v>
      </c>
      <c r="Q2480" t="str" cm="1">
        <f t="array" ref="Q2480">_xlfn.TEXTJOIN("、",TRUE,IF('學員資料-三民高中'!$B$2:$B$454=$F2480,'學員資料-三民高中'!$G$2:$G$454,""))</f>
        <v/>
      </c>
      <c r="R2480" t="str" cm="1">
        <f t="array" ref="R2480">_xlfn.TEXTJOIN("、",TRUE,IF('學員資料-新北高中'!$B$2:$B$583=$F2480,'學員資料-新北高中'!$G$2:$G$583,""))</f>
        <v>0958224885</v>
      </c>
      <c r="S2480" t="str" cm="1">
        <f t="array" ref="S2480">_xlfn.TEXTJOIN("、",TRUE,IF('學員資料-三重商工'!$B$2:$B$472=$F2480,'學員資料-三重商工'!$G$2:$G$472,""))</f>
        <v/>
      </c>
      <c r="T2480">
        <f t="shared" si="38"/>
        <v>1</v>
      </c>
    </row>
    <row r="2481" spans="1:20" ht="14.25" hidden="1" customHeight="1">
      <c r="A2481" s="15">
        <v>2480</v>
      </c>
      <c r="B2481" s="16" t="s">
        <v>7666</v>
      </c>
      <c r="C2481" s="17">
        <v>45519</v>
      </c>
      <c r="D2481" s="15" t="s">
        <v>7667</v>
      </c>
      <c r="E2481" s="18" t="s">
        <v>954</v>
      </c>
      <c r="F2481" s="19" t="s">
        <v>5285</v>
      </c>
      <c r="G2481" s="18" t="s">
        <v>5286</v>
      </c>
      <c r="H2481" s="20" t="s">
        <v>5180</v>
      </c>
      <c r="I2481" s="15">
        <v>1</v>
      </c>
      <c r="J2481" s="15" t="s">
        <v>24</v>
      </c>
      <c r="K2481" s="15"/>
      <c r="L2481" s="21" t="s">
        <v>16</v>
      </c>
      <c r="M2481" s="22">
        <v>0</v>
      </c>
      <c r="N2481" s="22">
        <v>-1296</v>
      </c>
      <c r="O2481" s="22">
        <v>7344</v>
      </c>
      <c r="P2481" s="22">
        <v>7344</v>
      </c>
      <c r="Q2481" t="str" cm="1">
        <f t="array" ref="Q2481">_xlfn.TEXTJOIN("、",TRUE,IF('學員資料-三民高中'!$B$2:$B$454=$F2481,'學員資料-三民高中'!$G$2:$G$454,""))</f>
        <v/>
      </c>
      <c r="R2481" t="str" cm="1">
        <f t="array" ref="R2481">_xlfn.TEXTJOIN("、",TRUE,IF('學員資料-新北高中'!$B$2:$B$583=$F2481,'學員資料-新北高中'!$G$2:$G$583,""))</f>
        <v>0920408140</v>
      </c>
      <c r="S2481" t="str" cm="1">
        <f t="array" ref="S2481">_xlfn.TEXTJOIN("、",TRUE,IF('學員資料-三重商工'!$B$2:$B$472=$F2481,'學員資料-三重商工'!$G$2:$G$472,""))</f>
        <v/>
      </c>
      <c r="T2481">
        <f t="shared" si="38"/>
        <v>1</v>
      </c>
    </row>
    <row r="2482" spans="1:20" ht="14.25" hidden="1" customHeight="1">
      <c r="A2482" s="15">
        <v>2481</v>
      </c>
      <c r="B2482" s="16" t="s">
        <v>7668</v>
      </c>
      <c r="C2482" s="17">
        <v>45519</v>
      </c>
      <c r="D2482" s="15" t="s">
        <v>7669</v>
      </c>
      <c r="E2482" s="18" t="s">
        <v>954</v>
      </c>
      <c r="F2482" s="19" t="s">
        <v>7670</v>
      </c>
      <c r="G2482" s="18" t="s">
        <v>7671</v>
      </c>
      <c r="H2482" s="20" t="s">
        <v>5180</v>
      </c>
      <c r="I2482" s="15">
        <v>1</v>
      </c>
      <c r="J2482" s="15" t="s">
        <v>24</v>
      </c>
      <c r="K2482" s="15"/>
      <c r="L2482" s="21" t="s">
        <v>16</v>
      </c>
      <c r="M2482" s="22">
        <v>0</v>
      </c>
      <c r="N2482" s="22">
        <v>-864</v>
      </c>
      <c r="O2482" s="22">
        <v>7776</v>
      </c>
      <c r="P2482" s="22">
        <v>7776</v>
      </c>
      <c r="Q2482" t="str" cm="1">
        <f t="array" ref="Q2482">_xlfn.TEXTJOIN("、",TRUE,IF('學員資料-三民高中'!$B$2:$B$454=$F2482,'學員資料-三民高中'!$G$2:$G$454,""))</f>
        <v/>
      </c>
      <c r="R2482" t="str" cm="1">
        <f t="array" ref="R2482">_xlfn.TEXTJOIN("、",TRUE,IF('學員資料-新北高中'!$B$2:$B$583=$F2482,'學員資料-新北高中'!$G$2:$G$583,""))</f>
        <v>0000000000</v>
      </c>
      <c r="S2482" t="str" cm="1">
        <f t="array" ref="S2482">_xlfn.TEXTJOIN("、",TRUE,IF('學員資料-三重商工'!$B$2:$B$472=$F2482,'學員資料-三重商工'!$G$2:$G$472,""))</f>
        <v/>
      </c>
      <c r="T2482">
        <f t="shared" si="38"/>
        <v>1</v>
      </c>
    </row>
    <row r="2483" spans="1:20" ht="14.25" hidden="1" customHeight="1">
      <c r="A2483" s="15">
        <v>2482</v>
      </c>
      <c r="B2483" s="16" t="s">
        <v>7672</v>
      </c>
      <c r="C2483" s="17">
        <v>45519</v>
      </c>
      <c r="D2483" s="15" t="s">
        <v>7673</v>
      </c>
      <c r="E2483" s="18" t="s">
        <v>954</v>
      </c>
      <c r="F2483" s="19" t="s">
        <v>7674</v>
      </c>
      <c r="G2483" s="18" t="s">
        <v>7675</v>
      </c>
      <c r="H2483" s="20" t="s">
        <v>5163</v>
      </c>
      <c r="I2483" s="15">
        <v>1</v>
      </c>
      <c r="J2483" s="15" t="s">
        <v>23</v>
      </c>
      <c r="K2483" s="15"/>
      <c r="L2483" s="21" t="s">
        <v>16</v>
      </c>
      <c r="M2483" s="22">
        <v>0</v>
      </c>
      <c r="N2483" s="22">
        <v>0</v>
      </c>
      <c r="O2483" s="22">
        <v>6600</v>
      </c>
      <c r="P2483" s="22">
        <v>6600</v>
      </c>
      <c r="Q2483" t="str" cm="1">
        <f t="array" ref="Q2483">_xlfn.TEXTJOIN("、",TRUE,IF('學員資料-三民高中'!$B$2:$B$454=$F2483,'學員資料-三民高中'!$G$2:$G$454,""))</f>
        <v/>
      </c>
      <c r="R2483" t="str" cm="1">
        <f t="array" ref="R2483">_xlfn.TEXTJOIN("、",TRUE,IF('學員資料-新北高中'!$B$2:$B$583=$F2483,'學員資料-新北高中'!$G$2:$G$583,""))</f>
        <v>0911111111</v>
      </c>
      <c r="S2483" t="str" cm="1">
        <f t="array" ref="S2483">_xlfn.TEXTJOIN("、",TRUE,IF('學員資料-三重商工'!$B$2:$B$472=$F2483,'學員資料-三重商工'!$G$2:$G$472,""))</f>
        <v/>
      </c>
      <c r="T2483">
        <f t="shared" si="38"/>
        <v>1</v>
      </c>
    </row>
    <row r="2484" spans="1:20" ht="28.5" hidden="1" customHeight="1">
      <c r="A2484" s="15">
        <v>2483</v>
      </c>
      <c r="B2484" s="16" t="s">
        <v>7676</v>
      </c>
      <c r="C2484" s="17">
        <v>45519</v>
      </c>
      <c r="D2484" s="15" t="s">
        <v>7677</v>
      </c>
      <c r="E2484" s="18" t="s">
        <v>954</v>
      </c>
      <c r="F2484" s="19" t="s">
        <v>7678</v>
      </c>
      <c r="G2484" s="18" t="s">
        <v>7679</v>
      </c>
      <c r="H2484" s="20" t="s">
        <v>5154</v>
      </c>
      <c r="I2484" s="15">
        <v>2</v>
      </c>
      <c r="J2484" s="15" t="s">
        <v>24</v>
      </c>
      <c r="K2484" s="15"/>
      <c r="L2484" s="21" t="s">
        <v>16</v>
      </c>
      <c r="M2484" s="22">
        <v>0</v>
      </c>
      <c r="N2484" s="22">
        <v>0</v>
      </c>
      <c r="O2484" s="22">
        <v>14400</v>
      </c>
      <c r="P2484" s="22">
        <v>14400</v>
      </c>
      <c r="Q2484" t="str" cm="1">
        <f t="array" ref="Q2484">_xlfn.TEXTJOIN("、",TRUE,IF('學員資料-三民高中'!$B$2:$B$454=$F2484,'學員資料-三民高中'!$G$2:$G$454,""))</f>
        <v/>
      </c>
      <c r="R2484" t="str" cm="1">
        <f t="array" ref="R2484">_xlfn.TEXTJOIN("、",TRUE,IF('學員資料-新北高中'!$B$2:$B$583=$F2484,'學員資料-新北高中'!$G$2:$G$583,""))</f>
        <v>0912540088</v>
      </c>
      <c r="S2484" t="str" cm="1">
        <f t="array" ref="S2484">_xlfn.TEXTJOIN("、",TRUE,IF('學員資料-三重商工'!$B$2:$B$472=$F2484,'學員資料-三重商工'!$G$2:$G$472,""))</f>
        <v/>
      </c>
      <c r="T2484">
        <f t="shared" si="38"/>
        <v>1</v>
      </c>
    </row>
    <row r="2485" spans="1:20" ht="28.5" hidden="1" customHeight="1">
      <c r="A2485" s="15">
        <v>2484</v>
      </c>
      <c r="B2485" s="16" t="s">
        <v>7680</v>
      </c>
      <c r="C2485" s="17">
        <v>45519</v>
      </c>
      <c r="D2485" s="15" t="s">
        <v>7681</v>
      </c>
      <c r="E2485" s="18" t="s">
        <v>954</v>
      </c>
      <c r="F2485" s="19" t="s">
        <v>7682</v>
      </c>
      <c r="G2485" s="18" t="s">
        <v>7683</v>
      </c>
      <c r="H2485" s="20" t="s">
        <v>5263</v>
      </c>
      <c r="I2485" s="15">
        <v>2</v>
      </c>
      <c r="J2485" s="15" t="s">
        <v>25</v>
      </c>
      <c r="K2485" s="15"/>
      <c r="L2485" s="21" t="s">
        <v>16</v>
      </c>
      <c r="M2485" s="22">
        <v>0</v>
      </c>
      <c r="N2485" s="22">
        <v>0</v>
      </c>
      <c r="O2485" s="22">
        <v>18000</v>
      </c>
      <c r="P2485" s="22">
        <v>18000</v>
      </c>
      <c r="Q2485" t="str" cm="1">
        <f t="array" ref="Q2485">_xlfn.TEXTJOIN("、",TRUE,IF('學員資料-三民高中'!$B$2:$B$454=$F2485,'學員資料-三民高中'!$G$2:$G$454,""))</f>
        <v/>
      </c>
      <c r="R2485" t="str" cm="1">
        <f t="array" ref="R2485">_xlfn.TEXTJOIN("、",TRUE,IF('學員資料-新北高中'!$B$2:$B$583=$F2485,'學員資料-新北高中'!$G$2:$G$583,""))</f>
        <v>0900000001</v>
      </c>
      <c r="S2485" t="str" cm="1">
        <f t="array" ref="S2485">_xlfn.TEXTJOIN("、",TRUE,IF('學員資料-三重商工'!$B$2:$B$472=$F2485,'學員資料-三重商工'!$G$2:$G$472,""))</f>
        <v/>
      </c>
      <c r="T2485">
        <f t="shared" si="38"/>
        <v>1</v>
      </c>
    </row>
    <row r="2486" spans="1:20" ht="14.25" hidden="1" customHeight="1">
      <c r="A2486" s="15">
        <v>2485</v>
      </c>
      <c r="B2486" s="16" t="s">
        <v>7684</v>
      </c>
      <c r="C2486" s="17">
        <v>45519</v>
      </c>
      <c r="D2486" s="15" t="s">
        <v>7685</v>
      </c>
      <c r="E2486" s="18" t="s">
        <v>954</v>
      </c>
      <c r="F2486" s="19" t="s">
        <v>7686</v>
      </c>
      <c r="G2486" s="18" t="s">
        <v>7687</v>
      </c>
      <c r="H2486" s="20" t="s">
        <v>5163</v>
      </c>
      <c r="I2486" s="15">
        <v>1</v>
      </c>
      <c r="J2486" s="15" t="s">
        <v>23</v>
      </c>
      <c r="K2486" s="15"/>
      <c r="L2486" s="21" t="s">
        <v>16</v>
      </c>
      <c r="M2486" s="22">
        <v>0</v>
      </c>
      <c r="N2486" s="22">
        <v>0</v>
      </c>
      <c r="O2486" s="22">
        <v>6600</v>
      </c>
      <c r="P2486" s="22">
        <v>6600</v>
      </c>
      <c r="Q2486" t="str" cm="1">
        <f t="array" ref="Q2486">_xlfn.TEXTJOIN("、",TRUE,IF('學員資料-三民高中'!$B$2:$B$454=$F2486,'學員資料-三民高中'!$G$2:$G$454,""))</f>
        <v/>
      </c>
      <c r="R2486" t="str" cm="1">
        <f t="array" ref="R2486">_xlfn.TEXTJOIN("、",TRUE,IF('學員資料-新北高中'!$B$2:$B$583=$F2486,'學員資料-新北高中'!$G$2:$G$583,""))</f>
        <v>0921932568</v>
      </c>
      <c r="S2486" t="str" cm="1">
        <f t="array" ref="S2486">_xlfn.TEXTJOIN("、",TRUE,IF('學員資料-三重商工'!$B$2:$B$472=$F2486,'學員資料-三重商工'!$G$2:$G$472,""))</f>
        <v/>
      </c>
      <c r="T2486">
        <f t="shared" si="38"/>
        <v>1</v>
      </c>
    </row>
    <row r="2487" spans="1:20" ht="28.5" customHeight="1">
      <c r="A2487" s="15">
        <v>2486</v>
      </c>
      <c r="B2487" s="16" t="s">
        <v>7688</v>
      </c>
      <c r="C2487" s="17">
        <v>45519</v>
      </c>
      <c r="D2487" s="15" t="s">
        <v>7689</v>
      </c>
      <c r="E2487" s="18" t="s">
        <v>954</v>
      </c>
      <c r="F2487" s="19" t="s">
        <v>7690</v>
      </c>
      <c r="G2487" s="23"/>
      <c r="H2487" s="20" t="s">
        <v>5263</v>
      </c>
      <c r="I2487" s="15">
        <v>2</v>
      </c>
      <c r="J2487" s="15" t="s">
        <v>25</v>
      </c>
      <c r="K2487" s="15"/>
      <c r="L2487" s="21" t="s">
        <v>16</v>
      </c>
      <c r="M2487" s="22">
        <v>0</v>
      </c>
      <c r="N2487" s="22">
        <v>0</v>
      </c>
      <c r="O2487" s="22">
        <v>18000</v>
      </c>
      <c r="P2487" s="22">
        <v>18000</v>
      </c>
      <c r="Q2487" t="str" cm="1">
        <f t="array" ref="Q2487">_xlfn.TEXTJOIN("、",TRUE,IF('學員資料-三民高中'!$B$2:$B$454=$F2487,'學員資料-三民高中'!$G$2:$G$454,""))</f>
        <v/>
      </c>
      <c r="R2487" t="str" cm="1">
        <f t="array" ref="R2487">_xlfn.TEXTJOIN("、",TRUE,IF('學員資料-新北高中'!$B$2:$B$583=$F2487,'學員資料-新北高中'!$G$2:$G$583,""))</f>
        <v/>
      </c>
      <c r="S2487" t="str" cm="1">
        <f t="array" ref="S2487">_xlfn.TEXTJOIN("、",TRUE,IF('學員資料-三重商工'!$B$2:$B$472=$F2487,'學員資料-三重商工'!$G$2:$G$472,""))</f>
        <v/>
      </c>
      <c r="T2487">
        <f t="shared" si="38"/>
        <v>0</v>
      </c>
    </row>
    <row r="2488" spans="1:20" ht="14.25" hidden="1" customHeight="1">
      <c r="A2488" s="15">
        <v>2487</v>
      </c>
      <c r="B2488" s="16" t="s">
        <v>7691</v>
      </c>
      <c r="C2488" s="17">
        <v>45519</v>
      </c>
      <c r="D2488" s="15" t="s">
        <v>7692</v>
      </c>
      <c r="E2488" s="18" t="s">
        <v>954</v>
      </c>
      <c r="F2488" s="19" t="s">
        <v>7693</v>
      </c>
      <c r="G2488" s="18" t="s">
        <v>7694</v>
      </c>
      <c r="H2488" s="20" t="s">
        <v>5211</v>
      </c>
      <c r="I2488" s="15">
        <v>1</v>
      </c>
      <c r="J2488" s="15" t="s">
        <v>26</v>
      </c>
      <c r="K2488" s="15"/>
      <c r="L2488" s="21" t="s">
        <v>16</v>
      </c>
      <c r="M2488" s="22">
        <v>0</v>
      </c>
      <c r="N2488" s="22">
        <v>0</v>
      </c>
      <c r="O2488" s="22">
        <v>10800</v>
      </c>
      <c r="P2488" s="22">
        <v>10800</v>
      </c>
      <c r="Q2488" t="str" cm="1">
        <f t="array" ref="Q2488">_xlfn.TEXTJOIN("、",TRUE,IF('學員資料-三民高中'!$B$2:$B$454=$F2488,'學員資料-三民高中'!$G$2:$G$454,""))</f>
        <v/>
      </c>
      <c r="R2488" t="str" cm="1">
        <f t="array" ref="R2488">_xlfn.TEXTJOIN("、",TRUE,IF('學員資料-新北高中'!$B$2:$B$583=$F2488,'學員資料-新北高中'!$G$2:$G$583,""))</f>
        <v>0926598162</v>
      </c>
      <c r="S2488" t="str" cm="1">
        <f t="array" ref="S2488">_xlfn.TEXTJOIN("、",TRUE,IF('學員資料-三重商工'!$B$2:$B$472=$F2488,'學員資料-三重商工'!$G$2:$G$472,""))</f>
        <v/>
      </c>
      <c r="T2488">
        <f t="shared" si="38"/>
        <v>1</v>
      </c>
    </row>
    <row r="2489" spans="1:20" ht="14.25" hidden="1" customHeight="1">
      <c r="A2489" s="15">
        <v>2488</v>
      </c>
      <c r="B2489" s="16" t="s">
        <v>7695</v>
      </c>
      <c r="C2489" s="17">
        <v>45519</v>
      </c>
      <c r="D2489" s="15" t="s">
        <v>7696</v>
      </c>
      <c r="E2489" s="18" t="s">
        <v>954</v>
      </c>
      <c r="F2489" s="19" t="s">
        <v>3754</v>
      </c>
      <c r="G2489" s="18" t="s">
        <v>3755</v>
      </c>
      <c r="H2489" s="20" t="s">
        <v>5131</v>
      </c>
      <c r="I2489" s="15">
        <v>1</v>
      </c>
      <c r="J2489" s="15" t="s">
        <v>24</v>
      </c>
      <c r="K2489" s="15"/>
      <c r="L2489" s="21" t="s">
        <v>16</v>
      </c>
      <c r="M2489" s="22">
        <v>0</v>
      </c>
      <c r="N2489" s="22">
        <v>0</v>
      </c>
      <c r="O2489" s="22">
        <v>7200</v>
      </c>
      <c r="P2489" s="22">
        <v>7200</v>
      </c>
      <c r="Q2489" t="str" cm="1">
        <f t="array" ref="Q2489">_xlfn.TEXTJOIN("、",TRUE,IF('學員資料-三民高中'!$B$2:$B$454=$F2489,'學員資料-三民高中'!$G$2:$G$454,""))</f>
        <v>0928626113</v>
      </c>
      <c r="R2489" t="str" cm="1">
        <f t="array" ref="R2489">_xlfn.TEXTJOIN("、",TRUE,IF('學員資料-新北高中'!$B$2:$B$583=$F2489,'學員資料-新北高中'!$G$2:$G$583,""))</f>
        <v/>
      </c>
      <c r="S2489" t="str" cm="1">
        <f t="array" ref="S2489">_xlfn.TEXTJOIN("、",TRUE,IF('學員資料-三重商工'!$B$2:$B$472=$F2489,'學員資料-三重商工'!$G$2:$G$472,""))</f>
        <v/>
      </c>
      <c r="T2489">
        <f t="shared" si="38"/>
        <v>1</v>
      </c>
    </row>
    <row r="2490" spans="1:20" ht="14.25" hidden="1" customHeight="1">
      <c r="A2490" s="15">
        <v>2489</v>
      </c>
      <c r="B2490" s="16" t="s">
        <v>7697</v>
      </c>
      <c r="C2490" s="17">
        <v>45519</v>
      </c>
      <c r="D2490" s="15" t="s">
        <v>7698</v>
      </c>
      <c r="E2490" s="18" t="s">
        <v>954</v>
      </c>
      <c r="F2490" s="19" t="s">
        <v>3781</v>
      </c>
      <c r="G2490" s="18" t="s">
        <v>3782</v>
      </c>
      <c r="H2490" s="20" t="s">
        <v>5131</v>
      </c>
      <c r="I2490" s="15">
        <v>1</v>
      </c>
      <c r="J2490" s="15" t="s">
        <v>24</v>
      </c>
      <c r="K2490" s="15"/>
      <c r="L2490" s="21" t="s">
        <v>16</v>
      </c>
      <c r="M2490" s="22">
        <v>0</v>
      </c>
      <c r="N2490" s="22">
        <v>-2880</v>
      </c>
      <c r="O2490" s="22">
        <v>4320</v>
      </c>
      <c r="P2490" s="22">
        <v>4320</v>
      </c>
      <c r="Q2490" t="str" cm="1">
        <f t="array" ref="Q2490">_xlfn.TEXTJOIN("、",TRUE,IF('學員資料-三民高中'!$B$2:$B$454=$F2490,'學員資料-三民高中'!$G$2:$G$454,""))</f>
        <v>0919683333</v>
      </c>
      <c r="R2490" t="str" cm="1">
        <f t="array" ref="R2490">_xlfn.TEXTJOIN("、",TRUE,IF('學員資料-新北高中'!$B$2:$B$583=$F2490,'學員資料-新北高中'!$G$2:$G$583,""))</f>
        <v/>
      </c>
      <c r="S2490" t="str" cm="1">
        <f t="array" ref="S2490">_xlfn.TEXTJOIN("、",TRUE,IF('學員資料-三重商工'!$B$2:$B$472=$F2490,'學員資料-三重商工'!$G$2:$G$472,""))</f>
        <v/>
      </c>
      <c r="T2490">
        <f t="shared" si="38"/>
        <v>1</v>
      </c>
    </row>
    <row r="2491" spans="1:20" ht="14.25" hidden="1" customHeight="1">
      <c r="A2491" s="15">
        <v>2490</v>
      </c>
      <c r="B2491" s="16" t="s">
        <v>7699</v>
      </c>
      <c r="C2491" s="17">
        <v>45519</v>
      </c>
      <c r="D2491" s="15" t="s">
        <v>7700</v>
      </c>
      <c r="E2491" s="18" t="s">
        <v>954</v>
      </c>
      <c r="F2491" s="19" t="s">
        <v>7701</v>
      </c>
      <c r="G2491" s="18" t="s">
        <v>7702</v>
      </c>
      <c r="H2491" s="20" t="s">
        <v>5163</v>
      </c>
      <c r="I2491" s="15">
        <v>1</v>
      </c>
      <c r="J2491" s="15" t="s">
        <v>23</v>
      </c>
      <c r="K2491" s="15"/>
      <c r="L2491" s="21" t="s">
        <v>16</v>
      </c>
      <c r="M2491" s="22">
        <v>0</v>
      </c>
      <c r="N2491" s="22">
        <v>-2640</v>
      </c>
      <c r="O2491" s="22">
        <v>3960</v>
      </c>
      <c r="P2491" s="22">
        <v>3960</v>
      </c>
      <c r="Q2491" t="str" cm="1">
        <f t="array" ref="Q2491">_xlfn.TEXTJOIN("、",TRUE,IF('學員資料-三民高中'!$B$2:$B$454=$F2491,'學員資料-三民高中'!$G$2:$G$454,""))</f>
        <v>0933523597</v>
      </c>
      <c r="R2491" t="str" cm="1">
        <f t="array" ref="R2491">_xlfn.TEXTJOIN("、",TRUE,IF('學員資料-新北高中'!$B$2:$B$583=$F2491,'學員資料-新北高中'!$G$2:$G$583,""))</f>
        <v/>
      </c>
      <c r="S2491" t="str" cm="1">
        <f t="array" ref="S2491">_xlfn.TEXTJOIN("、",TRUE,IF('學員資料-三重商工'!$B$2:$B$472=$F2491,'學員資料-三重商工'!$G$2:$G$472,""))</f>
        <v/>
      </c>
      <c r="T2491">
        <f t="shared" si="38"/>
        <v>1</v>
      </c>
    </row>
    <row r="2492" spans="1:20" ht="14.25" hidden="1" customHeight="1">
      <c r="A2492" s="15">
        <v>2491</v>
      </c>
      <c r="B2492" s="16" t="s">
        <v>7703</v>
      </c>
      <c r="C2492" s="17">
        <v>45519</v>
      </c>
      <c r="D2492" s="15" t="s">
        <v>7704</v>
      </c>
      <c r="E2492" s="18" t="s">
        <v>954</v>
      </c>
      <c r="F2492" s="19" t="s">
        <v>7705</v>
      </c>
      <c r="G2492" s="18" t="s">
        <v>7706</v>
      </c>
      <c r="H2492" s="20" t="s">
        <v>5163</v>
      </c>
      <c r="I2492" s="15">
        <v>1</v>
      </c>
      <c r="J2492" s="15" t="s">
        <v>23</v>
      </c>
      <c r="K2492" s="15"/>
      <c r="L2492" s="21" t="s">
        <v>16</v>
      </c>
      <c r="M2492" s="22">
        <v>0</v>
      </c>
      <c r="N2492" s="22">
        <v>-660</v>
      </c>
      <c r="O2492" s="22">
        <v>5940</v>
      </c>
      <c r="P2492" s="22">
        <v>5940</v>
      </c>
      <c r="Q2492" t="str" cm="1">
        <f t="array" ref="Q2492">_xlfn.TEXTJOIN("、",TRUE,IF('學員資料-三民高中'!$B$2:$B$454=$F2492,'學員資料-三民高中'!$G$2:$G$454,""))</f>
        <v>0939392246</v>
      </c>
      <c r="R2492" t="str" cm="1">
        <f t="array" ref="R2492">_xlfn.TEXTJOIN("、",TRUE,IF('學員資料-新北高中'!$B$2:$B$583=$F2492,'學員資料-新北高中'!$G$2:$G$583,""))</f>
        <v/>
      </c>
      <c r="S2492" t="str" cm="1">
        <f t="array" ref="S2492">_xlfn.TEXTJOIN("、",TRUE,IF('學員資料-三重商工'!$B$2:$B$472=$F2492,'學員資料-三重商工'!$G$2:$G$472,""))</f>
        <v/>
      </c>
      <c r="T2492">
        <f t="shared" si="38"/>
        <v>1</v>
      </c>
    </row>
    <row r="2493" spans="1:20" ht="14.25" hidden="1" customHeight="1">
      <c r="A2493" s="15">
        <v>2492</v>
      </c>
      <c r="B2493" s="16" t="s">
        <v>7707</v>
      </c>
      <c r="C2493" s="17">
        <v>45519</v>
      </c>
      <c r="D2493" s="15" t="s">
        <v>7708</v>
      </c>
      <c r="E2493" s="18" t="s">
        <v>954</v>
      </c>
      <c r="F2493" s="19" t="s">
        <v>7709</v>
      </c>
      <c r="G2493" s="18" t="s">
        <v>7710</v>
      </c>
      <c r="H2493" s="20" t="s">
        <v>5148</v>
      </c>
      <c r="I2493" s="15">
        <v>1</v>
      </c>
      <c r="J2493" s="15" t="s">
        <v>25</v>
      </c>
      <c r="K2493" s="15"/>
      <c r="L2493" s="21" t="s">
        <v>16</v>
      </c>
      <c r="M2493" s="22">
        <v>0</v>
      </c>
      <c r="N2493" s="22">
        <v>-2115</v>
      </c>
      <c r="O2493" s="22">
        <v>6885</v>
      </c>
      <c r="P2493" s="22">
        <v>6885</v>
      </c>
      <c r="Q2493" t="str" cm="1">
        <f t="array" ref="Q2493">_xlfn.TEXTJOIN("、",TRUE,IF('學員資料-三民高中'!$B$2:$B$454=$F2493,'學員資料-三民高中'!$G$2:$G$454,""))</f>
        <v/>
      </c>
      <c r="R2493" t="str" cm="1">
        <f t="array" ref="R2493">_xlfn.TEXTJOIN("、",TRUE,IF('學員資料-新北高中'!$B$2:$B$583=$F2493,'學員資料-新北高中'!$G$2:$G$583,""))</f>
        <v>0928700918</v>
      </c>
      <c r="S2493" t="str" cm="1">
        <f t="array" ref="S2493">_xlfn.TEXTJOIN("、",TRUE,IF('學員資料-三重商工'!$B$2:$B$472=$F2493,'學員資料-三重商工'!$G$2:$G$472,""))</f>
        <v/>
      </c>
      <c r="T2493">
        <f t="shared" si="38"/>
        <v>1</v>
      </c>
    </row>
    <row r="2494" spans="1:20" ht="28.5" hidden="1" customHeight="1">
      <c r="A2494" s="15">
        <v>2493</v>
      </c>
      <c r="B2494" s="16" t="s">
        <v>7711</v>
      </c>
      <c r="C2494" s="17">
        <v>45519</v>
      </c>
      <c r="D2494" s="15" t="s">
        <v>7712</v>
      </c>
      <c r="E2494" s="18" t="s">
        <v>954</v>
      </c>
      <c r="F2494" s="19" t="s">
        <v>531</v>
      </c>
      <c r="G2494" s="18" t="s">
        <v>532</v>
      </c>
      <c r="H2494" s="20" t="s">
        <v>5138</v>
      </c>
      <c r="I2494" s="15">
        <v>2</v>
      </c>
      <c r="J2494" s="15" t="s">
        <v>23</v>
      </c>
      <c r="K2494" s="15"/>
      <c r="L2494" s="21" t="s">
        <v>16</v>
      </c>
      <c r="M2494" s="22">
        <v>0</v>
      </c>
      <c r="N2494" s="22">
        <v>0</v>
      </c>
      <c r="O2494" s="22">
        <v>14400</v>
      </c>
      <c r="P2494" s="22">
        <v>14400</v>
      </c>
      <c r="Q2494" t="str" cm="1">
        <f t="array" ref="Q2494">_xlfn.TEXTJOIN("、",TRUE,IF('學員資料-三民高中'!$B$2:$B$454=$F2494,'學員資料-三民高中'!$G$2:$G$454,""))</f>
        <v/>
      </c>
      <c r="R2494" t="str" cm="1">
        <f t="array" ref="R2494">_xlfn.TEXTJOIN("、",TRUE,IF('學員資料-新北高中'!$B$2:$B$583=$F2494,'學員資料-新北高中'!$G$2:$G$583,""))</f>
        <v/>
      </c>
      <c r="S2494" t="str" cm="1">
        <f t="array" ref="S2494">_xlfn.TEXTJOIN("、",TRUE,IF('學員資料-三重商工'!$B$2:$B$472=$F2494,'學員資料-三重商工'!$G$2:$G$472,""))</f>
        <v>0983916765-1</v>
      </c>
      <c r="T2494">
        <f t="shared" si="38"/>
        <v>1</v>
      </c>
    </row>
    <row r="2495" spans="1:20" ht="28.5" hidden="1" customHeight="1">
      <c r="A2495" s="15">
        <v>2494</v>
      </c>
      <c r="B2495" s="16" t="s">
        <v>7713</v>
      </c>
      <c r="C2495" s="17">
        <v>45519</v>
      </c>
      <c r="D2495" s="15" t="s">
        <v>7714</v>
      </c>
      <c r="E2495" s="18" t="s">
        <v>954</v>
      </c>
      <c r="F2495" s="19" t="s">
        <v>531</v>
      </c>
      <c r="G2495" s="18" t="s">
        <v>532</v>
      </c>
      <c r="H2495" s="20" t="s">
        <v>5154</v>
      </c>
      <c r="I2495" s="15">
        <v>2</v>
      </c>
      <c r="J2495" s="15" t="s">
        <v>24</v>
      </c>
      <c r="K2495" s="15"/>
      <c r="L2495" s="21" t="s">
        <v>16</v>
      </c>
      <c r="M2495" s="22">
        <v>0</v>
      </c>
      <c r="N2495" s="22">
        <v>0</v>
      </c>
      <c r="O2495" s="22">
        <v>14400</v>
      </c>
      <c r="P2495" s="22">
        <v>14400</v>
      </c>
      <c r="Q2495" t="str" cm="1">
        <f t="array" ref="Q2495">_xlfn.TEXTJOIN("、",TRUE,IF('學員資料-三民高中'!$B$2:$B$454=$F2495,'學員資料-三民高中'!$G$2:$G$454,""))</f>
        <v/>
      </c>
      <c r="R2495" t="str" cm="1">
        <f t="array" ref="R2495">_xlfn.TEXTJOIN("、",TRUE,IF('學員資料-新北高中'!$B$2:$B$583=$F2495,'學員資料-新北高中'!$G$2:$G$583,""))</f>
        <v/>
      </c>
      <c r="S2495" t="str" cm="1">
        <f t="array" ref="S2495">_xlfn.TEXTJOIN("、",TRUE,IF('學員資料-三重商工'!$B$2:$B$472=$F2495,'學員資料-三重商工'!$G$2:$G$472,""))</f>
        <v>0983916765-1</v>
      </c>
      <c r="T2495">
        <f t="shared" si="38"/>
        <v>1</v>
      </c>
    </row>
    <row r="2496" spans="1:20" ht="14.25" hidden="1" customHeight="1">
      <c r="A2496" s="15">
        <v>2495</v>
      </c>
      <c r="B2496" s="16" t="s">
        <v>7715</v>
      </c>
      <c r="C2496" s="17">
        <v>45519</v>
      </c>
      <c r="D2496" s="15" t="s">
        <v>7716</v>
      </c>
      <c r="E2496" s="18" t="s">
        <v>954</v>
      </c>
      <c r="F2496" s="19" t="s">
        <v>5468</v>
      </c>
      <c r="G2496" s="18" t="s">
        <v>5469</v>
      </c>
      <c r="H2496" s="20" t="s">
        <v>5163</v>
      </c>
      <c r="I2496" s="15">
        <v>1</v>
      </c>
      <c r="J2496" s="15" t="s">
        <v>23</v>
      </c>
      <c r="K2496" s="15"/>
      <c r="L2496" s="21" t="s">
        <v>16</v>
      </c>
      <c r="M2496" s="22">
        <v>0</v>
      </c>
      <c r="N2496" s="22">
        <v>0</v>
      </c>
      <c r="O2496" s="22">
        <v>6600</v>
      </c>
      <c r="P2496" s="22">
        <v>6600</v>
      </c>
      <c r="Q2496" t="str" cm="1">
        <f t="array" ref="Q2496">_xlfn.TEXTJOIN("、",TRUE,IF('學員資料-三民高中'!$B$2:$B$454=$F2496,'學員資料-三民高中'!$G$2:$G$454,""))</f>
        <v>0988538010</v>
      </c>
      <c r="R2496" t="str" cm="1">
        <f t="array" ref="R2496">_xlfn.TEXTJOIN("、",TRUE,IF('學員資料-新北高中'!$B$2:$B$583=$F2496,'學員資料-新北高中'!$G$2:$G$583,""))</f>
        <v/>
      </c>
      <c r="S2496" t="str" cm="1">
        <f t="array" ref="S2496">_xlfn.TEXTJOIN("、",TRUE,IF('學員資料-三重商工'!$B$2:$B$472=$F2496,'學員資料-三重商工'!$G$2:$G$472,""))</f>
        <v/>
      </c>
      <c r="T2496">
        <f t="shared" si="38"/>
        <v>1</v>
      </c>
    </row>
    <row r="2497" spans="1:20" ht="14.25" hidden="1" customHeight="1">
      <c r="A2497" s="15">
        <v>2496</v>
      </c>
      <c r="B2497" s="16" t="s">
        <v>7717</v>
      </c>
      <c r="C2497" s="17">
        <v>45519</v>
      </c>
      <c r="D2497" s="15" t="s">
        <v>7718</v>
      </c>
      <c r="E2497" s="18" t="s">
        <v>954</v>
      </c>
      <c r="F2497" s="19" t="s">
        <v>7719</v>
      </c>
      <c r="G2497" s="18" t="s">
        <v>7720</v>
      </c>
      <c r="H2497" s="20" t="s">
        <v>5163</v>
      </c>
      <c r="I2497" s="15">
        <v>1</v>
      </c>
      <c r="J2497" s="15" t="s">
        <v>23</v>
      </c>
      <c r="K2497" s="15"/>
      <c r="L2497" s="21" t="s">
        <v>16</v>
      </c>
      <c r="M2497" s="22">
        <v>0</v>
      </c>
      <c r="N2497" s="22">
        <v>0</v>
      </c>
      <c r="O2497" s="22">
        <v>6600</v>
      </c>
      <c r="P2497" s="22">
        <v>6600</v>
      </c>
      <c r="Q2497" t="str" cm="1">
        <f t="array" ref="Q2497">_xlfn.TEXTJOIN("、",TRUE,IF('學員資料-三民高中'!$B$2:$B$454=$F2497,'學員資料-三民高中'!$G$2:$G$454,""))</f>
        <v/>
      </c>
      <c r="R2497" t="str" cm="1">
        <f t="array" ref="R2497">_xlfn.TEXTJOIN("、",TRUE,IF('學員資料-新北高中'!$B$2:$B$583=$F2497,'學員資料-新北高中'!$G$2:$G$583,""))</f>
        <v/>
      </c>
      <c r="S2497" t="str" cm="1">
        <f t="array" ref="S2497">_xlfn.TEXTJOIN("、",TRUE,IF('學員資料-三重商工'!$B$2:$B$472=$F2497,'學員資料-三重商工'!$G$2:$G$472,""))</f>
        <v>0955089833</v>
      </c>
      <c r="T2497">
        <f t="shared" si="38"/>
        <v>1</v>
      </c>
    </row>
    <row r="2498" spans="1:20" ht="28.5" hidden="1" customHeight="1">
      <c r="A2498" s="15">
        <v>2497</v>
      </c>
      <c r="B2498" s="16" t="s">
        <v>7721</v>
      </c>
      <c r="C2498" s="17">
        <v>45519</v>
      </c>
      <c r="D2498" s="15" t="s">
        <v>7722</v>
      </c>
      <c r="E2498" s="18" t="s">
        <v>954</v>
      </c>
      <c r="F2498" s="19" t="s">
        <v>1001</v>
      </c>
      <c r="G2498" s="18" t="s">
        <v>1002</v>
      </c>
      <c r="H2498" s="20" t="s">
        <v>5154</v>
      </c>
      <c r="I2498" s="15">
        <v>2</v>
      </c>
      <c r="J2498" s="15" t="s">
        <v>24</v>
      </c>
      <c r="K2498" s="15"/>
      <c r="L2498" s="21" t="s">
        <v>16</v>
      </c>
      <c r="M2498" s="22">
        <v>0</v>
      </c>
      <c r="N2498" s="22">
        <v>-1440</v>
      </c>
      <c r="O2498" s="22">
        <v>12960</v>
      </c>
      <c r="P2498" s="22">
        <v>12960</v>
      </c>
      <c r="Q2498" t="str" cm="1">
        <f t="array" ref="Q2498">_xlfn.TEXTJOIN("、",TRUE,IF('學員資料-三民高中'!$B$2:$B$454=$F2498,'學員資料-三民高中'!$G$2:$G$454,""))</f>
        <v>0955554989</v>
      </c>
      <c r="R2498" t="str" cm="1">
        <f t="array" ref="R2498">_xlfn.TEXTJOIN("、",TRUE,IF('學員資料-新北高中'!$B$2:$B$583=$F2498,'學員資料-新北高中'!$G$2:$G$583,""))</f>
        <v/>
      </c>
      <c r="S2498" t="str" cm="1">
        <f t="array" ref="S2498">_xlfn.TEXTJOIN("、",TRUE,IF('學員資料-三重商工'!$B$2:$B$472=$F2498,'學員資料-三重商工'!$G$2:$G$472,""))</f>
        <v/>
      </c>
      <c r="T2498">
        <f t="shared" si="38"/>
        <v>1</v>
      </c>
    </row>
    <row r="2499" spans="1:20" ht="14.25" hidden="1" customHeight="1">
      <c r="A2499" s="15">
        <v>2498</v>
      </c>
      <c r="B2499" s="16" t="s">
        <v>7723</v>
      </c>
      <c r="C2499" s="17">
        <v>45519</v>
      </c>
      <c r="D2499" s="15" t="s">
        <v>7724</v>
      </c>
      <c r="E2499" s="18" t="s">
        <v>954</v>
      </c>
      <c r="F2499" s="19" t="s">
        <v>7725</v>
      </c>
      <c r="G2499" s="18" t="s">
        <v>7726</v>
      </c>
      <c r="H2499" s="20" t="s">
        <v>5131</v>
      </c>
      <c r="I2499" s="15">
        <v>1</v>
      </c>
      <c r="J2499" s="15" t="s">
        <v>24</v>
      </c>
      <c r="K2499" s="15"/>
      <c r="L2499" s="21" t="s">
        <v>16</v>
      </c>
      <c r="M2499" s="22">
        <v>0</v>
      </c>
      <c r="N2499" s="22">
        <v>0</v>
      </c>
      <c r="O2499" s="22">
        <v>7200</v>
      </c>
      <c r="P2499" s="22">
        <v>7200</v>
      </c>
      <c r="Q2499" t="str" cm="1">
        <f t="array" ref="Q2499">_xlfn.TEXTJOIN("、",TRUE,IF('學員資料-三民高中'!$B$2:$B$454=$F2499,'學員資料-三民高中'!$G$2:$G$454,""))</f>
        <v/>
      </c>
      <c r="R2499" t="str" cm="1">
        <f t="array" ref="R2499">_xlfn.TEXTJOIN("、",TRUE,IF('學員資料-新北高中'!$B$2:$B$583=$F2499,'學員資料-新北高中'!$G$2:$G$583,""))</f>
        <v/>
      </c>
      <c r="S2499" t="str" cm="1">
        <f t="array" ref="S2499">_xlfn.TEXTJOIN("、",TRUE,IF('學員資料-三重商工'!$B$2:$B$472=$F2499,'學員資料-三重商工'!$G$2:$G$472,""))</f>
        <v>0928256839</v>
      </c>
      <c r="T2499">
        <f t="shared" ref="T2499:T2562" si="39">3-COUNTBLANK(Q2499:S2499)</f>
        <v>1</v>
      </c>
    </row>
    <row r="2500" spans="1:20" ht="14.25" hidden="1" customHeight="1">
      <c r="A2500" s="15">
        <v>2499</v>
      </c>
      <c r="B2500" s="16" t="s">
        <v>7727</v>
      </c>
      <c r="C2500" s="17">
        <v>45519</v>
      </c>
      <c r="D2500" s="15" t="s">
        <v>7728</v>
      </c>
      <c r="E2500" s="18" t="s">
        <v>954</v>
      </c>
      <c r="F2500" s="19" t="s">
        <v>7729</v>
      </c>
      <c r="G2500" s="18" t="s">
        <v>7730</v>
      </c>
      <c r="H2500" s="20" t="s">
        <v>5131</v>
      </c>
      <c r="I2500" s="15">
        <v>1</v>
      </c>
      <c r="J2500" s="15" t="s">
        <v>24</v>
      </c>
      <c r="K2500" s="15"/>
      <c r="L2500" s="21" t="s">
        <v>16</v>
      </c>
      <c r="M2500" s="22">
        <v>0</v>
      </c>
      <c r="N2500" s="22">
        <v>-2880</v>
      </c>
      <c r="O2500" s="22">
        <v>4320</v>
      </c>
      <c r="P2500" s="22">
        <v>4320</v>
      </c>
      <c r="Q2500" t="str" cm="1">
        <f t="array" ref="Q2500">_xlfn.TEXTJOIN("、",TRUE,IF('學員資料-三民高中'!$B$2:$B$454=$F2500,'學員資料-三民高中'!$G$2:$G$454,""))</f>
        <v/>
      </c>
      <c r="R2500" t="str" cm="1">
        <f t="array" ref="R2500">_xlfn.TEXTJOIN("、",TRUE,IF('學員資料-新北高中'!$B$2:$B$583=$F2500,'學員資料-新北高中'!$G$2:$G$583,""))</f>
        <v>0928946657</v>
      </c>
      <c r="S2500" t="str" cm="1">
        <f t="array" ref="S2500">_xlfn.TEXTJOIN("、",TRUE,IF('學員資料-三重商工'!$B$2:$B$472=$F2500,'學員資料-三重商工'!$G$2:$G$472,""))</f>
        <v/>
      </c>
      <c r="T2500">
        <f t="shared" si="39"/>
        <v>1</v>
      </c>
    </row>
    <row r="2501" spans="1:20" ht="14.25" hidden="1" customHeight="1">
      <c r="A2501" s="15">
        <v>2500</v>
      </c>
      <c r="B2501" s="16" t="s">
        <v>7731</v>
      </c>
      <c r="C2501" s="17">
        <v>45519</v>
      </c>
      <c r="D2501" s="15" t="s">
        <v>7732</v>
      </c>
      <c r="E2501" s="18" t="s">
        <v>954</v>
      </c>
      <c r="F2501" s="19" t="s">
        <v>7709</v>
      </c>
      <c r="G2501" s="18" t="s">
        <v>7710</v>
      </c>
      <c r="H2501" s="20" t="s">
        <v>5148</v>
      </c>
      <c r="I2501" s="15">
        <v>1</v>
      </c>
      <c r="J2501" s="15" t="s">
        <v>25</v>
      </c>
      <c r="K2501" s="15"/>
      <c r="L2501" s="21" t="s">
        <v>16</v>
      </c>
      <c r="M2501" s="22">
        <v>0</v>
      </c>
      <c r="N2501" s="22">
        <v>-2115</v>
      </c>
      <c r="O2501" s="22">
        <v>6885</v>
      </c>
      <c r="P2501" s="22">
        <v>6885</v>
      </c>
      <c r="Q2501" t="str" cm="1">
        <f t="array" ref="Q2501">_xlfn.TEXTJOIN("、",TRUE,IF('學員資料-三民高中'!$B$2:$B$454=$F2501,'學員資料-三民高中'!$G$2:$G$454,""))</f>
        <v/>
      </c>
      <c r="R2501" t="str" cm="1">
        <f t="array" ref="R2501">_xlfn.TEXTJOIN("、",TRUE,IF('學員資料-新北高中'!$B$2:$B$583=$F2501,'學員資料-新北高中'!$G$2:$G$583,""))</f>
        <v>0928700918</v>
      </c>
      <c r="S2501" t="str" cm="1">
        <f t="array" ref="S2501">_xlfn.TEXTJOIN("、",TRUE,IF('學員資料-三重商工'!$B$2:$B$472=$F2501,'學員資料-三重商工'!$G$2:$G$472,""))</f>
        <v/>
      </c>
      <c r="T2501">
        <f t="shared" si="39"/>
        <v>1</v>
      </c>
    </row>
    <row r="2502" spans="1:20" ht="14.25" hidden="1" customHeight="1">
      <c r="A2502" s="15">
        <v>2501</v>
      </c>
      <c r="B2502" s="16" t="s">
        <v>7733</v>
      </c>
      <c r="C2502" s="17">
        <v>45519</v>
      </c>
      <c r="D2502" s="15" t="s">
        <v>7734</v>
      </c>
      <c r="E2502" s="18" t="s">
        <v>954</v>
      </c>
      <c r="F2502" s="19" t="s">
        <v>7735</v>
      </c>
      <c r="G2502" s="18" t="s">
        <v>7736</v>
      </c>
      <c r="H2502" s="20" t="s">
        <v>5211</v>
      </c>
      <c r="I2502" s="15">
        <v>1</v>
      </c>
      <c r="J2502" s="15" t="s">
        <v>26</v>
      </c>
      <c r="K2502" s="15"/>
      <c r="L2502" s="21" t="s">
        <v>16</v>
      </c>
      <c r="M2502" s="22">
        <v>0</v>
      </c>
      <c r="N2502" s="22">
        <v>-2640</v>
      </c>
      <c r="O2502" s="22">
        <v>8160</v>
      </c>
      <c r="P2502" s="22">
        <v>8160</v>
      </c>
      <c r="Q2502" t="str" cm="1">
        <f t="array" ref="Q2502">_xlfn.TEXTJOIN("、",TRUE,IF('學員資料-三民高中'!$B$2:$B$454=$F2502,'學員資料-三民高中'!$G$2:$G$454,""))</f>
        <v/>
      </c>
      <c r="R2502" t="str" cm="1">
        <f t="array" ref="R2502">_xlfn.TEXTJOIN("、",TRUE,IF('學員資料-新北高中'!$B$2:$B$583=$F2502,'學員資料-新北高中'!$G$2:$G$583,""))</f>
        <v>0917766323-1</v>
      </c>
      <c r="S2502" t="str" cm="1">
        <f t="array" ref="S2502">_xlfn.TEXTJOIN("、",TRUE,IF('學員資料-三重商工'!$B$2:$B$472=$F2502,'學員資料-三重商工'!$G$2:$G$472,""))</f>
        <v/>
      </c>
      <c r="T2502">
        <f t="shared" si="39"/>
        <v>1</v>
      </c>
    </row>
    <row r="2503" spans="1:20" ht="14.25" hidden="1" customHeight="1">
      <c r="A2503" s="15">
        <v>2502</v>
      </c>
      <c r="B2503" s="16" t="s">
        <v>7737</v>
      </c>
      <c r="C2503" s="17">
        <v>45519</v>
      </c>
      <c r="D2503" s="15" t="s">
        <v>7738</v>
      </c>
      <c r="E2503" s="18" t="s">
        <v>954</v>
      </c>
      <c r="F2503" s="19" t="s">
        <v>2970</v>
      </c>
      <c r="G2503" s="18" t="s">
        <v>2971</v>
      </c>
      <c r="H2503" s="20" t="s">
        <v>5131</v>
      </c>
      <c r="I2503" s="15">
        <v>1</v>
      </c>
      <c r="J2503" s="15" t="s">
        <v>24</v>
      </c>
      <c r="K2503" s="15"/>
      <c r="L2503" s="21" t="s">
        <v>16</v>
      </c>
      <c r="M2503" s="22">
        <v>0</v>
      </c>
      <c r="N2503" s="22">
        <v>-720</v>
      </c>
      <c r="O2503" s="22">
        <v>6480</v>
      </c>
      <c r="P2503" s="22">
        <v>6480</v>
      </c>
      <c r="Q2503" t="str" cm="1">
        <f t="array" ref="Q2503">_xlfn.TEXTJOIN("、",TRUE,IF('學員資料-三民高中'!$B$2:$B$454=$F2503,'學員資料-三民高中'!$G$2:$G$454,""))</f>
        <v/>
      </c>
      <c r="R2503" t="str" cm="1">
        <f t="array" ref="R2503">_xlfn.TEXTJOIN("、",TRUE,IF('學員資料-新北高中'!$B$2:$B$583=$F2503,'學員資料-新北高中'!$G$2:$G$583,""))</f>
        <v>0928500335</v>
      </c>
      <c r="S2503" t="str" cm="1">
        <f t="array" ref="S2503">_xlfn.TEXTJOIN("、",TRUE,IF('學員資料-三重商工'!$B$2:$B$472=$F2503,'學員資料-三重商工'!$G$2:$G$472,""))</f>
        <v/>
      </c>
      <c r="T2503">
        <f t="shared" si="39"/>
        <v>1</v>
      </c>
    </row>
    <row r="2504" spans="1:20" ht="101.25" hidden="1" customHeight="1">
      <c r="A2504" s="15">
        <v>2503</v>
      </c>
      <c r="B2504" s="16" t="s">
        <v>7739</v>
      </c>
      <c r="C2504" s="17">
        <v>45519</v>
      </c>
      <c r="D2504" s="15" t="s">
        <v>7740</v>
      </c>
      <c r="E2504" s="18" t="s">
        <v>954</v>
      </c>
      <c r="F2504" s="19" t="s">
        <v>2031</v>
      </c>
      <c r="G2504" s="18" t="s">
        <v>2032</v>
      </c>
      <c r="H2504" s="20" t="s">
        <v>6757</v>
      </c>
      <c r="I2504" s="15">
        <v>7</v>
      </c>
      <c r="J2504" s="15" t="s">
        <v>23</v>
      </c>
      <c r="K2504" s="15"/>
      <c r="L2504" s="21" t="s">
        <v>16</v>
      </c>
      <c r="M2504" s="22">
        <v>0</v>
      </c>
      <c r="N2504" s="22">
        <v>-7560</v>
      </c>
      <c r="O2504" s="22">
        <v>55440</v>
      </c>
      <c r="P2504" s="22">
        <v>55440</v>
      </c>
      <c r="Q2504" t="str" cm="1">
        <f t="array" ref="Q2504">_xlfn.TEXTJOIN("、",TRUE,IF('學員資料-三民高中'!$B$2:$B$454=$F2504,'學員資料-三民高中'!$G$2:$G$454,""))</f>
        <v/>
      </c>
      <c r="R2504" t="str" cm="1">
        <f t="array" ref="R2504">_xlfn.TEXTJOIN("、",TRUE,IF('學員資料-新北高中'!$B$2:$B$583=$F2504,'學員資料-新北高中'!$G$2:$G$583,""))</f>
        <v>0911143119</v>
      </c>
      <c r="S2504" t="str" cm="1">
        <f t="array" ref="S2504">_xlfn.TEXTJOIN("、",TRUE,IF('學員資料-三重商工'!$B$2:$B$472=$F2504,'學員資料-三重商工'!$G$2:$G$472,""))</f>
        <v/>
      </c>
      <c r="T2504">
        <f t="shared" si="39"/>
        <v>1</v>
      </c>
    </row>
    <row r="2505" spans="1:20" ht="28.5" hidden="1" customHeight="1">
      <c r="A2505" s="15">
        <v>2504</v>
      </c>
      <c r="B2505" s="16" t="s">
        <v>7741</v>
      </c>
      <c r="C2505" s="17">
        <v>45519</v>
      </c>
      <c r="D2505" s="15" t="s">
        <v>7742</v>
      </c>
      <c r="E2505" s="18" t="s">
        <v>954</v>
      </c>
      <c r="F2505" s="19" t="s">
        <v>7743</v>
      </c>
      <c r="G2505" s="18" t="s">
        <v>7744</v>
      </c>
      <c r="H2505" s="20" t="s">
        <v>5263</v>
      </c>
      <c r="I2505" s="15">
        <v>2</v>
      </c>
      <c r="J2505" s="15" t="s">
        <v>25</v>
      </c>
      <c r="K2505" s="15"/>
      <c r="L2505" s="21" t="s">
        <v>16</v>
      </c>
      <c r="M2505" s="22">
        <v>0</v>
      </c>
      <c r="N2505" s="22">
        <v>-4230</v>
      </c>
      <c r="O2505" s="22">
        <v>13770</v>
      </c>
      <c r="P2505" s="22">
        <v>13770</v>
      </c>
      <c r="Q2505" t="str" cm="1">
        <f t="array" ref="Q2505">_xlfn.TEXTJOIN("、",TRUE,IF('學員資料-三民高中'!$B$2:$B$454=$F2505,'學員資料-三民高中'!$G$2:$G$454,""))</f>
        <v/>
      </c>
      <c r="R2505" t="str" cm="1">
        <f t="array" ref="R2505">_xlfn.TEXTJOIN("、",TRUE,IF('學員資料-新北高中'!$B$2:$B$583=$F2505,'學員資料-新北高中'!$G$2:$G$583,""))</f>
        <v>0917766323</v>
      </c>
      <c r="S2505" t="str" cm="1">
        <f t="array" ref="S2505">_xlfn.TEXTJOIN("、",TRUE,IF('學員資料-三重商工'!$B$2:$B$472=$F2505,'學員資料-三重商工'!$G$2:$G$472,""))</f>
        <v/>
      </c>
      <c r="T2505">
        <f t="shared" si="39"/>
        <v>1</v>
      </c>
    </row>
    <row r="2506" spans="1:20" ht="28.5" hidden="1" customHeight="1">
      <c r="A2506" s="15">
        <v>2505</v>
      </c>
      <c r="B2506" s="16" t="s">
        <v>7745</v>
      </c>
      <c r="C2506" s="17">
        <v>45518</v>
      </c>
      <c r="D2506" s="15" t="s">
        <v>7746</v>
      </c>
      <c r="E2506" s="18" t="s">
        <v>954</v>
      </c>
      <c r="F2506" s="19" t="s">
        <v>1756</v>
      </c>
      <c r="G2506" s="18" t="s">
        <v>1757</v>
      </c>
      <c r="H2506" s="20" t="s">
        <v>5206</v>
      </c>
      <c r="I2506" s="15">
        <v>2</v>
      </c>
      <c r="J2506" s="15" t="s">
        <v>23</v>
      </c>
      <c r="K2506" s="15"/>
      <c r="L2506" s="21" t="s">
        <v>16</v>
      </c>
      <c r="M2506" s="22">
        <v>0</v>
      </c>
      <c r="N2506" s="22">
        <v>-1320</v>
      </c>
      <c r="O2506" s="22">
        <v>11880</v>
      </c>
      <c r="P2506" s="22">
        <v>11880</v>
      </c>
      <c r="Q2506" t="str" cm="1">
        <f t="array" ref="Q2506">_xlfn.TEXTJOIN("、",TRUE,IF('學員資料-三民高中'!$B$2:$B$454=$F2506,'學員資料-三民高中'!$G$2:$G$454,""))</f>
        <v/>
      </c>
      <c r="R2506" t="str" cm="1">
        <f t="array" ref="R2506">_xlfn.TEXTJOIN("、",TRUE,IF('學員資料-新北高中'!$B$2:$B$583=$F2506,'學員資料-新北高中'!$G$2:$G$583,""))</f>
        <v/>
      </c>
      <c r="S2506" t="str" cm="1">
        <f t="array" ref="S2506">_xlfn.TEXTJOIN("、",TRUE,IF('學員資料-三重商工'!$B$2:$B$472=$F2506,'學員資料-三重商工'!$G$2:$G$472,""))</f>
        <v>0975650503</v>
      </c>
      <c r="T2506">
        <f t="shared" si="39"/>
        <v>1</v>
      </c>
    </row>
    <row r="2507" spans="1:20" ht="28.5" customHeight="1">
      <c r="A2507" s="15">
        <v>2506</v>
      </c>
      <c r="B2507" s="16" t="s">
        <v>7747</v>
      </c>
      <c r="C2507" s="17">
        <v>45518</v>
      </c>
      <c r="D2507" s="15" t="s">
        <v>7748</v>
      </c>
      <c r="E2507" s="18" t="s">
        <v>954</v>
      </c>
      <c r="F2507" s="19" t="s">
        <v>7749</v>
      </c>
      <c r="G2507" s="23"/>
      <c r="H2507" s="20" t="s">
        <v>5206</v>
      </c>
      <c r="I2507" s="15">
        <v>2</v>
      </c>
      <c r="J2507" s="15" t="s">
        <v>23</v>
      </c>
      <c r="K2507" s="15"/>
      <c r="L2507" s="21" t="s">
        <v>16</v>
      </c>
      <c r="M2507" s="22">
        <v>0</v>
      </c>
      <c r="N2507" s="22">
        <v>-1320</v>
      </c>
      <c r="O2507" s="22">
        <v>11880</v>
      </c>
      <c r="P2507" s="22">
        <v>11880</v>
      </c>
      <c r="Q2507" t="str" cm="1">
        <f t="array" ref="Q2507">_xlfn.TEXTJOIN("、",TRUE,IF('學員資料-三民高中'!$B$2:$B$454=$F2507,'學員資料-三民高中'!$G$2:$G$454,""))</f>
        <v/>
      </c>
      <c r="R2507" t="str" cm="1">
        <f t="array" ref="R2507">_xlfn.TEXTJOIN("、",TRUE,IF('學員資料-新北高中'!$B$2:$B$583=$F2507,'學員資料-新北高中'!$G$2:$G$583,""))</f>
        <v/>
      </c>
      <c r="S2507" t="str" cm="1">
        <f t="array" ref="S2507">_xlfn.TEXTJOIN("、",TRUE,IF('學員資料-三重商工'!$B$2:$B$472=$F2507,'學員資料-三重商工'!$G$2:$G$472,""))</f>
        <v/>
      </c>
      <c r="T2507">
        <f t="shared" si="39"/>
        <v>0</v>
      </c>
    </row>
    <row r="2508" spans="1:20" ht="28.5" hidden="1" customHeight="1">
      <c r="A2508" s="15">
        <v>2507</v>
      </c>
      <c r="B2508" s="16" t="s">
        <v>7750</v>
      </c>
      <c r="C2508" s="17">
        <v>45518</v>
      </c>
      <c r="D2508" s="15" t="s">
        <v>7751</v>
      </c>
      <c r="E2508" s="18" t="s">
        <v>954</v>
      </c>
      <c r="F2508" s="19" t="s">
        <v>7752</v>
      </c>
      <c r="G2508" s="18" t="s">
        <v>7753</v>
      </c>
      <c r="H2508" s="20" t="s">
        <v>5206</v>
      </c>
      <c r="I2508" s="15">
        <v>2</v>
      </c>
      <c r="J2508" s="15" t="s">
        <v>23</v>
      </c>
      <c r="K2508" s="15"/>
      <c r="L2508" s="21" t="s">
        <v>16</v>
      </c>
      <c r="M2508" s="22">
        <v>0</v>
      </c>
      <c r="N2508" s="22">
        <v>-1320</v>
      </c>
      <c r="O2508" s="22">
        <v>11880</v>
      </c>
      <c r="P2508" s="22">
        <v>11880</v>
      </c>
      <c r="Q2508" t="str" cm="1">
        <f t="array" ref="Q2508">_xlfn.TEXTJOIN("、",TRUE,IF('學員資料-三民高中'!$B$2:$B$454=$F2508,'學員資料-三民高中'!$G$2:$G$454,""))</f>
        <v>0926956951</v>
      </c>
      <c r="R2508" t="str" cm="1">
        <f t="array" ref="R2508">_xlfn.TEXTJOIN("、",TRUE,IF('學員資料-新北高中'!$B$2:$B$583=$F2508,'學員資料-新北高中'!$G$2:$G$583,""))</f>
        <v/>
      </c>
      <c r="S2508" t="str" cm="1">
        <f t="array" ref="S2508">_xlfn.TEXTJOIN("、",TRUE,IF('學員資料-三重商工'!$B$2:$B$472=$F2508,'學員資料-三重商工'!$G$2:$G$472,""))</f>
        <v/>
      </c>
      <c r="T2508">
        <f t="shared" si="39"/>
        <v>1</v>
      </c>
    </row>
    <row r="2509" spans="1:20" ht="14.25" hidden="1" customHeight="1">
      <c r="A2509" s="15">
        <v>2508</v>
      </c>
      <c r="B2509" s="16" t="s">
        <v>7754</v>
      </c>
      <c r="C2509" s="17">
        <v>45518</v>
      </c>
      <c r="D2509" s="15" t="s">
        <v>7755</v>
      </c>
      <c r="E2509" s="18" t="s">
        <v>954</v>
      </c>
      <c r="F2509" s="19" t="s">
        <v>7756</v>
      </c>
      <c r="G2509" s="18" t="s">
        <v>7757</v>
      </c>
      <c r="H2509" s="20" t="s">
        <v>5131</v>
      </c>
      <c r="I2509" s="15">
        <v>1</v>
      </c>
      <c r="J2509" s="15" t="s">
        <v>24</v>
      </c>
      <c r="K2509" s="15"/>
      <c r="L2509" s="21" t="s">
        <v>16</v>
      </c>
      <c r="M2509" s="22">
        <v>0</v>
      </c>
      <c r="N2509" s="22">
        <v>-720</v>
      </c>
      <c r="O2509" s="22">
        <v>6480</v>
      </c>
      <c r="P2509" s="22">
        <v>6480</v>
      </c>
      <c r="Q2509" t="str" cm="1">
        <f t="array" ref="Q2509">_xlfn.TEXTJOIN("、",TRUE,IF('學員資料-三民高中'!$B$2:$B$454=$F2509,'學員資料-三民高中'!$G$2:$G$454,""))</f>
        <v>0917555574</v>
      </c>
      <c r="R2509" t="str" cm="1">
        <f t="array" ref="R2509">_xlfn.TEXTJOIN("、",TRUE,IF('學員資料-新北高中'!$B$2:$B$583=$F2509,'學員資料-新北高中'!$G$2:$G$583,""))</f>
        <v/>
      </c>
      <c r="S2509" t="str" cm="1">
        <f t="array" ref="S2509">_xlfn.TEXTJOIN("、",TRUE,IF('學員資料-三重商工'!$B$2:$B$472=$F2509,'學員資料-三重商工'!$G$2:$G$472,""))</f>
        <v/>
      </c>
      <c r="T2509">
        <f t="shared" si="39"/>
        <v>1</v>
      </c>
    </row>
    <row r="2510" spans="1:20" ht="14.25" hidden="1" customHeight="1">
      <c r="A2510" s="15">
        <v>2509</v>
      </c>
      <c r="B2510" s="16" t="s">
        <v>7758</v>
      </c>
      <c r="C2510" s="17">
        <v>45518</v>
      </c>
      <c r="D2510" s="15" t="s">
        <v>7759</v>
      </c>
      <c r="E2510" s="18" t="s">
        <v>954</v>
      </c>
      <c r="F2510" s="19" t="s">
        <v>7760</v>
      </c>
      <c r="G2510" s="18" t="s">
        <v>7761</v>
      </c>
      <c r="H2510" s="20" t="s">
        <v>5131</v>
      </c>
      <c r="I2510" s="15">
        <v>1</v>
      </c>
      <c r="J2510" s="15" t="s">
        <v>24</v>
      </c>
      <c r="K2510" s="15"/>
      <c r="L2510" s="21" t="s">
        <v>16</v>
      </c>
      <c r="M2510" s="22">
        <v>0</v>
      </c>
      <c r="N2510" s="22">
        <v>-720</v>
      </c>
      <c r="O2510" s="22">
        <v>6480</v>
      </c>
      <c r="P2510" s="22">
        <v>6480</v>
      </c>
      <c r="Q2510" t="str" cm="1">
        <f t="array" ref="Q2510">_xlfn.TEXTJOIN("、",TRUE,IF('學員資料-三民高中'!$B$2:$B$454=$F2510,'學員資料-三民高中'!$G$2:$G$454,""))</f>
        <v/>
      </c>
      <c r="R2510" t="str" cm="1">
        <f t="array" ref="R2510">_xlfn.TEXTJOIN("、",TRUE,IF('學員資料-新北高中'!$B$2:$B$583=$F2510,'學員資料-新北高中'!$G$2:$G$583,""))</f>
        <v>0910464016</v>
      </c>
      <c r="S2510" t="str" cm="1">
        <f t="array" ref="S2510">_xlfn.TEXTJOIN("、",TRUE,IF('學員資料-三重商工'!$B$2:$B$472=$F2510,'學員資料-三重商工'!$G$2:$G$472,""))</f>
        <v/>
      </c>
      <c r="T2510">
        <f t="shared" si="39"/>
        <v>1</v>
      </c>
    </row>
    <row r="2511" spans="1:20" ht="28.5" hidden="1" customHeight="1">
      <c r="A2511" s="15">
        <v>2510</v>
      </c>
      <c r="B2511" s="16" t="s">
        <v>7762</v>
      </c>
      <c r="C2511" s="17">
        <v>45518</v>
      </c>
      <c r="D2511" s="15" t="s">
        <v>7763</v>
      </c>
      <c r="E2511" s="18" t="s">
        <v>954</v>
      </c>
      <c r="F2511" s="19" t="s">
        <v>7764</v>
      </c>
      <c r="G2511" s="18" t="s">
        <v>7765</v>
      </c>
      <c r="H2511" s="20" t="s">
        <v>5206</v>
      </c>
      <c r="I2511" s="15">
        <v>2</v>
      </c>
      <c r="J2511" s="15" t="s">
        <v>23</v>
      </c>
      <c r="K2511" s="15"/>
      <c r="L2511" s="21" t="s">
        <v>16</v>
      </c>
      <c r="M2511" s="22">
        <v>0</v>
      </c>
      <c r="N2511" s="22">
        <v>-1800</v>
      </c>
      <c r="O2511" s="22">
        <v>11400</v>
      </c>
      <c r="P2511" s="22">
        <v>11400</v>
      </c>
      <c r="Q2511" t="str" cm="1">
        <f t="array" ref="Q2511">_xlfn.TEXTJOIN("、",TRUE,IF('學員資料-三民高中'!$B$2:$B$454=$F2511,'學員資料-三民高中'!$G$2:$G$454,""))</f>
        <v/>
      </c>
      <c r="R2511" t="str" cm="1">
        <f t="array" ref="R2511">_xlfn.TEXTJOIN("、",TRUE,IF('學員資料-新北高中'!$B$2:$B$583=$F2511,'學員資料-新北高中'!$G$2:$G$583,""))</f>
        <v>0985659789</v>
      </c>
      <c r="S2511" t="str" cm="1">
        <f t="array" ref="S2511">_xlfn.TEXTJOIN("、",TRUE,IF('學員資料-三重商工'!$B$2:$B$472=$F2511,'學員資料-三重商工'!$G$2:$G$472,""))</f>
        <v/>
      </c>
      <c r="T2511">
        <f t="shared" si="39"/>
        <v>1</v>
      </c>
    </row>
    <row r="2512" spans="1:20" ht="14.25" hidden="1" customHeight="1">
      <c r="A2512" s="15">
        <v>2511</v>
      </c>
      <c r="B2512" s="16" t="s">
        <v>7766</v>
      </c>
      <c r="C2512" s="17">
        <v>45518</v>
      </c>
      <c r="D2512" s="15" t="s">
        <v>7767</v>
      </c>
      <c r="E2512" s="18" t="s">
        <v>954</v>
      </c>
      <c r="F2512" s="19" t="s">
        <v>7212</v>
      </c>
      <c r="G2512" s="18" t="s">
        <v>7213</v>
      </c>
      <c r="H2512" s="20" t="s">
        <v>266</v>
      </c>
      <c r="I2512" s="15">
        <v>1</v>
      </c>
      <c r="J2512" s="15" t="s">
        <v>24</v>
      </c>
      <c r="K2512" s="15"/>
      <c r="L2512" s="21" t="s">
        <v>16</v>
      </c>
      <c r="M2512" s="22">
        <v>0</v>
      </c>
      <c r="N2512" s="22">
        <v>0</v>
      </c>
      <c r="O2512" s="22">
        <v>10800</v>
      </c>
      <c r="P2512" s="22">
        <v>10800</v>
      </c>
      <c r="Q2512" t="str" cm="1">
        <f t="array" ref="Q2512">_xlfn.TEXTJOIN("、",TRUE,IF('學員資料-三民高中'!$B$2:$B$454=$F2512,'學員資料-三民高中'!$G$2:$G$454,""))</f>
        <v/>
      </c>
      <c r="R2512" t="str" cm="1">
        <f t="array" ref="R2512">_xlfn.TEXTJOIN("、",TRUE,IF('學員資料-新北高中'!$B$2:$B$583=$F2512,'學員資料-新北高中'!$G$2:$G$583,""))</f>
        <v>0921173254</v>
      </c>
      <c r="S2512" t="str" cm="1">
        <f t="array" ref="S2512">_xlfn.TEXTJOIN("、",TRUE,IF('學員資料-三重商工'!$B$2:$B$472=$F2512,'學員資料-三重商工'!$G$2:$G$472,""))</f>
        <v/>
      </c>
      <c r="T2512">
        <f t="shared" si="39"/>
        <v>1</v>
      </c>
    </row>
    <row r="2513" spans="1:20" ht="14.25" hidden="1" customHeight="1">
      <c r="A2513" s="15">
        <v>2512</v>
      </c>
      <c r="B2513" s="16" t="s">
        <v>7768</v>
      </c>
      <c r="C2513" s="17">
        <v>45518</v>
      </c>
      <c r="D2513" s="15" t="s">
        <v>7769</v>
      </c>
      <c r="E2513" s="18" t="s">
        <v>954</v>
      </c>
      <c r="F2513" s="19" t="s">
        <v>7770</v>
      </c>
      <c r="G2513" s="18" t="s">
        <v>7771</v>
      </c>
      <c r="H2513" s="20" t="s">
        <v>5131</v>
      </c>
      <c r="I2513" s="15">
        <v>1</v>
      </c>
      <c r="J2513" s="15" t="s">
        <v>24</v>
      </c>
      <c r="K2513" s="15"/>
      <c r="L2513" s="21" t="s">
        <v>16</v>
      </c>
      <c r="M2513" s="22">
        <v>0</v>
      </c>
      <c r="N2513" s="22">
        <v>-1080</v>
      </c>
      <c r="O2513" s="22">
        <v>6120</v>
      </c>
      <c r="P2513" s="22">
        <v>6120</v>
      </c>
      <c r="Q2513" t="str" cm="1">
        <f t="array" ref="Q2513">_xlfn.TEXTJOIN("、",TRUE,IF('學員資料-三民高中'!$B$2:$B$454=$F2513,'學員資料-三民高中'!$G$2:$G$454,""))</f>
        <v/>
      </c>
      <c r="R2513" t="str" cm="1">
        <f t="array" ref="R2513">_xlfn.TEXTJOIN("、",TRUE,IF('學員資料-新北高中'!$B$2:$B$583=$F2513,'學員資料-新北高中'!$G$2:$G$583,""))</f>
        <v>0926992560</v>
      </c>
      <c r="S2513" t="str" cm="1">
        <f t="array" ref="S2513">_xlfn.TEXTJOIN("、",TRUE,IF('學員資料-三重商工'!$B$2:$B$472=$F2513,'學員資料-三重商工'!$G$2:$G$472,""))</f>
        <v/>
      </c>
      <c r="T2513">
        <f t="shared" si="39"/>
        <v>1</v>
      </c>
    </row>
    <row r="2514" spans="1:20" ht="14.25" hidden="1" customHeight="1">
      <c r="A2514" s="15">
        <v>2513</v>
      </c>
      <c r="B2514" s="16" t="s">
        <v>7772</v>
      </c>
      <c r="C2514" s="17">
        <v>45518</v>
      </c>
      <c r="D2514" s="15" t="s">
        <v>7773</v>
      </c>
      <c r="E2514" s="18" t="s">
        <v>954</v>
      </c>
      <c r="F2514" s="19" t="s">
        <v>7774</v>
      </c>
      <c r="G2514" s="18" t="s">
        <v>7775</v>
      </c>
      <c r="H2514" s="20" t="s">
        <v>5131</v>
      </c>
      <c r="I2514" s="15">
        <v>1</v>
      </c>
      <c r="J2514" s="15" t="s">
        <v>24</v>
      </c>
      <c r="K2514" s="15"/>
      <c r="L2514" s="21" t="s">
        <v>16</v>
      </c>
      <c r="M2514" s="22">
        <v>0</v>
      </c>
      <c r="N2514" s="22">
        <v>-720</v>
      </c>
      <c r="O2514" s="22">
        <v>6480</v>
      </c>
      <c r="P2514" s="22">
        <v>6480</v>
      </c>
      <c r="Q2514" t="str" cm="1">
        <f t="array" ref="Q2514">_xlfn.TEXTJOIN("、",TRUE,IF('學員資料-三民高中'!$B$2:$B$454=$F2514,'學員資料-三民高中'!$G$2:$G$454,""))</f>
        <v/>
      </c>
      <c r="R2514" t="str" cm="1">
        <f t="array" ref="R2514">_xlfn.TEXTJOIN("、",TRUE,IF('學員資料-新北高中'!$B$2:$B$583=$F2514,'學員資料-新北高中'!$G$2:$G$583,""))</f>
        <v/>
      </c>
      <c r="S2514" t="str" cm="1">
        <f t="array" ref="S2514">_xlfn.TEXTJOIN("、",TRUE,IF('學員資料-三重商工'!$B$2:$B$472=$F2514,'學員資料-三重商工'!$G$2:$G$472,""))</f>
        <v>0932001825</v>
      </c>
      <c r="T2514">
        <f t="shared" si="39"/>
        <v>1</v>
      </c>
    </row>
    <row r="2515" spans="1:20" ht="14.25" hidden="1" customHeight="1">
      <c r="A2515" s="15">
        <v>2514</v>
      </c>
      <c r="B2515" s="16" t="s">
        <v>7776</v>
      </c>
      <c r="C2515" s="17">
        <v>45518</v>
      </c>
      <c r="D2515" s="15" t="s">
        <v>7777</v>
      </c>
      <c r="E2515" s="18" t="s">
        <v>954</v>
      </c>
      <c r="F2515" s="19" t="s">
        <v>5204</v>
      </c>
      <c r="G2515" s="18" t="s">
        <v>5205</v>
      </c>
      <c r="H2515" s="20" t="s">
        <v>5163</v>
      </c>
      <c r="I2515" s="15">
        <v>1</v>
      </c>
      <c r="J2515" s="15" t="s">
        <v>23</v>
      </c>
      <c r="K2515" s="15"/>
      <c r="L2515" s="21" t="s">
        <v>16</v>
      </c>
      <c r="M2515" s="22">
        <v>0</v>
      </c>
      <c r="N2515" s="22">
        <v>0</v>
      </c>
      <c r="O2515" s="22">
        <v>6600</v>
      </c>
      <c r="P2515" s="22">
        <v>6600</v>
      </c>
      <c r="Q2515" t="str" cm="1">
        <f t="array" ref="Q2515">_xlfn.TEXTJOIN("、",TRUE,IF('學員資料-三民高中'!$B$2:$B$454=$F2515,'學員資料-三民高中'!$G$2:$G$454,""))</f>
        <v/>
      </c>
      <c r="R2515" t="str" cm="1">
        <f t="array" ref="R2515">_xlfn.TEXTJOIN("、",TRUE,IF('學員資料-新北高中'!$B$2:$B$583=$F2515,'學員資料-新北高中'!$G$2:$G$583,""))</f>
        <v>0919553715</v>
      </c>
      <c r="S2515" t="str" cm="1">
        <f t="array" ref="S2515">_xlfn.TEXTJOIN("、",TRUE,IF('學員資料-三重商工'!$B$2:$B$472=$F2515,'學員資料-三重商工'!$G$2:$G$472,""))</f>
        <v/>
      </c>
      <c r="T2515">
        <f t="shared" si="39"/>
        <v>1</v>
      </c>
    </row>
    <row r="2516" spans="1:20" ht="14.25" hidden="1" customHeight="1">
      <c r="A2516" s="15">
        <v>2515</v>
      </c>
      <c r="B2516" s="16" t="s">
        <v>7778</v>
      </c>
      <c r="C2516" s="17">
        <v>45518</v>
      </c>
      <c r="D2516" s="15" t="s">
        <v>7779</v>
      </c>
      <c r="E2516" s="18" t="s">
        <v>954</v>
      </c>
      <c r="F2516" s="19" t="s">
        <v>4629</v>
      </c>
      <c r="G2516" s="18" t="s">
        <v>4630</v>
      </c>
      <c r="H2516" s="20" t="s">
        <v>5211</v>
      </c>
      <c r="I2516" s="15">
        <v>1</v>
      </c>
      <c r="J2516" s="15" t="s">
        <v>26</v>
      </c>
      <c r="K2516" s="15"/>
      <c r="L2516" s="21" t="s">
        <v>16</v>
      </c>
      <c r="M2516" s="22">
        <v>0</v>
      </c>
      <c r="N2516" s="22">
        <v>-1296</v>
      </c>
      <c r="O2516" s="22">
        <v>9504</v>
      </c>
      <c r="P2516" s="22">
        <v>9504</v>
      </c>
      <c r="Q2516" t="str" cm="1">
        <f t="array" ref="Q2516">_xlfn.TEXTJOIN("、",TRUE,IF('學員資料-三民高中'!$B$2:$B$454=$F2516,'學員資料-三民高中'!$G$2:$G$454,""))</f>
        <v/>
      </c>
      <c r="R2516" t="str" cm="1">
        <f t="array" ref="R2516">_xlfn.TEXTJOIN("、",TRUE,IF('學員資料-新北高中'!$B$2:$B$583=$F2516,'學員資料-新北高中'!$G$2:$G$583,""))</f>
        <v>0987427287</v>
      </c>
      <c r="S2516" t="str" cm="1">
        <f t="array" ref="S2516">_xlfn.TEXTJOIN("、",TRUE,IF('學員資料-三重商工'!$B$2:$B$472=$F2516,'學員資料-三重商工'!$G$2:$G$472,""))</f>
        <v/>
      </c>
      <c r="T2516">
        <f t="shared" si="39"/>
        <v>1</v>
      </c>
    </row>
    <row r="2517" spans="1:20" ht="14.25" hidden="1" customHeight="1">
      <c r="A2517" s="15">
        <v>2516</v>
      </c>
      <c r="B2517" s="16" t="s">
        <v>7780</v>
      </c>
      <c r="C2517" s="17">
        <v>45518</v>
      </c>
      <c r="D2517" s="15" t="s">
        <v>7781</v>
      </c>
      <c r="E2517" s="18" t="s">
        <v>954</v>
      </c>
      <c r="F2517" s="19" t="s">
        <v>1169</v>
      </c>
      <c r="G2517" s="18" t="s">
        <v>1170</v>
      </c>
      <c r="H2517" s="20" t="s">
        <v>5246</v>
      </c>
      <c r="I2517" s="15">
        <v>1</v>
      </c>
      <c r="J2517" s="15" t="s">
        <v>23</v>
      </c>
      <c r="K2517" s="15"/>
      <c r="L2517" s="21" t="s">
        <v>16</v>
      </c>
      <c r="M2517" s="22">
        <v>0</v>
      </c>
      <c r="N2517" s="22">
        <v>0</v>
      </c>
      <c r="O2517" s="22">
        <v>7200</v>
      </c>
      <c r="P2517" s="22">
        <v>7200</v>
      </c>
      <c r="Q2517" t="str" cm="1">
        <f t="array" ref="Q2517">_xlfn.TEXTJOIN("、",TRUE,IF('學員資料-三民高中'!$B$2:$B$454=$F2517,'學員資料-三民高中'!$G$2:$G$454,""))</f>
        <v/>
      </c>
      <c r="R2517" t="str" cm="1">
        <f t="array" ref="R2517">_xlfn.TEXTJOIN("、",TRUE,IF('學員資料-新北高中'!$B$2:$B$583=$F2517,'學員資料-新北高中'!$G$2:$G$583,""))</f>
        <v/>
      </c>
      <c r="S2517" t="str" cm="1">
        <f t="array" ref="S2517">_xlfn.TEXTJOIN("、",TRUE,IF('學員資料-三重商工'!$B$2:$B$472=$F2517,'學員資料-三重商工'!$G$2:$G$472,""))</f>
        <v>0916803354</v>
      </c>
      <c r="T2517">
        <f t="shared" si="39"/>
        <v>1</v>
      </c>
    </row>
    <row r="2518" spans="1:20" ht="14.25" hidden="1" customHeight="1">
      <c r="A2518" s="15">
        <v>2517</v>
      </c>
      <c r="B2518" s="16" t="s">
        <v>7782</v>
      </c>
      <c r="C2518" s="17">
        <v>45518</v>
      </c>
      <c r="D2518" s="15" t="s">
        <v>7783</v>
      </c>
      <c r="E2518" s="18" t="s">
        <v>954</v>
      </c>
      <c r="F2518" s="19" t="s">
        <v>7784</v>
      </c>
      <c r="G2518" s="18" t="s">
        <v>7785</v>
      </c>
      <c r="H2518" s="20" t="s">
        <v>5180</v>
      </c>
      <c r="I2518" s="15">
        <v>1</v>
      </c>
      <c r="J2518" s="15" t="s">
        <v>24</v>
      </c>
      <c r="K2518" s="15"/>
      <c r="L2518" s="21" t="s">
        <v>16</v>
      </c>
      <c r="M2518" s="22">
        <v>0</v>
      </c>
      <c r="N2518" s="22">
        <v>-864</v>
      </c>
      <c r="O2518" s="22">
        <v>7776</v>
      </c>
      <c r="P2518" s="22">
        <v>7776</v>
      </c>
      <c r="Q2518" t="str" cm="1">
        <f t="array" ref="Q2518">_xlfn.TEXTJOIN("、",TRUE,IF('學員資料-三民高中'!$B$2:$B$454=$F2518,'學員資料-三民高中'!$G$2:$G$454,""))</f>
        <v/>
      </c>
      <c r="R2518" t="str" cm="1">
        <f t="array" ref="R2518">_xlfn.TEXTJOIN("、",TRUE,IF('學員資料-新北高中'!$B$2:$B$583=$F2518,'學員資料-新北高中'!$G$2:$G$583,""))</f>
        <v/>
      </c>
      <c r="S2518" t="str" cm="1">
        <f t="array" ref="S2518">_xlfn.TEXTJOIN("、",TRUE,IF('學員資料-三重商工'!$B$2:$B$472=$F2518,'學員資料-三重商工'!$G$2:$G$472,""))</f>
        <v>0980594643</v>
      </c>
      <c r="T2518">
        <f t="shared" si="39"/>
        <v>1</v>
      </c>
    </row>
    <row r="2519" spans="1:20" ht="14.25" hidden="1" customHeight="1">
      <c r="A2519" s="15">
        <v>2518</v>
      </c>
      <c r="B2519" s="16" t="s">
        <v>7786</v>
      </c>
      <c r="C2519" s="17">
        <v>45518</v>
      </c>
      <c r="D2519" s="15" t="s">
        <v>7787</v>
      </c>
      <c r="E2519" s="18" t="s">
        <v>954</v>
      </c>
      <c r="F2519" s="19" t="s">
        <v>7788</v>
      </c>
      <c r="G2519" s="18" t="s">
        <v>7789</v>
      </c>
      <c r="H2519" s="20" t="s">
        <v>5507</v>
      </c>
      <c r="I2519" s="15">
        <v>1</v>
      </c>
      <c r="J2519" s="15" t="s">
        <v>25</v>
      </c>
      <c r="K2519" s="15"/>
      <c r="L2519" s="21" t="s">
        <v>16</v>
      </c>
      <c r="M2519" s="22">
        <v>0</v>
      </c>
      <c r="N2519" s="22">
        <v>0</v>
      </c>
      <c r="O2519" s="22">
        <v>9720</v>
      </c>
      <c r="P2519" s="22">
        <v>9720</v>
      </c>
      <c r="Q2519" t="str" cm="1">
        <f t="array" ref="Q2519">_xlfn.TEXTJOIN("、",TRUE,IF('學員資料-三民高中'!$B$2:$B$454=$F2519,'學員資料-三民高中'!$G$2:$G$454,""))</f>
        <v/>
      </c>
      <c r="R2519" t="str" cm="1">
        <f t="array" ref="R2519">_xlfn.TEXTJOIN("、",TRUE,IF('學員資料-新北高中'!$B$2:$B$583=$F2519,'學員資料-新北高中'!$G$2:$G$583,""))</f>
        <v/>
      </c>
      <c r="S2519" t="str" cm="1">
        <f t="array" ref="S2519">_xlfn.TEXTJOIN("、",TRUE,IF('學員資料-三重商工'!$B$2:$B$472=$F2519,'學員資料-三重商工'!$G$2:$G$472,""))</f>
        <v>0919730925</v>
      </c>
      <c r="T2519">
        <f t="shared" si="39"/>
        <v>1</v>
      </c>
    </row>
    <row r="2520" spans="1:20" ht="14.25" hidden="1" customHeight="1">
      <c r="A2520" s="15">
        <v>2519</v>
      </c>
      <c r="B2520" s="16" t="s">
        <v>7790</v>
      </c>
      <c r="C2520" s="17">
        <v>45518</v>
      </c>
      <c r="D2520" s="15" t="s">
        <v>7791</v>
      </c>
      <c r="E2520" s="18" t="s">
        <v>3862</v>
      </c>
      <c r="F2520" s="19" t="s">
        <v>5204</v>
      </c>
      <c r="G2520" s="18" t="s">
        <v>5205</v>
      </c>
      <c r="H2520" s="20" t="s">
        <v>5163</v>
      </c>
      <c r="I2520" s="15">
        <v>1</v>
      </c>
      <c r="J2520" s="15" t="s">
        <v>23</v>
      </c>
      <c r="K2520" s="15"/>
      <c r="L2520" s="21" t="s">
        <v>16</v>
      </c>
      <c r="M2520" s="22">
        <v>0</v>
      </c>
      <c r="N2520" s="22">
        <v>-792</v>
      </c>
      <c r="O2520" s="22">
        <v>5808</v>
      </c>
      <c r="P2520" s="22">
        <v>5808</v>
      </c>
      <c r="Q2520" t="str" cm="1">
        <f t="array" ref="Q2520">_xlfn.TEXTJOIN("、",TRUE,IF('學員資料-三民高中'!$B$2:$B$454=$F2520,'學員資料-三民高中'!$G$2:$G$454,""))</f>
        <v/>
      </c>
      <c r="R2520" t="str" cm="1">
        <f t="array" ref="R2520">_xlfn.TEXTJOIN("、",TRUE,IF('學員資料-新北高中'!$B$2:$B$583=$F2520,'學員資料-新北高中'!$G$2:$G$583,""))</f>
        <v>0919553715</v>
      </c>
      <c r="S2520" t="str" cm="1">
        <f t="array" ref="S2520">_xlfn.TEXTJOIN("、",TRUE,IF('學員資料-三重商工'!$B$2:$B$472=$F2520,'學員資料-三重商工'!$G$2:$G$472,""))</f>
        <v/>
      </c>
      <c r="T2520">
        <f t="shared" si="39"/>
        <v>1</v>
      </c>
    </row>
    <row r="2521" spans="1:20" ht="14.25" hidden="1" customHeight="1">
      <c r="A2521" s="15">
        <v>2520</v>
      </c>
      <c r="B2521" s="16" t="s">
        <v>7792</v>
      </c>
      <c r="C2521" s="17">
        <v>45518</v>
      </c>
      <c r="D2521" s="15" t="s">
        <v>6428</v>
      </c>
      <c r="E2521" s="18" t="s">
        <v>954</v>
      </c>
      <c r="F2521" s="19" t="s">
        <v>7784</v>
      </c>
      <c r="G2521" s="18" t="s">
        <v>7785</v>
      </c>
      <c r="H2521" s="20" t="s">
        <v>5180</v>
      </c>
      <c r="I2521" s="15">
        <v>1</v>
      </c>
      <c r="J2521" s="15" t="s">
        <v>24</v>
      </c>
      <c r="K2521" s="15"/>
      <c r="L2521" s="21" t="s">
        <v>16</v>
      </c>
      <c r="M2521" s="22">
        <v>0</v>
      </c>
      <c r="N2521" s="22">
        <v>-864</v>
      </c>
      <c r="O2521" s="22">
        <v>7776</v>
      </c>
      <c r="P2521" s="22">
        <v>7776</v>
      </c>
      <c r="Q2521" t="str" cm="1">
        <f t="array" ref="Q2521">_xlfn.TEXTJOIN("、",TRUE,IF('學員資料-三民高中'!$B$2:$B$454=$F2521,'學員資料-三民高中'!$G$2:$G$454,""))</f>
        <v/>
      </c>
      <c r="R2521" t="str" cm="1">
        <f t="array" ref="R2521">_xlfn.TEXTJOIN("、",TRUE,IF('學員資料-新北高中'!$B$2:$B$583=$F2521,'學員資料-新北高中'!$G$2:$G$583,""))</f>
        <v/>
      </c>
      <c r="S2521" t="str" cm="1">
        <f t="array" ref="S2521">_xlfn.TEXTJOIN("、",TRUE,IF('學員資料-三重商工'!$B$2:$B$472=$F2521,'學員資料-三重商工'!$G$2:$G$472,""))</f>
        <v>0980594643</v>
      </c>
      <c r="T2521">
        <f t="shared" si="39"/>
        <v>1</v>
      </c>
    </row>
    <row r="2522" spans="1:20" ht="14.25" hidden="1" customHeight="1">
      <c r="A2522" s="15">
        <v>2521</v>
      </c>
      <c r="B2522" s="16" t="s">
        <v>7793</v>
      </c>
      <c r="C2522" s="17">
        <v>45518</v>
      </c>
      <c r="D2522" s="15" t="s">
        <v>7794</v>
      </c>
      <c r="E2522" s="18" t="s">
        <v>954</v>
      </c>
      <c r="F2522" s="19" t="s">
        <v>7795</v>
      </c>
      <c r="G2522" s="18" t="s">
        <v>7796</v>
      </c>
      <c r="H2522" s="20" t="s">
        <v>5211</v>
      </c>
      <c r="I2522" s="15">
        <v>1</v>
      </c>
      <c r="J2522" s="15" t="s">
        <v>26</v>
      </c>
      <c r="K2522" s="15"/>
      <c r="L2522" s="21" t="s">
        <v>16</v>
      </c>
      <c r="M2522" s="22">
        <v>0</v>
      </c>
      <c r="N2522" s="22">
        <v>-1080</v>
      </c>
      <c r="O2522" s="22">
        <v>9720</v>
      </c>
      <c r="P2522" s="22">
        <v>9720</v>
      </c>
      <c r="Q2522" t="str" cm="1">
        <f t="array" ref="Q2522">_xlfn.TEXTJOIN("、",TRUE,IF('學員資料-三民高中'!$B$2:$B$454=$F2522,'學員資料-三民高中'!$G$2:$G$454,""))</f>
        <v/>
      </c>
      <c r="R2522" t="str" cm="1">
        <f t="array" ref="R2522">_xlfn.TEXTJOIN("、",TRUE,IF('學員資料-新北高中'!$B$2:$B$583=$F2522,'學員資料-新北高中'!$G$2:$G$583,""))</f>
        <v>0908557606</v>
      </c>
      <c r="S2522" t="str" cm="1">
        <f t="array" ref="S2522">_xlfn.TEXTJOIN("、",TRUE,IF('學員資料-三重商工'!$B$2:$B$472=$F2522,'學員資料-三重商工'!$G$2:$G$472,""))</f>
        <v/>
      </c>
      <c r="T2522">
        <f t="shared" si="39"/>
        <v>1</v>
      </c>
    </row>
    <row r="2523" spans="1:20" ht="14.25" hidden="1" customHeight="1">
      <c r="A2523" s="15">
        <v>2522</v>
      </c>
      <c r="B2523" s="16" t="s">
        <v>7797</v>
      </c>
      <c r="C2523" s="17">
        <v>45518</v>
      </c>
      <c r="D2523" s="15" t="s">
        <v>7798</v>
      </c>
      <c r="E2523" s="18" t="s">
        <v>954</v>
      </c>
      <c r="F2523" s="19" t="s">
        <v>7799</v>
      </c>
      <c r="G2523" s="18" t="s">
        <v>7800</v>
      </c>
      <c r="H2523" s="20" t="s">
        <v>5246</v>
      </c>
      <c r="I2523" s="15">
        <v>1</v>
      </c>
      <c r="J2523" s="15" t="s">
        <v>23</v>
      </c>
      <c r="K2523" s="15"/>
      <c r="L2523" s="21" t="s">
        <v>16</v>
      </c>
      <c r="M2523" s="22">
        <v>0</v>
      </c>
      <c r="N2523" s="22">
        <v>0</v>
      </c>
      <c r="O2523" s="22">
        <v>7200</v>
      </c>
      <c r="P2523" s="22">
        <v>7200</v>
      </c>
      <c r="Q2523" t="str" cm="1">
        <f t="array" ref="Q2523">_xlfn.TEXTJOIN("、",TRUE,IF('學員資料-三民高中'!$B$2:$B$454=$F2523,'學員資料-三民高中'!$G$2:$G$454,""))</f>
        <v/>
      </c>
      <c r="R2523" t="str" cm="1">
        <f t="array" ref="R2523">_xlfn.TEXTJOIN("、",TRUE,IF('學員資料-新北高中'!$B$2:$B$583=$F2523,'學員資料-新北高中'!$G$2:$G$583,""))</f>
        <v/>
      </c>
      <c r="S2523" t="str" cm="1">
        <f t="array" ref="S2523">_xlfn.TEXTJOIN("、",TRUE,IF('學員資料-三重商工'!$B$2:$B$472=$F2523,'學員資料-三重商工'!$G$2:$G$472,""))</f>
        <v>0917522507</v>
      </c>
      <c r="T2523">
        <f t="shared" si="39"/>
        <v>1</v>
      </c>
    </row>
    <row r="2524" spans="1:20" ht="28.5" hidden="1" customHeight="1">
      <c r="A2524" s="15">
        <v>2523</v>
      </c>
      <c r="B2524" s="16" t="s">
        <v>7801</v>
      </c>
      <c r="C2524" s="17">
        <v>45518</v>
      </c>
      <c r="D2524" s="15" t="s">
        <v>7802</v>
      </c>
      <c r="E2524" s="18" t="s">
        <v>954</v>
      </c>
      <c r="F2524" s="19" t="s">
        <v>7803</v>
      </c>
      <c r="G2524" s="18" t="s">
        <v>7804</v>
      </c>
      <c r="H2524" s="20" t="s">
        <v>5151</v>
      </c>
      <c r="I2524" s="15">
        <v>2</v>
      </c>
      <c r="J2524" s="15" t="s">
        <v>24</v>
      </c>
      <c r="K2524" s="15"/>
      <c r="L2524" s="21" t="s">
        <v>16</v>
      </c>
      <c r="M2524" s="22">
        <v>0</v>
      </c>
      <c r="N2524" s="22">
        <v>-2592</v>
      </c>
      <c r="O2524" s="22">
        <v>14688</v>
      </c>
      <c r="P2524" s="22">
        <v>14688</v>
      </c>
      <c r="Q2524" t="str" cm="1">
        <f t="array" ref="Q2524">_xlfn.TEXTJOIN("、",TRUE,IF('學員資料-三民高中'!$B$2:$B$454=$F2524,'學員資料-三民高中'!$G$2:$G$454,""))</f>
        <v/>
      </c>
      <c r="R2524" t="str" cm="1">
        <f t="array" ref="R2524">_xlfn.TEXTJOIN("、",TRUE,IF('學員資料-新北高中'!$B$2:$B$583=$F2524,'學員資料-新北高中'!$G$2:$G$583,""))</f>
        <v/>
      </c>
      <c r="S2524" t="str" cm="1">
        <f t="array" ref="S2524">_xlfn.TEXTJOIN("、",TRUE,IF('學員資料-三重商工'!$B$2:$B$472=$F2524,'學員資料-三重商工'!$G$2:$G$472,""))</f>
        <v>0933255667</v>
      </c>
      <c r="T2524">
        <f t="shared" si="39"/>
        <v>1</v>
      </c>
    </row>
    <row r="2525" spans="1:20" ht="43.5" hidden="1" customHeight="1">
      <c r="A2525" s="15">
        <v>2524</v>
      </c>
      <c r="B2525" s="16" t="s">
        <v>7805</v>
      </c>
      <c r="C2525" s="17">
        <v>45518</v>
      </c>
      <c r="D2525" s="15" t="s">
        <v>7806</v>
      </c>
      <c r="E2525" s="18" t="s">
        <v>954</v>
      </c>
      <c r="F2525" s="19" t="s">
        <v>7807</v>
      </c>
      <c r="G2525" s="18" t="s">
        <v>7808</v>
      </c>
      <c r="H2525" s="20" t="s">
        <v>5394</v>
      </c>
      <c r="I2525" s="15">
        <v>3</v>
      </c>
      <c r="J2525" s="15" t="s">
        <v>23</v>
      </c>
      <c r="K2525" s="15"/>
      <c r="L2525" s="21" t="s">
        <v>16</v>
      </c>
      <c r="M2525" s="22">
        <v>0</v>
      </c>
      <c r="N2525" s="22">
        <v>-2160</v>
      </c>
      <c r="O2525" s="22">
        <v>19440</v>
      </c>
      <c r="P2525" s="22">
        <v>19440</v>
      </c>
      <c r="Q2525" t="str" cm="1">
        <f t="array" ref="Q2525">_xlfn.TEXTJOIN("、",TRUE,IF('學員資料-三民高中'!$B$2:$B$454=$F2525,'學員資料-三民高中'!$G$2:$G$454,""))</f>
        <v/>
      </c>
      <c r="R2525" t="str" cm="1">
        <f t="array" ref="R2525">_xlfn.TEXTJOIN("、",TRUE,IF('學員資料-新北高中'!$B$2:$B$583=$F2525,'學員資料-新北高中'!$G$2:$G$583,""))</f>
        <v/>
      </c>
      <c r="S2525" t="str" cm="1">
        <f t="array" ref="S2525">_xlfn.TEXTJOIN("、",TRUE,IF('學員資料-三重商工'!$B$2:$B$472=$F2525,'學員資料-三重商工'!$G$2:$G$472,""))</f>
        <v>0939693212</v>
      </c>
      <c r="T2525">
        <f t="shared" si="39"/>
        <v>1</v>
      </c>
    </row>
    <row r="2526" spans="1:20" ht="28.5" hidden="1" customHeight="1">
      <c r="A2526" s="15">
        <v>2525</v>
      </c>
      <c r="B2526" s="16" t="s">
        <v>7809</v>
      </c>
      <c r="C2526" s="17">
        <v>45518</v>
      </c>
      <c r="D2526" s="15" t="s">
        <v>7810</v>
      </c>
      <c r="E2526" s="18" t="s">
        <v>954</v>
      </c>
      <c r="F2526" s="19" t="s">
        <v>6120</v>
      </c>
      <c r="G2526" s="18" t="s">
        <v>6121</v>
      </c>
      <c r="H2526" s="20" t="s">
        <v>5151</v>
      </c>
      <c r="I2526" s="15">
        <v>2</v>
      </c>
      <c r="J2526" s="15" t="s">
        <v>24</v>
      </c>
      <c r="K2526" s="15"/>
      <c r="L2526" s="21" t="s">
        <v>16</v>
      </c>
      <c r="M2526" s="22">
        <v>0</v>
      </c>
      <c r="N2526" s="22">
        <v>-6912</v>
      </c>
      <c r="O2526" s="22">
        <v>10368</v>
      </c>
      <c r="P2526" s="22">
        <v>10368</v>
      </c>
      <c r="Q2526" t="str" cm="1">
        <f t="array" ref="Q2526">_xlfn.TEXTJOIN("、",TRUE,IF('學員資料-三民高中'!$B$2:$B$454=$F2526,'學員資料-三民高中'!$G$2:$G$454,""))</f>
        <v/>
      </c>
      <c r="R2526" t="str" cm="1">
        <f t="array" ref="R2526">_xlfn.TEXTJOIN("、",TRUE,IF('學員資料-新北高中'!$B$2:$B$583=$F2526,'學員資料-新北高中'!$G$2:$G$583,""))</f>
        <v/>
      </c>
      <c r="S2526" t="str" cm="1">
        <f t="array" ref="S2526">_xlfn.TEXTJOIN("、",TRUE,IF('學員資料-三重商工'!$B$2:$B$472=$F2526,'學員資料-三重商工'!$G$2:$G$472,""))</f>
        <v>0928730690</v>
      </c>
      <c r="T2526">
        <f t="shared" si="39"/>
        <v>1</v>
      </c>
    </row>
    <row r="2527" spans="1:20" ht="14.25" hidden="1" customHeight="1">
      <c r="A2527" s="15">
        <v>2526</v>
      </c>
      <c r="B2527" s="16" t="s">
        <v>7811</v>
      </c>
      <c r="C2527" s="17">
        <v>45518</v>
      </c>
      <c r="D2527" s="15" t="s">
        <v>7812</v>
      </c>
      <c r="E2527" s="18" t="s">
        <v>954</v>
      </c>
      <c r="F2527" s="19" t="s">
        <v>7813</v>
      </c>
      <c r="G2527" s="18" t="s">
        <v>7814</v>
      </c>
      <c r="H2527" s="20" t="s">
        <v>5180</v>
      </c>
      <c r="I2527" s="15">
        <v>1</v>
      </c>
      <c r="J2527" s="15" t="s">
        <v>24</v>
      </c>
      <c r="K2527" s="15"/>
      <c r="L2527" s="21" t="s">
        <v>16</v>
      </c>
      <c r="M2527" s="22">
        <v>0</v>
      </c>
      <c r="N2527" s="22">
        <v>0</v>
      </c>
      <c r="O2527" s="22">
        <v>8640</v>
      </c>
      <c r="P2527" s="22">
        <v>8640</v>
      </c>
      <c r="Q2527" t="str" cm="1">
        <f t="array" ref="Q2527">_xlfn.TEXTJOIN("、",TRUE,IF('學員資料-三民高中'!$B$2:$B$454=$F2527,'學員資料-三民高中'!$G$2:$G$454,""))</f>
        <v/>
      </c>
      <c r="R2527" t="str" cm="1">
        <f t="array" ref="R2527">_xlfn.TEXTJOIN("、",TRUE,IF('學員資料-新北高中'!$B$2:$B$583=$F2527,'學員資料-新北高中'!$G$2:$G$583,""))</f>
        <v/>
      </c>
      <c r="S2527" t="str" cm="1">
        <f t="array" ref="S2527">_xlfn.TEXTJOIN("、",TRUE,IF('學員資料-三重商工'!$B$2:$B$472=$F2527,'學員資料-三重商工'!$G$2:$G$472,""))</f>
        <v>0920270767</v>
      </c>
      <c r="T2527">
        <f t="shared" si="39"/>
        <v>1</v>
      </c>
    </row>
    <row r="2528" spans="1:20" ht="14.25" hidden="1" customHeight="1">
      <c r="A2528" s="15">
        <v>2527</v>
      </c>
      <c r="B2528" s="16" t="s">
        <v>7815</v>
      </c>
      <c r="C2528" s="17">
        <v>45518</v>
      </c>
      <c r="D2528" s="15" t="s">
        <v>7816</v>
      </c>
      <c r="E2528" s="18" t="s">
        <v>954</v>
      </c>
      <c r="F2528" s="19" t="s">
        <v>7817</v>
      </c>
      <c r="G2528" s="18" t="s">
        <v>7818</v>
      </c>
      <c r="H2528" s="20" t="s">
        <v>5246</v>
      </c>
      <c r="I2528" s="15">
        <v>1</v>
      </c>
      <c r="J2528" s="15" t="s">
        <v>23</v>
      </c>
      <c r="K2528" s="15"/>
      <c r="L2528" s="21" t="s">
        <v>16</v>
      </c>
      <c r="M2528" s="22">
        <v>0</v>
      </c>
      <c r="N2528" s="22">
        <v>0</v>
      </c>
      <c r="O2528" s="22">
        <v>7200</v>
      </c>
      <c r="P2528" s="22">
        <v>7200</v>
      </c>
      <c r="Q2528" t="str" cm="1">
        <f t="array" ref="Q2528">_xlfn.TEXTJOIN("、",TRUE,IF('學員資料-三民高中'!$B$2:$B$454=$F2528,'學員資料-三民高中'!$G$2:$G$454,""))</f>
        <v/>
      </c>
      <c r="R2528" t="str" cm="1">
        <f t="array" ref="R2528">_xlfn.TEXTJOIN("、",TRUE,IF('學員資料-新北高中'!$B$2:$B$583=$F2528,'學員資料-新北高中'!$G$2:$G$583,""))</f>
        <v/>
      </c>
      <c r="S2528" t="str" cm="1">
        <f t="array" ref="S2528">_xlfn.TEXTJOIN("、",TRUE,IF('學員資料-三重商工'!$B$2:$B$472=$F2528,'學員資料-三重商工'!$G$2:$G$472,""))</f>
        <v>0913906199</v>
      </c>
      <c r="T2528">
        <f t="shared" si="39"/>
        <v>1</v>
      </c>
    </row>
    <row r="2529" spans="1:20" ht="43.5" hidden="1" customHeight="1">
      <c r="A2529" s="15">
        <v>2528</v>
      </c>
      <c r="B2529" s="16" t="s">
        <v>7819</v>
      </c>
      <c r="C2529" s="17">
        <v>45518</v>
      </c>
      <c r="D2529" s="15" t="s">
        <v>7820</v>
      </c>
      <c r="E2529" s="18" t="s">
        <v>954</v>
      </c>
      <c r="F2529" s="19" t="s">
        <v>7821</v>
      </c>
      <c r="G2529" s="18" t="s">
        <v>7822</v>
      </c>
      <c r="H2529" s="20" t="s">
        <v>5301</v>
      </c>
      <c r="I2529" s="15">
        <v>3</v>
      </c>
      <c r="J2529" s="15" t="s">
        <v>24</v>
      </c>
      <c r="K2529" s="15"/>
      <c r="L2529" s="21" t="s">
        <v>16</v>
      </c>
      <c r="M2529" s="22">
        <v>0</v>
      </c>
      <c r="N2529" s="22">
        <v>0</v>
      </c>
      <c r="O2529" s="22">
        <v>25920</v>
      </c>
      <c r="P2529" s="22">
        <v>25920</v>
      </c>
      <c r="Q2529" t="str" cm="1">
        <f t="array" ref="Q2529">_xlfn.TEXTJOIN("、",TRUE,IF('學員資料-三民高中'!$B$2:$B$454=$F2529,'學員資料-三民高中'!$G$2:$G$454,""))</f>
        <v/>
      </c>
      <c r="R2529" t="str" cm="1">
        <f t="array" ref="R2529">_xlfn.TEXTJOIN("、",TRUE,IF('學員資料-新北高中'!$B$2:$B$583=$F2529,'學員資料-新北高中'!$G$2:$G$583,""))</f>
        <v/>
      </c>
      <c r="S2529" t="str" cm="1">
        <f t="array" ref="S2529">_xlfn.TEXTJOIN("、",TRUE,IF('學員資料-三重商工'!$B$2:$B$472=$F2529,'學員資料-三重商工'!$G$2:$G$472,""))</f>
        <v>0931362133</v>
      </c>
      <c r="T2529">
        <f t="shared" si="39"/>
        <v>1</v>
      </c>
    </row>
    <row r="2530" spans="1:20" ht="14.25" hidden="1" customHeight="1">
      <c r="A2530" s="15">
        <v>2529</v>
      </c>
      <c r="B2530" s="16" t="s">
        <v>7823</v>
      </c>
      <c r="C2530" s="17">
        <v>45518</v>
      </c>
      <c r="D2530" s="15" t="s">
        <v>7824</v>
      </c>
      <c r="E2530" s="18" t="s">
        <v>954</v>
      </c>
      <c r="F2530" s="19" t="s">
        <v>4187</v>
      </c>
      <c r="G2530" s="18" t="s">
        <v>4188</v>
      </c>
      <c r="H2530" s="20" t="s">
        <v>5246</v>
      </c>
      <c r="I2530" s="15">
        <v>1</v>
      </c>
      <c r="J2530" s="15" t="s">
        <v>23</v>
      </c>
      <c r="K2530" s="15"/>
      <c r="L2530" s="21" t="s">
        <v>16</v>
      </c>
      <c r="M2530" s="22">
        <v>0</v>
      </c>
      <c r="N2530" s="22">
        <v>0</v>
      </c>
      <c r="O2530" s="22">
        <v>7200</v>
      </c>
      <c r="P2530" s="22">
        <v>7200</v>
      </c>
      <c r="Q2530" t="str" cm="1">
        <f t="array" ref="Q2530">_xlfn.TEXTJOIN("、",TRUE,IF('學員資料-三民高中'!$B$2:$B$454=$F2530,'學員資料-三民高中'!$G$2:$G$454,""))</f>
        <v/>
      </c>
      <c r="R2530" t="str" cm="1">
        <f t="array" ref="R2530">_xlfn.TEXTJOIN("、",TRUE,IF('學員資料-新北高中'!$B$2:$B$583=$F2530,'學員資料-新北高中'!$G$2:$G$583,""))</f>
        <v/>
      </c>
      <c r="S2530" t="str" cm="1">
        <f t="array" ref="S2530">_xlfn.TEXTJOIN("、",TRUE,IF('學員資料-三重商工'!$B$2:$B$472=$F2530,'學員資料-三重商工'!$G$2:$G$472,""))</f>
        <v>0978103307</v>
      </c>
      <c r="T2530">
        <f t="shared" si="39"/>
        <v>1</v>
      </c>
    </row>
    <row r="2531" spans="1:20" ht="14.25" hidden="1" customHeight="1">
      <c r="A2531" s="15">
        <v>2530</v>
      </c>
      <c r="B2531" s="16" t="s">
        <v>7825</v>
      </c>
      <c r="C2531" s="17">
        <v>45518</v>
      </c>
      <c r="D2531" s="15" t="s">
        <v>7826</v>
      </c>
      <c r="E2531" s="18" t="s">
        <v>954</v>
      </c>
      <c r="F2531" s="19" t="s">
        <v>7827</v>
      </c>
      <c r="G2531" s="18" t="s">
        <v>7828</v>
      </c>
      <c r="H2531" s="20" t="s">
        <v>5180</v>
      </c>
      <c r="I2531" s="15">
        <v>1</v>
      </c>
      <c r="J2531" s="15" t="s">
        <v>24</v>
      </c>
      <c r="K2531" s="15"/>
      <c r="L2531" s="21" t="s">
        <v>16</v>
      </c>
      <c r="M2531" s="22">
        <v>0</v>
      </c>
      <c r="N2531" s="22">
        <v>-864</v>
      </c>
      <c r="O2531" s="22">
        <v>7776</v>
      </c>
      <c r="P2531" s="22">
        <v>7776</v>
      </c>
      <c r="Q2531" t="str" cm="1">
        <f t="array" ref="Q2531">_xlfn.TEXTJOIN("、",TRUE,IF('學員資料-三民高中'!$B$2:$B$454=$F2531,'學員資料-三民高中'!$G$2:$G$454,""))</f>
        <v/>
      </c>
      <c r="R2531" t="str" cm="1">
        <f t="array" ref="R2531">_xlfn.TEXTJOIN("、",TRUE,IF('學員資料-新北高中'!$B$2:$B$583=$F2531,'學員資料-新北高中'!$G$2:$G$583,""))</f>
        <v/>
      </c>
      <c r="S2531" t="str" cm="1">
        <f t="array" ref="S2531">_xlfn.TEXTJOIN("、",TRUE,IF('學員資料-三重商工'!$B$2:$B$472=$F2531,'學員資料-三重商工'!$G$2:$G$472,""))</f>
        <v>0911248744</v>
      </c>
      <c r="T2531">
        <f t="shared" si="39"/>
        <v>1</v>
      </c>
    </row>
    <row r="2532" spans="1:20" ht="14.25" hidden="1" customHeight="1">
      <c r="A2532" s="15">
        <v>2531</v>
      </c>
      <c r="B2532" s="16" t="s">
        <v>7829</v>
      </c>
      <c r="C2532" s="17">
        <v>45518</v>
      </c>
      <c r="D2532" s="15" t="s">
        <v>7830</v>
      </c>
      <c r="E2532" s="18" t="s">
        <v>954</v>
      </c>
      <c r="F2532" s="19" t="s">
        <v>7831</v>
      </c>
      <c r="G2532" s="18" t="s">
        <v>7832</v>
      </c>
      <c r="H2532" s="20" t="s">
        <v>5131</v>
      </c>
      <c r="I2532" s="15">
        <v>1</v>
      </c>
      <c r="J2532" s="15" t="s">
        <v>24</v>
      </c>
      <c r="K2532" s="15"/>
      <c r="L2532" s="21" t="s">
        <v>16</v>
      </c>
      <c r="M2532" s="22">
        <v>0</v>
      </c>
      <c r="N2532" s="22">
        <v>0</v>
      </c>
      <c r="O2532" s="22">
        <v>7200</v>
      </c>
      <c r="P2532" s="22">
        <v>7200</v>
      </c>
      <c r="Q2532" t="str" cm="1">
        <f t="array" ref="Q2532">_xlfn.TEXTJOIN("、",TRUE,IF('學員資料-三民高中'!$B$2:$B$454=$F2532,'學員資料-三民高中'!$G$2:$G$454,""))</f>
        <v/>
      </c>
      <c r="R2532" t="str" cm="1">
        <f t="array" ref="R2532">_xlfn.TEXTJOIN("、",TRUE,IF('學員資料-新北高中'!$B$2:$B$583=$F2532,'學員資料-新北高中'!$G$2:$G$583,""))</f>
        <v/>
      </c>
      <c r="S2532" t="str" cm="1">
        <f t="array" ref="S2532">_xlfn.TEXTJOIN("、",TRUE,IF('學員資料-三重商工'!$B$2:$B$472=$F2532,'學員資料-三重商工'!$G$2:$G$472,""))</f>
        <v>0912510279</v>
      </c>
      <c r="T2532">
        <f t="shared" si="39"/>
        <v>1</v>
      </c>
    </row>
    <row r="2533" spans="1:20" ht="14.25" hidden="1" customHeight="1">
      <c r="A2533" s="15">
        <v>2532</v>
      </c>
      <c r="B2533" s="16" t="s">
        <v>7833</v>
      </c>
      <c r="C2533" s="17">
        <v>45518</v>
      </c>
      <c r="D2533" s="15" t="s">
        <v>7834</v>
      </c>
      <c r="E2533" s="18" t="s">
        <v>954</v>
      </c>
      <c r="F2533" s="19" t="s">
        <v>7835</v>
      </c>
      <c r="G2533" s="18" t="s">
        <v>7836</v>
      </c>
      <c r="H2533" s="20" t="s">
        <v>5131</v>
      </c>
      <c r="I2533" s="15">
        <v>1</v>
      </c>
      <c r="J2533" s="15" t="s">
        <v>24</v>
      </c>
      <c r="K2533" s="15"/>
      <c r="L2533" s="21" t="s">
        <v>16</v>
      </c>
      <c r="M2533" s="22">
        <v>0</v>
      </c>
      <c r="N2533" s="22">
        <v>-2880</v>
      </c>
      <c r="O2533" s="22">
        <v>4320</v>
      </c>
      <c r="P2533" s="22">
        <v>4320</v>
      </c>
      <c r="Q2533" t="str" cm="1">
        <f t="array" ref="Q2533">_xlfn.TEXTJOIN("、",TRUE,IF('學員資料-三民高中'!$B$2:$B$454=$F2533,'學員資料-三民高中'!$G$2:$G$454,""))</f>
        <v/>
      </c>
      <c r="R2533" t="str" cm="1">
        <f t="array" ref="R2533">_xlfn.TEXTJOIN("、",TRUE,IF('學員資料-新北高中'!$B$2:$B$583=$F2533,'學員資料-新北高中'!$G$2:$G$583,""))</f>
        <v/>
      </c>
      <c r="S2533" t="str" cm="1">
        <f t="array" ref="S2533">_xlfn.TEXTJOIN("、",TRUE,IF('學員資料-三重商工'!$B$2:$B$472=$F2533,'學員資料-三重商工'!$G$2:$G$472,""))</f>
        <v>0931947547</v>
      </c>
      <c r="T2533">
        <f t="shared" si="39"/>
        <v>1</v>
      </c>
    </row>
    <row r="2534" spans="1:20" ht="14.25" hidden="1" customHeight="1">
      <c r="A2534" s="15">
        <v>2533</v>
      </c>
      <c r="B2534" s="16" t="s">
        <v>7837</v>
      </c>
      <c r="C2534" s="17">
        <v>45518</v>
      </c>
      <c r="D2534" s="15" t="s">
        <v>7838</v>
      </c>
      <c r="E2534" s="18" t="s">
        <v>954</v>
      </c>
      <c r="F2534" s="19" t="s">
        <v>7839</v>
      </c>
      <c r="G2534" s="18" t="s">
        <v>7840</v>
      </c>
      <c r="H2534" s="20" t="s">
        <v>5163</v>
      </c>
      <c r="I2534" s="15">
        <v>1</v>
      </c>
      <c r="J2534" s="15" t="s">
        <v>23</v>
      </c>
      <c r="K2534" s="15"/>
      <c r="L2534" s="21" t="s">
        <v>16</v>
      </c>
      <c r="M2534" s="22">
        <v>0</v>
      </c>
      <c r="N2534" s="22">
        <v>0</v>
      </c>
      <c r="O2534" s="22">
        <v>6600</v>
      </c>
      <c r="P2534" s="22">
        <v>6600</v>
      </c>
      <c r="Q2534" t="str" cm="1">
        <f t="array" ref="Q2534">_xlfn.TEXTJOIN("、",TRUE,IF('學員資料-三民高中'!$B$2:$B$454=$F2534,'學員資料-三民高中'!$G$2:$G$454,""))</f>
        <v/>
      </c>
      <c r="R2534" t="str" cm="1">
        <f t="array" ref="R2534">_xlfn.TEXTJOIN("、",TRUE,IF('學員資料-新北高中'!$B$2:$B$583=$F2534,'學員資料-新北高中'!$G$2:$G$583,""))</f>
        <v>0902361129</v>
      </c>
      <c r="S2534" t="str" cm="1">
        <f t="array" ref="S2534">_xlfn.TEXTJOIN("、",TRUE,IF('學員資料-三重商工'!$B$2:$B$472=$F2534,'學員資料-三重商工'!$G$2:$G$472,""))</f>
        <v/>
      </c>
      <c r="T2534">
        <f t="shared" si="39"/>
        <v>1</v>
      </c>
    </row>
    <row r="2535" spans="1:20" ht="14.25" hidden="1" customHeight="1">
      <c r="A2535" s="15">
        <v>2534</v>
      </c>
      <c r="B2535" s="16" t="s">
        <v>7841</v>
      </c>
      <c r="C2535" s="17">
        <v>45518</v>
      </c>
      <c r="D2535" s="15" t="s">
        <v>7842</v>
      </c>
      <c r="E2535" s="18" t="s">
        <v>954</v>
      </c>
      <c r="F2535" s="19" t="s">
        <v>7843</v>
      </c>
      <c r="G2535" s="18" t="s">
        <v>7844</v>
      </c>
      <c r="H2535" s="20" t="s">
        <v>5246</v>
      </c>
      <c r="I2535" s="15">
        <v>1</v>
      </c>
      <c r="J2535" s="15" t="s">
        <v>23</v>
      </c>
      <c r="K2535" s="15"/>
      <c r="L2535" s="21" t="s">
        <v>16</v>
      </c>
      <c r="M2535" s="22">
        <v>0</v>
      </c>
      <c r="N2535" s="22">
        <v>0</v>
      </c>
      <c r="O2535" s="22">
        <v>7200</v>
      </c>
      <c r="P2535" s="22">
        <v>7200</v>
      </c>
      <c r="Q2535" t="str" cm="1">
        <f t="array" ref="Q2535">_xlfn.TEXTJOIN("、",TRUE,IF('學員資料-三民高中'!$B$2:$B$454=$F2535,'學員資料-三民高中'!$G$2:$G$454,""))</f>
        <v/>
      </c>
      <c r="R2535" t="str" cm="1">
        <f t="array" ref="R2535">_xlfn.TEXTJOIN("、",TRUE,IF('學員資料-新北高中'!$B$2:$B$583=$F2535,'學員資料-新北高中'!$G$2:$G$583,""))</f>
        <v/>
      </c>
      <c r="S2535" t="str" cm="1">
        <f t="array" ref="S2535">_xlfn.TEXTJOIN("、",TRUE,IF('學員資料-三重商工'!$B$2:$B$472=$F2535,'學員資料-三重商工'!$G$2:$G$472,""))</f>
        <v>0955517557</v>
      </c>
      <c r="T2535">
        <f t="shared" si="39"/>
        <v>1</v>
      </c>
    </row>
    <row r="2536" spans="1:20" ht="14.25" hidden="1" customHeight="1">
      <c r="A2536" s="15">
        <v>2535</v>
      </c>
      <c r="B2536" s="16" t="s">
        <v>7845</v>
      </c>
      <c r="C2536" s="17">
        <v>45518</v>
      </c>
      <c r="D2536" s="15" t="s">
        <v>7846</v>
      </c>
      <c r="E2536" s="18" t="s">
        <v>954</v>
      </c>
      <c r="F2536" s="19" t="s">
        <v>7847</v>
      </c>
      <c r="G2536" s="18" t="s">
        <v>7848</v>
      </c>
      <c r="H2536" s="20" t="s">
        <v>5180</v>
      </c>
      <c r="I2536" s="15">
        <v>1</v>
      </c>
      <c r="J2536" s="15" t="s">
        <v>24</v>
      </c>
      <c r="K2536" s="15"/>
      <c r="L2536" s="21" t="s">
        <v>16</v>
      </c>
      <c r="M2536" s="22">
        <v>0</v>
      </c>
      <c r="N2536" s="22">
        <v>0</v>
      </c>
      <c r="O2536" s="22">
        <v>8640</v>
      </c>
      <c r="P2536" s="22">
        <v>8640</v>
      </c>
      <c r="Q2536" t="str" cm="1">
        <f t="array" ref="Q2536">_xlfn.TEXTJOIN("、",TRUE,IF('學員資料-三民高中'!$B$2:$B$454=$F2536,'學員資料-三民高中'!$G$2:$G$454,""))</f>
        <v/>
      </c>
      <c r="R2536" t="str" cm="1">
        <f t="array" ref="R2536">_xlfn.TEXTJOIN("、",TRUE,IF('學員資料-新北高中'!$B$2:$B$583=$F2536,'學員資料-新北高中'!$G$2:$G$583,""))</f>
        <v/>
      </c>
      <c r="S2536" t="str" cm="1">
        <f t="array" ref="S2536">_xlfn.TEXTJOIN("、",TRUE,IF('學員資料-三重商工'!$B$2:$B$472=$F2536,'學員資料-三重商工'!$G$2:$G$472,""))</f>
        <v>0968567285</v>
      </c>
      <c r="T2536">
        <f t="shared" si="39"/>
        <v>1</v>
      </c>
    </row>
    <row r="2537" spans="1:20" ht="14.25" hidden="1" customHeight="1">
      <c r="A2537" s="15">
        <v>2536</v>
      </c>
      <c r="B2537" s="16" t="s">
        <v>7849</v>
      </c>
      <c r="C2537" s="17">
        <v>45518</v>
      </c>
      <c r="D2537" s="15" t="s">
        <v>7850</v>
      </c>
      <c r="E2537" s="18" t="s">
        <v>954</v>
      </c>
      <c r="F2537" s="19" t="s">
        <v>1482</v>
      </c>
      <c r="G2537" s="18" t="s">
        <v>1483</v>
      </c>
      <c r="H2537" s="20" t="s">
        <v>5180</v>
      </c>
      <c r="I2537" s="15">
        <v>1</v>
      </c>
      <c r="J2537" s="15" t="s">
        <v>24</v>
      </c>
      <c r="K2537" s="15"/>
      <c r="L2537" s="21" t="s">
        <v>16</v>
      </c>
      <c r="M2537" s="22">
        <v>0</v>
      </c>
      <c r="N2537" s="22">
        <v>0</v>
      </c>
      <c r="O2537" s="22">
        <v>8640</v>
      </c>
      <c r="P2537" s="22">
        <v>8640</v>
      </c>
      <c r="Q2537" t="str" cm="1">
        <f t="array" ref="Q2537">_xlfn.TEXTJOIN("、",TRUE,IF('學員資料-三民高中'!$B$2:$B$454=$F2537,'學員資料-三民高中'!$G$2:$G$454,""))</f>
        <v/>
      </c>
      <c r="R2537" t="str" cm="1">
        <f t="array" ref="R2537">_xlfn.TEXTJOIN("、",TRUE,IF('學員資料-新北高中'!$B$2:$B$583=$F2537,'學員資料-新北高中'!$G$2:$G$583,""))</f>
        <v/>
      </c>
      <c r="S2537" t="str" cm="1">
        <f t="array" ref="S2537">_xlfn.TEXTJOIN("、",TRUE,IF('學員資料-三重商工'!$B$2:$B$472=$F2537,'學員資料-三重商工'!$G$2:$G$472,""))</f>
        <v>0958264081</v>
      </c>
      <c r="T2537">
        <f t="shared" si="39"/>
        <v>1</v>
      </c>
    </row>
    <row r="2538" spans="1:20" ht="14.25" hidden="1" customHeight="1">
      <c r="A2538" s="15">
        <v>2537</v>
      </c>
      <c r="B2538" s="16" t="s">
        <v>7851</v>
      </c>
      <c r="C2538" s="17">
        <v>45518</v>
      </c>
      <c r="D2538" s="15" t="s">
        <v>7852</v>
      </c>
      <c r="E2538" s="18" t="s">
        <v>954</v>
      </c>
      <c r="F2538" s="19" t="s">
        <v>1169</v>
      </c>
      <c r="G2538" s="18" t="s">
        <v>1170</v>
      </c>
      <c r="H2538" s="20" t="s">
        <v>5246</v>
      </c>
      <c r="I2538" s="15">
        <v>1</v>
      </c>
      <c r="J2538" s="15" t="s">
        <v>23</v>
      </c>
      <c r="K2538" s="15"/>
      <c r="L2538" s="21" t="s">
        <v>16</v>
      </c>
      <c r="M2538" s="22">
        <v>0</v>
      </c>
      <c r="N2538" s="22">
        <v>-720</v>
      </c>
      <c r="O2538" s="22">
        <v>6480</v>
      </c>
      <c r="P2538" s="22">
        <v>6480</v>
      </c>
      <c r="Q2538" t="str" cm="1">
        <f t="array" ref="Q2538">_xlfn.TEXTJOIN("、",TRUE,IF('學員資料-三民高中'!$B$2:$B$454=$F2538,'學員資料-三民高中'!$G$2:$G$454,""))</f>
        <v/>
      </c>
      <c r="R2538" t="str" cm="1">
        <f t="array" ref="R2538">_xlfn.TEXTJOIN("、",TRUE,IF('學員資料-新北高中'!$B$2:$B$583=$F2538,'學員資料-新北高中'!$G$2:$G$583,""))</f>
        <v/>
      </c>
      <c r="S2538" t="str" cm="1">
        <f t="array" ref="S2538">_xlfn.TEXTJOIN("、",TRUE,IF('學員資料-三重商工'!$B$2:$B$472=$F2538,'學員資料-三重商工'!$G$2:$G$472,""))</f>
        <v>0916803354</v>
      </c>
      <c r="T2538">
        <f t="shared" si="39"/>
        <v>1</v>
      </c>
    </row>
    <row r="2539" spans="1:20" ht="14.25" hidden="1" customHeight="1">
      <c r="A2539" s="15">
        <v>2538</v>
      </c>
      <c r="B2539" s="16" t="s">
        <v>7853</v>
      </c>
      <c r="C2539" s="17">
        <v>45518</v>
      </c>
      <c r="D2539" s="15" t="s">
        <v>7854</v>
      </c>
      <c r="E2539" s="18" t="s">
        <v>954</v>
      </c>
      <c r="F2539" s="19" t="s">
        <v>7855</v>
      </c>
      <c r="G2539" s="18" t="s">
        <v>7856</v>
      </c>
      <c r="H2539" s="20" t="s">
        <v>5131</v>
      </c>
      <c r="I2539" s="15">
        <v>1</v>
      </c>
      <c r="J2539" s="15" t="s">
        <v>24</v>
      </c>
      <c r="K2539" s="15"/>
      <c r="L2539" s="21" t="s">
        <v>16</v>
      </c>
      <c r="M2539" s="22">
        <v>0</v>
      </c>
      <c r="N2539" s="22">
        <v>0</v>
      </c>
      <c r="O2539" s="22">
        <v>7200</v>
      </c>
      <c r="P2539" s="22">
        <v>7200</v>
      </c>
      <c r="Q2539" t="str" cm="1">
        <f t="array" ref="Q2539">_xlfn.TEXTJOIN("、",TRUE,IF('學員資料-三民高中'!$B$2:$B$454=$F2539,'學員資料-三民高中'!$G$2:$G$454,""))</f>
        <v/>
      </c>
      <c r="R2539" t="str" cm="1">
        <f t="array" ref="R2539">_xlfn.TEXTJOIN("、",TRUE,IF('學員資料-新北高中'!$B$2:$B$583=$F2539,'學員資料-新北高中'!$G$2:$G$583,""))</f>
        <v>0939278907</v>
      </c>
      <c r="S2539" t="str" cm="1">
        <f t="array" ref="S2539">_xlfn.TEXTJOIN("、",TRUE,IF('學員資料-三重商工'!$B$2:$B$472=$F2539,'學員資料-三重商工'!$G$2:$G$472,""))</f>
        <v/>
      </c>
      <c r="T2539">
        <f t="shared" si="39"/>
        <v>1</v>
      </c>
    </row>
    <row r="2540" spans="1:20" ht="14.25" customHeight="1">
      <c r="A2540" s="15">
        <v>2539</v>
      </c>
      <c r="B2540" s="16" t="s">
        <v>7857</v>
      </c>
      <c r="C2540" s="17">
        <v>45518</v>
      </c>
      <c r="D2540" s="15" t="s">
        <v>7858</v>
      </c>
      <c r="E2540" s="18" t="s">
        <v>954</v>
      </c>
      <c r="F2540" s="19" t="s">
        <v>7859</v>
      </c>
      <c r="G2540" s="18" t="s">
        <v>7860</v>
      </c>
      <c r="H2540" s="20" t="s">
        <v>5163</v>
      </c>
      <c r="I2540" s="15">
        <v>1</v>
      </c>
      <c r="J2540" s="15" t="s">
        <v>23</v>
      </c>
      <c r="K2540" s="15"/>
      <c r="L2540" s="21" t="s">
        <v>16</v>
      </c>
      <c r="M2540" s="22">
        <v>0</v>
      </c>
      <c r="N2540" s="22">
        <v>-1200</v>
      </c>
      <c r="O2540" s="22">
        <v>5400</v>
      </c>
      <c r="P2540" s="22">
        <v>5400</v>
      </c>
      <c r="Q2540" t="str" cm="1">
        <f t="array" ref="Q2540">_xlfn.TEXTJOIN("、",TRUE,IF('學員資料-三民高中'!$B$2:$B$454=$F2540,'學員資料-三民高中'!$G$2:$G$454,""))</f>
        <v/>
      </c>
      <c r="R2540" t="str" cm="1">
        <f t="array" ref="R2540">_xlfn.TEXTJOIN("、",TRUE,IF('學員資料-新北高中'!$B$2:$B$583=$F2540,'學員資料-新北高中'!$G$2:$G$583,""))</f>
        <v/>
      </c>
      <c r="S2540" t="str" cm="1">
        <f t="array" ref="S2540">_xlfn.TEXTJOIN("、",TRUE,IF('學員資料-三重商工'!$B$2:$B$472=$F2540,'學員資料-三重商工'!$G$2:$G$472,""))</f>
        <v/>
      </c>
      <c r="T2540">
        <f t="shared" si="39"/>
        <v>0</v>
      </c>
    </row>
    <row r="2541" spans="1:20" ht="14.25" hidden="1" customHeight="1">
      <c r="A2541" s="15">
        <v>2540</v>
      </c>
      <c r="B2541" s="16" t="s">
        <v>7861</v>
      </c>
      <c r="C2541" s="17">
        <v>45518</v>
      </c>
      <c r="D2541" s="15" t="s">
        <v>7862</v>
      </c>
      <c r="E2541" s="18" t="s">
        <v>954</v>
      </c>
      <c r="F2541" s="19" t="s">
        <v>6171</v>
      </c>
      <c r="G2541" s="18" t="s">
        <v>6172</v>
      </c>
      <c r="H2541" s="20" t="s">
        <v>5163</v>
      </c>
      <c r="I2541" s="15">
        <v>1</v>
      </c>
      <c r="J2541" s="15" t="s">
        <v>23</v>
      </c>
      <c r="K2541" s="15"/>
      <c r="L2541" s="21" t="s">
        <v>16</v>
      </c>
      <c r="M2541" s="22">
        <v>0</v>
      </c>
      <c r="N2541" s="22">
        <v>-660</v>
      </c>
      <c r="O2541" s="22">
        <v>5940</v>
      </c>
      <c r="P2541" s="22">
        <v>5940</v>
      </c>
      <c r="Q2541" t="str" cm="1">
        <f t="array" ref="Q2541">_xlfn.TEXTJOIN("、",TRUE,IF('學員資料-三民高中'!$B$2:$B$454=$F2541,'學員資料-三民高中'!$G$2:$G$454,""))</f>
        <v/>
      </c>
      <c r="R2541" t="str" cm="1">
        <f t="array" ref="R2541">_xlfn.TEXTJOIN("、",TRUE,IF('學員資料-新北高中'!$B$2:$B$583=$F2541,'學員資料-新北高中'!$G$2:$G$583,""))</f>
        <v>0912527224</v>
      </c>
      <c r="S2541" t="str" cm="1">
        <f t="array" ref="S2541">_xlfn.TEXTJOIN("、",TRUE,IF('學員資料-三重商工'!$B$2:$B$472=$F2541,'學員資料-三重商工'!$G$2:$G$472,""))</f>
        <v/>
      </c>
      <c r="T2541">
        <f t="shared" si="39"/>
        <v>1</v>
      </c>
    </row>
    <row r="2542" spans="1:20" ht="14.25" hidden="1" customHeight="1">
      <c r="A2542" s="15">
        <v>2541</v>
      </c>
      <c r="B2542" s="16" t="s">
        <v>7863</v>
      </c>
      <c r="C2542" s="17">
        <v>45518</v>
      </c>
      <c r="D2542" s="15" t="s">
        <v>7864</v>
      </c>
      <c r="E2542" s="18" t="s">
        <v>3862</v>
      </c>
      <c r="F2542" s="19" t="s">
        <v>554</v>
      </c>
      <c r="G2542" s="18" t="s">
        <v>555</v>
      </c>
      <c r="H2542" s="20" t="s">
        <v>5131</v>
      </c>
      <c r="I2542" s="15">
        <v>1</v>
      </c>
      <c r="J2542" s="15" t="s">
        <v>24</v>
      </c>
      <c r="K2542" s="15"/>
      <c r="L2542" s="21" t="s">
        <v>16</v>
      </c>
      <c r="M2542" s="22">
        <v>0</v>
      </c>
      <c r="N2542" s="22">
        <v>-1080</v>
      </c>
      <c r="O2542" s="22">
        <v>6120</v>
      </c>
      <c r="P2542" s="22">
        <v>6120</v>
      </c>
      <c r="Q2542" t="str" cm="1">
        <f t="array" ref="Q2542">_xlfn.TEXTJOIN("、",TRUE,IF('學員資料-三民高中'!$B$2:$B$454=$F2542,'學員資料-三民高中'!$G$2:$G$454,""))</f>
        <v/>
      </c>
      <c r="R2542" t="str" cm="1">
        <f t="array" ref="R2542">_xlfn.TEXTJOIN("、",TRUE,IF('學員資料-新北高中'!$B$2:$B$583=$F2542,'學員資料-新北高中'!$G$2:$G$583,""))</f>
        <v>0958920567</v>
      </c>
      <c r="S2542" t="str" cm="1">
        <f t="array" ref="S2542">_xlfn.TEXTJOIN("、",TRUE,IF('學員資料-三重商工'!$B$2:$B$472=$F2542,'學員資料-三重商工'!$G$2:$G$472,""))</f>
        <v/>
      </c>
      <c r="T2542">
        <f t="shared" si="39"/>
        <v>1</v>
      </c>
    </row>
    <row r="2543" spans="1:20" ht="14.25" hidden="1" customHeight="1">
      <c r="A2543" s="15">
        <v>2542</v>
      </c>
      <c r="B2543" s="16" t="s">
        <v>7865</v>
      </c>
      <c r="C2543" s="17">
        <v>45518</v>
      </c>
      <c r="D2543" s="15" t="s">
        <v>7866</v>
      </c>
      <c r="E2543" s="18" t="s">
        <v>954</v>
      </c>
      <c r="F2543" s="19" t="s">
        <v>7867</v>
      </c>
      <c r="G2543" s="18" t="s">
        <v>7868</v>
      </c>
      <c r="H2543" s="20" t="s">
        <v>5131</v>
      </c>
      <c r="I2543" s="15">
        <v>1</v>
      </c>
      <c r="J2543" s="15" t="s">
        <v>24</v>
      </c>
      <c r="K2543" s="15"/>
      <c r="L2543" s="21" t="s">
        <v>16</v>
      </c>
      <c r="M2543" s="22">
        <v>0</v>
      </c>
      <c r="N2543" s="22">
        <v>-720</v>
      </c>
      <c r="O2543" s="22">
        <v>6480</v>
      </c>
      <c r="P2543" s="22">
        <v>6480</v>
      </c>
      <c r="Q2543" t="str" cm="1">
        <f t="array" ref="Q2543">_xlfn.TEXTJOIN("、",TRUE,IF('學員資料-三民高中'!$B$2:$B$454=$F2543,'學員資料-三民高中'!$G$2:$G$454,""))</f>
        <v/>
      </c>
      <c r="R2543" t="str" cm="1">
        <f t="array" ref="R2543">_xlfn.TEXTJOIN("、",TRUE,IF('學員資料-新北高中'!$B$2:$B$583=$F2543,'學員資料-新北高中'!$G$2:$G$583,""))</f>
        <v/>
      </c>
      <c r="S2543" t="str" cm="1">
        <f t="array" ref="S2543">_xlfn.TEXTJOIN("、",TRUE,IF('學員資料-三重商工'!$B$2:$B$472=$F2543,'學員資料-三重商工'!$G$2:$G$472,""))</f>
        <v>0910951005</v>
      </c>
      <c r="T2543">
        <f t="shared" si="39"/>
        <v>1</v>
      </c>
    </row>
    <row r="2544" spans="1:20" ht="14.25" hidden="1" customHeight="1">
      <c r="A2544" s="15">
        <v>2543</v>
      </c>
      <c r="B2544" s="16" t="s">
        <v>7869</v>
      </c>
      <c r="C2544" s="17">
        <v>45518</v>
      </c>
      <c r="D2544" s="15" t="s">
        <v>7870</v>
      </c>
      <c r="E2544" s="18" t="s">
        <v>954</v>
      </c>
      <c r="F2544" s="19" t="s">
        <v>2596</v>
      </c>
      <c r="G2544" s="18" t="s">
        <v>2597</v>
      </c>
      <c r="H2544" s="20" t="s">
        <v>5131</v>
      </c>
      <c r="I2544" s="15">
        <v>1</v>
      </c>
      <c r="J2544" s="15" t="s">
        <v>24</v>
      </c>
      <c r="K2544" s="15"/>
      <c r="L2544" s="21" t="s">
        <v>16</v>
      </c>
      <c r="M2544" s="22">
        <v>0</v>
      </c>
      <c r="N2544" s="22">
        <v>0</v>
      </c>
      <c r="O2544" s="22">
        <v>7200</v>
      </c>
      <c r="P2544" s="22">
        <v>7200</v>
      </c>
      <c r="Q2544" t="str" cm="1">
        <f t="array" ref="Q2544">_xlfn.TEXTJOIN("、",TRUE,IF('學員資料-三民高中'!$B$2:$B$454=$F2544,'學員資料-三民高中'!$G$2:$G$454,""))</f>
        <v/>
      </c>
      <c r="R2544" t="str" cm="1">
        <f t="array" ref="R2544">_xlfn.TEXTJOIN("、",TRUE,IF('學員資料-新北高中'!$B$2:$B$583=$F2544,'學員資料-新北高中'!$G$2:$G$583,""))</f>
        <v/>
      </c>
      <c r="S2544" t="str" cm="1">
        <f t="array" ref="S2544">_xlfn.TEXTJOIN("、",TRUE,IF('學員資料-三重商工'!$B$2:$B$472=$F2544,'學員資料-三重商工'!$G$2:$G$472,""))</f>
        <v>0939332750</v>
      </c>
      <c r="T2544">
        <f t="shared" si="39"/>
        <v>1</v>
      </c>
    </row>
    <row r="2545" spans="1:20" ht="14.25" hidden="1" customHeight="1">
      <c r="A2545" s="15">
        <v>2544</v>
      </c>
      <c r="B2545" s="16" t="s">
        <v>7871</v>
      </c>
      <c r="C2545" s="17">
        <v>45518</v>
      </c>
      <c r="D2545" s="15" t="s">
        <v>7872</v>
      </c>
      <c r="E2545" s="18" t="s">
        <v>954</v>
      </c>
      <c r="F2545" s="19" t="s">
        <v>7873</v>
      </c>
      <c r="G2545" s="18" t="s">
        <v>7874</v>
      </c>
      <c r="H2545" s="20" t="s">
        <v>5148</v>
      </c>
      <c r="I2545" s="15">
        <v>1</v>
      </c>
      <c r="J2545" s="15" t="s">
        <v>25</v>
      </c>
      <c r="K2545" s="15"/>
      <c r="L2545" s="21" t="s">
        <v>16</v>
      </c>
      <c r="M2545" s="22">
        <v>0</v>
      </c>
      <c r="N2545" s="22">
        <v>0</v>
      </c>
      <c r="O2545" s="22">
        <v>9000</v>
      </c>
      <c r="P2545" s="22">
        <v>9000</v>
      </c>
      <c r="Q2545" t="str" cm="1">
        <f t="array" ref="Q2545">_xlfn.TEXTJOIN("、",TRUE,IF('學員資料-三民高中'!$B$2:$B$454=$F2545,'學員資料-三民高中'!$G$2:$G$454,""))</f>
        <v/>
      </c>
      <c r="R2545" t="str" cm="1">
        <f t="array" ref="R2545">_xlfn.TEXTJOIN("、",TRUE,IF('學員資料-新北高中'!$B$2:$B$583=$F2545,'學員資料-新北高中'!$G$2:$G$583,""))</f>
        <v/>
      </c>
      <c r="S2545" t="str" cm="1">
        <f t="array" ref="S2545">_xlfn.TEXTJOIN("、",TRUE,IF('學員資料-三重商工'!$B$2:$B$472=$F2545,'學員資料-三重商工'!$G$2:$G$472,""))</f>
        <v>0922717627</v>
      </c>
      <c r="T2545">
        <f t="shared" si="39"/>
        <v>1</v>
      </c>
    </row>
    <row r="2546" spans="1:20" ht="14.25" hidden="1" customHeight="1">
      <c r="A2546" s="15">
        <v>2545</v>
      </c>
      <c r="B2546" s="16" t="s">
        <v>7875</v>
      </c>
      <c r="C2546" s="17">
        <v>45518</v>
      </c>
      <c r="D2546" s="15" t="s">
        <v>7876</v>
      </c>
      <c r="E2546" s="18" t="s">
        <v>954</v>
      </c>
      <c r="F2546" s="19" t="s">
        <v>1316</v>
      </c>
      <c r="G2546" s="18" t="s">
        <v>1317</v>
      </c>
      <c r="H2546" s="20" t="s">
        <v>5131</v>
      </c>
      <c r="I2546" s="15">
        <v>1</v>
      </c>
      <c r="J2546" s="15" t="s">
        <v>24</v>
      </c>
      <c r="K2546" s="15"/>
      <c r="L2546" s="21" t="s">
        <v>16</v>
      </c>
      <c r="M2546" s="22">
        <v>0</v>
      </c>
      <c r="N2546" s="22">
        <v>0</v>
      </c>
      <c r="O2546" s="22">
        <v>7200</v>
      </c>
      <c r="P2546" s="22">
        <v>7200</v>
      </c>
      <c r="Q2546" t="str" cm="1">
        <f t="array" ref="Q2546">_xlfn.TEXTJOIN("、",TRUE,IF('學員資料-三民高中'!$B$2:$B$454=$F2546,'學員資料-三民高中'!$G$2:$G$454,""))</f>
        <v/>
      </c>
      <c r="R2546" t="str" cm="1">
        <f t="array" ref="R2546">_xlfn.TEXTJOIN("、",TRUE,IF('學員資料-新北高中'!$B$2:$B$583=$F2546,'學員資料-新北高中'!$G$2:$G$583,""))</f>
        <v/>
      </c>
      <c r="S2546" t="str" cm="1">
        <f t="array" ref="S2546">_xlfn.TEXTJOIN("、",TRUE,IF('學員資料-三重商工'!$B$2:$B$472=$F2546,'學員資料-三重商工'!$G$2:$G$472,""))</f>
        <v>0915680699</v>
      </c>
      <c r="T2546">
        <f t="shared" si="39"/>
        <v>1</v>
      </c>
    </row>
    <row r="2547" spans="1:20" ht="28.5" hidden="1" customHeight="1">
      <c r="A2547" s="15">
        <v>2546</v>
      </c>
      <c r="B2547" s="16" t="s">
        <v>7877</v>
      </c>
      <c r="C2547" s="17">
        <v>45518</v>
      </c>
      <c r="D2547" s="15" t="s">
        <v>7878</v>
      </c>
      <c r="E2547" s="18" t="s">
        <v>954</v>
      </c>
      <c r="F2547" s="19" t="s">
        <v>7879</v>
      </c>
      <c r="G2547" s="18" t="s">
        <v>7880</v>
      </c>
      <c r="H2547" s="20" t="s">
        <v>1985</v>
      </c>
      <c r="I2547" s="15">
        <v>2</v>
      </c>
      <c r="J2547" s="15" t="s">
        <v>23</v>
      </c>
      <c r="K2547" s="15"/>
      <c r="L2547" s="21" t="s">
        <v>16</v>
      </c>
      <c r="M2547" s="22">
        <v>0</v>
      </c>
      <c r="N2547" s="22">
        <v>-1800</v>
      </c>
      <c r="O2547" s="22">
        <v>16200</v>
      </c>
      <c r="P2547" s="22">
        <v>16200</v>
      </c>
      <c r="Q2547" t="str" cm="1">
        <f t="array" ref="Q2547">_xlfn.TEXTJOIN("、",TRUE,IF('學員資料-三民高中'!$B$2:$B$454=$F2547,'學員資料-三民高中'!$G$2:$G$454,""))</f>
        <v/>
      </c>
      <c r="R2547" t="str" cm="1">
        <f t="array" ref="R2547">_xlfn.TEXTJOIN("、",TRUE,IF('學員資料-新北高中'!$B$2:$B$583=$F2547,'學員資料-新北高中'!$G$2:$G$583,""))</f>
        <v>0913530325</v>
      </c>
      <c r="S2547" t="str" cm="1">
        <f t="array" ref="S2547">_xlfn.TEXTJOIN("、",TRUE,IF('學員資料-三重商工'!$B$2:$B$472=$F2547,'學員資料-三重商工'!$G$2:$G$472,""))</f>
        <v/>
      </c>
      <c r="T2547">
        <f t="shared" si="39"/>
        <v>1</v>
      </c>
    </row>
    <row r="2548" spans="1:20" ht="28.5" hidden="1" customHeight="1">
      <c r="A2548" s="15">
        <v>2547</v>
      </c>
      <c r="B2548" s="16" t="s">
        <v>7881</v>
      </c>
      <c r="C2548" s="17">
        <v>45518</v>
      </c>
      <c r="D2548" s="15" t="s">
        <v>7882</v>
      </c>
      <c r="E2548" s="18" t="s">
        <v>954</v>
      </c>
      <c r="F2548" s="19" t="s">
        <v>1836</v>
      </c>
      <c r="G2548" s="18" t="s">
        <v>1837</v>
      </c>
      <c r="H2548" s="20" t="s">
        <v>1838</v>
      </c>
      <c r="I2548" s="15">
        <v>2</v>
      </c>
      <c r="J2548" s="15" t="s">
        <v>24</v>
      </c>
      <c r="K2548" s="15"/>
      <c r="L2548" s="21" t="s">
        <v>16</v>
      </c>
      <c r="M2548" s="22">
        <v>0</v>
      </c>
      <c r="N2548" s="22">
        <v>-2160</v>
      </c>
      <c r="O2548" s="22">
        <v>19440</v>
      </c>
      <c r="P2548" s="22">
        <v>19440</v>
      </c>
      <c r="Q2548" t="str" cm="1">
        <f t="array" ref="Q2548">_xlfn.TEXTJOIN("、",TRUE,IF('學員資料-三民高中'!$B$2:$B$454=$F2548,'學員資料-三民高中'!$G$2:$G$454,""))</f>
        <v/>
      </c>
      <c r="R2548" t="str" cm="1">
        <f t="array" ref="R2548">_xlfn.TEXTJOIN("、",TRUE,IF('學員資料-新北高中'!$B$2:$B$583=$F2548,'學員資料-新北高中'!$G$2:$G$583,""))</f>
        <v>0919982200</v>
      </c>
      <c r="S2548" t="str" cm="1">
        <f t="array" ref="S2548">_xlfn.TEXTJOIN("、",TRUE,IF('學員資料-三重商工'!$B$2:$B$472=$F2548,'學員資料-三重商工'!$G$2:$G$472,""))</f>
        <v/>
      </c>
      <c r="T2548">
        <f t="shared" si="39"/>
        <v>1</v>
      </c>
    </row>
    <row r="2549" spans="1:20" ht="14.25" hidden="1" customHeight="1">
      <c r="A2549" s="15">
        <v>2548</v>
      </c>
      <c r="B2549" s="16" t="s">
        <v>7883</v>
      </c>
      <c r="C2549" s="17">
        <v>45518</v>
      </c>
      <c r="D2549" s="15" t="s">
        <v>7884</v>
      </c>
      <c r="E2549" s="18" t="s">
        <v>954</v>
      </c>
      <c r="F2549" s="19" t="s">
        <v>7885</v>
      </c>
      <c r="G2549" s="18" t="s">
        <v>7886</v>
      </c>
      <c r="H2549" s="20" t="s">
        <v>5148</v>
      </c>
      <c r="I2549" s="15">
        <v>1</v>
      </c>
      <c r="J2549" s="15" t="s">
        <v>25</v>
      </c>
      <c r="K2549" s="15"/>
      <c r="L2549" s="21" t="s">
        <v>16</v>
      </c>
      <c r="M2549" s="22">
        <v>0</v>
      </c>
      <c r="N2549" s="22">
        <v>0</v>
      </c>
      <c r="O2549" s="22">
        <v>9000</v>
      </c>
      <c r="P2549" s="22">
        <v>9000</v>
      </c>
      <c r="Q2549" t="str" cm="1">
        <f t="array" ref="Q2549">_xlfn.TEXTJOIN("、",TRUE,IF('學員資料-三民高中'!$B$2:$B$454=$F2549,'學員資料-三民高中'!$G$2:$G$454,""))</f>
        <v/>
      </c>
      <c r="R2549" t="str" cm="1">
        <f t="array" ref="R2549">_xlfn.TEXTJOIN("、",TRUE,IF('學員資料-新北高中'!$B$2:$B$583=$F2549,'學員資料-新北高中'!$G$2:$G$583,""))</f>
        <v>0983390705</v>
      </c>
      <c r="S2549" t="str" cm="1">
        <f t="array" ref="S2549">_xlfn.TEXTJOIN("、",TRUE,IF('學員資料-三重商工'!$B$2:$B$472=$F2549,'學員資料-三重商工'!$G$2:$G$472,""))</f>
        <v/>
      </c>
      <c r="T2549">
        <f t="shared" si="39"/>
        <v>1</v>
      </c>
    </row>
    <row r="2550" spans="1:20" ht="14.25" hidden="1" customHeight="1">
      <c r="A2550" s="15">
        <v>2549</v>
      </c>
      <c r="B2550" s="16" t="s">
        <v>7887</v>
      </c>
      <c r="C2550" s="17">
        <v>45518</v>
      </c>
      <c r="D2550" s="15" t="s">
        <v>7888</v>
      </c>
      <c r="E2550" s="18" t="s">
        <v>954</v>
      </c>
      <c r="F2550" s="19" t="s">
        <v>4219</v>
      </c>
      <c r="G2550" s="18" t="s">
        <v>4220</v>
      </c>
      <c r="H2550" s="20" t="s">
        <v>5131</v>
      </c>
      <c r="I2550" s="15">
        <v>1</v>
      </c>
      <c r="J2550" s="15" t="s">
        <v>24</v>
      </c>
      <c r="K2550" s="15"/>
      <c r="L2550" s="21" t="s">
        <v>16</v>
      </c>
      <c r="M2550" s="22">
        <v>0</v>
      </c>
      <c r="N2550" s="22">
        <v>0</v>
      </c>
      <c r="O2550" s="22">
        <v>7200</v>
      </c>
      <c r="P2550" s="22">
        <v>7200</v>
      </c>
      <c r="Q2550" t="str" cm="1">
        <f t="array" ref="Q2550">_xlfn.TEXTJOIN("、",TRUE,IF('學員資料-三民高中'!$B$2:$B$454=$F2550,'學員資料-三民高中'!$G$2:$G$454,""))</f>
        <v/>
      </c>
      <c r="R2550" t="str" cm="1">
        <f t="array" ref="R2550">_xlfn.TEXTJOIN("、",TRUE,IF('學員資料-新北高中'!$B$2:$B$583=$F2550,'學員資料-新北高中'!$G$2:$G$583,""))</f>
        <v/>
      </c>
      <c r="S2550" t="str" cm="1">
        <f t="array" ref="S2550">_xlfn.TEXTJOIN("、",TRUE,IF('學員資料-三重商工'!$B$2:$B$472=$F2550,'學員資料-三重商工'!$G$2:$G$472,""))</f>
        <v>0926251535</v>
      </c>
      <c r="T2550">
        <f t="shared" si="39"/>
        <v>1</v>
      </c>
    </row>
    <row r="2551" spans="1:20" ht="14.25" hidden="1" customHeight="1">
      <c r="A2551" s="15">
        <v>2550</v>
      </c>
      <c r="B2551" s="16" t="s">
        <v>7889</v>
      </c>
      <c r="C2551" s="17">
        <v>45518</v>
      </c>
      <c r="D2551" s="15" t="s">
        <v>7890</v>
      </c>
      <c r="E2551" s="18" t="s">
        <v>954</v>
      </c>
      <c r="F2551" s="19" t="s">
        <v>7891</v>
      </c>
      <c r="G2551" s="18" t="s">
        <v>7892</v>
      </c>
      <c r="H2551" s="20" t="s">
        <v>5246</v>
      </c>
      <c r="I2551" s="15">
        <v>1</v>
      </c>
      <c r="J2551" s="15" t="s">
        <v>23</v>
      </c>
      <c r="K2551" s="15"/>
      <c r="L2551" s="21" t="s">
        <v>16</v>
      </c>
      <c r="M2551" s="22">
        <v>0</v>
      </c>
      <c r="N2551" s="22">
        <v>0</v>
      </c>
      <c r="O2551" s="22">
        <v>7200</v>
      </c>
      <c r="P2551" s="22">
        <v>7200</v>
      </c>
      <c r="Q2551" t="str" cm="1">
        <f t="array" ref="Q2551">_xlfn.TEXTJOIN("、",TRUE,IF('學員資料-三民高中'!$B$2:$B$454=$F2551,'學員資料-三民高中'!$G$2:$G$454,""))</f>
        <v/>
      </c>
      <c r="R2551" t="str" cm="1">
        <f t="array" ref="R2551">_xlfn.TEXTJOIN("、",TRUE,IF('學員資料-新北高中'!$B$2:$B$583=$F2551,'學員資料-新北高中'!$G$2:$G$583,""))</f>
        <v>0933136491</v>
      </c>
      <c r="S2551" t="str" cm="1">
        <f t="array" ref="S2551">_xlfn.TEXTJOIN("、",TRUE,IF('學員資料-三重商工'!$B$2:$B$472=$F2551,'學員資料-三重商工'!$G$2:$G$472,""))</f>
        <v/>
      </c>
      <c r="T2551">
        <f t="shared" si="39"/>
        <v>1</v>
      </c>
    </row>
    <row r="2552" spans="1:20" ht="28.5" hidden="1" customHeight="1">
      <c r="A2552" s="15">
        <v>2551</v>
      </c>
      <c r="B2552" s="16" t="s">
        <v>7893</v>
      </c>
      <c r="C2552" s="17">
        <v>45518</v>
      </c>
      <c r="D2552" s="15" t="s">
        <v>7894</v>
      </c>
      <c r="E2552" s="18" t="s">
        <v>954</v>
      </c>
      <c r="F2552" s="19" t="s">
        <v>5021</v>
      </c>
      <c r="G2552" s="18" t="s">
        <v>5022</v>
      </c>
      <c r="H2552" s="20" t="s">
        <v>5154</v>
      </c>
      <c r="I2552" s="15">
        <v>2</v>
      </c>
      <c r="J2552" s="15" t="s">
        <v>24</v>
      </c>
      <c r="K2552" s="15"/>
      <c r="L2552" s="21" t="s">
        <v>16</v>
      </c>
      <c r="M2552" s="22">
        <v>0</v>
      </c>
      <c r="N2552" s="22">
        <v>0</v>
      </c>
      <c r="O2552" s="22">
        <v>14400</v>
      </c>
      <c r="P2552" s="22">
        <v>14400</v>
      </c>
      <c r="Q2552" t="str" cm="1">
        <f t="array" ref="Q2552">_xlfn.TEXTJOIN("、",TRUE,IF('學員資料-三民高中'!$B$2:$B$454=$F2552,'學員資料-三民高中'!$G$2:$G$454,""))</f>
        <v/>
      </c>
      <c r="R2552" t="str" cm="1">
        <f t="array" ref="R2552">_xlfn.TEXTJOIN("、",TRUE,IF('學員資料-新北高中'!$B$2:$B$583=$F2552,'學員資料-新北高中'!$G$2:$G$583,""))</f>
        <v>0911221010</v>
      </c>
      <c r="S2552" t="str" cm="1">
        <f t="array" ref="S2552">_xlfn.TEXTJOIN("、",TRUE,IF('學員資料-三重商工'!$B$2:$B$472=$F2552,'學員資料-三重商工'!$G$2:$G$472,""))</f>
        <v/>
      </c>
      <c r="T2552">
        <f t="shared" si="39"/>
        <v>1</v>
      </c>
    </row>
    <row r="2553" spans="1:20" ht="14.25" customHeight="1">
      <c r="A2553" s="15">
        <v>2552</v>
      </c>
      <c r="B2553" s="16" t="s">
        <v>7895</v>
      </c>
      <c r="C2553" s="17">
        <v>45518</v>
      </c>
      <c r="D2553" s="15" t="s">
        <v>7896</v>
      </c>
      <c r="E2553" s="18" t="s">
        <v>954</v>
      </c>
      <c r="F2553" s="19" t="s">
        <v>7897</v>
      </c>
      <c r="G2553" s="18" t="s">
        <v>7898</v>
      </c>
      <c r="H2553" s="20" t="s">
        <v>5163</v>
      </c>
      <c r="I2553" s="15">
        <v>1</v>
      </c>
      <c r="J2553" s="15" t="s">
        <v>23</v>
      </c>
      <c r="K2553" s="15"/>
      <c r="L2553" s="21" t="s">
        <v>16</v>
      </c>
      <c r="M2553" s="22">
        <v>0</v>
      </c>
      <c r="N2553" s="22">
        <v>0</v>
      </c>
      <c r="O2553" s="22">
        <v>6600</v>
      </c>
      <c r="P2553" s="22">
        <v>6600</v>
      </c>
      <c r="Q2553" t="str" cm="1">
        <f t="array" ref="Q2553">_xlfn.TEXTJOIN("、",TRUE,IF('學員資料-三民高中'!$B$2:$B$454=$F2553,'學員資料-三民高中'!$G$2:$G$454,""))</f>
        <v/>
      </c>
      <c r="R2553" t="str" cm="1">
        <f t="array" ref="R2553">_xlfn.TEXTJOIN("、",TRUE,IF('學員資料-新北高中'!$B$2:$B$583=$F2553,'學員資料-新北高中'!$G$2:$G$583,""))</f>
        <v/>
      </c>
      <c r="S2553" t="str" cm="1">
        <f t="array" ref="S2553">_xlfn.TEXTJOIN("、",TRUE,IF('學員資料-三重商工'!$B$2:$B$472=$F2553,'學員資料-三重商工'!$G$2:$G$472,""))</f>
        <v/>
      </c>
      <c r="T2553">
        <f t="shared" si="39"/>
        <v>0</v>
      </c>
    </row>
    <row r="2554" spans="1:20" ht="28.5" hidden="1" customHeight="1">
      <c r="A2554" s="15">
        <v>2553</v>
      </c>
      <c r="B2554" s="16" t="s">
        <v>7899</v>
      </c>
      <c r="C2554" s="17">
        <v>45518</v>
      </c>
      <c r="D2554" s="15" t="s">
        <v>7900</v>
      </c>
      <c r="E2554" s="18" t="s">
        <v>954</v>
      </c>
      <c r="F2554" s="19" t="s">
        <v>7901</v>
      </c>
      <c r="G2554" s="18" t="s">
        <v>7902</v>
      </c>
      <c r="H2554" s="20" t="s">
        <v>5206</v>
      </c>
      <c r="I2554" s="15">
        <v>2</v>
      </c>
      <c r="J2554" s="15" t="s">
        <v>23</v>
      </c>
      <c r="K2554" s="15"/>
      <c r="L2554" s="21" t="s">
        <v>16</v>
      </c>
      <c r="M2554" s="22">
        <v>0</v>
      </c>
      <c r="N2554" s="22">
        <v>0</v>
      </c>
      <c r="O2554" s="22">
        <v>13200</v>
      </c>
      <c r="P2554" s="22">
        <v>13200</v>
      </c>
      <c r="Q2554" t="str" cm="1">
        <f t="array" ref="Q2554">_xlfn.TEXTJOIN("、",TRUE,IF('學員資料-三民高中'!$B$2:$B$454=$F2554,'學員資料-三民高中'!$G$2:$G$454,""))</f>
        <v/>
      </c>
      <c r="R2554" t="str" cm="1">
        <f t="array" ref="R2554">_xlfn.TEXTJOIN("、",TRUE,IF('學員資料-新北高中'!$B$2:$B$583=$F2554,'學員資料-新北高中'!$G$2:$G$583,""))</f>
        <v>0919543217</v>
      </c>
      <c r="S2554" t="str" cm="1">
        <f t="array" ref="S2554">_xlfn.TEXTJOIN("、",TRUE,IF('學員資料-三重商工'!$B$2:$B$472=$F2554,'學員資料-三重商工'!$G$2:$G$472,""))</f>
        <v/>
      </c>
      <c r="T2554">
        <f t="shared" si="39"/>
        <v>1</v>
      </c>
    </row>
    <row r="2555" spans="1:20" ht="14.25" customHeight="1">
      <c r="A2555" s="15">
        <v>2554</v>
      </c>
      <c r="B2555" s="16" t="s">
        <v>7903</v>
      </c>
      <c r="C2555" s="17">
        <v>45518</v>
      </c>
      <c r="D2555" s="15" t="s">
        <v>7904</v>
      </c>
      <c r="E2555" s="18" t="s">
        <v>954</v>
      </c>
      <c r="F2555" s="19" t="s">
        <v>5539</v>
      </c>
      <c r="G2555" s="18" t="s">
        <v>5540</v>
      </c>
      <c r="H2555" s="20" t="s">
        <v>5163</v>
      </c>
      <c r="I2555" s="15">
        <v>1</v>
      </c>
      <c r="J2555" s="15" t="s">
        <v>23</v>
      </c>
      <c r="K2555" s="15"/>
      <c r="L2555" s="21" t="s">
        <v>16</v>
      </c>
      <c r="M2555" s="22">
        <v>0</v>
      </c>
      <c r="N2555" s="22">
        <v>0</v>
      </c>
      <c r="O2555" s="22">
        <v>6600</v>
      </c>
      <c r="P2555" s="22">
        <v>6600</v>
      </c>
      <c r="Q2555" t="str" cm="1">
        <f t="array" ref="Q2555">_xlfn.TEXTJOIN("、",TRUE,IF('學員資料-三民高中'!$B$2:$B$454=$F2555,'學員資料-三民高中'!$G$2:$G$454,""))</f>
        <v/>
      </c>
      <c r="R2555" t="str" cm="1">
        <f t="array" ref="R2555">_xlfn.TEXTJOIN("、",TRUE,IF('學員資料-新北高中'!$B$2:$B$583=$F2555,'學員資料-新北高中'!$G$2:$G$583,""))</f>
        <v/>
      </c>
      <c r="S2555" t="str" cm="1">
        <f t="array" ref="S2555">_xlfn.TEXTJOIN("、",TRUE,IF('學員資料-三重商工'!$B$2:$B$472=$F2555,'學員資料-三重商工'!$G$2:$G$472,""))</f>
        <v/>
      </c>
      <c r="T2555">
        <f t="shared" si="39"/>
        <v>0</v>
      </c>
    </row>
    <row r="2556" spans="1:20" ht="14.25" hidden="1" customHeight="1">
      <c r="A2556" s="15">
        <v>2555</v>
      </c>
      <c r="B2556" s="16" t="s">
        <v>7905</v>
      </c>
      <c r="C2556" s="17">
        <v>45517</v>
      </c>
      <c r="D2556" s="15" t="s">
        <v>7906</v>
      </c>
      <c r="E2556" s="18" t="s">
        <v>954</v>
      </c>
      <c r="F2556" s="19" t="s">
        <v>7907</v>
      </c>
      <c r="G2556" s="18" t="s">
        <v>7908</v>
      </c>
      <c r="H2556" s="20" t="s">
        <v>7909</v>
      </c>
      <c r="I2556" s="15">
        <v>1</v>
      </c>
      <c r="J2556" s="15" t="s">
        <v>27</v>
      </c>
      <c r="K2556" s="15"/>
      <c r="L2556" s="21" t="s">
        <v>16</v>
      </c>
      <c r="M2556" s="22">
        <v>0</v>
      </c>
      <c r="N2556" s="22">
        <v>0</v>
      </c>
      <c r="O2556" s="22">
        <v>14400</v>
      </c>
      <c r="P2556" s="22">
        <v>14400</v>
      </c>
      <c r="Q2556" t="str" cm="1">
        <f t="array" ref="Q2556">_xlfn.TEXTJOIN("、",TRUE,IF('學員資料-三民高中'!$B$2:$B$454=$F2556,'學員資料-三民高中'!$G$2:$G$454,""))</f>
        <v>0986272899</v>
      </c>
      <c r="R2556" t="str" cm="1">
        <f t="array" ref="R2556">_xlfn.TEXTJOIN("、",TRUE,IF('學員資料-新北高中'!$B$2:$B$583=$F2556,'學員資料-新北高中'!$G$2:$G$583,""))</f>
        <v/>
      </c>
      <c r="S2556" t="str" cm="1">
        <f t="array" ref="S2556">_xlfn.TEXTJOIN("、",TRUE,IF('學員資料-三重商工'!$B$2:$B$472=$F2556,'學員資料-三重商工'!$G$2:$G$472,""))</f>
        <v/>
      </c>
      <c r="T2556">
        <f t="shared" si="39"/>
        <v>1</v>
      </c>
    </row>
    <row r="2557" spans="1:20" ht="28.5" hidden="1" customHeight="1">
      <c r="A2557" s="15">
        <v>2556</v>
      </c>
      <c r="B2557" s="16" t="s">
        <v>7910</v>
      </c>
      <c r="C2557" s="17">
        <v>45517</v>
      </c>
      <c r="D2557" s="15" t="s">
        <v>7911</v>
      </c>
      <c r="E2557" s="18" t="s">
        <v>954</v>
      </c>
      <c r="F2557" s="19" t="s">
        <v>7912</v>
      </c>
      <c r="G2557" s="18" t="s">
        <v>7913</v>
      </c>
      <c r="H2557" s="20" t="s">
        <v>5263</v>
      </c>
      <c r="I2557" s="15">
        <v>2</v>
      </c>
      <c r="J2557" s="15" t="s">
        <v>25</v>
      </c>
      <c r="K2557" s="15"/>
      <c r="L2557" s="21" t="s">
        <v>16</v>
      </c>
      <c r="M2557" s="22">
        <v>0</v>
      </c>
      <c r="N2557" s="22">
        <v>-2160</v>
      </c>
      <c r="O2557" s="22">
        <v>15840</v>
      </c>
      <c r="P2557" s="22">
        <v>15840</v>
      </c>
      <c r="Q2557" t="str" cm="1">
        <f t="array" ref="Q2557">_xlfn.TEXTJOIN("、",TRUE,IF('學員資料-三民高中'!$B$2:$B$454=$F2557,'學員資料-三民高中'!$G$2:$G$454,""))</f>
        <v/>
      </c>
      <c r="R2557" t="str" cm="1">
        <f t="array" ref="R2557">_xlfn.TEXTJOIN("、",TRUE,IF('學員資料-新北高中'!$B$2:$B$583=$F2557,'學員資料-新北高中'!$G$2:$G$583,""))</f>
        <v>09933822113</v>
      </c>
      <c r="S2557" t="str" cm="1">
        <f t="array" ref="S2557">_xlfn.TEXTJOIN("、",TRUE,IF('學員資料-三重商工'!$B$2:$B$472=$F2557,'學員資料-三重商工'!$G$2:$G$472,""))</f>
        <v/>
      </c>
      <c r="T2557">
        <f t="shared" si="39"/>
        <v>1</v>
      </c>
    </row>
    <row r="2558" spans="1:20" ht="14.25" hidden="1" customHeight="1">
      <c r="A2558" s="15">
        <v>2557</v>
      </c>
      <c r="B2558" s="16" t="s">
        <v>7914</v>
      </c>
      <c r="C2558" s="17">
        <v>45517</v>
      </c>
      <c r="D2558" s="15" t="s">
        <v>7915</v>
      </c>
      <c r="E2558" s="18" t="s">
        <v>954</v>
      </c>
      <c r="F2558" s="19" t="s">
        <v>6715</v>
      </c>
      <c r="G2558" s="18" t="s">
        <v>6716</v>
      </c>
      <c r="H2558" s="20" t="s">
        <v>5131</v>
      </c>
      <c r="I2558" s="15">
        <v>1</v>
      </c>
      <c r="J2558" s="15" t="s">
        <v>24</v>
      </c>
      <c r="K2558" s="15"/>
      <c r="L2558" s="21" t="s">
        <v>16</v>
      </c>
      <c r="M2558" s="22">
        <v>0</v>
      </c>
      <c r="N2558" s="22">
        <v>0</v>
      </c>
      <c r="O2558" s="22">
        <v>7200</v>
      </c>
      <c r="P2558" s="22">
        <v>7200</v>
      </c>
      <c r="Q2558" t="str" cm="1">
        <f t="array" ref="Q2558">_xlfn.TEXTJOIN("、",TRUE,IF('學員資料-三民高中'!$B$2:$B$454=$F2558,'學員資料-三民高中'!$G$2:$G$454,""))</f>
        <v/>
      </c>
      <c r="R2558" t="str" cm="1">
        <f t="array" ref="R2558">_xlfn.TEXTJOIN("、",TRUE,IF('學員資料-新北高中'!$B$2:$B$583=$F2558,'學員資料-新北高中'!$G$2:$G$583,""))</f>
        <v/>
      </c>
      <c r="S2558" t="str" cm="1">
        <f t="array" ref="S2558">_xlfn.TEXTJOIN("、",TRUE,IF('學員資料-三重商工'!$B$2:$B$472=$F2558,'學員資料-三重商工'!$G$2:$G$472,""))</f>
        <v>0982252694</v>
      </c>
      <c r="T2558">
        <f t="shared" si="39"/>
        <v>1</v>
      </c>
    </row>
    <row r="2559" spans="1:20" ht="28.5" hidden="1" customHeight="1">
      <c r="A2559" s="15">
        <v>2558</v>
      </c>
      <c r="B2559" s="16" t="s">
        <v>7916</v>
      </c>
      <c r="C2559" s="17">
        <v>45517</v>
      </c>
      <c r="D2559" s="15" t="s">
        <v>7917</v>
      </c>
      <c r="E2559" s="18" t="s">
        <v>954</v>
      </c>
      <c r="F2559" s="19" t="s">
        <v>7918</v>
      </c>
      <c r="G2559" s="18" t="s">
        <v>7919</v>
      </c>
      <c r="H2559" s="20" t="s">
        <v>5263</v>
      </c>
      <c r="I2559" s="15">
        <v>2</v>
      </c>
      <c r="J2559" s="15" t="s">
        <v>25</v>
      </c>
      <c r="K2559" s="15"/>
      <c r="L2559" s="21" t="s">
        <v>16</v>
      </c>
      <c r="M2559" s="22">
        <v>0</v>
      </c>
      <c r="N2559" s="22">
        <v>-2160</v>
      </c>
      <c r="O2559" s="22">
        <v>15840</v>
      </c>
      <c r="P2559" s="22">
        <v>15840</v>
      </c>
      <c r="Q2559" t="str" cm="1">
        <f t="array" ref="Q2559">_xlfn.TEXTJOIN("、",TRUE,IF('學員資料-三民高中'!$B$2:$B$454=$F2559,'學員資料-三民高中'!$G$2:$G$454,""))</f>
        <v/>
      </c>
      <c r="R2559" t="str" cm="1">
        <f t="array" ref="R2559">_xlfn.TEXTJOIN("、",TRUE,IF('學員資料-新北高中'!$B$2:$B$583=$F2559,'學員資料-新北高中'!$G$2:$G$583,""))</f>
        <v>0952554242</v>
      </c>
      <c r="S2559" t="str" cm="1">
        <f t="array" ref="S2559">_xlfn.TEXTJOIN("、",TRUE,IF('學員資料-三重商工'!$B$2:$B$472=$F2559,'學員資料-三重商工'!$G$2:$G$472,""))</f>
        <v/>
      </c>
      <c r="T2559">
        <f t="shared" si="39"/>
        <v>1</v>
      </c>
    </row>
    <row r="2560" spans="1:20" ht="14.25" hidden="1" customHeight="1">
      <c r="A2560" s="15">
        <v>2559</v>
      </c>
      <c r="B2560" s="16" t="s">
        <v>7920</v>
      </c>
      <c r="C2560" s="17">
        <v>45517</v>
      </c>
      <c r="D2560" s="15" t="s">
        <v>7921</v>
      </c>
      <c r="E2560" s="18" t="s">
        <v>954</v>
      </c>
      <c r="F2560" s="19" t="s">
        <v>7922</v>
      </c>
      <c r="G2560" s="18" t="s">
        <v>7923</v>
      </c>
      <c r="H2560" s="20" t="s">
        <v>5148</v>
      </c>
      <c r="I2560" s="15">
        <v>1</v>
      </c>
      <c r="J2560" s="15" t="s">
        <v>25</v>
      </c>
      <c r="K2560" s="15"/>
      <c r="L2560" s="21" t="s">
        <v>16</v>
      </c>
      <c r="M2560" s="22">
        <v>0</v>
      </c>
      <c r="N2560" s="22">
        <v>0</v>
      </c>
      <c r="O2560" s="22">
        <v>9000</v>
      </c>
      <c r="P2560" s="22">
        <v>9000</v>
      </c>
      <c r="Q2560" t="str" cm="1">
        <f t="array" ref="Q2560">_xlfn.TEXTJOIN("、",TRUE,IF('學員資料-三民高中'!$B$2:$B$454=$F2560,'學員資料-三民高中'!$G$2:$G$454,""))</f>
        <v/>
      </c>
      <c r="R2560" t="str" cm="1">
        <f t="array" ref="R2560">_xlfn.TEXTJOIN("、",TRUE,IF('學員資料-新北高中'!$B$2:$B$583=$F2560,'學員資料-新北高中'!$G$2:$G$583,""))</f>
        <v/>
      </c>
      <c r="S2560" t="str" cm="1">
        <f t="array" ref="S2560">_xlfn.TEXTJOIN("、",TRUE,IF('學員資料-三重商工'!$B$2:$B$472=$F2560,'學員資料-三重商工'!$G$2:$G$472,""))</f>
        <v>0955087720</v>
      </c>
      <c r="T2560">
        <f t="shared" si="39"/>
        <v>1</v>
      </c>
    </row>
    <row r="2561" spans="1:20" ht="14.25" hidden="1" customHeight="1">
      <c r="A2561" s="15">
        <v>2560</v>
      </c>
      <c r="B2561" s="16" t="s">
        <v>7924</v>
      </c>
      <c r="C2561" s="17">
        <v>45517</v>
      </c>
      <c r="D2561" s="15" t="s">
        <v>7925</v>
      </c>
      <c r="E2561" s="18" t="s">
        <v>954</v>
      </c>
      <c r="F2561" s="19" t="s">
        <v>7926</v>
      </c>
      <c r="G2561" s="18" t="s">
        <v>7927</v>
      </c>
      <c r="H2561" s="20" t="s">
        <v>5163</v>
      </c>
      <c r="I2561" s="15">
        <v>1</v>
      </c>
      <c r="J2561" s="15" t="s">
        <v>23</v>
      </c>
      <c r="K2561" s="15"/>
      <c r="L2561" s="21" t="s">
        <v>16</v>
      </c>
      <c r="M2561" s="22">
        <v>0</v>
      </c>
      <c r="N2561" s="22">
        <v>0</v>
      </c>
      <c r="O2561" s="22">
        <v>6600</v>
      </c>
      <c r="P2561" s="22">
        <v>6600</v>
      </c>
      <c r="Q2561" t="str" cm="1">
        <f t="array" ref="Q2561">_xlfn.TEXTJOIN("、",TRUE,IF('學員資料-三民高中'!$B$2:$B$454=$F2561,'學員資料-三民高中'!$G$2:$G$454,""))</f>
        <v/>
      </c>
      <c r="R2561" t="str" cm="1">
        <f t="array" ref="R2561">_xlfn.TEXTJOIN("、",TRUE,IF('學員資料-新北高中'!$B$2:$B$583=$F2561,'學員資料-新北高中'!$G$2:$G$583,""))</f>
        <v/>
      </c>
      <c r="S2561" t="str" cm="1">
        <f t="array" ref="S2561">_xlfn.TEXTJOIN("、",TRUE,IF('學員資料-三重商工'!$B$2:$B$472=$F2561,'學員資料-三重商工'!$G$2:$G$472,""))</f>
        <v>0930947039</v>
      </c>
      <c r="T2561">
        <f t="shared" si="39"/>
        <v>1</v>
      </c>
    </row>
    <row r="2562" spans="1:20" ht="14.25" hidden="1" customHeight="1">
      <c r="A2562" s="15">
        <v>2561</v>
      </c>
      <c r="B2562" s="16" t="s">
        <v>7928</v>
      </c>
      <c r="C2562" s="17">
        <v>45517</v>
      </c>
      <c r="D2562" s="15" t="s">
        <v>7929</v>
      </c>
      <c r="E2562" s="18" t="s">
        <v>954</v>
      </c>
      <c r="F2562" s="19" t="s">
        <v>7930</v>
      </c>
      <c r="G2562" s="18" t="s">
        <v>7931</v>
      </c>
      <c r="H2562" s="20" t="s">
        <v>5131</v>
      </c>
      <c r="I2562" s="15">
        <v>1</v>
      </c>
      <c r="J2562" s="15" t="s">
        <v>24</v>
      </c>
      <c r="K2562" s="15"/>
      <c r="L2562" s="21" t="s">
        <v>16</v>
      </c>
      <c r="M2562" s="22">
        <v>0</v>
      </c>
      <c r="N2562" s="22">
        <v>0</v>
      </c>
      <c r="O2562" s="22">
        <v>7200</v>
      </c>
      <c r="P2562" s="22">
        <v>7200</v>
      </c>
      <c r="Q2562" t="str" cm="1">
        <f t="array" ref="Q2562">_xlfn.TEXTJOIN("、",TRUE,IF('學員資料-三民高中'!$B$2:$B$454=$F2562,'學員資料-三民高中'!$G$2:$G$454,""))</f>
        <v/>
      </c>
      <c r="R2562" t="str" cm="1">
        <f t="array" ref="R2562">_xlfn.TEXTJOIN("、",TRUE,IF('學員資料-新北高中'!$B$2:$B$583=$F2562,'學員資料-新北高中'!$G$2:$G$583,""))</f>
        <v/>
      </c>
      <c r="S2562" t="str" cm="1">
        <f t="array" ref="S2562">_xlfn.TEXTJOIN("、",TRUE,IF('學員資料-三重商工'!$B$2:$B$472=$F2562,'學員資料-三重商工'!$G$2:$G$472,""))</f>
        <v>0936647899</v>
      </c>
      <c r="T2562">
        <f t="shared" si="39"/>
        <v>1</v>
      </c>
    </row>
    <row r="2563" spans="1:20" ht="14.25" hidden="1" customHeight="1">
      <c r="A2563" s="15">
        <v>2562</v>
      </c>
      <c r="B2563" s="16" t="s">
        <v>7932</v>
      </c>
      <c r="C2563" s="17">
        <v>45517</v>
      </c>
      <c r="D2563" s="15" t="s">
        <v>7933</v>
      </c>
      <c r="E2563" s="18" t="s">
        <v>954</v>
      </c>
      <c r="F2563" s="19" t="s">
        <v>4618</v>
      </c>
      <c r="G2563" s="18" t="s">
        <v>4619</v>
      </c>
      <c r="H2563" s="20" t="s">
        <v>5246</v>
      </c>
      <c r="I2563" s="15">
        <v>1</v>
      </c>
      <c r="J2563" s="15" t="s">
        <v>23</v>
      </c>
      <c r="K2563" s="15"/>
      <c r="L2563" s="21" t="s">
        <v>16</v>
      </c>
      <c r="M2563" s="22">
        <v>0</v>
      </c>
      <c r="N2563" s="22">
        <v>0</v>
      </c>
      <c r="O2563" s="22">
        <v>7200</v>
      </c>
      <c r="P2563" s="22">
        <v>7200</v>
      </c>
      <c r="Q2563" t="str" cm="1">
        <f t="array" ref="Q2563">_xlfn.TEXTJOIN("、",TRUE,IF('學員資料-三民高中'!$B$2:$B$454=$F2563,'學員資料-三民高中'!$G$2:$G$454,""))</f>
        <v/>
      </c>
      <c r="R2563" t="str" cm="1">
        <f t="array" ref="R2563">_xlfn.TEXTJOIN("、",TRUE,IF('學員資料-新北高中'!$B$2:$B$583=$F2563,'學員資料-新北高中'!$G$2:$G$583,""))</f>
        <v/>
      </c>
      <c r="S2563" t="str" cm="1">
        <f t="array" ref="S2563">_xlfn.TEXTJOIN("、",TRUE,IF('學員資料-三重商工'!$B$2:$B$472=$F2563,'學員資料-三重商工'!$G$2:$G$472,""))</f>
        <v>0988305820</v>
      </c>
      <c r="T2563">
        <f t="shared" ref="T2563:T2626" si="40">3-COUNTBLANK(Q2563:S2563)</f>
        <v>1</v>
      </c>
    </row>
    <row r="2564" spans="1:20" ht="14.25" hidden="1" customHeight="1">
      <c r="A2564" s="15">
        <v>2563</v>
      </c>
      <c r="B2564" s="16" t="s">
        <v>7934</v>
      </c>
      <c r="C2564" s="17">
        <v>45517</v>
      </c>
      <c r="D2564" s="15" t="s">
        <v>7935</v>
      </c>
      <c r="E2564" s="18" t="s">
        <v>954</v>
      </c>
      <c r="F2564" s="19" t="s">
        <v>2752</v>
      </c>
      <c r="G2564" s="18" t="s">
        <v>2753</v>
      </c>
      <c r="H2564" s="20" t="s">
        <v>5131</v>
      </c>
      <c r="I2564" s="15">
        <v>1</v>
      </c>
      <c r="J2564" s="15" t="s">
        <v>24</v>
      </c>
      <c r="K2564" s="15"/>
      <c r="L2564" s="21" t="s">
        <v>16</v>
      </c>
      <c r="M2564" s="22">
        <v>0</v>
      </c>
      <c r="N2564" s="22">
        <v>-720</v>
      </c>
      <c r="O2564" s="22">
        <v>6480</v>
      </c>
      <c r="P2564" s="22">
        <v>6480</v>
      </c>
      <c r="Q2564" t="str" cm="1">
        <f t="array" ref="Q2564">_xlfn.TEXTJOIN("、",TRUE,IF('學員資料-三民高中'!$B$2:$B$454=$F2564,'學員資料-三民高中'!$G$2:$G$454,""))</f>
        <v/>
      </c>
      <c r="R2564" t="str" cm="1">
        <f t="array" ref="R2564">_xlfn.TEXTJOIN("、",TRUE,IF('學員資料-新北高中'!$B$2:$B$583=$F2564,'學員資料-新北高中'!$G$2:$G$583,""))</f>
        <v/>
      </c>
      <c r="S2564" t="str" cm="1">
        <f t="array" ref="S2564">_xlfn.TEXTJOIN("、",TRUE,IF('學員資料-三重商工'!$B$2:$B$472=$F2564,'學員資料-三重商工'!$G$2:$G$472,""))</f>
        <v>0963045255</v>
      </c>
      <c r="T2564">
        <f t="shared" si="40"/>
        <v>1</v>
      </c>
    </row>
    <row r="2565" spans="1:20" ht="28.5" hidden="1" customHeight="1">
      <c r="A2565" s="15">
        <v>2564</v>
      </c>
      <c r="B2565" s="16" t="s">
        <v>7936</v>
      </c>
      <c r="C2565" s="17">
        <v>45517</v>
      </c>
      <c r="D2565" s="15" t="s">
        <v>7937</v>
      </c>
      <c r="E2565" s="18" t="s">
        <v>954</v>
      </c>
      <c r="F2565" s="19" t="s">
        <v>7938</v>
      </c>
      <c r="G2565" s="18" t="s">
        <v>7939</v>
      </c>
      <c r="H2565" s="20" t="s">
        <v>5151</v>
      </c>
      <c r="I2565" s="15">
        <v>2</v>
      </c>
      <c r="J2565" s="15" t="s">
        <v>24</v>
      </c>
      <c r="K2565" s="15"/>
      <c r="L2565" s="21" t="s">
        <v>16</v>
      </c>
      <c r="M2565" s="22">
        <v>0</v>
      </c>
      <c r="N2565" s="22">
        <v>0</v>
      </c>
      <c r="O2565" s="22">
        <v>17280</v>
      </c>
      <c r="P2565" s="22">
        <v>17280</v>
      </c>
      <c r="Q2565" t="str" cm="1">
        <f t="array" ref="Q2565">_xlfn.TEXTJOIN("、",TRUE,IF('學員資料-三民高中'!$B$2:$B$454=$F2565,'學員資料-三民高中'!$G$2:$G$454,""))</f>
        <v/>
      </c>
      <c r="R2565" t="str" cm="1">
        <f t="array" ref="R2565">_xlfn.TEXTJOIN("、",TRUE,IF('學員資料-新北高中'!$B$2:$B$583=$F2565,'學員資料-新北高中'!$G$2:$G$583,""))</f>
        <v/>
      </c>
      <c r="S2565" t="str" cm="1">
        <f t="array" ref="S2565">_xlfn.TEXTJOIN("、",TRUE,IF('學員資料-三重商工'!$B$2:$B$472=$F2565,'學員資料-三重商工'!$G$2:$G$472,""))</f>
        <v>0937848368</v>
      </c>
      <c r="T2565">
        <f t="shared" si="40"/>
        <v>1</v>
      </c>
    </row>
    <row r="2566" spans="1:20" ht="14.25" hidden="1" customHeight="1">
      <c r="A2566" s="15">
        <v>2565</v>
      </c>
      <c r="B2566" s="16" t="s">
        <v>7940</v>
      </c>
      <c r="C2566" s="17">
        <v>45517</v>
      </c>
      <c r="D2566" s="15" t="s">
        <v>473</v>
      </c>
      <c r="E2566" s="18" t="s">
        <v>954</v>
      </c>
      <c r="F2566" s="19" t="s">
        <v>166</v>
      </c>
      <c r="G2566" s="18" t="s">
        <v>167</v>
      </c>
      <c r="H2566" s="20" t="s">
        <v>5180</v>
      </c>
      <c r="I2566" s="15">
        <v>1</v>
      </c>
      <c r="J2566" s="15" t="s">
        <v>24</v>
      </c>
      <c r="K2566" s="15"/>
      <c r="L2566" s="21" t="s">
        <v>16</v>
      </c>
      <c r="M2566" s="22">
        <v>0</v>
      </c>
      <c r="N2566" s="22">
        <v>0</v>
      </c>
      <c r="O2566" s="22">
        <v>8640</v>
      </c>
      <c r="P2566" s="22">
        <v>8640</v>
      </c>
      <c r="Q2566" t="str" cm="1">
        <f t="array" ref="Q2566">_xlfn.TEXTJOIN("、",TRUE,IF('學員資料-三民高中'!$B$2:$B$454=$F2566,'學員資料-三民高中'!$G$2:$G$454,""))</f>
        <v/>
      </c>
      <c r="R2566" t="str" cm="1">
        <f t="array" ref="R2566">_xlfn.TEXTJOIN("、",TRUE,IF('學員資料-新北高中'!$B$2:$B$583=$F2566,'學員資料-新北高中'!$G$2:$G$583,""))</f>
        <v/>
      </c>
      <c r="S2566" t="str" cm="1">
        <f t="array" ref="S2566">_xlfn.TEXTJOIN("、",TRUE,IF('學員資料-三重商工'!$B$2:$B$472=$F2566,'學員資料-三重商工'!$G$2:$G$472,""))</f>
        <v>0913222254</v>
      </c>
      <c r="T2566">
        <f t="shared" si="40"/>
        <v>1</v>
      </c>
    </row>
    <row r="2567" spans="1:20" ht="14.25" hidden="1" customHeight="1">
      <c r="A2567" s="15">
        <v>2566</v>
      </c>
      <c r="B2567" s="16" t="s">
        <v>7941</v>
      </c>
      <c r="C2567" s="17">
        <v>45517</v>
      </c>
      <c r="D2567" s="15" t="s">
        <v>7942</v>
      </c>
      <c r="E2567" s="18" t="s">
        <v>954</v>
      </c>
      <c r="F2567" s="19" t="s">
        <v>7943</v>
      </c>
      <c r="G2567" s="18" t="s">
        <v>7944</v>
      </c>
      <c r="H2567" s="20" t="s">
        <v>5163</v>
      </c>
      <c r="I2567" s="15">
        <v>1</v>
      </c>
      <c r="J2567" s="15" t="s">
        <v>23</v>
      </c>
      <c r="K2567" s="15"/>
      <c r="L2567" s="21" t="s">
        <v>16</v>
      </c>
      <c r="M2567" s="22">
        <v>0</v>
      </c>
      <c r="N2567" s="22">
        <v>0</v>
      </c>
      <c r="O2567" s="22">
        <v>6600</v>
      </c>
      <c r="P2567" s="22">
        <v>6600</v>
      </c>
      <c r="Q2567" t="str" cm="1">
        <f t="array" ref="Q2567">_xlfn.TEXTJOIN("、",TRUE,IF('學員資料-三民高中'!$B$2:$B$454=$F2567,'學員資料-三民高中'!$G$2:$G$454,""))</f>
        <v/>
      </c>
      <c r="R2567" t="str" cm="1">
        <f t="array" ref="R2567">_xlfn.TEXTJOIN("、",TRUE,IF('學員資料-新北高中'!$B$2:$B$583=$F2567,'學員資料-新北高中'!$G$2:$G$583,""))</f>
        <v/>
      </c>
      <c r="S2567" t="str" cm="1">
        <f t="array" ref="S2567">_xlfn.TEXTJOIN("、",TRUE,IF('學員資料-三重商工'!$B$2:$B$472=$F2567,'學員資料-三重商工'!$G$2:$G$472,""))</f>
        <v>0916167142</v>
      </c>
      <c r="T2567">
        <f t="shared" si="40"/>
        <v>1</v>
      </c>
    </row>
    <row r="2568" spans="1:20" ht="14.25" hidden="1" customHeight="1">
      <c r="A2568" s="15">
        <v>2567</v>
      </c>
      <c r="B2568" s="16" t="s">
        <v>7945</v>
      </c>
      <c r="C2568" s="17">
        <v>45517</v>
      </c>
      <c r="D2568" s="15" t="s">
        <v>7946</v>
      </c>
      <c r="E2568" s="18" t="s">
        <v>954</v>
      </c>
      <c r="F2568" s="19" t="s">
        <v>7947</v>
      </c>
      <c r="G2568" s="18" t="s">
        <v>7948</v>
      </c>
      <c r="H2568" s="20" t="s">
        <v>5180</v>
      </c>
      <c r="I2568" s="15">
        <v>1</v>
      </c>
      <c r="J2568" s="15" t="s">
        <v>24</v>
      </c>
      <c r="K2568" s="15"/>
      <c r="L2568" s="21" t="s">
        <v>16</v>
      </c>
      <c r="M2568" s="22">
        <v>0</v>
      </c>
      <c r="N2568" s="22">
        <v>0</v>
      </c>
      <c r="O2568" s="22">
        <v>8640</v>
      </c>
      <c r="P2568" s="22">
        <v>8640</v>
      </c>
      <c r="Q2568" t="str" cm="1">
        <f t="array" ref="Q2568">_xlfn.TEXTJOIN("、",TRUE,IF('學員資料-三民高中'!$B$2:$B$454=$F2568,'學員資料-三民高中'!$G$2:$G$454,""))</f>
        <v/>
      </c>
      <c r="R2568" t="str" cm="1">
        <f t="array" ref="R2568">_xlfn.TEXTJOIN("、",TRUE,IF('學員資料-新北高中'!$B$2:$B$583=$F2568,'學員資料-新北高中'!$G$2:$G$583,""))</f>
        <v/>
      </c>
      <c r="S2568" t="str" cm="1">
        <f t="array" ref="S2568">_xlfn.TEXTJOIN("、",TRUE,IF('學員資料-三重商工'!$B$2:$B$472=$F2568,'學員資料-三重商工'!$G$2:$G$472,""))</f>
        <v>0956736161-3</v>
      </c>
      <c r="T2568">
        <f t="shared" si="40"/>
        <v>1</v>
      </c>
    </row>
    <row r="2569" spans="1:20" ht="14.25" hidden="1" customHeight="1">
      <c r="A2569" s="15">
        <v>2568</v>
      </c>
      <c r="B2569" s="16" t="s">
        <v>7949</v>
      </c>
      <c r="C2569" s="17">
        <v>45517</v>
      </c>
      <c r="D2569" s="15" t="s">
        <v>7950</v>
      </c>
      <c r="E2569" s="18" t="s">
        <v>954</v>
      </c>
      <c r="F2569" s="19" t="s">
        <v>7951</v>
      </c>
      <c r="G2569" s="18" t="s">
        <v>7952</v>
      </c>
      <c r="H2569" s="20" t="s">
        <v>5180</v>
      </c>
      <c r="I2569" s="15">
        <v>1</v>
      </c>
      <c r="J2569" s="15" t="s">
        <v>24</v>
      </c>
      <c r="K2569" s="15"/>
      <c r="L2569" s="21" t="s">
        <v>16</v>
      </c>
      <c r="M2569" s="22">
        <v>0</v>
      </c>
      <c r="N2569" s="22">
        <v>0</v>
      </c>
      <c r="O2569" s="22">
        <v>8640</v>
      </c>
      <c r="P2569" s="22">
        <v>8640</v>
      </c>
      <c r="Q2569" t="str" cm="1">
        <f t="array" ref="Q2569">_xlfn.TEXTJOIN("、",TRUE,IF('學員資料-三民高中'!$B$2:$B$454=$F2569,'學員資料-三民高中'!$G$2:$G$454,""))</f>
        <v/>
      </c>
      <c r="R2569" t="str" cm="1">
        <f t="array" ref="R2569">_xlfn.TEXTJOIN("、",TRUE,IF('學員資料-新北高中'!$B$2:$B$583=$F2569,'學員資料-新北高中'!$G$2:$G$583,""))</f>
        <v/>
      </c>
      <c r="S2569" t="str" cm="1">
        <f t="array" ref="S2569">_xlfn.TEXTJOIN("、",TRUE,IF('學員資料-三重商工'!$B$2:$B$472=$F2569,'學員資料-三重商工'!$G$2:$G$472,""))</f>
        <v>0956736161-2</v>
      </c>
      <c r="T2569">
        <f t="shared" si="40"/>
        <v>1</v>
      </c>
    </row>
    <row r="2570" spans="1:20" ht="14.25" hidden="1" customHeight="1">
      <c r="A2570" s="15">
        <v>2569</v>
      </c>
      <c r="B2570" s="16" t="s">
        <v>7953</v>
      </c>
      <c r="C2570" s="17">
        <v>45517</v>
      </c>
      <c r="D2570" s="15" t="s">
        <v>7954</v>
      </c>
      <c r="E2570" s="18" t="s">
        <v>954</v>
      </c>
      <c r="F2570" s="19" t="s">
        <v>2467</v>
      </c>
      <c r="G2570" s="18" t="s">
        <v>2468</v>
      </c>
      <c r="H2570" s="20" t="s">
        <v>5131</v>
      </c>
      <c r="I2570" s="15">
        <v>1</v>
      </c>
      <c r="J2570" s="15" t="s">
        <v>24</v>
      </c>
      <c r="K2570" s="15"/>
      <c r="L2570" s="21" t="s">
        <v>16</v>
      </c>
      <c r="M2570" s="22">
        <v>0</v>
      </c>
      <c r="N2570" s="22">
        <v>0</v>
      </c>
      <c r="O2570" s="22">
        <v>7200</v>
      </c>
      <c r="P2570" s="22">
        <v>7200</v>
      </c>
      <c r="Q2570" t="str" cm="1">
        <f t="array" ref="Q2570">_xlfn.TEXTJOIN("、",TRUE,IF('學員資料-三民高中'!$B$2:$B$454=$F2570,'學員資料-三民高中'!$G$2:$G$454,""))</f>
        <v/>
      </c>
      <c r="R2570" t="str" cm="1">
        <f t="array" ref="R2570">_xlfn.TEXTJOIN("、",TRUE,IF('學員資料-新北高中'!$B$2:$B$583=$F2570,'學員資料-新北高中'!$G$2:$G$583,""))</f>
        <v/>
      </c>
      <c r="S2570" t="str" cm="1">
        <f t="array" ref="S2570">_xlfn.TEXTJOIN("、",TRUE,IF('學員資料-三重商工'!$B$2:$B$472=$F2570,'學員資料-三重商工'!$G$2:$G$472,""))</f>
        <v>0953212011</v>
      </c>
      <c r="T2570">
        <f t="shared" si="40"/>
        <v>1</v>
      </c>
    </row>
    <row r="2571" spans="1:20" ht="14.25" customHeight="1">
      <c r="A2571" s="15">
        <v>2570</v>
      </c>
      <c r="B2571" s="16" t="s">
        <v>7955</v>
      </c>
      <c r="C2571" s="17">
        <v>45517</v>
      </c>
      <c r="D2571" s="15" t="s">
        <v>7956</v>
      </c>
      <c r="E2571" s="18" t="s">
        <v>954</v>
      </c>
      <c r="F2571" s="19" t="s">
        <v>7957</v>
      </c>
      <c r="G2571" s="23"/>
      <c r="H2571" s="20" t="s">
        <v>5131</v>
      </c>
      <c r="I2571" s="15">
        <v>1</v>
      </c>
      <c r="J2571" s="15" t="s">
        <v>24</v>
      </c>
      <c r="K2571" s="15"/>
      <c r="L2571" s="21" t="s">
        <v>16</v>
      </c>
      <c r="M2571" s="22">
        <v>0</v>
      </c>
      <c r="N2571" s="22">
        <v>-720</v>
      </c>
      <c r="O2571" s="22">
        <v>6480</v>
      </c>
      <c r="P2571" s="22">
        <v>6480</v>
      </c>
      <c r="Q2571" t="str" cm="1">
        <f t="array" ref="Q2571">_xlfn.TEXTJOIN("、",TRUE,IF('學員資料-三民高中'!$B$2:$B$454=$F2571,'學員資料-三民高中'!$G$2:$G$454,""))</f>
        <v/>
      </c>
      <c r="R2571" t="str" cm="1">
        <f t="array" ref="R2571">_xlfn.TEXTJOIN("、",TRUE,IF('學員資料-新北高中'!$B$2:$B$583=$F2571,'學員資料-新北高中'!$G$2:$G$583,""))</f>
        <v/>
      </c>
      <c r="S2571" t="str" cm="1">
        <f t="array" ref="S2571">_xlfn.TEXTJOIN("、",TRUE,IF('學員資料-三重商工'!$B$2:$B$472=$F2571,'學員資料-三重商工'!$G$2:$G$472,""))</f>
        <v/>
      </c>
      <c r="T2571">
        <f t="shared" si="40"/>
        <v>0</v>
      </c>
    </row>
    <row r="2572" spans="1:20" ht="14.25" hidden="1" customHeight="1">
      <c r="A2572" s="15">
        <v>2571</v>
      </c>
      <c r="B2572" s="16" t="s">
        <v>7958</v>
      </c>
      <c r="C2572" s="17">
        <v>45517</v>
      </c>
      <c r="D2572" s="15" t="s">
        <v>7959</v>
      </c>
      <c r="E2572" s="18" t="s">
        <v>954</v>
      </c>
      <c r="F2572" s="19" t="s">
        <v>7960</v>
      </c>
      <c r="G2572" s="18" t="s">
        <v>7961</v>
      </c>
      <c r="H2572" s="20" t="s">
        <v>5180</v>
      </c>
      <c r="I2572" s="15">
        <v>1</v>
      </c>
      <c r="J2572" s="15" t="s">
        <v>24</v>
      </c>
      <c r="K2572" s="15"/>
      <c r="L2572" s="21" t="s">
        <v>16</v>
      </c>
      <c r="M2572" s="22">
        <v>0</v>
      </c>
      <c r="N2572" s="22">
        <v>0</v>
      </c>
      <c r="O2572" s="22">
        <v>8640</v>
      </c>
      <c r="P2572" s="22">
        <v>8640</v>
      </c>
      <c r="Q2572" t="str" cm="1">
        <f t="array" ref="Q2572">_xlfn.TEXTJOIN("、",TRUE,IF('學員資料-三民高中'!$B$2:$B$454=$F2572,'學員資料-三民高中'!$G$2:$G$454,""))</f>
        <v/>
      </c>
      <c r="R2572" t="str" cm="1">
        <f t="array" ref="R2572">_xlfn.TEXTJOIN("、",TRUE,IF('學員資料-新北高中'!$B$2:$B$583=$F2572,'學員資料-新北高中'!$G$2:$G$583,""))</f>
        <v/>
      </c>
      <c r="S2572" t="str" cm="1">
        <f t="array" ref="S2572">_xlfn.TEXTJOIN("、",TRUE,IF('學員資料-三重商工'!$B$2:$B$472=$F2572,'學員資料-三重商工'!$G$2:$G$472,""))</f>
        <v>0956736161-1</v>
      </c>
      <c r="T2572">
        <f t="shared" si="40"/>
        <v>1</v>
      </c>
    </row>
    <row r="2573" spans="1:20" ht="14.25" hidden="1" customHeight="1">
      <c r="A2573" s="15">
        <v>2572</v>
      </c>
      <c r="B2573" s="16" t="s">
        <v>7962</v>
      </c>
      <c r="C2573" s="17">
        <v>45517</v>
      </c>
      <c r="D2573" s="15" t="s">
        <v>7963</v>
      </c>
      <c r="E2573" s="18" t="s">
        <v>954</v>
      </c>
      <c r="F2573" s="19" t="s">
        <v>7964</v>
      </c>
      <c r="G2573" s="18" t="s">
        <v>7965</v>
      </c>
      <c r="H2573" s="20" t="s">
        <v>5180</v>
      </c>
      <c r="I2573" s="15">
        <v>1</v>
      </c>
      <c r="J2573" s="15" t="s">
        <v>24</v>
      </c>
      <c r="K2573" s="15"/>
      <c r="L2573" s="21" t="s">
        <v>16</v>
      </c>
      <c r="M2573" s="22">
        <v>0</v>
      </c>
      <c r="N2573" s="22">
        <v>0</v>
      </c>
      <c r="O2573" s="22">
        <v>8640</v>
      </c>
      <c r="P2573" s="22">
        <v>8640</v>
      </c>
      <c r="Q2573" t="str" cm="1">
        <f t="array" ref="Q2573">_xlfn.TEXTJOIN("、",TRUE,IF('學員資料-三民高中'!$B$2:$B$454=$F2573,'學員資料-三民高中'!$G$2:$G$454,""))</f>
        <v/>
      </c>
      <c r="R2573" t="str" cm="1">
        <f t="array" ref="R2573">_xlfn.TEXTJOIN("、",TRUE,IF('學員資料-新北高中'!$B$2:$B$583=$F2573,'學員資料-新北高中'!$G$2:$G$583,""))</f>
        <v/>
      </c>
      <c r="S2573" t="str" cm="1">
        <f t="array" ref="S2573">_xlfn.TEXTJOIN("、",TRUE,IF('學員資料-三重商工'!$B$2:$B$472=$F2573,'學員資料-三重商工'!$G$2:$G$472,""))</f>
        <v>0929169103</v>
      </c>
      <c r="T2573">
        <f t="shared" si="40"/>
        <v>1</v>
      </c>
    </row>
    <row r="2574" spans="1:20" ht="14.25" hidden="1" customHeight="1">
      <c r="A2574" s="15">
        <v>2573</v>
      </c>
      <c r="B2574" s="16" t="s">
        <v>7966</v>
      </c>
      <c r="C2574" s="17">
        <v>45517</v>
      </c>
      <c r="D2574" s="15" t="s">
        <v>7967</v>
      </c>
      <c r="E2574" s="18" t="s">
        <v>954</v>
      </c>
      <c r="F2574" s="19" t="s">
        <v>7968</v>
      </c>
      <c r="G2574" s="18" t="s">
        <v>7969</v>
      </c>
      <c r="H2574" s="20" t="s">
        <v>5180</v>
      </c>
      <c r="I2574" s="15">
        <v>1</v>
      </c>
      <c r="J2574" s="15" t="s">
        <v>24</v>
      </c>
      <c r="K2574" s="15"/>
      <c r="L2574" s="21" t="s">
        <v>16</v>
      </c>
      <c r="M2574" s="22">
        <v>0</v>
      </c>
      <c r="N2574" s="22">
        <v>0</v>
      </c>
      <c r="O2574" s="22">
        <v>8640</v>
      </c>
      <c r="P2574" s="22">
        <v>8640</v>
      </c>
      <c r="Q2574" t="str" cm="1">
        <f t="array" ref="Q2574">_xlfn.TEXTJOIN("、",TRUE,IF('學員資料-三民高中'!$B$2:$B$454=$F2574,'學員資料-三民高中'!$G$2:$G$454,""))</f>
        <v/>
      </c>
      <c r="R2574" t="str" cm="1">
        <f t="array" ref="R2574">_xlfn.TEXTJOIN("、",TRUE,IF('學員資料-新北高中'!$B$2:$B$583=$F2574,'學員資料-新北高中'!$G$2:$G$583,""))</f>
        <v/>
      </c>
      <c r="S2574" t="str" cm="1">
        <f t="array" ref="S2574">_xlfn.TEXTJOIN("、",TRUE,IF('學員資料-三重商工'!$B$2:$B$472=$F2574,'學員資料-三重商工'!$G$2:$G$472,""))</f>
        <v>0970569728</v>
      </c>
      <c r="T2574">
        <f t="shared" si="40"/>
        <v>1</v>
      </c>
    </row>
    <row r="2575" spans="1:20" ht="14.25" hidden="1" customHeight="1">
      <c r="A2575" s="15">
        <v>2574</v>
      </c>
      <c r="B2575" s="16" t="s">
        <v>7970</v>
      </c>
      <c r="C2575" s="17">
        <v>45517</v>
      </c>
      <c r="D2575" s="15" t="s">
        <v>7971</v>
      </c>
      <c r="E2575" s="18" t="s">
        <v>954</v>
      </c>
      <c r="F2575" s="19" t="s">
        <v>7972</v>
      </c>
      <c r="G2575" s="18" t="s">
        <v>7973</v>
      </c>
      <c r="H2575" s="20" t="s">
        <v>5180</v>
      </c>
      <c r="I2575" s="15">
        <v>1</v>
      </c>
      <c r="J2575" s="15" t="s">
        <v>24</v>
      </c>
      <c r="K2575" s="15"/>
      <c r="L2575" s="21" t="s">
        <v>16</v>
      </c>
      <c r="M2575" s="22">
        <v>0</v>
      </c>
      <c r="N2575" s="22">
        <v>0</v>
      </c>
      <c r="O2575" s="22">
        <v>8640</v>
      </c>
      <c r="P2575" s="22">
        <v>8640</v>
      </c>
      <c r="Q2575" t="str" cm="1">
        <f t="array" ref="Q2575">_xlfn.TEXTJOIN("、",TRUE,IF('學員資料-三民高中'!$B$2:$B$454=$F2575,'學員資料-三民高中'!$G$2:$G$454,""))</f>
        <v/>
      </c>
      <c r="R2575" t="str" cm="1">
        <f t="array" ref="R2575">_xlfn.TEXTJOIN("、",TRUE,IF('學員資料-新北高中'!$B$2:$B$583=$F2575,'學員資料-新北高中'!$G$2:$G$583,""))</f>
        <v/>
      </c>
      <c r="S2575" t="str" cm="1">
        <f t="array" ref="S2575">_xlfn.TEXTJOIN("、",TRUE,IF('學員資料-三重商工'!$B$2:$B$472=$F2575,'學員資料-三重商工'!$G$2:$G$472,""))</f>
        <v>0987003036</v>
      </c>
      <c r="T2575">
        <f t="shared" si="40"/>
        <v>1</v>
      </c>
    </row>
    <row r="2576" spans="1:20" ht="14.25" hidden="1" customHeight="1">
      <c r="A2576" s="15">
        <v>2575</v>
      </c>
      <c r="B2576" s="16" t="s">
        <v>7974</v>
      </c>
      <c r="C2576" s="17">
        <v>45517</v>
      </c>
      <c r="D2576" s="15" t="s">
        <v>7975</v>
      </c>
      <c r="E2576" s="18" t="s">
        <v>3862</v>
      </c>
      <c r="F2576" s="19" t="s">
        <v>7976</v>
      </c>
      <c r="G2576" s="18" t="s">
        <v>7977</v>
      </c>
      <c r="H2576" s="20" t="s">
        <v>5163</v>
      </c>
      <c r="I2576" s="15">
        <v>1</v>
      </c>
      <c r="J2576" s="15" t="s">
        <v>23</v>
      </c>
      <c r="K2576" s="15"/>
      <c r="L2576" s="21" t="s">
        <v>16</v>
      </c>
      <c r="M2576" s="22">
        <v>0</v>
      </c>
      <c r="N2576" s="22">
        <v>-660</v>
      </c>
      <c r="O2576" s="22">
        <v>5940</v>
      </c>
      <c r="P2576" s="22">
        <v>5940</v>
      </c>
      <c r="Q2576" t="str" cm="1">
        <f t="array" ref="Q2576">_xlfn.TEXTJOIN("、",TRUE,IF('學員資料-三民高中'!$B$2:$B$454=$F2576,'學員資料-三民高中'!$G$2:$G$454,""))</f>
        <v/>
      </c>
      <c r="R2576" t="str" cm="1">
        <f t="array" ref="R2576">_xlfn.TEXTJOIN("、",TRUE,IF('學員資料-新北高中'!$B$2:$B$583=$F2576,'學員資料-新北高中'!$G$2:$G$583,""))</f>
        <v/>
      </c>
      <c r="S2576" t="str" cm="1">
        <f t="array" ref="S2576">_xlfn.TEXTJOIN("、",TRUE,IF('學員資料-三重商工'!$B$2:$B$472=$F2576,'學員資料-三重商工'!$G$2:$G$472,""))</f>
        <v>0988028023</v>
      </c>
      <c r="T2576">
        <f t="shared" si="40"/>
        <v>1</v>
      </c>
    </row>
    <row r="2577" spans="1:20" ht="14.25" hidden="1" customHeight="1">
      <c r="A2577" s="15">
        <v>2576</v>
      </c>
      <c r="B2577" s="16" t="s">
        <v>7978</v>
      </c>
      <c r="C2577" s="17">
        <v>45517</v>
      </c>
      <c r="D2577" s="15" t="s">
        <v>7979</v>
      </c>
      <c r="E2577" s="18" t="s">
        <v>954</v>
      </c>
      <c r="F2577" s="19" t="s">
        <v>7980</v>
      </c>
      <c r="G2577" s="18" t="s">
        <v>7981</v>
      </c>
      <c r="H2577" s="20" t="s">
        <v>5551</v>
      </c>
      <c r="I2577" s="15">
        <v>1</v>
      </c>
      <c r="J2577" s="15" t="s">
        <v>26</v>
      </c>
      <c r="K2577" s="15"/>
      <c r="L2577" s="21" t="s">
        <v>16</v>
      </c>
      <c r="M2577" s="22">
        <v>0</v>
      </c>
      <c r="N2577" s="22">
        <v>0</v>
      </c>
      <c r="O2577" s="22">
        <v>11520</v>
      </c>
      <c r="P2577" s="22">
        <v>11520</v>
      </c>
      <c r="Q2577" t="str" cm="1">
        <f t="array" ref="Q2577">_xlfn.TEXTJOIN("、",TRUE,IF('學員資料-三民高中'!$B$2:$B$454=$F2577,'學員資料-三民高中'!$G$2:$G$454,""))</f>
        <v/>
      </c>
      <c r="R2577" t="str" cm="1">
        <f t="array" ref="R2577">_xlfn.TEXTJOIN("、",TRUE,IF('學員資料-新北高中'!$B$2:$B$583=$F2577,'學員資料-新北高中'!$G$2:$G$583,""))</f>
        <v/>
      </c>
      <c r="S2577" t="str" cm="1">
        <f t="array" ref="S2577">_xlfn.TEXTJOIN("、",TRUE,IF('學員資料-三重商工'!$B$2:$B$472=$F2577,'學員資料-三重商工'!$G$2:$G$472,""))</f>
        <v>0920521554</v>
      </c>
      <c r="T2577">
        <f t="shared" si="40"/>
        <v>1</v>
      </c>
    </row>
    <row r="2578" spans="1:20" ht="14.25" hidden="1" customHeight="1">
      <c r="A2578" s="15">
        <v>2577</v>
      </c>
      <c r="B2578" s="16" t="s">
        <v>7982</v>
      </c>
      <c r="C2578" s="17">
        <v>45517</v>
      </c>
      <c r="D2578" s="15" t="s">
        <v>7983</v>
      </c>
      <c r="E2578" s="18" t="s">
        <v>954</v>
      </c>
      <c r="F2578" s="19" t="s">
        <v>7984</v>
      </c>
      <c r="G2578" s="18" t="s">
        <v>7985</v>
      </c>
      <c r="H2578" s="20" t="s">
        <v>5551</v>
      </c>
      <c r="I2578" s="15">
        <v>1</v>
      </c>
      <c r="J2578" s="15" t="s">
        <v>26</v>
      </c>
      <c r="K2578" s="15"/>
      <c r="L2578" s="21" t="s">
        <v>16</v>
      </c>
      <c r="M2578" s="22">
        <v>0</v>
      </c>
      <c r="N2578" s="22">
        <v>0</v>
      </c>
      <c r="O2578" s="22">
        <v>11520</v>
      </c>
      <c r="P2578" s="22">
        <v>11520</v>
      </c>
      <c r="Q2578" t="str" cm="1">
        <f t="array" ref="Q2578">_xlfn.TEXTJOIN("、",TRUE,IF('學員資料-三民高中'!$B$2:$B$454=$F2578,'學員資料-三民高中'!$G$2:$G$454,""))</f>
        <v/>
      </c>
      <c r="R2578" t="str" cm="1">
        <f t="array" ref="R2578">_xlfn.TEXTJOIN("、",TRUE,IF('學員資料-新北高中'!$B$2:$B$583=$F2578,'學員資料-新北高中'!$G$2:$G$583,""))</f>
        <v/>
      </c>
      <c r="S2578" t="str" cm="1">
        <f t="array" ref="S2578">_xlfn.TEXTJOIN("、",TRUE,IF('學員資料-三重商工'!$B$2:$B$472=$F2578,'學員資料-三重商工'!$G$2:$G$472,""))</f>
        <v>0912263473</v>
      </c>
      <c r="T2578">
        <f t="shared" si="40"/>
        <v>1</v>
      </c>
    </row>
    <row r="2579" spans="1:20" ht="14.25" hidden="1" customHeight="1">
      <c r="A2579" s="15">
        <v>2578</v>
      </c>
      <c r="B2579" s="16" t="s">
        <v>7986</v>
      </c>
      <c r="C2579" s="17">
        <v>45517</v>
      </c>
      <c r="D2579" s="15" t="s">
        <v>2089</v>
      </c>
      <c r="E2579" s="18" t="s">
        <v>954</v>
      </c>
      <c r="F2579" s="19" t="s">
        <v>7987</v>
      </c>
      <c r="G2579" s="18" t="s">
        <v>7988</v>
      </c>
      <c r="H2579" s="20" t="s">
        <v>5131</v>
      </c>
      <c r="I2579" s="15">
        <v>1</v>
      </c>
      <c r="J2579" s="15" t="s">
        <v>24</v>
      </c>
      <c r="K2579" s="15"/>
      <c r="L2579" s="21" t="s">
        <v>16</v>
      </c>
      <c r="M2579" s="22">
        <v>0</v>
      </c>
      <c r="N2579" s="22">
        <v>0</v>
      </c>
      <c r="O2579" s="22">
        <v>7200</v>
      </c>
      <c r="P2579" s="22">
        <v>7200</v>
      </c>
      <c r="Q2579" t="str" cm="1">
        <f t="array" ref="Q2579">_xlfn.TEXTJOIN("、",TRUE,IF('學員資料-三民高中'!$B$2:$B$454=$F2579,'學員資料-三民高中'!$G$2:$G$454,""))</f>
        <v>0955777747-1</v>
      </c>
      <c r="R2579" t="str" cm="1">
        <f t="array" ref="R2579">_xlfn.TEXTJOIN("、",TRUE,IF('學員資料-新北高中'!$B$2:$B$583=$F2579,'學員資料-新北高中'!$G$2:$G$583,""))</f>
        <v/>
      </c>
      <c r="S2579" t="str" cm="1">
        <f t="array" ref="S2579">_xlfn.TEXTJOIN("、",TRUE,IF('學員資料-三重商工'!$B$2:$B$472=$F2579,'學員資料-三重商工'!$G$2:$G$472,""))</f>
        <v/>
      </c>
      <c r="T2579">
        <f t="shared" si="40"/>
        <v>1</v>
      </c>
    </row>
    <row r="2580" spans="1:20" ht="14.25" hidden="1" customHeight="1">
      <c r="A2580" s="15">
        <v>2579</v>
      </c>
      <c r="B2580" s="16" t="s">
        <v>7989</v>
      </c>
      <c r="C2580" s="17">
        <v>45517</v>
      </c>
      <c r="D2580" s="15" t="s">
        <v>7990</v>
      </c>
      <c r="E2580" s="18" t="s">
        <v>954</v>
      </c>
      <c r="F2580" s="19" t="s">
        <v>554</v>
      </c>
      <c r="G2580" s="18" t="s">
        <v>555</v>
      </c>
      <c r="H2580" s="20" t="s">
        <v>5131</v>
      </c>
      <c r="I2580" s="15">
        <v>1</v>
      </c>
      <c r="J2580" s="15" t="s">
        <v>24</v>
      </c>
      <c r="K2580" s="15"/>
      <c r="L2580" s="21" t="s">
        <v>16</v>
      </c>
      <c r="M2580" s="22">
        <v>0</v>
      </c>
      <c r="N2580" s="22">
        <v>-1080</v>
      </c>
      <c r="O2580" s="22">
        <v>6120</v>
      </c>
      <c r="P2580" s="22">
        <v>6120</v>
      </c>
      <c r="Q2580" t="str" cm="1">
        <f t="array" ref="Q2580">_xlfn.TEXTJOIN("、",TRUE,IF('學員資料-三民高中'!$B$2:$B$454=$F2580,'學員資料-三民高中'!$G$2:$G$454,""))</f>
        <v/>
      </c>
      <c r="R2580" t="str" cm="1">
        <f t="array" ref="R2580">_xlfn.TEXTJOIN("、",TRUE,IF('學員資料-新北高中'!$B$2:$B$583=$F2580,'學員資料-新北高中'!$G$2:$G$583,""))</f>
        <v>0958920567</v>
      </c>
      <c r="S2580" t="str" cm="1">
        <f t="array" ref="S2580">_xlfn.TEXTJOIN("、",TRUE,IF('學員資料-三重商工'!$B$2:$B$472=$F2580,'學員資料-三重商工'!$G$2:$G$472,""))</f>
        <v/>
      </c>
      <c r="T2580">
        <f t="shared" si="40"/>
        <v>1</v>
      </c>
    </row>
    <row r="2581" spans="1:20" ht="14.25" customHeight="1">
      <c r="A2581" s="15">
        <v>2580</v>
      </c>
      <c r="B2581" s="16" t="s">
        <v>7991</v>
      </c>
      <c r="C2581" s="17">
        <v>45517</v>
      </c>
      <c r="D2581" s="15" t="s">
        <v>7992</v>
      </c>
      <c r="E2581" s="18" t="s">
        <v>954</v>
      </c>
      <c r="F2581" s="19" t="s">
        <v>7993</v>
      </c>
      <c r="G2581" s="23"/>
      <c r="H2581" s="20" t="s">
        <v>5180</v>
      </c>
      <c r="I2581" s="15">
        <v>1</v>
      </c>
      <c r="J2581" s="15" t="s">
        <v>24</v>
      </c>
      <c r="K2581" s="15"/>
      <c r="L2581" s="21" t="s">
        <v>16</v>
      </c>
      <c r="M2581" s="22">
        <v>0</v>
      </c>
      <c r="N2581" s="22">
        <v>0</v>
      </c>
      <c r="O2581" s="22">
        <v>8640</v>
      </c>
      <c r="P2581" s="22">
        <v>8640</v>
      </c>
      <c r="Q2581" t="str" cm="1">
        <f t="array" ref="Q2581">_xlfn.TEXTJOIN("、",TRUE,IF('學員資料-三民高中'!$B$2:$B$454=$F2581,'學員資料-三民高中'!$G$2:$G$454,""))</f>
        <v/>
      </c>
      <c r="R2581" t="str" cm="1">
        <f t="array" ref="R2581">_xlfn.TEXTJOIN("、",TRUE,IF('學員資料-新北高中'!$B$2:$B$583=$F2581,'學員資料-新北高中'!$G$2:$G$583,""))</f>
        <v/>
      </c>
      <c r="S2581" t="str" cm="1">
        <f t="array" ref="S2581">_xlfn.TEXTJOIN("、",TRUE,IF('學員資料-三重商工'!$B$2:$B$472=$F2581,'學員資料-三重商工'!$G$2:$G$472,""))</f>
        <v/>
      </c>
      <c r="T2581">
        <f t="shared" si="40"/>
        <v>0</v>
      </c>
    </row>
    <row r="2582" spans="1:20" ht="28.5" hidden="1" customHeight="1">
      <c r="A2582" s="15">
        <v>2581</v>
      </c>
      <c r="B2582" s="16" t="s">
        <v>7994</v>
      </c>
      <c r="C2582" s="17">
        <v>45517</v>
      </c>
      <c r="D2582" s="15" t="s">
        <v>7995</v>
      </c>
      <c r="E2582" s="18" t="s">
        <v>954</v>
      </c>
      <c r="F2582" s="19" t="s">
        <v>7996</v>
      </c>
      <c r="G2582" s="18" t="s">
        <v>7997</v>
      </c>
      <c r="H2582" s="20" t="s">
        <v>5138</v>
      </c>
      <c r="I2582" s="15">
        <v>2</v>
      </c>
      <c r="J2582" s="15" t="s">
        <v>23</v>
      </c>
      <c r="K2582" s="15"/>
      <c r="L2582" s="21" t="s">
        <v>16</v>
      </c>
      <c r="M2582" s="22">
        <v>0</v>
      </c>
      <c r="N2582" s="22">
        <v>0</v>
      </c>
      <c r="O2582" s="22">
        <v>14400</v>
      </c>
      <c r="P2582" s="22">
        <v>14400</v>
      </c>
      <c r="Q2582" t="str" cm="1">
        <f t="array" ref="Q2582">_xlfn.TEXTJOIN("、",TRUE,IF('學員資料-三民高中'!$B$2:$B$454=$F2582,'學員資料-三民高中'!$G$2:$G$454,""))</f>
        <v/>
      </c>
      <c r="R2582" t="str" cm="1">
        <f t="array" ref="R2582">_xlfn.TEXTJOIN("、",TRUE,IF('學員資料-新北高中'!$B$2:$B$583=$F2582,'學員資料-新北高中'!$G$2:$G$583,""))</f>
        <v/>
      </c>
      <c r="S2582" t="str" cm="1">
        <f t="array" ref="S2582">_xlfn.TEXTJOIN("、",TRUE,IF('學員資料-三重商工'!$B$2:$B$472=$F2582,'學員資料-三重商工'!$G$2:$G$472,""))</f>
        <v>0952286955</v>
      </c>
      <c r="T2582">
        <f t="shared" si="40"/>
        <v>1</v>
      </c>
    </row>
    <row r="2583" spans="1:20" ht="14.25" hidden="1" customHeight="1">
      <c r="A2583" s="15">
        <v>2582</v>
      </c>
      <c r="B2583" s="16" t="s">
        <v>7998</v>
      </c>
      <c r="C2583" s="17">
        <v>45517</v>
      </c>
      <c r="D2583" s="15" t="s">
        <v>7999</v>
      </c>
      <c r="E2583" s="18" t="s">
        <v>954</v>
      </c>
      <c r="F2583" s="19" t="s">
        <v>2502</v>
      </c>
      <c r="G2583" s="18" t="s">
        <v>2503</v>
      </c>
      <c r="H2583" s="20" t="s">
        <v>5180</v>
      </c>
      <c r="I2583" s="15">
        <v>1</v>
      </c>
      <c r="J2583" s="15" t="s">
        <v>24</v>
      </c>
      <c r="K2583" s="15"/>
      <c r="L2583" s="21" t="s">
        <v>16</v>
      </c>
      <c r="M2583" s="22">
        <v>0</v>
      </c>
      <c r="N2583" s="22">
        <v>0</v>
      </c>
      <c r="O2583" s="22">
        <v>8640</v>
      </c>
      <c r="P2583" s="22">
        <v>8640</v>
      </c>
      <c r="Q2583" t="str" cm="1">
        <f t="array" ref="Q2583">_xlfn.TEXTJOIN("、",TRUE,IF('學員資料-三民高中'!$B$2:$B$454=$F2583,'學員資料-三民高中'!$G$2:$G$454,""))</f>
        <v/>
      </c>
      <c r="R2583" t="str" cm="1">
        <f t="array" ref="R2583">_xlfn.TEXTJOIN("、",TRUE,IF('學員資料-新北高中'!$B$2:$B$583=$F2583,'學員資料-新北高中'!$G$2:$G$583,""))</f>
        <v>0971858826</v>
      </c>
      <c r="S2583" t="str" cm="1">
        <f t="array" ref="S2583">_xlfn.TEXTJOIN("、",TRUE,IF('學員資料-三重商工'!$B$2:$B$472=$F2583,'學員資料-三重商工'!$G$2:$G$472,""))</f>
        <v/>
      </c>
      <c r="T2583">
        <f t="shared" si="40"/>
        <v>1</v>
      </c>
    </row>
    <row r="2584" spans="1:20" ht="14.25" hidden="1" customHeight="1">
      <c r="A2584" s="15">
        <v>2583</v>
      </c>
      <c r="B2584" s="16" t="s">
        <v>8000</v>
      </c>
      <c r="C2584" s="17">
        <v>45517</v>
      </c>
      <c r="D2584" s="15" t="s">
        <v>8001</v>
      </c>
      <c r="E2584" s="18" t="s">
        <v>954</v>
      </c>
      <c r="F2584" s="19" t="s">
        <v>8002</v>
      </c>
      <c r="G2584" s="18" t="s">
        <v>8003</v>
      </c>
      <c r="H2584" s="20" t="s">
        <v>5246</v>
      </c>
      <c r="I2584" s="15">
        <v>1</v>
      </c>
      <c r="J2584" s="15" t="s">
        <v>23</v>
      </c>
      <c r="K2584" s="15"/>
      <c r="L2584" s="21" t="s">
        <v>16</v>
      </c>
      <c r="M2584" s="22">
        <v>0</v>
      </c>
      <c r="N2584" s="22">
        <v>0</v>
      </c>
      <c r="O2584" s="22">
        <v>7200</v>
      </c>
      <c r="P2584" s="22">
        <v>7200</v>
      </c>
      <c r="Q2584" t="str" cm="1">
        <f t="array" ref="Q2584">_xlfn.TEXTJOIN("、",TRUE,IF('學員資料-三民高中'!$B$2:$B$454=$F2584,'學員資料-三民高中'!$G$2:$G$454,""))</f>
        <v/>
      </c>
      <c r="R2584" t="str" cm="1">
        <f t="array" ref="R2584">_xlfn.TEXTJOIN("、",TRUE,IF('學員資料-新北高中'!$B$2:$B$583=$F2584,'學員資料-新北高中'!$G$2:$G$583,""))</f>
        <v/>
      </c>
      <c r="S2584" t="str" cm="1">
        <f t="array" ref="S2584">_xlfn.TEXTJOIN("、",TRUE,IF('學員資料-三重商工'!$B$2:$B$472=$F2584,'學員資料-三重商工'!$G$2:$G$472,""))</f>
        <v>0968775079</v>
      </c>
      <c r="T2584">
        <f t="shared" si="40"/>
        <v>1</v>
      </c>
    </row>
    <row r="2585" spans="1:20" ht="14.25" hidden="1" customHeight="1">
      <c r="A2585" s="15">
        <v>2584</v>
      </c>
      <c r="B2585" s="16" t="s">
        <v>8004</v>
      </c>
      <c r="C2585" s="17">
        <v>45517</v>
      </c>
      <c r="D2585" s="15" t="s">
        <v>8005</v>
      </c>
      <c r="E2585" s="18" t="s">
        <v>954</v>
      </c>
      <c r="F2585" s="19" t="s">
        <v>8006</v>
      </c>
      <c r="G2585" s="18" t="s">
        <v>8007</v>
      </c>
      <c r="H2585" s="20" t="s">
        <v>5507</v>
      </c>
      <c r="I2585" s="15">
        <v>1</v>
      </c>
      <c r="J2585" s="15" t="s">
        <v>25</v>
      </c>
      <c r="K2585" s="15"/>
      <c r="L2585" s="21" t="s">
        <v>16</v>
      </c>
      <c r="M2585" s="22">
        <v>0</v>
      </c>
      <c r="N2585" s="22">
        <v>0</v>
      </c>
      <c r="O2585" s="22">
        <v>9720</v>
      </c>
      <c r="P2585" s="22">
        <v>9720</v>
      </c>
      <c r="Q2585" t="str" cm="1">
        <f t="array" ref="Q2585">_xlfn.TEXTJOIN("、",TRUE,IF('學員資料-三民高中'!$B$2:$B$454=$F2585,'學員資料-三民高中'!$G$2:$G$454,""))</f>
        <v/>
      </c>
      <c r="R2585" t="str" cm="1">
        <f t="array" ref="R2585">_xlfn.TEXTJOIN("、",TRUE,IF('學員資料-新北高中'!$B$2:$B$583=$F2585,'學員資料-新北高中'!$G$2:$G$583,""))</f>
        <v/>
      </c>
      <c r="S2585" t="str" cm="1">
        <f t="array" ref="S2585">_xlfn.TEXTJOIN("、",TRUE,IF('學員資料-三重商工'!$B$2:$B$472=$F2585,'學員資料-三重商工'!$G$2:$G$472,""))</f>
        <v>0983916765-2</v>
      </c>
      <c r="T2585">
        <f t="shared" si="40"/>
        <v>1</v>
      </c>
    </row>
    <row r="2586" spans="1:20" ht="14.25" hidden="1" customHeight="1">
      <c r="A2586" s="15">
        <v>2585</v>
      </c>
      <c r="B2586" s="16" t="s">
        <v>8008</v>
      </c>
      <c r="C2586" s="17">
        <v>45517</v>
      </c>
      <c r="D2586" s="15" t="s">
        <v>8009</v>
      </c>
      <c r="E2586" s="18" t="s">
        <v>954</v>
      </c>
      <c r="F2586" s="19" t="s">
        <v>5304</v>
      </c>
      <c r="G2586" s="18" t="s">
        <v>5305</v>
      </c>
      <c r="H2586" s="20" t="s">
        <v>5180</v>
      </c>
      <c r="I2586" s="15">
        <v>1</v>
      </c>
      <c r="J2586" s="15" t="s">
        <v>24</v>
      </c>
      <c r="K2586" s="15"/>
      <c r="L2586" s="21" t="s">
        <v>16</v>
      </c>
      <c r="M2586" s="22">
        <v>0</v>
      </c>
      <c r="N2586" s="22">
        <v>0</v>
      </c>
      <c r="O2586" s="22">
        <v>8640</v>
      </c>
      <c r="P2586" s="22">
        <v>8640</v>
      </c>
      <c r="Q2586" t="str" cm="1">
        <f t="array" ref="Q2586">_xlfn.TEXTJOIN("、",TRUE,IF('學員資料-三民高中'!$B$2:$B$454=$F2586,'學員資料-三民高中'!$G$2:$G$454,""))</f>
        <v/>
      </c>
      <c r="R2586" t="str" cm="1">
        <f t="array" ref="R2586">_xlfn.TEXTJOIN("、",TRUE,IF('學員資料-新北高中'!$B$2:$B$583=$F2586,'學員資料-新北高中'!$G$2:$G$583,""))</f>
        <v>0911106558</v>
      </c>
      <c r="S2586" t="str" cm="1">
        <f t="array" ref="S2586">_xlfn.TEXTJOIN("、",TRUE,IF('學員資料-三重商工'!$B$2:$B$472=$F2586,'學員資料-三重商工'!$G$2:$G$472,""))</f>
        <v/>
      </c>
      <c r="T2586">
        <f t="shared" si="40"/>
        <v>1</v>
      </c>
    </row>
    <row r="2587" spans="1:20" ht="14.25" hidden="1" customHeight="1">
      <c r="A2587" s="15">
        <v>2586</v>
      </c>
      <c r="B2587" s="16" t="s">
        <v>8010</v>
      </c>
      <c r="C2587" s="17">
        <v>45517</v>
      </c>
      <c r="D2587" s="15" t="s">
        <v>8011</v>
      </c>
      <c r="E2587" s="18" t="s">
        <v>954</v>
      </c>
      <c r="F2587" s="19" t="s">
        <v>8012</v>
      </c>
      <c r="G2587" s="18" t="s">
        <v>8013</v>
      </c>
      <c r="H2587" s="20" t="s">
        <v>5180</v>
      </c>
      <c r="I2587" s="15">
        <v>1</v>
      </c>
      <c r="J2587" s="15" t="s">
        <v>24</v>
      </c>
      <c r="K2587" s="15"/>
      <c r="L2587" s="21" t="s">
        <v>16</v>
      </c>
      <c r="M2587" s="22">
        <v>0</v>
      </c>
      <c r="N2587" s="22">
        <v>0</v>
      </c>
      <c r="O2587" s="22">
        <v>8640</v>
      </c>
      <c r="P2587" s="22">
        <v>8640</v>
      </c>
      <c r="Q2587" t="str" cm="1">
        <f t="array" ref="Q2587">_xlfn.TEXTJOIN("、",TRUE,IF('學員資料-三民高中'!$B$2:$B$454=$F2587,'學員資料-三民高中'!$G$2:$G$454,""))</f>
        <v/>
      </c>
      <c r="R2587" t="str" cm="1">
        <f t="array" ref="R2587">_xlfn.TEXTJOIN("、",TRUE,IF('學員資料-新北高中'!$B$2:$B$583=$F2587,'學員資料-新北高中'!$G$2:$G$583,""))</f>
        <v/>
      </c>
      <c r="S2587" t="str" cm="1">
        <f t="array" ref="S2587">_xlfn.TEXTJOIN("、",TRUE,IF('學員資料-三重商工'!$B$2:$B$472=$F2587,'學員資料-三重商工'!$G$2:$G$472,""))</f>
        <v>0975538873</v>
      </c>
      <c r="T2587">
        <f t="shared" si="40"/>
        <v>1</v>
      </c>
    </row>
    <row r="2588" spans="1:20" ht="14.25" hidden="1" customHeight="1">
      <c r="A2588" s="15">
        <v>2587</v>
      </c>
      <c r="B2588" s="16" t="s">
        <v>8014</v>
      </c>
      <c r="C2588" s="17">
        <v>45517</v>
      </c>
      <c r="D2588" s="15" t="s">
        <v>8015</v>
      </c>
      <c r="E2588" s="18" t="s">
        <v>954</v>
      </c>
      <c r="F2588" s="19" t="s">
        <v>8016</v>
      </c>
      <c r="G2588" s="18" t="s">
        <v>8017</v>
      </c>
      <c r="H2588" s="20" t="s">
        <v>5180</v>
      </c>
      <c r="I2588" s="15">
        <v>1</v>
      </c>
      <c r="J2588" s="15" t="s">
        <v>24</v>
      </c>
      <c r="K2588" s="15"/>
      <c r="L2588" s="21" t="s">
        <v>16</v>
      </c>
      <c r="M2588" s="22">
        <v>0</v>
      </c>
      <c r="N2588" s="22">
        <v>0</v>
      </c>
      <c r="O2588" s="22">
        <v>8640</v>
      </c>
      <c r="P2588" s="22">
        <v>8640</v>
      </c>
      <c r="Q2588" t="str" cm="1">
        <f t="array" ref="Q2588">_xlfn.TEXTJOIN("、",TRUE,IF('學員資料-三民高中'!$B$2:$B$454=$F2588,'學員資料-三民高中'!$G$2:$G$454,""))</f>
        <v/>
      </c>
      <c r="R2588" t="str" cm="1">
        <f t="array" ref="R2588">_xlfn.TEXTJOIN("、",TRUE,IF('學員資料-新北高中'!$B$2:$B$583=$F2588,'學員資料-新北高中'!$G$2:$G$583,""))</f>
        <v/>
      </c>
      <c r="S2588" t="str" cm="1">
        <f t="array" ref="S2588">_xlfn.TEXTJOIN("、",TRUE,IF('學員資料-三重商工'!$B$2:$B$472=$F2588,'學員資料-三重商工'!$G$2:$G$472,""))</f>
        <v>0924029887</v>
      </c>
      <c r="T2588">
        <f t="shared" si="40"/>
        <v>1</v>
      </c>
    </row>
    <row r="2589" spans="1:20" ht="14.25" hidden="1" customHeight="1">
      <c r="A2589" s="15">
        <v>2588</v>
      </c>
      <c r="B2589" s="16" t="s">
        <v>8018</v>
      </c>
      <c r="C2589" s="17">
        <v>45517</v>
      </c>
      <c r="D2589" s="15" t="s">
        <v>8019</v>
      </c>
      <c r="E2589" s="18" t="s">
        <v>954</v>
      </c>
      <c r="F2589" s="19" t="s">
        <v>5136</v>
      </c>
      <c r="G2589" s="18" t="s">
        <v>5137</v>
      </c>
      <c r="H2589" s="20" t="s">
        <v>5246</v>
      </c>
      <c r="I2589" s="15">
        <v>1</v>
      </c>
      <c r="J2589" s="15" t="s">
        <v>23</v>
      </c>
      <c r="K2589" s="15"/>
      <c r="L2589" s="21" t="s">
        <v>16</v>
      </c>
      <c r="M2589" s="22">
        <v>0</v>
      </c>
      <c r="N2589" s="22">
        <v>0</v>
      </c>
      <c r="O2589" s="22">
        <v>7200</v>
      </c>
      <c r="P2589" s="22">
        <v>7200</v>
      </c>
      <c r="Q2589" t="str" cm="1">
        <f t="array" ref="Q2589">_xlfn.TEXTJOIN("、",TRUE,IF('學員資料-三民高中'!$B$2:$B$454=$F2589,'學員資料-三民高中'!$G$2:$G$454,""))</f>
        <v/>
      </c>
      <c r="R2589" t="str" cm="1">
        <f t="array" ref="R2589">_xlfn.TEXTJOIN("、",TRUE,IF('學員資料-新北高中'!$B$2:$B$583=$F2589,'學員資料-新北高中'!$G$2:$G$583,""))</f>
        <v/>
      </c>
      <c r="S2589" t="str" cm="1">
        <f t="array" ref="S2589">_xlfn.TEXTJOIN("、",TRUE,IF('學員資料-三重商工'!$B$2:$B$472=$F2589,'學員資料-三重商工'!$G$2:$G$472,""))</f>
        <v>0939933382</v>
      </c>
      <c r="T2589">
        <f t="shared" si="40"/>
        <v>1</v>
      </c>
    </row>
    <row r="2590" spans="1:20" ht="14.25" hidden="1" customHeight="1">
      <c r="A2590" s="15">
        <v>2589</v>
      </c>
      <c r="B2590" s="16" t="s">
        <v>8020</v>
      </c>
      <c r="C2590" s="17">
        <v>45517</v>
      </c>
      <c r="D2590" s="15" t="s">
        <v>8021</v>
      </c>
      <c r="E2590" s="18" t="s">
        <v>954</v>
      </c>
      <c r="F2590" s="19" t="s">
        <v>4267</v>
      </c>
      <c r="G2590" s="18" t="s">
        <v>4268</v>
      </c>
      <c r="H2590" s="20" t="s">
        <v>5721</v>
      </c>
      <c r="I2590" s="15">
        <v>1</v>
      </c>
      <c r="J2590" s="15" t="s">
        <v>23</v>
      </c>
      <c r="K2590" s="21" t="s">
        <v>116</v>
      </c>
      <c r="L2590" s="21" t="s">
        <v>16</v>
      </c>
      <c r="M2590" s="22">
        <v>0</v>
      </c>
      <c r="N2590" s="22">
        <v>0</v>
      </c>
      <c r="O2590" s="22">
        <v>1200</v>
      </c>
      <c r="P2590" s="22">
        <v>1200</v>
      </c>
      <c r="Q2590" t="str" cm="1">
        <f t="array" ref="Q2590">_xlfn.TEXTJOIN("、",TRUE,IF('學員資料-三民高中'!$B$2:$B$454=$F2590,'學員資料-三民高中'!$G$2:$G$454,""))</f>
        <v/>
      </c>
      <c r="R2590" t="str" cm="1">
        <f t="array" ref="R2590">_xlfn.TEXTJOIN("、",TRUE,IF('學員資料-新北高中'!$B$2:$B$583=$F2590,'學員資料-新北高中'!$G$2:$G$583,""))</f>
        <v/>
      </c>
      <c r="S2590" t="str" cm="1">
        <f t="array" ref="S2590">_xlfn.TEXTJOIN("、",TRUE,IF('學員資料-三重商工'!$B$2:$B$472=$F2590,'學員資料-三重商工'!$G$2:$G$472,""))</f>
        <v>0905191938</v>
      </c>
      <c r="T2590">
        <f t="shared" si="40"/>
        <v>1</v>
      </c>
    </row>
    <row r="2591" spans="1:20" ht="14.25" hidden="1" customHeight="1">
      <c r="A2591" s="15">
        <v>2590</v>
      </c>
      <c r="B2591" s="16" t="s">
        <v>8022</v>
      </c>
      <c r="C2591" s="17">
        <v>45517</v>
      </c>
      <c r="D2591" s="15" t="s">
        <v>8023</v>
      </c>
      <c r="E2591" s="18" t="s">
        <v>954</v>
      </c>
      <c r="F2591" s="19" t="s">
        <v>5185</v>
      </c>
      <c r="G2591" s="18" t="s">
        <v>5186</v>
      </c>
      <c r="H2591" s="20" t="s">
        <v>5180</v>
      </c>
      <c r="I2591" s="15">
        <v>1</v>
      </c>
      <c r="J2591" s="15" t="s">
        <v>24</v>
      </c>
      <c r="K2591" s="15"/>
      <c r="L2591" s="21" t="s">
        <v>16</v>
      </c>
      <c r="M2591" s="22">
        <v>0</v>
      </c>
      <c r="N2591" s="22">
        <v>0</v>
      </c>
      <c r="O2591" s="22">
        <v>8640</v>
      </c>
      <c r="P2591" s="22">
        <v>8640</v>
      </c>
      <c r="Q2591" t="str" cm="1">
        <f t="array" ref="Q2591">_xlfn.TEXTJOIN("、",TRUE,IF('學員資料-三民高中'!$B$2:$B$454=$F2591,'學員資料-三民高中'!$G$2:$G$454,""))</f>
        <v/>
      </c>
      <c r="R2591" t="str" cm="1">
        <f t="array" ref="R2591">_xlfn.TEXTJOIN("、",TRUE,IF('學員資料-新北高中'!$B$2:$B$583=$F2591,'學員資料-新北高中'!$G$2:$G$583,""))</f>
        <v/>
      </c>
      <c r="S2591" t="str" cm="1">
        <f t="array" ref="S2591">_xlfn.TEXTJOIN("、",TRUE,IF('學員資料-三重商工'!$B$2:$B$472=$F2591,'學員資料-三重商工'!$G$2:$G$472,""))</f>
        <v>0939933381</v>
      </c>
      <c r="T2591">
        <f t="shared" si="40"/>
        <v>1</v>
      </c>
    </row>
    <row r="2592" spans="1:20" ht="14.25" hidden="1" customHeight="1">
      <c r="A2592" s="15">
        <v>2591</v>
      </c>
      <c r="B2592" s="16" t="s">
        <v>8024</v>
      </c>
      <c r="C2592" s="17">
        <v>45517</v>
      </c>
      <c r="D2592" s="15" t="s">
        <v>8025</v>
      </c>
      <c r="E2592" s="18" t="s">
        <v>954</v>
      </c>
      <c r="F2592" s="19" t="s">
        <v>5185</v>
      </c>
      <c r="G2592" s="18" t="s">
        <v>5186</v>
      </c>
      <c r="H2592" s="20" t="s">
        <v>5180</v>
      </c>
      <c r="I2592" s="15">
        <v>1</v>
      </c>
      <c r="J2592" s="15" t="s">
        <v>24</v>
      </c>
      <c r="K2592" s="15"/>
      <c r="L2592" s="21" t="s">
        <v>16</v>
      </c>
      <c r="M2592" s="22">
        <v>0</v>
      </c>
      <c r="N2592" s="22">
        <v>0</v>
      </c>
      <c r="O2592" s="22">
        <v>8640</v>
      </c>
      <c r="P2592" s="22">
        <v>8640</v>
      </c>
      <c r="Q2592" t="str" cm="1">
        <f t="array" ref="Q2592">_xlfn.TEXTJOIN("、",TRUE,IF('學員資料-三民高中'!$B$2:$B$454=$F2592,'學員資料-三民高中'!$G$2:$G$454,""))</f>
        <v/>
      </c>
      <c r="R2592" t="str" cm="1">
        <f t="array" ref="R2592">_xlfn.TEXTJOIN("、",TRUE,IF('學員資料-新北高中'!$B$2:$B$583=$F2592,'學員資料-新北高中'!$G$2:$G$583,""))</f>
        <v/>
      </c>
      <c r="S2592" t="str" cm="1">
        <f t="array" ref="S2592">_xlfn.TEXTJOIN("、",TRUE,IF('學員資料-三重商工'!$B$2:$B$472=$F2592,'學員資料-三重商工'!$G$2:$G$472,""))</f>
        <v>0939933381</v>
      </c>
      <c r="T2592">
        <f t="shared" si="40"/>
        <v>1</v>
      </c>
    </row>
    <row r="2593" spans="1:20" ht="14.25" hidden="1" customHeight="1">
      <c r="A2593" s="15">
        <v>2592</v>
      </c>
      <c r="B2593" s="16" t="s">
        <v>8026</v>
      </c>
      <c r="C2593" s="17">
        <v>45517</v>
      </c>
      <c r="D2593" s="15" t="s">
        <v>8027</v>
      </c>
      <c r="E2593" s="18" t="s">
        <v>954</v>
      </c>
      <c r="F2593" s="19" t="s">
        <v>531</v>
      </c>
      <c r="G2593" s="18" t="s">
        <v>532</v>
      </c>
      <c r="H2593" s="20" t="s">
        <v>5246</v>
      </c>
      <c r="I2593" s="15">
        <v>1</v>
      </c>
      <c r="J2593" s="15" t="s">
        <v>23</v>
      </c>
      <c r="K2593" s="15"/>
      <c r="L2593" s="21" t="s">
        <v>16</v>
      </c>
      <c r="M2593" s="22">
        <v>0</v>
      </c>
      <c r="N2593" s="22">
        <v>0</v>
      </c>
      <c r="O2593" s="22">
        <v>7200</v>
      </c>
      <c r="P2593" s="22">
        <v>7200</v>
      </c>
      <c r="Q2593" t="str" cm="1">
        <f t="array" ref="Q2593">_xlfn.TEXTJOIN("、",TRUE,IF('學員資料-三民高中'!$B$2:$B$454=$F2593,'學員資料-三民高中'!$G$2:$G$454,""))</f>
        <v/>
      </c>
      <c r="R2593" t="str" cm="1">
        <f t="array" ref="R2593">_xlfn.TEXTJOIN("、",TRUE,IF('學員資料-新北高中'!$B$2:$B$583=$F2593,'學員資料-新北高中'!$G$2:$G$583,""))</f>
        <v/>
      </c>
      <c r="S2593" t="str" cm="1">
        <f t="array" ref="S2593">_xlfn.TEXTJOIN("、",TRUE,IF('學員資料-三重商工'!$B$2:$B$472=$F2593,'學員資料-三重商工'!$G$2:$G$472,""))</f>
        <v>0983916765-1</v>
      </c>
      <c r="T2593">
        <f t="shared" si="40"/>
        <v>1</v>
      </c>
    </row>
    <row r="2594" spans="1:20" ht="14.25" hidden="1" customHeight="1">
      <c r="A2594" s="15">
        <v>2593</v>
      </c>
      <c r="B2594" s="16" t="s">
        <v>8028</v>
      </c>
      <c r="C2594" s="17">
        <v>45517</v>
      </c>
      <c r="D2594" s="15" t="s">
        <v>8029</v>
      </c>
      <c r="E2594" s="18" t="s">
        <v>954</v>
      </c>
      <c r="F2594" s="19" t="s">
        <v>8030</v>
      </c>
      <c r="G2594" s="18" t="s">
        <v>8031</v>
      </c>
      <c r="H2594" s="20" t="s">
        <v>7909</v>
      </c>
      <c r="I2594" s="15">
        <v>1</v>
      </c>
      <c r="J2594" s="15" t="s">
        <v>27</v>
      </c>
      <c r="K2594" s="15"/>
      <c r="L2594" s="21" t="s">
        <v>16</v>
      </c>
      <c r="M2594" s="22">
        <v>0</v>
      </c>
      <c r="N2594" s="22">
        <v>-1440</v>
      </c>
      <c r="O2594" s="22">
        <v>12960</v>
      </c>
      <c r="P2594" s="22">
        <v>12960</v>
      </c>
      <c r="Q2594" t="str" cm="1">
        <f t="array" ref="Q2594">_xlfn.TEXTJOIN("、",TRUE,IF('學員資料-三民高中'!$B$2:$B$454=$F2594,'學員資料-三民高中'!$G$2:$G$454,""))</f>
        <v/>
      </c>
      <c r="R2594" t="str" cm="1">
        <f t="array" ref="R2594">_xlfn.TEXTJOIN("、",TRUE,IF('學員資料-新北高中'!$B$2:$B$583=$F2594,'學員資料-新北高中'!$G$2:$G$583,""))</f>
        <v>0955399966</v>
      </c>
      <c r="S2594" t="str" cm="1">
        <f t="array" ref="S2594">_xlfn.TEXTJOIN("、",TRUE,IF('學員資料-三重商工'!$B$2:$B$472=$F2594,'學員資料-三重商工'!$G$2:$G$472,""))</f>
        <v/>
      </c>
      <c r="T2594">
        <f t="shared" si="40"/>
        <v>1</v>
      </c>
    </row>
    <row r="2595" spans="1:20" ht="14.25" hidden="1" customHeight="1">
      <c r="A2595" s="15">
        <v>2594</v>
      </c>
      <c r="B2595" s="16" t="s">
        <v>8032</v>
      </c>
      <c r="C2595" s="17">
        <v>45517</v>
      </c>
      <c r="D2595" s="15" t="s">
        <v>8033</v>
      </c>
      <c r="E2595" s="18" t="s">
        <v>954</v>
      </c>
      <c r="F2595" s="19" t="s">
        <v>8034</v>
      </c>
      <c r="G2595" s="18" t="s">
        <v>8035</v>
      </c>
      <c r="H2595" s="20" t="s">
        <v>5180</v>
      </c>
      <c r="I2595" s="15">
        <v>1</v>
      </c>
      <c r="J2595" s="15" t="s">
        <v>24</v>
      </c>
      <c r="K2595" s="15"/>
      <c r="L2595" s="21" t="s">
        <v>16</v>
      </c>
      <c r="M2595" s="22">
        <v>0</v>
      </c>
      <c r="N2595" s="22">
        <v>0</v>
      </c>
      <c r="O2595" s="22">
        <v>8640</v>
      </c>
      <c r="P2595" s="22">
        <v>8640</v>
      </c>
      <c r="Q2595" t="str" cm="1">
        <f t="array" ref="Q2595">_xlfn.TEXTJOIN("、",TRUE,IF('學員資料-三民高中'!$B$2:$B$454=$F2595,'學員資料-三民高中'!$G$2:$G$454,""))</f>
        <v/>
      </c>
      <c r="R2595" t="str" cm="1">
        <f t="array" ref="R2595">_xlfn.TEXTJOIN("、",TRUE,IF('學員資料-新北高中'!$B$2:$B$583=$F2595,'學員資料-新北高中'!$G$2:$G$583,""))</f>
        <v/>
      </c>
      <c r="S2595" t="str" cm="1">
        <f t="array" ref="S2595">_xlfn.TEXTJOIN("、",TRUE,IF('學員資料-三重商工'!$B$2:$B$472=$F2595,'學員資料-三重商工'!$G$2:$G$472,""))</f>
        <v>0983916765</v>
      </c>
      <c r="T2595">
        <f t="shared" si="40"/>
        <v>1</v>
      </c>
    </row>
    <row r="2596" spans="1:20" ht="14.25" hidden="1" customHeight="1">
      <c r="A2596" s="15">
        <v>2595</v>
      </c>
      <c r="B2596" s="16" t="s">
        <v>8036</v>
      </c>
      <c r="C2596" s="17">
        <v>45517</v>
      </c>
      <c r="D2596" s="15" t="s">
        <v>8037</v>
      </c>
      <c r="E2596" s="18" t="s">
        <v>954</v>
      </c>
      <c r="F2596" s="19" t="s">
        <v>8038</v>
      </c>
      <c r="G2596" s="18" t="s">
        <v>8039</v>
      </c>
      <c r="H2596" s="20" t="s">
        <v>5551</v>
      </c>
      <c r="I2596" s="15">
        <v>1</v>
      </c>
      <c r="J2596" s="15" t="s">
        <v>26</v>
      </c>
      <c r="K2596" s="15"/>
      <c r="L2596" s="21" t="s">
        <v>16</v>
      </c>
      <c r="M2596" s="22">
        <v>0</v>
      </c>
      <c r="N2596" s="22">
        <v>0</v>
      </c>
      <c r="O2596" s="22">
        <v>11520</v>
      </c>
      <c r="P2596" s="22">
        <v>11520</v>
      </c>
      <c r="Q2596" t="str" cm="1">
        <f t="array" ref="Q2596">_xlfn.TEXTJOIN("、",TRUE,IF('學員資料-三民高中'!$B$2:$B$454=$F2596,'學員資料-三民高中'!$G$2:$G$454,""))</f>
        <v/>
      </c>
      <c r="R2596" t="str" cm="1">
        <f t="array" ref="R2596">_xlfn.TEXTJOIN("、",TRUE,IF('學員資料-新北高中'!$B$2:$B$583=$F2596,'學員資料-新北高中'!$G$2:$G$583,""))</f>
        <v>0928360770</v>
      </c>
      <c r="S2596" t="str" cm="1">
        <f t="array" ref="S2596">_xlfn.TEXTJOIN("、",TRUE,IF('學員資料-三重商工'!$B$2:$B$472=$F2596,'學員資料-三重商工'!$G$2:$G$472,""))</f>
        <v/>
      </c>
      <c r="T2596">
        <f t="shared" si="40"/>
        <v>1</v>
      </c>
    </row>
    <row r="2597" spans="1:20" ht="14.25" hidden="1" customHeight="1">
      <c r="A2597" s="15">
        <v>2596</v>
      </c>
      <c r="B2597" s="16" t="s">
        <v>8040</v>
      </c>
      <c r="C2597" s="17">
        <v>45517</v>
      </c>
      <c r="D2597" s="15" t="s">
        <v>8041</v>
      </c>
      <c r="E2597" s="18" t="s">
        <v>954</v>
      </c>
      <c r="F2597" s="19" t="s">
        <v>8042</v>
      </c>
      <c r="G2597" s="18" t="s">
        <v>8043</v>
      </c>
      <c r="H2597" s="20" t="s">
        <v>5180</v>
      </c>
      <c r="I2597" s="15">
        <v>1</v>
      </c>
      <c r="J2597" s="15" t="s">
        <v>24</v>
      </c>
      <c r="K2597" s="15"/>
      <c r="L2597" s="21" t="s">
        <v>16</v>
      </c>
      <c r="M2597" s="22">
        <v>0</v>
      </c>
      <c r="N2597" s="22">
        <v>0</v>
      </c>
      <c r="O2597" s="22">
        <v>8640</v>
      </c>
      <c r="P2597" s="22">
        <v>8640</v>
      </c>
      <c r="Q2597" t="str" cm="1">
        <f t="array" ref="Q2597">_xlfn.TEXTJOIN("、",TRUE,IF('學員資料-三民高中'!$B$2:$B$454=$F2597,'學員資料-三民高中'!$G$2:$G$454,""))</f>
        <v/>
      </c>
      <c r="R2597" t="str" cm="1">
        <f t="array" ref="R2597">_xlfn.TEXTJOIN("、",TRUE,IF('學員資料-新北高中'!$B$2:$B$583=$F2597,'學員資料-新北高中'!$G$2:$G$583,""))</f>
        <v/>
      </c>
      <c r="S2597" t="str" cm="1">
        <f t="array" ref="S2597">_xlfn.TEXTJOIN("、",TRUE,IF('學員資料-三重商工'!$B$2:$B$472=$F2597,'學員資料-三重商工'!$G$2:$G$472,""))</f>
        <v>0939561232</v>
      </c>
      <c r="T2597">
        <f t="shared" si="40"/>
        <v>1</v>
      </c>
    </row>
    <row r="2598" spans="1:20" ht="14.25" hidden="1" customHeight="1">
      <c r="A2598" s="15">
        <v>2597</v>
      </c>
      <c r="B2598" s="16" t="s">
        <v>8044</v>
      </c>
      <c r="C2598" s="17">
        <v>45517</v>
      </c>
      <c r="D2598" s="15" t="s">
        <v>8045</v>
      </c>
      <c r="E2598" s="18" t="s">
        <v>954</v>
      </c>
      <c r="F2598" s="19" t="s">
        <v>8046</v>
      </c>
      <c r="G2598" s="18" t="s">
        <v>8047</v>
      </c>
      <c r="H2598" s="20" t="s">
        <v>7909</v>
      </c>
      <c r="I2598" s="15">
        <v>1</v>
      </c>
      <c r="J2598" s="15" t="s">
        <v>27</v>
      </c>
      <c r="K2598" s="15"/>
      <c r="L2598" s="21" t="s">
        <v>16</v>
      </c>
      <c r="M2598" s="22">
        <v>0</v>
      </c>
      <c r="N2598" s="22">
        <v>-1440</v>
      </c>
      <c r="O2598" s="22">
        <v>12960</v>
      </c>
      <c r="P2598" s="22">
        <v>12960</v>
      </c>
      <c r="Q2598" t="str" cm="1">
        <f t="array" ref="Q2598">_xlfn.TEXTJOIN("、",TRUE,IF('學員資料-三民高中'!$B$2:$B$454=$F2598,'學員資料-三民高中'!$G$2:$G$454,""))</f>
        <v/>
      </c>
      <c r="R2598" t="str" cm="1">
        <f t="array" ref="R2598">_xlfn.TEXTJOIN("、",TRUE,IF('學員資料-新北高中'!$B$2:$B$583=$F2598,'學員資料-新北高中'!$G$2:$G$583,""))</f>
        <v>0958863006</v>
      </c>
      <c r="S2598" t="str" cm="1">
        <f t="array" ref="S2598">_xlfn.TEXTJOIN("、",TRUE,IF('學員資料-三重商工'!$B$2:$B$472=$F2598,'學員資料-三重商工'!$G$2:$G$472,""))</f>
        <v/>
      </c>
      <c r="T2598">
        <f t="shared" si="40"/>
        <v>1</v>
      </c>
    </row>
    <row r="2599" spans="1:20" ht="14.25" hidden="1" customHeight="1">
      <c r="A2599" s="15">
        <v>2598</v>
      </c>
      <c r="B2599" s="16" t="s">
        <v>8048</v>
      </c>
      <c r="C2599" s="17">
        <v>45517</v>
      </c>
      <c r="D2599" s="15" t="s">
        <v>8049</v>
      </c>
      <c r="E2599" s="18" t="s">
        <v>954</v>
      </c>
      <c r="F2599" s="19" t="s">
        <v>8050</v>
      </c>
      <c r="G2599" s="18" t="s">
        <v>8051</v>
      </c>
      <c r="H2599" s="20" t="s">
        <v>5163</v>
      </c>
      <c r="I2599" s="15">
        <v>1</v>
      </c>
      <c r="J2599" s="15" t="s">
        <v>23</v>
      </c>
      <c r="K2599" s="15"/>
      <c r="L2599" s="21" t="s">
        <v>16</v>
      </c>
      <c r="M2599" s="22">
        <v>0</v>
      </c>
      <c r="N2599" s="22">
        <v>0</v>
      </c>
      <c r="O2599" s="22">
        <v>6600</v>
      </c>
      <c r="P2599" s="22">
        <v>6600</v>
      </c>
      <c r="Q2599" t="str" cm="1">
        <f t="array" ref="Q2599">_xlfn.TEXTJOIN("、",TRUE,IF('學員資料-三民高中'!$B$2:$B$454=$F2599,'學員資料-三民高中'!$G$2:$G$454,""))</f>
        <v>0925158521</v>
      </c>
      <c r="R2599" t="str" cm="1">
        <f t="array" ref="R2599">_xlfn.TEXTJOIN("、",TRUE,IF('學員資料-新北高中'!$B$2:$B$583=$F2599,'學員資料-新北高中'!$G$2:$G$583,""))</f>
        <v/>
      </c>
      <c r="S2599" t="str" cm="1">
        <f t="array" ref="S2599">_xlfn.TEXTJOIN("、",TRUE,IF('學員資料-三重商工'!$B$2:$B$472=$F2599,'學員資料-三重商工'!$G$2:$G$472,""))</f>
        <v/>
      </c>
      <c r="T2599">
        <f t="shared" si="40"/>
        <v>1</v>
      </c>
    </row>
    <row r="2600" spans="1:20" ht="14.25" customHeight="1">
      <c r="A2600" s="15">
        <v>2599</v>
      </c>
      <c r="B2600" s="16" t="s">
        <v>8052</v>
      </c>
      <c r="C2600" s="17">
        <v>45517</v>
      </c>
      <c r="D2600" s="15" t="s">
        <v>8053</v>
      </c>
      <c r="E2600" s="18" t="s">
        <v>954</v>
      </c>
      <c r="F2600" s="19" t="s">
        <v>7350</v>
      </c>
      <c r="G2600" s="18" t="s">
        <v>7351</v>
      </c>
      <c r="H2600" s="20" t="s">
        <v>5246</v>
      </c>
      <c r="I2600" s="15">
        <v>1</v>
      </c>
      <c r="J2600" s="15" t="s">
        <v>23</v>
      </c>
      <c r="K2600" s="15"/>
      <c r="L2600" s="21" t="s">
        <v>16</v>
      </c>
      <c r="M2600" s="22">
        <v>0</v>
      </c>
      <c r="N2600" s="22">
        <v>0</v>
      </c>
      <c r="O2600" s="22">
        <v>7200</v>
      </c>
      <c r="P2600" s="22">
        <v>7200</v>
      </c>
      <c r="Q2600" t="str" cm="1">
        <f t="array" ref="Q2600">_xlfn.TEXTJOIN("、",TRUE,IF('學員資料-三民高中'!$B$2:$B$454=$F2600,'學員資料-三民高中'!$G$2:$G$454,""))</f>
        <v/>
      </c>
      <c r="R2600" t="str" cm="1">
        <f t="array" ref="R2600">_xlfn.TEXTJOIN("、",TRUE,IF('學員資料-新北高中'!$B$2:$B$583=$F2600,'學員資料-新北高中'!$G$2:$G$583,""))</f>
        <v/>
      </c>
      <c r="S2600" t="str" cm="1">
        <f t="array" ref="S2600">_xlfn.TEXTJOIN("、",TRUE,IF('學員資料-三重商工'!$B$2:$B$472=$F2600,'學員資料-三重商工'!$G$2:$G$472,""))</f>
        <v/>
      </c>
      <c r="T2600">
        <f t="shared" si="40"/>
        <v>0</v>
      </c>
    </row>
    <row r="2601" spans="1:20" ht="14.25" hidden="1" customHeight="1">
      <c r="A2601" s="15">
        <v>2600</v>
      </c>
      <c r="B2601" s="16" t="s">
        <v>8054</v>
      </c>
      <c r="C2601" s="17">
        <v>45517</v>
      </c>
      <c r="D2601" s="15" t="s">
        <v>8055</v>
      </c>
      <c r="E2601" s="18" t="s">
        <v>954</v>
      </c>
      <c r="F2601" s="19" t="s">
        <v>8038</v>
      </c>
      <c r="G2601" s="18" t="s">
        <v>8039</v>
      </c>
      <c r="H2601" s="20" t="s">
        <v>5551</v>
      </c>
      <c r="I2601" s="15">
        <v>1</v>
      </c>
      <c r="J2601" s="15" t="s">
        <v>26</v>
      </c>
      <c r="K2601" s="15"/>
      <c r="L2601" s="21" t="s">
        <v>16</v>
      </c>
      <c r="M2601" s="22">
        <v>0</v>
      </c>
      <c r="N2601" s="22">
        <v>-1152</v>
      </c>
      <c r="O2601" s="22">
        <v>10368</v>
      </c>
      <c r="P2601" s="22">
        <v>10368</v>
      </c>
      <c r="Q2601" t="str" cm="1">
        <f t="array" ref="Q2601">_xlfn.TEXTJOIN("、",TRUE,IF('學員資料-三民高中'!$B$2:$B$454=$F2601,'學員資料-三民高中'!$G$2:$G$454,""))</f>
        <v/>
      </c>
      <c r="R2601" t="str" cm="1">
        <f t="array" ref="R2601">_xlfn.TEXTJOIN("、",TRUE,IF('學員資料-新北高中'!$B$2:$B$583=$F2601,'學員資料-新北高中'!$G$2:$G$583,""))</f>
        <v>0928360770</v>
      </c>
      <c r="S2601" t="str" cm="1">
        <f t="array" ref="S2601">_xlfn.TEXTJOIN("、",TRUE,IF('學員資料-三重商工'!$B$2:$B$472=$F2601,'學員資料-三重商工'!$G$2:$G$472,""))</f>
        <v/>
      </c>
      <c r="T2601">
        <f t="shared" si="40"/>
        <v>1</v>
      </c>
    </row>
    <row r="2602" spans="1:20" ht="14.25" hidden="1" customHeight="1">
      <c r="A2602" s="15">
        <v>2601</v>
      </c>
      <c r="B2602" s="16" t="s">
        <v>8056</v>
      </c>
      <c r="C2602" s="17">
        <v>45517</v>
      </c>
      <c r="D2602" s="15" t="s">
        <v>8057</v>
      </c>
      <c r="E2602" s="18" t="s">
        <v>954</v>
      </c>
      <c r="F2602" s="19" t="s">
        <v>8058</v>
      </c>
      <c r="G2602" s="18" t="s">
        <v>8059</v>
      </c>
      <c r="H2602" s="20" t="s">
        <v>5148</v>
      </c>
      <c r="I2602" s="15">
        <v>1</v>
      </c>
      <c r="J2602" s="15" t="s">
        <v>25</v>
      </c>
      <c r="K2602" s="15"/>
      <c r="L2602" s="21" t="s">
        <v>16</v>
      </c>
      <c r="M2602" s="22">
        <v>0</v>
      </c>
      <c r="N2602" s="22">
        <v>-900</v>
      </c>
      <c r="O2602" s="22">
        <v>8100</v>
      </c>
      <c r="P2602" s="22">
        <v>8100</v>
      </c>
      <c r="Q2602" t="str" cm="1">
        <f t="array" ref="Q2602">_xlfn.TEXTJOIN("、",TRUE,IF('學員資料-三民高中'!$B$2:$B$454=$F2602,'學員資料-三民高中'!$G$2:$G$454,""))</f>
        <v>0939235050-1</v>
      </c>
      <c r="R2602" t="str" cm="1">
        <f t="array" ref="R2602">_xlfn.TEXTJOIN("、",TRUE,IF('學員資料-新北高中'!$B$2:$B$583=$F2602,'學員資料-新北高中'!$G$2:$G$583,""))</f>
        <v/>
      </c>
      <c r="S2602" t="str" cm="1">
        <f t="array" ref="S2602">_xlfn.TEXTJOIN("、",TRUE,IF('學員資料-三重商工'!$B$2:$B$472=$F2602,'學員資料-三重商工'!$G$2:$G$472,""))</f>
        <v/>
      </c>
      <c r="T2602">
        <f t="shared" si="40"/>
        <v>1</v>
      </c>
    </row>
    <row r="2603" spans="1:20" ht="14.25" hidden="1" customHeight="1">
      <c r="A2603" s="15">
        <v>2602</v>
      </c>
      <c r="B2603" s="16" t="s">
        <v>8060</v>
      </c>
      <c r="C2603" s="17">
        <v>45517</v>
      </c>
      <c r="D2603" s="15" t="s">
        <v>8061</v>
      </c>
      <c r="E2603" s="18" t="s">
        <v>954</v>
      </c>
      <c r="F2603" s="19" t="s">
        <v>8046</v>
      </c>
      <c r="G2603" s="18" t="s">
        <v>8047</v>
      </c>
      <c r="H2603" s="20" t="s">
        <v>7909</v>
      </c>
      <c r="I2603" s="15">
        <v>1</v>
      </c>
      <c r="J2603" s="15" t="s">
        <v>27</v>
      </c>
      <c r="K2603" s="15"/>
      <c r="L2603" s="21" t="s">
        <v>16</v>
      </c>
      <c r="M2603" s="22">
        <v>0</v>
      </c>
      <c r="N2603" s="22">
        <v>-1440</v>
      </c>
      <c r="O2603" s="22">
        <v>12960</v>
      </c>
      <c r="P2603" s="22">
        <v>12960</v>
      </c>
      <c r="Q2603" t="str" cm="1">
        <f t="array" ref="Q2603">_xlfn.TEXTJOIN("、",TRUE,IF('學員資料-三民高中'!$B$2:$B$454=$F2603,'學員資料-三民高中'!$G$2:$G$454,""))</f>
        <v/>
      </c>
      <c r="R2603" t="str" cm="1">
        <f t="array" ref="R2603">_xlfn.TEXTJOIN("、",TRUE,IF('學員資料-新北高中'!$B$2:$B$583=$F2603,'學員資料-新北高中'!$G$2:$G$583,""))</f>
        <v>0958863006</v>
      </c>
      <c r="S2603" t="str" cm="1">
        <f t="array" ref="S2603">_xlfn.TEXTJOIN("、",TRUE,IF('學員資料-三重商工'!$B$2:$B$472=$F2603,'學員資料-三重商工'!$G$2:$G$472,""))</f>
        <v/>
      </c>
      <c r="T2603">
        <f t="shared" si="40"/>
        <v>1</v>
      </c>
    </row>
    <row r="2604" spans="1:20" ht="28.5" hidden="1" customHeight="1">
      <c r="A2604" s="15">
        <v>2603</v>
      </c>
      <c r="B2604" s="16" t="s">
        <v>8062</v>
      </c>
      <c r="C2604" s="17">
        <v>45517</v>
      </c>
      <c r="D2604" s="15" t="s">
        <v>8063</v>
      </c>
      <c r="E2604" s="18" t="s">
        <v>954</v>
      </c>
      <c r="F2604" s="19" t="s">
        <v>8064</v>
      </c>
      <c r="G2604" s="18" t="s">
        <v>8065</v>
      </c>
      <c r="H2604" s="20" t="s">
        <v>5151</v>
      </c>
      <c r="I2604" s="15">
        <v>2</v>
      </c>
      <c r="J2604" s="15" t="s">
        <v>24</v>
      </c>
      <c r="K2604" s="15"/>
      <c r="L2604" s="21" t="s">
        <v>16</v>
      </c>
      <c r="M2604" s="22">
        <v>0</v>
      </c>
      <c r="N2604" s="22">
        <v>0</v>
      </c>
      <c r="O2604" s="22">
        <v>17280</v>
      </c>
      <c r="P2604" s="22">
        <v>17280</v>
      </c>
      <c r="Q2604" t="str" cm="1">
        <f t="array" ref="Q2604">_xlfn.TEXTJOIN("、",TRUE,IF('學員資料-三民高中'!$B$2:$B$454=$F2604,'學員資料-三民高中'!$G$2:$G$454,""))</f>
        <v/>
      </c>
      <c r="R2604" t="str" cm="1">
        <f t="array" ref="R2604">_xlfn.TEXTJOIN("、",TRUE,IF('學員資料-新北高中'!$B$2:$B$583=$F2604,'學員資料-新北高中'!$G$2:$G$583,""))</f>
        <v/>
      </c>
      <c r="S2604" t="str" cm="1">
        <f t="array" ref="S2604">_xlfn.TEXTJOIN("、",TRUE,IF('學員資料-三重商工'!$B$2:$B$472=$F2604,'學員資料-三重商工'!$G$2:$G$472,""))</f>
        <v>0919387249</v>
      </c>
      <c r="T2604">
        <f t="shared" si="40"/>
        <v>1</v>
      </c>
    </row>
    <row r="2605" spans="1:20" ht="14.25" hidden="1" customHeight="1">
      <c r="A2605" s="15">
        <v>2604</v>
      </c>
      <c r="B2605" s="16" t="s">
        <v>8066</v>
      </c>
      <c r="C2605" s="17">
        <v>45517</v>
      </c>
      <c r="D2605" s="15" t="s">
        <v>8067</v>
      </c>
      <c r="E2605" s="18" t="s">
        <v>954</v>
      </c>
      <c r="F2605" s="19" t="s">
        <v>4271</v>
      </c>
      <c r="G2605" s="18" t="s">
        <v>4272</v>
      </c>
      <c r="H2605" s="20" t="s">
        <v>5180</v>
      </c>
      <c r="I2605" s="15">
        <v>1</v>
      </c>
      <c r="J2605" s="15" t="s">
        <v>24</v>
      </c>
      <c r="K2605" s="15"/>
      <c r="L2605" s="21" t="s">
        <v>16</v>
      </c>
      <c r="M2605" s="22">
        <v>0</v>
      </c>
      <c r="N2605" s="22">
        <v>-864</v>
      </c>
      <c r="O2605" s="22">
        <v>7776</v>
      </c>
      <c r="P2605" s="22">
        <v>7776</v>
      </c>
      <c r="Q2605" t="str" cm="1">
        <f t="array" ref="Q2605">_xlfn.TEXTJOIN("、",TRUE,IF('學員資料-三民高中'!$B$2:$B$454=$F2605,'學員資料-三民高中'!$G$2:$G$454,""))</f>
        <v/>
      </c>
      <c r="R2605" t="str" cm="1">
        <f t="array" ref="R2605">_xlfn.TEXTJOIN("、",TRUE,IF('學員資料-新北高中'!$B$2:$B$583=$F2605,'學員資料-新北高中'!$G$2:$G$583,""))</f>
        <v/>
      </c>
      <c r="S2605" t="str" cm="1">
        <f t="array" ref="S2605">_xlfn.TEXTJOIN("、",TRUE,IF('學員資料-三重商工'!$B$2:$B$472=$F2605,'學員資料-三重商工'!$G$2:$G$472,""))</f>
        <v>0921604248</v>
      </c>
      <c r="T2605">
        <f t="shared" si="40"/>
        <v>1</v>
      </c>
    </row>
    <row r="2606" spans="1:20" ht="14.25" customHeight="1">
      <c r="A2606" s="15">
        <v>2605</v>
      </c>
      <c r="B2606" s="16" t="s">
        <v>8068</v>
      </c>
      <c r="C2606" s="17">
        <v>45517</v>
      </c>
      <c r="D2606" s="15" t="s">
        <v>8069</v>
      </c>
      <c r="E2606" s="18" t="s">
        <v>954</v>
      </c>
      <c r="F2606" s="19" t="s">
        <v>8070</v>
      </c>
      <c r="G2606" s="23"/>
      <c r="H2606" s="20" t="s">
        <v>5180</v>
      </c>
      <c r="I2606" s="15">
        <v>1</v>
      </c>
      <c r="J2606" s="15" t="s">
        <v>24</v>
      </c>
      <c r="K2606" s="15"/>
      <c r="L2606" s="21" t="s">
        <v>16</v>
      </c>
      <c r="M2606" s="22">
        <v>0</v>
      </c>
      <c r="N2606" s="22">
        <v>0</v>
      </c>
      <c r="O2606" s="22">
        <v>8640</v>
      </c>
      <c r="P2606" s="22">
        <v>8640</v>
      </c>
      <c r="Q2606" t="str" cm="1">
        <f t="array" ref="Q2606">_xlfn.TEXTJOIN("、",TRUE,IF('學員資料-三民高中'!$B$2:$B$454=$F2606,'學員資料-三民高中'!$G$2:$G$454,""))</f>
        <v/>
      </c>
      <c r="R2606" t="str" cm="1">
        <f t="array" ref="R2606">_xlfn.TEXTJOIN("、",TRUE,IF('學員資料-新北高中'!$B$2:$B$583=$F2606,'學員資料-新北高中'!$G$2:$G$583,""))</f>
        <v/>
      </c>
      <c r="S2606" t="str" cm="1">
        <f t="array" ref="S2606">_xlfn.TEXTJOIN("、",TRUE,IF('學員資料-三重商工'!$B$2:$B$472=$F2606,'學員資料-三重商工'!$G$2:$G$472,""))</f>
        <v/>
      </c>
      <c r="T2606">
        <f t="shared" si="40"/>
        <v>0</v>
      </c>
    </row>
    <row r="2607" spans="1:20" ht="14.25" hidden="1" customHeight="1">
      <c r="A2607" s="15">
        <v>2606</v>
      </c>
      <c r="B2607" s="16" t="s">
        <v>8071</v>
      </c>
      <c r="C2607" s="17">
        <v>45517</v>
      </c>
      <c r="D2607" s="15" t="s">
        <v>8072</v>
      </c>
      <c r="E2607" s="18" t="s">
        <v>954</v>
      </c>
      <c r="F2607" s="19" t="s">
        <v>7119</v>
      </c>
      <c r="G2607" s="18" t="s">
        <v>7120</v>
      </c>
      <c r="H2607" s="20" t="s">
        <v>5131</v>
      </c>
      <c r="I2607" s="15">
        <v>1</v>
      </c>
      <c r="J2607" s="15" t="s">
        <v>24</v>
      </c>
      <c r="K2607" s="15"/>
      <c r="L2607" s="21" t="s">
        <v>16</v>
      </c>
      <c r="M2607" s="22">
        <v>0</v>
      </c>
      <c r="N2607" s="22">
        <v>-720</v>
      </c>
      <c r="O2607" s="22">
        <v>6480</v>
      </c>
      <c r="P2607" s="22">
        <v>6480</v>
      </c>
      <c r="Q2607" t="str" cm="1">
        <f t="array" ref="Q2607">_xlfn.TEXTJOIN("、",TRUE,IF('學員資料-三民高中'!$B$2:$B$454=$F2607,'學員資料-三民高中'!$G$2:$G$454,""))</f>
        <v/>
      </c>
      <c r="R2607" t="str" cm="1">
        <f t="array" ref="R2607">_xlfn.TEXTJOIN("、",TRUE,IF('學員資料-新北高中'!$B$2:$B$583=$F2607,'學員資料-新北高中'!$G$2:$G$583,""))</f>
        <v>0931754567</v>
      </c>
      <c r="S2607" t="str" cm="1">
        <f t="array" ref="S2607">_xlfn.TEXTJOIN("、",TRUE,IF('學員資料-三重商工'!$B$2:$B$472=$F2607,'學員資料-三重商工'!$G$2:$G$472,""))</f>
        <v/>
      </c>
      <c r="T2607">
        <f t="shared" si="40"/>
        <v>1</v>
      </c>
    </row>
    <row r="2608" spans="1:20" ht="14.25" hidden="1" customHeight="1">
      <c r="A2608" s="15">
        <v>2607</v>
      </c>
      <c r="B2608" s="16" t="s">
        <v>8073</v>
      </c>
      <c r="C2608" s="17">
        <v>45517</v>
      </c>
      <c r="D2608" s="15" t="s">
        <v>8074</v>
      </c>
      <c r="E2608" s="18" t="s">
        <v>954</v>
      </c>
      <c r="F2608" s="19" t="s">
        <v>8075</v>
      </c>
      <c r="G2608" s="18" t="s">
        <v>8076</v>
      </c>
      <c r="H2608" s="20" t="s">
        <v>5131</v>
      </c>
      <c r="I2608" s="15">
        <v>1</v>
      </c>
      <c r="J2608" s="15" t="s">
        <v>24</v>
      </c>
      <c r="K2608" s="15"/>
      <c r="L2608" s="21" t="s">
        <v>16</v>
      </c>
      <c r="M2608" s="22">
        <v>0</v>
      </c>
      <c r="N2608" s="22">
        <v>-720</v>
      </c>
      <c r="O2608" s="22">
        <v>6480</v>
      </c>
      <c r="P2608" s="22">
        <v>6480</v>
      </c>
      <c r="Q2608" t="str" cm="1">
        <f t="array" ref="Q2608">_xlfn.TEXTJOIN("、",TRUE,IF('學員資料-三民高中'!$B$2:$B$454=$F2608,'學員資料-三民高中'!$G$2:$G$454,""))</f>
        <v>0939235050</v>
      </c>
      <c r="R2608" t="str" cm="1">
        <f t="array" ref="R2608">_xlfn.TEXTJOIN("、",TRUE,IF('學員資料-新北高中'!$B$2:$B$583=$F2608,'學員資料-新北高中'!$G$2:$G$583,""))</f>
        <v/>
      </c>
      <c r="S2608" t="str" cm="1">
        <f t="array" ref="S2608">_xlfn.TEXTJOIN("、",TRUE,IF('學員資料-三重商工'!$B$2:$B$472=$F2608,'學員資料-三重商工'!$G$2:$G$472,""))</f>
        <v/>
      </c>
      <c r="T2608">
        <f t="shared" si="40"/>
        <v>1</v>
      </c>
    </row>
    <row r="2609" spans="1:20" ht="14.25" hidden="1" customHeight="1">
      <c r="A2609" s="15">
        <v>2608</v>
      </c>
      <c r="B2609" s="16" t="s">
        <v>8077</v>
      </c>
      <c r="C2609" s="17">
        <v>45517</v>
      </c>
      <c r="D2609" s="15" t="s">
        <v>8078</v>
      </c>
      <c r="E2609" s="18" t="s">
        <v>954</v>
      </c>
      <c r="F2609" s="19" t="s">
        <v>8079</v>
      </c>
      <c r="G2609" s="18" t="s">
        <v>8080</v>
      </c>
      <c r="H2609" s="20" t="s">
        <v>5211</v>
      </c>
      <c r="I2609" s="15">
        <v>1</v>
      </c>
      <c r="J2609" s="15" t="s">
        <v>26</v>
      </c>
      <c r="K2609" s="15"/>
      <c r="L2609" s="21" t="s">
        <v>16</v>
      </c>
      <c r="M2609" s="22">
        <v>0</v>
      </c>
      <c r="N2609" s="22">
        <v>0</v>
      </c>
      <c r="O2609" s="22">
        <v>10800</v>
      </c>
      <c r="P2609" s="22">
        <v>10800</v>
      </c>
      <c r="Q2609" t="str" cm="1">
        <f t="array" ref="Q2609">_xlfn.TEXTJOIN("、",TRUE,IF('學員資料-三民高中'!$B$2:$B$454=$F2609,'學員資料-三民高中'!$G$2:$G$454,""))</f>
        <v>0926061999-1</v>
      </c>
      <c r="R2609" t="str" cm="1">
        <f t="array" ref="R2609">_xlfn.TEXTJOIN("、",TRUE,IF('學員資料-新北高中'!$B$2:$B$583=$F2609,'學員資料-新北高中'!$G$2:$G$583,""))</f>
        <v/>
      </c>
      <c r="S2609" t="str" cm="1">
        <f t="array" ref="S2609">_xlfn.TEXTJOIN("、",TRUE,IF('學員資料-三重商工'!$B$2:$B$472=$F2609,'學員資料-三重商工'!$G$2:$G$472,""))</f>
        <v/>
      </c>
      <c r="T2609">
        <f t="shared" si="40"/>
        <v>1</v>
      </c>
    </row>
    <row r="2610" spans="1:20" ht="14.25" hidden="1" customHeight="1">
      <c r="A2610" s="15">
        <v>2609</v>
      </c>
      <c r="B2610" s="16" t="s">
        <v>8081</v>
      </c>
      <c r="C2610" s="17">
        <v>45517</v>
      </c>
      <c r="D2610" s="15" t="s">
        <v>8082</v>
      </c>
      <c r="E2610" s="18" t="s">
        <v>954</v>
      </c>
      <c r="F2610" s="19" t="s">
        <v>4219</v>
      </c>
      <c r="G2610" s="18" t="s">
        <v>4220</v>
      </c>
      <c r="H2610" s="20" t="s">
        <v>5131</v>
      </c>
      <c r="I2610" s="15">
        <v>1</v>
      </c>
      <c r="J2610" s="15" t="s">
        <v>24</v>
      </c>
      <c r="K2610" s="15"/>
      <c r="L2610" s="21" t="s">
        <v>16</v>
      </c>
      <c r="M2610" s="22">
        <v>0</v>
      </c>
      <c r="N2610" s="22">
        <v>0</v>
      </c>
      <c r="O2610" s="22">
        <v>7200</v>
      </c>
      <c r="P2610" s="22">
        <v>7200</v>
      </c>
      <c r="Q2610" t="str" cm="1">
        <f t="array" ref="Q2610">_xlfn.TEXTJOIN("、",TRUE,IF('學員資料-三民高中'!$B$2:$B$454=$F2610,'學員資料-三民高中'!$G$2:$G$454,""))</f>
        <v/>
      </c>
      <c r="R2610" t="str" cm="1">
        <f t="array" ref="R2610">_xlfn.TEXTJOIN("、",TRUE,IF('學員資料-新北高中'!$B$2:$B$583=$F2610,'學員資料-新北高中'!$G$2:$G$583,""))</f>
        <v/>
      </c>
      <c r="S2610" t="str" cm="1">
        <f t="array" ref="S2610">_xlfn.TEXTJOIN("、",TRUE,IF('學員資料-三重商工'!$B$2:$B$472=$F2610,'學員資料-三重商工'!$G$2:$G$472,""))</f>
        <v>0926251535</v>
      </c>
      <c r="T2610">
        <f t="shared" si="40"/>
        <v>1</v>
      </c>
    </row>
    <row r="2611" spans="1:20" ht="28.5" hidden="1" customHeight="1">
      <c r="A2611" s="15">
        <v>2610</v>
      </c>
      <c r="B2611" s="16" t="s">
        <v>8083</v>
      </c>
      <c r="C2611" s="17">
        <v>45517</v>
      </c>
      <c r="D2611" s="15" t="s">
        <v>8084</v>
      </c>
      <c r="E2611" s="18" t="s">
        <v>954</v>
      </c>
      <c r="F2611" s="19" t="s">
        <v>7770</v>
      </c>
      <c r="G2611" s="18" t="s">
        <v>7771</v>
      </c>
      <c r="H2611" s="20" t="s">
        <v>5154</v>
      </c>
      <c r="I2611" s="15">
        <v>2</v>
      </c>
      <c r="J2611" s="15" t="s">
        <v>24</v>
      </c>
      <c r="K2611" s="15"/>
      <c r="L2611" s="21" t="s">
        <v>16</v>
      </c>
      <c r="M2611" s="22">
        <v>0</v>
      </c>
      <c r="N2611" s="22">
        <v>-2160</v>
      </c>
      <c r="O2611" s="22">
        <v>12240</v>
      </c>
      <c r="P2611" s="22">
        <v>12240</v>
      </c>
      <c r="Q2611" t="str" cm="1">
        <f t="array" ref="Q2611">_xlfn.TEXTJOIN("、",TRUE,IF('學員資料-三民高中'!$B$2:$B$454=$F2611,'學員資料-三民高中'!$G$2:$G$454,""))</f>
        <v/>
      </c>
      <c r="R2611" t="str" cm="1">
        <f t="array" ref="R2611">_xlfn.TEXTJOIN("、",TRUE,IF('學員資料-新北高中'!$B$2:$B$583=$F2611,'學員資料-新北高中'!$G$2:$G$583,""))</f>
        <v>0926992560</v>
      </c>
      <c r="S2611" t="str" cm="1">
        <f t="array" ref="S2611">_xlfn.TEXTJOIN("、",TRUE,IF('學員資料-三重商工'!$B$2:$B$472=$F2611,'學員資料-三重商工'!$G$2:$G$472,""))</f>
        <v/>
      </c>
      <c r="T2611">
        <f t="shared" si="40"/>
        <v>1</v>
      </c>
    </row>
    <row r="2612" spans="1:20" ht="14.25" hidden="1" customHeight="1">
      <c r="A2612" s="15">
        <v>2611</v>
      </c>
      <c r="B2612" s="16" t="s">
        <v>8085</v>
      </c>
      <c r="C2612" s="17">
        <v>45517</v>
      </c>
      <c r="D2612" s="15" t="s">
        <v>8086</v>
      </c>
      <c r="E2612" s="18" t="s">
        <v>954</v>
      </c>
      <c r="F2612" s="19" t="s">
        <v>8087</v>
      </c>
      <c r="G2612" s="18" t="s">
        <v>8088</v>
      </c>
      <c r="H2612" s="20" t="s">
        <v>5246</v>
      </c>
      <c r="I2612" s="15">
        <v>1</v>
      </c>
      <c r="J2612" s="15" t="s">
        <v>23</v>
      </c>
      <c r="K2612" s="15"/>
      <c r="L2612" s="21" t="s">
        <v>16</v>
      </c>
      <c r="M2612" s="22">
        <v>0</v>
      </c>
      <c r="N2612" s="22">
        <v>0</v>
      </c>
      <c r="O2612" s="22">
        <v>7200</v>
      </c>
      <c r="P2612" s="22">
        <v>7200</v>
      </c>
      <c r="Q2612" t="str" cm="1">
        <f t="array" ref="Q2612">_xlfn.TEXTJOIN("、",TRUE,IF('學員資料-三民高中'!$B$2:$B$454=$F2612,'學員資料-三民高中'!$G$2:$G$454,""))</f>
        <v/>
      </c>
      <c r="R2612" t="str" cm="1">
        <f t="array" ref="R2612">_xlfn.TEXTJOIN("、",TRUE,IF('學員資料-新北高中'!$B$2:$B$583=$F2612,'學員資料-新北高中'!$G$2:$G$583,""))</f>
        <v/>
      </c>
      <c r="S2612" t="str" cm="1">
        <f t="array" ref="S2612">_xlfn.TEXTJOIN("、",TRUE,IF('學員資料-三重商工'!$B$2:$B$472=$F2612,'學員資料-三重商工'!$G$2:$G$472,""))</f>
        <v>0922628636</v>
      </c>
      <c r="T2612">
        <f t="shared" si="40"/>
        <v>1</v>
      </c>
    </row>
    <row r="2613" spans="1:20" ht="14.25" hidden="1" customHeight="1">
      <c r="A2613" s="15">
        <v>2612</v>
      </c>
      <c r="B2613" s="16" t="s">
        <v>8089</v>
      </c>
      <c r="C2613" s="17">
        <v>45517</v>
      </c>
      <c r="D2613" s="15" t="s">
        <v>6761</v>
      </c>
      <c r="E2613" s="18" t="s">
        <v>954</v>
      </c>
      <c r="F2613" s="19" t="s">
        <v>8090</v>
      </c>
      <c r="G2613" s="18" t="s">
        <v>8091</v>
      </c>
      <c r="H2613" s="20" t="s">
        <v>5163</v>
      </c>
      <c r="I2613" s="15">
        <v>1</v>
      </c>
      <c r="J2613" s="15" t="s">
        <v>23</v>
      </c>
      <c r="K2613" s="15"/>
      <c r="L2613" s="21" t="s">
        <v>16</v>
      </c>
      <c r="M2613" s="22">
        <v>0</v>
      </c>
      <c r="N2613" s="22">
        <v>0</v>
      </c>
      <c r="O2613" s="22">
        <v>6600</v>
      </c>
      <c r="P2613" s="22">
        <v>6600</v>
      </c>
      <c r="Q2613" t="str" cm="1">
        <f t="array" ref="Q2613">_xlfn.TEXTJOIN("、",TRUE,IF('學員資料-三民高中'!$B$2:$B$454=$F2613,'學員資料-三民高中'!$G$2:$G$454,""))</f>
        <v/>
      </c>
      <c r="R2613" t="str" cm="1">
        <f t="array" ref="R2613">_xlfn.TEXTJOIN("、",TRUE,IF('學員資料-新北高中'!$B$2:$B$583=$F2613,'學員資料-新北高中'!$G$2:$G$583,""))</f>
        <v>0977070365</v>
      </c>
      <c r="S2613" t="str" cm="1">
        <f t="array" ref="S2613">_xlfn.TEXTJOIN("、",TRUE,IF('學員資料-三重商工'!$B$2:$B$472=$F2613,'學員資料-三重商工'!$G$2:$G$472,""))</f>
        <v/>
      </c>
      <c r="T2613">
        <f t="shared" si="40"/>
        <v>1</v>
      </c>
    </row>
    <row r="2614" spans="1:20" ht="43.5" hidden="1" customHeight="1">
      <c r="A2614" s="15">
        <v>2613</v>
      </c>
      <c r="B2614" s="16" t="s">
        <v>8092</v>
      </c>
      <c r="C2614" s="17">
        <v>45517</v>
      </c>
      <c r="D2614" s="15" t="s">
        <v>4951</v>
      </c>
      <c r="E2614" s="18" t="s">
        <v>954</v>
      </c>
      <c r="F2614" s="19" t="s">
        <v>8093</v>
      </c>
      <c r="G2614" s="18" t="s">
        <v>8094</v>
      </c>
      <c r="H2614" s="20" t="s">
        <v>5157</v>
      </c>
      <c r="I2614" s="15">
        <v>3</v>
      </c>
      <c r="J2614" s="15" t="s">
        <v>23</v>
      </c>
      <c r="K2614" s="15"/>
      <c r="L2614" s="21" t="s">
        <v>16</v>
      </c>
      <c r="M2614" s="22">
        <v>0</v>
      </c>
      <c r="N2614" s="22">
        <v>-1980</v>
      </c>
      <c r="O2614" s="22">
        <v>17820</v>
      </c>
      <c r="P2614" s="22">
        <v>17820</v>
      </c>
      <c r="Q2614" t="str" cm="1">
        <f t="array" ref="Q2614">_xlfn.TEXTJOIN("、",TRUE,IF('學員資料-三民高中'!$B$2:$B$454=$F2614,'學員資料-三民高中'!$G$2:$G$454,""))</f>
        <v/>
      </c>
      <c r="R2614" t="str" cm="1">
        <f t="array" ref="R2614">_xlfn.TEXTJOIN("、",TRUE,IF('學員資料-新北高中'!$B$2:$B$583=$F2614,'學員資料-新北高中'!$G$2:$G$583,""))</f>
        <v>0978726876</v>
      </c>
      <c r="S2614" t="str" cm="1">
        <f t="array" ref="S2614">_xlfn.TEXTJOIN("、",TRUE,IF('學員資料-三重商工'!$B$2:$B$472=$F2614,'學員資料-三重商工'!$G$2:$G$472,""))</f>
        <v/>
      </c>
      <c r="T2614">
        <f t="shared" si="40"/>
        <v>1</v>
      </c>
    </row>
    <row r="2615" spans="1:20" ht="28.5" hidden="1" customHeight="1">
      <c r="A2615" s="15">
        <v>2614</v>
      </c>
      <c r="B2615" s="16" t="s">
        <v>8095</v>
      </c>
      <c r="C2615" s="17">
        <v>45517</v>
      </c>
      <c r="D2615" s="15" t="s">
        <v>8096</v>
      </c>
      <c r="E2615" s="18" t="s">
        <v>954</v>
      </c>
      <c r="F2615" s="19" t="s">
        <v>8097</v>
      </c>
      <c r="G2615" s="18" t="s">
        <v>8098</v>
      </c>
      <c r="H2615" s="20" t="s">
        <v>5138</v>
      </c>
      <c r="I2615" s="15">
        <v>2</v>
      </c>
      <c r="J2615" s="15" t="s">
        <v>23</v>
      </c>
      <c r="K2615" s="15"/>
      <c r="L2615" s="21" t="s">
        <v>16</v>
      </c>
      <c r="M2615" s="22">
        <v>0</v>
      </c>
      <c r="N2615" s="22">
        <v>0</v>
      </c>
      <c r="O2615" s="22">
        <v>14400</v>
      </c>
      <c r="P2615" s="22">
        <v>14400</v>
      </c>
      <c r="Q2615" t="str" cm="1">
        <f t="array" ref="Q2615">_xlfn.TEXTJOIN("、",TRUE,IF('學員資料-三民高中'!$B$2:$B$454=$F2615,'學員資料-三民高中'!$G$2:$G$454,""))</f>
        <v/>
      </c>
      <c r="R2615" t="str" cm="1">
        <f t="array" ref="R2615">_xlfn.TEXTJOIN("、",TRUE,IF('學員資料-新北高中'!$B$2:$B$583=$F2615,'學員資料-新北高中'!$G$2:$G$583,""))</f>
        <v/>
      </c>
      <c r="S2615" t="str" cm="1">
        <f t="array" ref="S2615">_xlfn.TEXTJOIN("、",TRUE,IF('學員資料-三重商工'!$B$2:$B$472=$F2615,'學員資料-三重商工'!$G$2:$G$472,""))</f>
        <v>0920446192</v>
      </c>
      <c r="T2615">
        <f t="shared" si="40"/>
        <v>1</v>
      </c>
    </row>
    <row r="2616" spans="1:20" ht="14.25" hidden="1" customHeight="1">
      <c r="A2616" s="15">
        <v>2615</v>
      </c>
      <c r="B2616" s="16" t="s">
        <v>8099</v>
      </c>
      <c r="C2616" s="17">
        <v>45517</v>
      </c>
      <c r="D2616" s="15" t="s">
        <v>8100</v>
      </c>
      <c r="E2616" s="18" t="s">
        <v>954</v>
      </c>
      <c r="F2616" s="19" t="s">
        <v>8101</v>
      </c>
      <c r="G2616" s="18" t="s">
        <v>8102</v>
      </c>
      <c r="H2616" s="20" t="s">
        <v>5180</v>
      </c>
      <c r="I2616" s="15">
        <v>1</v>
      </c>
      <c r="J2616" s="15" t="s">
        <v>24</v>
      </c>
      <c r="K2616" s="15"/>
      <c r="L2616" s="21" t="s">
        <v>16</v>
      </c>
      <c r="M2616" s="22">
        <v>0</v>
      </c>
      <c r="N2616" s="22">
        <v>0</v>
      </c>
      <c r="O2616" s="22">
        <v>8640</v>
      </c>
      <c r="P2616" s="22">
        <v>8640</v>
      </c>
      <c r="Q2616" t="str" cm="1">
        <f t="array" ref="Q2616">_xlfn.TEXTJOIN("、",TRUE,IF('學員資料-三民高中'!$B$2:$B$454=$F2616,'學員資料-三民高中'!$G$2:$G$454,""))</f>
        <v/>
      </c>
      <c r="R2616" t="str" cm="1">
        <f t="array" ref="R2616">_xlfn.TEXTJOIN("、",TRUE,IF('學員資料-新北高中'!$B$2:$B$583=$F2616,'學員資料-新北高中'!$G$2:$G$583,""))</f>
        <v/>
      </c>
      <c r="S2616" t="str" cm="1">
        <f t="array" ref="S2616">_xlfn.TEXTJOIN("、",TRUE,IF('學員資料-三重商工'!$B$2:$B$472=$F2616,'學員資料-三重商工'!$G$2:$G$472,""))</f>
        <v>0911896622</v>
      </c>
      <c r="T2616">
        <f t="shared" si="40"/>
        <v>1</v>
      </c>
    </row>
    <row r="2617" spans="1:20" ht="14.25" hidden="1" customHeight="1">
      <c r="A2617" s="15">
        <v>2616</v>
      </c>
      <c r="B2617" s="16" t="s">
        <v>8103</v>
      </c>
      <c r="C2617" s="17">
        <v>45517</v>
      </c>
      <c r="D2617" s="15" t="s">
        <v>8104</v>
      </c>
      <c r="E2617" s="18" t="s">
        <v>954</v>
      </c>
      <c r="F2617" s="19" t="s">
        <v>6741</v>
      </c>
      <c r="G2617" s="18" t="s">
        <v>6742</v>
      </c>
      <c r="H2617" s="20" t="s">
        <v>5246</v>
      </c>
      <c r="I2617" s="15">
        <v>1</v>
      </c>
      <c r="J2617" s="15" t="s">
        <v>23</v>
      </c>
      <c r="K2617" s="15"/>
      <c r="L2617" s="21" t="s">
        <v>16</v>
      </c>
      <c r="M2617" s="22">
        <v>0</v>
      </c>
      <c r="N2617" s="22">
        <v>-2880</v>
      </c>
      <c r="O2617" s="22">
        <v>4320</v>
      </c>
      <c r="P2617" s="22">
        <v>4320</v>
      </c>
      <c r="Q2617" t="str" cm="1">
        <f t="array" ref="Q2617">_xlfn.TEXTJOIN("、",TRUE,IF('學員資料-三民高中'!$B$2:$B$454=$F2617,'學員資料-三民高中'!$G$2:$G$454,""))</f>
        <v>0961595391</v>
      </c>
      <c r="R2617" t="str" cm="1">
        <f t="array" ref="R2617">_xlfn.TEXTJOIN("、",TRUE,IF('學員資料-新北高中'!$B$2:$B$583=$F2617,'學員資料-新北高中'!$G$2:$G$583,""))</f>
        <v/>
      </c>
      <c r="S2617" t="str" cm="1">
        <f t="array" ref="S2617">_xlfn.TEXTJOIN("、",TRUE,IF('學員資料-三重商工'!$B$2:$B$472=$F2617,'學員資料-三重商工'!$G$2:$G$472,""))</f>
        <v/>
      </c>
      <c r="T2617">
        <f t="shared" si="40"/>
        <v>1</v>
      </c>
    </row>
    <row r="2618" spans="1:20" ht="14.25" hidden="1" customHeight="1">
      <c r="A2618" s="15">
        <v>2617</v>
      </c>
      <c r="B2618" s="16" t="s">
        <v>8105</v>
      </c>
      <c r="C2618" s="17">
        <v>45517</v>
      </c>
      <c r="D2618" s="15" t="s">
        <v>1431</v>
      </c>
      <c r="E2618" s="18" t="s">
        <v>954</v>
      </c>
      <c r="F2618" s="19" t="s">
        <v>1988</v>
      </c>
      <c r="G2618" s="18" t="s">
        <v>1989</v>
      </c>
      <c r="H2618" s="20" t="s">
        <v>5180</v>
      </c>
      <c r="I2618" s="15">
        <v>1</v>
      </c>
      <c r="J2618" s="15" t="s">
        <v>24</v>
      </c>
      <c r="K2618" s="15"/>
      <c r="L2618" s="21" t="s">
        <v>16</v>
      </c>
      <c r="M2618" s="22">
        <v>0</v>
      </c>
      <c r="N2618" s="22">
        <v>0</v>
      </c>
      <c r="O2618" s="22">
        <v>8640</v>
      </c>
      <c r="P2618" s="22">
        <v>8640</v>
      </c>
      <c r="Q2618" t="str" cm="1">
        <f t="array" ref="Q2618">_xlfn.TEXTJOIN("、",TRUE,IF('學員資料-三民高中'!$B$2:$B$454=$F2618,'學員資料-三民高中'!$G$2:$G$454,""))</f>
        <v/>
      </c>
      <c r="R2618" t="str" cm="1">
        <f t="array" ref="R2618">_xlfn.TEXTJOIN("、",TRUE,IF('學員資料-新北高中'!$B$2:$B$583=$F2618,'學員資料-新北高中'!$G$2:$G$583,""))</f>
        <v/>
      </c>
      <c r="S2618" t="str" cm="1">
        <f t="array" ref="S2618">_xlfn.TEXTJOIN("、",TRUE,IF('學員資料-三重商工'!$B$2:$B$472=$F2618,'學員資料-三重商工'!$G$2:$G$472,""))</f>
        <v>0983525968</v>
      </c>
      <c r="T2618">
        <f t="shared" si="40"/>
        <v>1</v>
      </c>
    </row>
    <row r="2619" spans="1:20" ht="14.25" hidden="1" customHeight="1">
      <c r="A2619" s="15">
        <v>2618</v>
      </c>
      <c r="B2619" s="16" t="s">
        <v>8106</v>
      </c>
      <c r="C2619" s="17">
        <v>45517</v>
      </c>
      <c r="D2619" s="15" t="s">
        <v>8107</v>
      </c>
      <c r="E2619" s="18" t="s">
        <v>954</v>
      </c>
      <c r="F2619" s="19" t="s">
        <v>6719</v>
      </c>
      <c r="G2619" s="18" t="s">
        <v>6720</v>
      </c>
      <c r="H2619" s="20" t="s">
        <v>5246</v>
      </c>
      <c r="I2619" s="15">
        <v>1</v>
      </c>
      <c r="J2619" s="15" t="s">
        <v>23</v>
      </c>
      <c r="K2619" s="15"/>
      <c r="L2619" s="21" t="s">
        <v>16</v>
      </c>
      <c r="M2619" s="22">
        <v>0</v>
      </c>
      <c r="N2619" s="22">
        <v>0</v>
      </c>
      <c r="O2619" s="22">
        <v>7200</v>
      </c>
      <c r="P2619" s="22">
        <v>7200</v>
      </c>
      <c r="Q2619" t="str" cm="1">
        <f t="array" ref="Q2619">_xlfn.TEXTJOIN("、",TRUE,IF('學員資料-三民高中'!$B$2:$B$454=$F2619,'學員資料-三民高中'!$G$2:$G$454,""))</f>
        <v/>
      </c>
      <c r="R2619" t="str" cm="1">
        <f t="array" ref="R2619">_xlfn.TEXTJOIN("、",TRUE,IF('學員資料-新北高中'!$B$2:$B$583=$F2619,'學員資料-新北高中'!$G$2:$G$583,""))</f>
        <v/>
      </c>
      <c r="S2619" t="str" cm="1">
        <f t="array" ref="S2619">_xlfn.TEXTJOIN("、",TRUE,IF('學員資料-三重商工'!$B$2:$B$472=$F2619,'學員資料-三重商工'!$G$2:$G$472,""))</f>
        <v>0936286198</v>
      </c>
      <c r="T2619">
        <f t="shared" si="40"/>
        <v>1</v>
      </c>
    </row>
    <row r="2620" spans="1:20" ht="43.5" hidden="1" customHeight="1">
      <c r="A2620" s="15">
        <v>2619</v>
      </c>
      <c r="B2620" s="16" t="s">
        <v>8108</v>
      </c>
      <c r="C2620" s="17">
        <v>45517</v>
      </c>
      <c r="D2620" s="15" t="s">
        <v>8109</v>
      </c>
      <c r="E2620" s="18" t="s">
        <v>954</v>
      </c>
      <c r="F2620" s="19" t="s">
        <v>7569</v>
      </c>
      <c r="G2620" s="18" t="s">
        <v>7570</v>
      </c>
      <c r="H2620" s="20" t="s">
        <v>5394</v>
      </c>
      <c r="I2620" s="15">
        <v>3</v>
      </c>
      <c r="J2620" s="15" t="s">
        <v>23</v>
      </c>
      <c r="K2620" s="15"/>
      <c r="L2620" s="21" t="s">
        <v>16</v>
      </c>
      <c r="M2620" s="22">
        <v>0</v>
      </c>
      <c r="N2620" s="22">
        <v>0</v>
      </c>
      <c r="O2620" s="22">
        <v>21600</v>
      </c>
      <c r="P2620" s="22">
        <v>21600</v>
      </c>
      <c r="Q2620" t="str" cm="1">
        <f t="array" ref="Q2620">_xlfn.TEXTJOIN("、",TRUE,IF('學員資料-三民高中'!$B$2:$B$454=$F2620,'學員資料-三民高中'!$G$2:$G$454,""))</f>
        <v/>
      </c>
      <c r="R2620" t="str" cm="1">
        <f t="array" ref="R2620">_xlfn.TEXTJOIN("、",TRUE,IF('學員資料-新北高中'!$B$2:$B$583=$F2620,'學員資料-新北高中'!$G$2:$G$583,""))</f>
        <v/>
      </c>
      <c r="S2620" t="str" cm="1">
        <f t="array" ref="S2620">_xlfn.TEXTJOIN("、",TRUE,IF('學員資料-三重商工'!$B$2:$B$472=$F2620,'學員資料-三重商工'!$G$2:$G$472,""))</f>
        <v>0911565832</v>
      </c>
      <c r="T2620">
        <f t="shared" si="40"/>
        <v>1</v>
      </c>
    </row>
    <row r="2621" spans="1:20" ht="14.25" hidden="1" customHeight="1">
      <c r="A2621" s="15">
        <v>2620</v>
      </c>
      <c r="B2621" s="16" t="s">
        <v>8110</v>
      </c>
      <c r="C2621" s="17">
        <v>45517</v>
      </c>
      <c r="D2621" s="15" t="s">
        <v>8111</v>
      </c>
      <c r="E2621" s="18" t="s">
        <v>954</v>
      </c>
      <c r="F2621" s="19" t="s">
        <v>8112</v>
      </c>
      <c r="G2621" s="18" t="s">
        <v>8113</v>
      </c>
      <c r="H2621" s="20" t="s">
        <v>5163</v>
      </c>
      <c r="I2621" s="15">
        <v>1</v>
      </c>
      <c r="J2621" s="15" t="s">
        <v>23</v>
      </c>
      <c r="K2621" s="15"/>
      <c r="L2621" s="21" t="s">
        <v>16</v>
      </c>
      <c r="M2621" s="22">
        <v>0</v>
      </c>
      <c r="N2621" s="22">
        <v>0</v>
      </c>
      <c r="O2621" s="22">
        <v>6600</v>
      </c>
      <c r="P2621" s="22">
        <v>6600</v>
      </c>
      <c r="Q2621" t="str" cm="1">
        <f t="array" ref="Q2621">_xlfn.TEXTJOIN("、",TRUE,IF('學員資料-三民高中'!$B$2:$B$454=$F2621,'學員資料-三民高中'!$G$2:$G$454,""))</f>
        <v/>
      </c>
      <c r="R2621" t="str" cm="1">
        <f t="array" ref="R2621">_xlfn.TEXTJOIN("、",TRUE,IF('學員資料-新北高中'!$B$2:$B$583=$F2621,'學員資料-新北高中'!$G$2:$G$583,""))</f>
        <v>0910275948</v>
      </c>
      <c r="S2621" t="str" cm="1">
        <f t="array" ref="S2621">_xlfn.TEXTJOIN("、",TRUE,IF('學員資料-三重商工'!$B$2:$B$472=$F2621,'學員資料-三重商工'!$G$2:$G$472,""))</f>
        <v/>
      </c>
      <c r="T2621">
        <f t="shared" si="40"/>
        <v>1</v>
      </c>
    </row>
    <row r="2622" spans="1:20" ht="14.25" hidden="1" customHeight="1">
      <c r="A2622" s="15">
        <v>2621</v>
      </c>
      <c r="B2622" s="16" t="s">
        <v>8114</v>
      </c>
      <c r="C2622" s="17">
        <v>45517</v>
      </c>
      <c r="D2622" s="15" t="s">
        <v>8115</v>
      </c>
      <c r="E2622" s="18" t="s">
        <v>954</v>
      </c>
      <c r="F2622" s="19" t="s">
        <v>8112</v>
      </c>
      <c r="G2622" s="18" t="s">
        <v>8113</v>
      </c>
      <c r="H2622" s="20" t="s">
        <v>5163</v>
      </c>
      <c r="I2622" s="15">
        <v>1</v>
      </c>
      <c r="J2622" s="15" t="s">
        <v>23</v>
      </c>
      <c r="K2622" s="15"/>
      <c r="L2622" s="21" t="s">
        <v>16</v>
      </c>
      <c r="M2622" s="22">
        <v>0</v>
      </c>
      <c r="N2622" s="22">
        <v>0</v>
      </c>
      <c r="O2622" s="22">
        <v>6600</v>
      </c>
      <c r="P2622" s="22">
        <v>6600</v>
      </c>
      <c r="Q2622" t="str" cm="1">
        <f t="array" ref="Q2622">_xlfn.TEXTJOIN("、",TRUE,IF('學員資料-三民高中'!$B$2:$B$454=$F2622,'學員資料-三民高中'!$G$2:$G$454,""))</f>
        <v/>
      </c>
      <c r="R2622" t="str" cm="1">
        <f t="array" ref="R2622">_xlfn.TEXTJOIN("、",TRUE,IF('學員資料-新北高中'!$B$2:$B$583=$F2622,'學員資料-新北高中'!$G$2:$G$583,""))</f>
        <v>0910275948</v>
      </c>
      <c r="S2622" t="str" cm="1">
        <f t="array" ref="S2622">_xlfn.TEXTJOIN("、",TRUE,IF('學員資料-三重商工'!$B$2:$B$472=$F2622,'學員資料-三重商工'!$G$2:$G$472,""))</f>
        <v/>
      </c>
      <c r="T2622">
        <f t="shared" si="40"/>
        <v>1</v>
      </c>
    </row>
    <row r="2623" spans="1:20" ht="28.5" hidden="1" customHeight="1">
      <c r="A2623" s="15">
        <v>2622</v>
      </c>
      <c r="B2623" s="16" t="s">
        <v>8116</v>
      </c>
      <c r="C2623" s="17">
        <v>45517</v>
      </c>
      <c r="D2623" s="15" t="s">
        <v>8117</v>
      </c>
      <c r="E2623" s="18" t="s">
        <v>954</v>
      </c>
      <c r="F2623" s="19" t="s">
        <v>8118</v>
      </c>
      <c r="G2623" s="18" t="s">
        <v>8119</v>
      </c>
      <c r="H2623" s="20" t="s">
        <v>6885</v>
      </c>
      <c r="I2623" s="15">
        <v>2</v>
      </c>
      <c r="J2623" s="15" t="s">
        <v>26</v>
      </c>
      <c r="K2623" s="15"/>
      <c r="L2623" s="21" t="s">
        <v>16</v>
      </c>
      <c r="M2623" s="22">
        <v>0</v>
      </c>
      <c r="N2623" s="22">
        <v>-2304</v>
      </c>
      <c r="O2623" s="22">
        <v>20736</v>
      </c>
      <c r="P2623" s="22">
        <v>20736</v>
      </c>
      <c r="Q2623" t="str" cm="1">
        <f t="array" ref="Q2623">_xlfn.TEXTJOIN("、",TRUE,IF('學員資料-三民高中'!$B$2:$B$454=$F2623,'學員資料-三民高中'!$G$2:$G$454,""))</f>
        <v/>
      </c>
      <c r="R2623" t="str" cm="1">
        <f t="array" ref="R2623">_xlfn.TEXTJOIN("、",TRUE,IF('學員資料-新北高中'!$B$2:$B$583=$F2623,'學員資料-新北高中'!$G$2:$G$583,""))</f>
        <v/>
      </c>
      <c r="S2623" t="str" cm="1">
        <f t="array" ref="S2623">_xlfn.TEXTJOIN("、",TRUE,IF('學員資料-三重商工'!$B$2:$B$472=$F2623,'學員資料-三重商工'!$G$2:$G$472,""))</f>
        <v>0937752031</v>
      </c>
      <c r="T2623">
        <f t="shared" si="40"/>
        <v>1</v>
      </c>
    </row>
    <row r="2624" spans="1:20" ht="14.25" hidden="1" customHeight="1">
      <c r="A2624" s="15">
        <v>2623</v>
      </c>
      <c r="B2624" s="16" t="s">
        <v>8120</v>
      </c>
      <c r="C2624" s="17">
        <v>45517</v>
      </c>
      <c r="D2624" s="15" t="s">
        <v>8121</v>
      </c>
      <c r="E2624" s="18" t="s">
        <v>954</v>
      </c>
      <c r="F2624" s="19" t="s">
        <v>8122</v>
      </c>
      <c r="G2624" s="18" t="s">
        <v>8123</v>
      </c>
      <c r="H2624" s="20" t="s">
        <v>5163</v>
      </c>
      <c r="I2624" s="15">
        <v>1</v>
      </c>
      <c r="J2624" s="15" t="s">
        <v>23</v>
      </c>
      <c r="K2624" s="15"/>
      <c r="L2624" s="21" t="s">
        <v>16</v>
      </c>
      <c r="M2624" s="22">
        <v>0</v>
      </c>
      <c r="N2624" s="22">
        <v>0</v>
      </c>
      <c r="O2624" s="22">
        <v>6600</v>
      </c>
      <c r="P2624" s="22">
        <v>6600</v>
      </c>
      <c r="Q2624" t="str" cm="1">
        <f t="array" ref="Q2624">_xlfn.TEXTJOIN("、",TRUE,IF('學員資料-三民高中'!$B$2:$B$454=$F2624,'學員資料-三民高中'!$G$2:$G$454,""))</f>
        <v/>
      </c>
      <c r="R2624" t="str" cm="1">
        <f t="array" ref="R2624">_xlfn.TEXTJOIN("、",TRUE,IF('學員資料-新北高中'!$B$2:$B$583=$F2624,'學員資料-新北高中'!$G$2:$G$583,""))</f>
        <v/>
      </c>
      <c r="S2624" t="str" cm="1">
        <f t="array" ref="S2624">_xlfn.TEXTJOIN("、",TRUE,IF('學員資料-三重商工'!$B$2:$B$472=$F2624,'學員資料-三重商工'!$G$2:$G$472,""))</f>
        <v>0920107013</v>
      </c>
      <c r="T2624">
        <f t="shared" si="40"/>
        <v>1</v>
      </c>
    </row>
    <row r="2625" spans="1:20" ht="14.25" hidden="1" customHeight="1">
      <c r="A2625" s="15">
        <v>2624</v>
      </c>
      <c r="B2625" s="16" t="s">
        <v>8124</v>
      </c>
      <c r="C2625" s="17">
        <v>45517</v>
      </c>
      <c r="D2625" s="15" t="s">
        <v>8125</v>
      </c>
      <c r="E2625" s="18" t="s">
        <v>954</v>
      </c>
      <c r="F2625" s="19" t="s">
        <v>394</v>
      </c>
      <c r="G2625" s="18" t="s">
        <v>395</v>
      </c>
      <c r="H2625" s="20" t="s">
        <v>5246</v>
      </c>
      <c r="I2625" s="15">
        <v>1</v>
      </c>
      <c r="J2625" s="15" t="s">
        <v>23</v>
      </c>
      <c r="K2625" s="15"/>
      <c r="L2625" s="21" t="s">
        <v>16</v>
      </c>
      <c r="M2625" s="22">
        <v>0</v>
      </c>
      <c r="N2625" s="22">
        <v>0</v>
      </c>
      <c r="O2625" s="22">
        <v>7200</v>
      </c>
      <c r="P2625" s="22">
        <v>7200</v>
      </c>
      <c r="Q2625" t="str" cm="1">
        <f t="array" ref="Q2625">_xlfn.TEXTJOIN("、",TRUE,IF('學員資料-三民高中'!$B$2:$B$454=$F2625,'學員資料-三民高中'!$G$2:$G$454,""))</f>
        <v/>
      </c>
      <c r="R2625" t="str" cm="1">
        <f t="array" ref="R2625">_xlfn.TEXTJOIN("、",TRUE,IF('學員資料-新北高中'!$B$2:$B$583=$F2625,'學員資料-新北高中'!$G$2:$G$583,""))</f>
        <v/>
      </c>
      <c r="S2625" t="str" cm="1">
        <f t="array" ref="S2625">_xlfn.TEXTJOIN("、",TRUE,IF('學員資料-三重商工'!$B$2:$B$472=$F2625,'學員資料-三重商工'!$G$2:$G$472,""))</f>
        <v>0920215407</v>
      </c>
      <c r="T2625">
        <f t="shared" si="40"/>
        <v>1</v>
      </c>
    </row>
    <row r="2626" spans="1:20" ht="14.25" hidden="1" customHeight="1">
      <c r="A2626" s="15">
        <v>2625</v>
      </c>
      <c r="B2626" s="16" t="s">
        <v>8126</v>
      </c>
      <c r="C2626" s="17">
        <v>45517</v>
      </c>
      <c r="D2626" s="15" t="s">
        <v>8127</v>
      </c>
      <c r="E2626" s="18" t="s">
        <v>954</v>
      </c>
      <c r="F2626" s="19" t="s">
        <v>8128</v>
      </c>
      <c r="G2626" s="18" t="s">
        <v>8129</v>
      </c>
      <c r="H2626" s="20" t="s">
        <v>5163</v>
      </c>
      <c r="I2626" s="15">
        <v>1</v>
      </c>
      <c r="J2626" s="15" t="s">
        <v>23</v>
      </c>
      <c r="K2626" s="15"/>
      <c r="L2626" s="21" t="s">
        <v>16</v>
      </c>
      <c r="M2626" s="22">
        <v>0</v>
      </c>
      <c r="N2626" s="22">
        <v>0</v>
      </c>
      <c r="O2626" s="22">
        <v>6600</v>
      </c>
      <c r="P2626" s="22">
        <v>6600</v>
      </c>
      <c r="Q2626" t="str" cm="1">
        <f t="array" ref="Q2626">_xlfn.TEXTJOIN("、",TRUE,IF('學員資料-三民高中'!$B$2:$B$454=$F2626,'學員資料-三民高中'!$G$2:$G$454,""))</f>
        <v/>
      </c>
      <c r="R2626" t="str" cm="1">
        <f t="array" ref="R2626">_xlfn.TEXTJOIN("、",TRUE,IF('學員資料-新北高中'!$B$2:$B$583=$F2626,'學員資料-新北高中'!$G$2:$G$583,""))</f>
        <v/>
      </c>
      <c r="S2626" t="str" cm="1">
        <f t="array" ref="S2626">_xlfn.TEXTJOIN("、",TRUE,IF('學員資料-三重商工'!$B$2:$B$472=$F2626,'學員資料-三重商工'!$G$2:$G$472,""))</f>
        <v>0937039857</v>
      </c>
      <c r="T2626">
        <f t="shared" si="40"/>
        <v>1</v>
      </c>
    </row>
    <row r="2627" spans="1:20" ht="28.5" hidden="1" customHeight="1">
      <c r="A2627" s="15">
        <v>2626</v>
      </c>
      <c r="B2627" s="16" t="s">
        <v>8130</v>
      </c>
      <c r="C2627" s="17">
        <v>45517</v>
      </c>
      <c r="D2627" s="15" t="s">
        <v>8131</v>
      </c>
      <c r="E2627" s="18" t="s">
        <v>954</v>
      </c>
      <c r="F2627" s="19" t="s">
        <v>8132</v>
      </c>
      <c r="G2627" s="18" t="s">
        <v>8133</v>
      </c>
      <c r="H2627" s="20" t="s">
        <v>5151</v>
      </c>
      <c r="I2627" s="15">
        <v>2</v>
      </c>
      <c r="J2627" s="15" t="s">
        <v>24</v>
      </c>
      <c r="K2627" s="15"/>
      <c r="L2627" s="21" t="s">
        <v>16</v>
      </c>
      <c r="M2627" s="22">
        <v>0</v>
      </c>
      <c r="N2627" s="22">
        <v>0</v>
      </c>
      <c r="O2627" s="22">
        <v>17280</v>
      </c>
      <c r="P2627" s="22">
        <v>17280</v>
      </c>
      <c r="Q2627" t="str" cm="1">
        <f t="array" ref="Q2627">_xlfn.TEXTJOIN("、",TRUE,IF('學員資料-三民高中'!$B$2:$B$454=$F2627,'學員資料-三民高中'!$G$2:$G$454,""))</f>
        <v/>
      </c>
      <c r="R2627" t="str" cm="1">
        <f t="array" ref="R2627">_xlfn.TEXTJOIN("、",TRUE,IF('學員資料-新北高中'!$B$2:$B$583=$F2627,'學員資料-新北高中'!$G$2:$G$583,""))</f>
        <v/>
      </c>
      <c r="S2627" t="str" cm="1">
        <f t="array" ref="S2627">_xlfn.TEXTJOIN("、",TRUE,IF('學員資料-三重商工'!$B$2:$B$472=$F2627,'學員資料-三重商工'!$G$2:$G$472,""))</f>
        <v>0916265368-1</v>
      </c>
      <c r="T2627">
        <f t="shared" ref="T2627:T2690" si="41">3-COUNTBLANK(Q2627:S2627)</f>
        <v>1</v>
      </c>
    </row>
    <row r="2628" spans="1:20" ht="14.25" hidden="1" customHeight="1">
      <c r="A2628" s="15">
        <v>2627</v>
      </c>
      <c r="B2628" s="16" t="s">
        <v>8134</v>
      </c>
      <c r="C2628" s="17">
        <v>45517</v>
      </c>
      <c r="D2628" s="15" t="s">
        <v>8135</v>
      </c>
      <c r="E2628" s="18" t="s">
        <v>954</v>
      </c>
      <c r="F2628" s="19" t="s">
        <v>8136</v>
      </c>
      <c r="G2628" s="18" t="s">
        <v>8137</v>
      </c>
      <c r="H2628" s="20" t="s">
        <v>5163</v>
      </c>
      <c r="I2628" s="15">
        <v>1</v>
      </c>
      <c r="J2628" s="15" t="s">
        <v>23</v>
      </c>
      <c r="K2628" s="15"/>
      <c r="L2628" s="21" t="s">
        <v>16</v>
      </c>
      <c r="M2628" s="22">
        <v>0</v>
      </c>
      <c r="N2628" s="22">
        <v>0</v>
      </c>
      <c r="O2628" s="22">
        <v>6600</v>
      </c>
      <c r="P2628" s="22">
        <v>6600</v>
      </c>
      <c r="Q2628" t="str" cm="1">
        <f t="array" ref="Q2628">_xlfn.TEXTJOIN("、",TRUE,IF('學員資料-三民高中'!$B$2:$B$454=$F2628,'學員資料-三民高中'!$G$2:$G$454,""))</f>
        <v/>
      </c>
      <c r="R2628" t="str" cm="1">
        <f t="array" ref="R2628">_xlfn.TEXTJOIN("、",TRUE,IF('學員資料-新北高中'!$B$2:$B$583=$F2628,'學員資料-新北高中'!$G$2:$G$583,""))</f>
        <v/>
      </c>
      <c r="S2628" t="str" cm="1">
        <f t="array" ref="S2628">_xlfn.TEXTJOIN("、",TRUE,IF('學員資料-三重商工'!$B$2:$B$472=$F2628,'學員資料-三重商工'!$G$2:$G$472,""))</f>
        <v>0935973139</v>
      </c>
      <c r="T2628">
        <f t="shared" si="41"/>
        <v>1</v>
      </c>
    </row>
    <row r="2629" spans="1:20" ht="14.25" hidden="1" customHeight="1">
      <c r="A2629" s="15">
        <v>2628</v>
      </c>
      <c r="B2629" s="16" t="s">
        <v>8138</v>
      </c>
      <c r="C2629" s="17">
        <v>45517</v>
      </c>
      <c r="D2629" s="15" t="s">
        <v>8139</v>
      </c>
      <c r="E2629" s="18" t="s">
        <v>954</v>
      </c>
      <c r="F2629" s="19" t="s">
        <v>8140</v>
      </c>
      <c r="G2629" s="18" t="s">
        <v>8141</v>
      </c>
      <c r="H2629" s="20" t="s">
        <v>5131</v>
      </c>
      <c r="I2629" s="15">
        <v>1</v>
      </c>
      <c r="J2629" s="15" t="s">
        <v>24</v>
      </c>
      <c r="K2629" s="15"/>
      <c r="L2629" s="21" t="s">
        <v>16</v>
      </c>
      <c r="M2629" s="22">
        <v>0</v>
      </c>
      <c r="N2629" s="22">
        <v>0</v>
      </c>
      <c r="O2629" s="22">
        <v>7200</v>
      </c>
      <c r="P2629" s="22">
        <v>7200</v>
      </c>
      <c r="Q2629" t="str" cm="1">
        <f t="array" ref="Q2629">_xlfn.TEXTJOIN("、",TRUE,IF('學員資料-三民高中'!$B$2:$B$454=$F2629,'學員資料-三民高中'!$G$2:$G$454,""))</f>
        <v/>
      </c>
      <c r="R2629" t="str" cm="1">
        <f t="array" ref="R2629">_xlfn.TEXTJOIN("、",TRUE,IF('學員資料-新北高中'!$B$2:$B$583=$F2629,'學員資料-新北高中'!$G$2:$G$583,""))</f>
        <v/>
      </c>
      <c r="S2629" t="str" cm="1">
        <f t="array" ref="S2629">_xlfn.TEXTJOIN("、",TRUE,IF('學員資料-三重商工'!$B$2:$B$472=$F2629,'學員資料-三重商工'!$G$2:$G$472,""))</f>
        <v>0975289909</v>
      </c>
      <c r="T2629">
        <f t="shared" si="41"/>
        <v>1</v>
      </c>
    </row>
    <row r="2630" spans="1:20" ht="14.25" hidden="1" customHeight="1">
      <c r="A2630" s="15">
        <v>2629</v>
      </c>
      <c r="B2630" s="16" t="s">
        <v>8142</v>
      </c>
      <c r="C2630" s="17">
        <v>45517</v>
      </c>
      <c r="D2630" s="15" t="s">
        <v>8143</v>
      </c>
      <c r="E2630" s="18" t="s">
        <v>954</v>
      </c>
      <c r="F2630" s="19" t="s">
        <v>8144</v>
      </c>
      <c r="G2630" s="18" t="s">
        <v>8145</v>
      </c>
      <c r="H2630" s="20" t="s">
        <v>5163</v>
      </c>
      <c r="I2630" s="15">
        <v>1</v>
      </c>
      <c r="J2630" s="15" t="s">
        <v>23</v>
      </c>
      <c r="K2630" s="15"/>
      <c r="L2630" s="21" t="s">
        <v>16</v>
      </c>
      <c r="M2630" s="22">
        <v>0</v>
      </c>
      <c r="N2630" s="22">
        <v>0</v>
      </c>
      <c r="O2630" s="22">
        <v>6600</v>
      </c>
      <c r="P2630" s="22">
        <v>6600</v>
      </c>
      <c r="Q2630" t="str" cm="1">
        <f t="array" ref="Q2630">_xlfn.TEXTJOIN("、",TRUE,IF('學員資料-三民高中'!$B$2:$B$454=$F2630,'學員資料-三民高中'!$G$2:$G$454,""))</f>
        <v/>
      </c>
      <c r="R2630" t="str" cm="1">
        <f t="array" ref="R2630">_xlfn.TEXTJOIN("、",TRUE,IF('學員資料-新北高中'!$B$2:$B$583=$F2630,'學員資料-新北高中'!$G$2:$G$583,""))</f>
        <v/>
      </c>
      <c r="S2630" t="str" cm="1">
        <f t="array" ref="S2630">_xlfn.TEXTJOIN("、",TRUE,IF('學員資料-三重商工'!$B$2:$B$472=$F2630,'學員資料-三重商工'!$G$2:$G$472,""))</f>
        <v>0920965694</v>
      </c>
      <c r="T2630">
        <f t="shared" si="41"/>
        <v>1</v>
      </c>
    </row>
    <row r="2631" spans="1:20" ht="14.25" hidden="1" customHeight="1">
      <c r="A2631" s="15">
        <v>2630</v>
      </c>
      <c r="B2631" s="16" t="s">
        <v>8146</v>
      </c>
      <c r="C2631" s="17">
        <v>45517</v>
      </c>
      <c r="D2631" s="15" t="s">
        <v>8147</v>
      </c>
      <c r="E2631" s="18" t="s">
        <v>954</v>
      </c>
      <c r="F2631" s="19" t="s">
        <v>4618</v>
      </c>
      <c r="G2631" s="18" t="s">
        <v>4619</v>
      </c>
      <c r="H2631" s="20" t="s">
        <v>5246</v>
      </c>
      <c r="I2631" s="15">
        <v>1</v>
      </c>
      <c r="J2631" s="15" t="s">
        <v>23</v>
      </c>
      <c r="K2631" s="15"/>
      <c r="L2631" s="21" t="s">
        <v>16</v>
      </c>
      <c r="M2631" s="22">
        <v>0</v>
      </c>
      <c r="N2631" s="22">
        <v>0</v>
      </c>
      <c r="O2631" s="22">
        <v>7200</v>
      </c>
      <c r="P2631" s="22">
        <v>7200</v>
      </c>
      <c r="Q2631" t="str" cm="1">
        <f t="array" ref="Q2631">_xlfn.TEXTJOIN("、",TRUE,IF('學員資料-三民高中'!$B$2:$B$454=$F2631,'學員資料-三民高中'!$G$2:$G$454,""))</f>
        <v/>
      </c>
      <c r="R2631" t="str" cm="1">
        <f t="array" ref="R2631">_xlfn.TEXTJOIN("、",TRUE,IF('學員資料-新北高中'!$B$2:$B$583=$F2631,'學員資料-新北高中'!$G$2:$G$583,""))</f>
        <v/>
      </c>
      <c r="S2631" t="str" cm="1">
        <f t="array" ref="S2631">_xlfn.TEXTJOIN("、",TRUE,IF('學員資料-三重商工'!$B$2:$B$472=$F2631,'學員資料-三重商工'!$G$2:$G$472,""))</f>
        <v>0988305820</v>
      </c>
      <c r="T2631">
        <f t="shared" si="41"/>
        <v>1</v>
      </c>
    </row>
    <row r="2632" spans="1:20" ht="14.25" hidden="1" customHeight="1">
      <c r="A2632" s="15">
        <v>2631</v>
      </c>
      <c r="B2632" s="16" t="s">
        <v>8148</v>
      </c>
      <c r="C2632" s="17">
        <v>45517</v>
      </c>
      <c r="D2632" s="15" t="s">
        <v>7347</v>
      </c>
      <c r="E2632" s="18" t="s">
        <v>3862</v>
      </c>
      <c r="F2632" s="19" t="s">
        <v>8149</v>
      </c>
      <c r="G2632" s="18" t="s">
        <v>8150</v>
      </c>
      <c r="H2632" s="20" t="s">
        <v>5246</v>
      </c>
      <c r="I2632" s="15">
        <v>1</v>
      </c>
      <c r="J2632" s="15" t="s">
        <v>23</v>
      </c>
      <c r="K2632" s="15"/>
      <c r="L2632" s="21" t="s">
        <v>16</v>
      </c>
      <c r="M2632" s="22">
        <v>0</v>
      </c>
      <c r="N2632" s="22">
        <v>0</v>
      </c>
      <c r="O2632" s="22">
        <v>7200</v>
      </c>
      <c r="P2632" s="22">
        <v>7200</v>
      </c>
      <c r="Q2632" t="str" cm="1">
        <f t="array" ref="Q2632">_xlfn.TEXTJOIN("、",TRUE,IF('學員資料-三民高中'!$B$2:$B$454=$F2632,'學員資料-三民高中'!$G$2:$G$454,""))</f>
        <v/>
      </c>
      <c r="R2632" t="str" cm="1">
        <f t="array" ref="R2632">_xlfn.TEXTJOIN("、",TRUE,IF('學員資料-新北高中'!$B$2:$B$583=$F2632,'學員資料-新北高中'!$G$2:$G$583,""))</f>
        <v/>
      </c>
      <c r="S2632" t="str" cm="1">
        <f t="array" ref="S2632">_xlfn.TEXTJOIN("、",TRUE,IF('學員資料-三重商工'!$B$2:$B$472=$F2632,'學員資料-三重商工'!$G$2:$G$472,""))</f>
        <v>0952707951</v>
      </c>
      <c r="T2632">
        <f t="shared" si="41"/>
        <v>1</v>
      </c>
    </row>
    <row r="2633" spans="1:20" ht="43.5" hidden="1" customHeight="1">
      <c r="A2633" s="15">
        <v>2632</v>
      </c>
      <c r="B2633" s="16" t="s">
        <v>8151</v>
      </c>
      <c r="C2633" s="17">
        <v>45517</v>
      </c>
      <c r="D2633" s="15" t="s">
        <v>8152</v>
      </c>
      <c r="E2633" s="18" t="s">
        <v>954</v>
      </c>
      <c r="F2633" s="19" t="s">
        <v>8153</v>
      </c>
      <c r="G2633" s="18" t="s">
        <v>8154</v>
      </c>
      <c r="H2633" s="20" t="s">
        <v>5157</v>
      </c>
      <c r="I2633" s="15">
        <v>3</v>
      </c>
      <c r="J2633" s="15" t="s">
        <v>23</v>
      </c>
      <c r="K2633" s="15"/>
      <c r="L2633" s="21" t="s">
        <v>16</v>
      </c>
      <c r="M2633" s="22">
        <v>0</v>
      </c>
      <c r="N2633" s="22">
        <v>-2376</v>
      </c>
      <c r="O2633" s="22">
        <v>17424</v>
      </c>
      <c r="P2633" s="22">
        <v>17424</v>
      </c>
      <c r="Q2633" t="str" cm="1">
        <f t="array" ref="Q2633">_xlfn.TEXTJOIN("、",TRUE,IF('學員資料-三民高中'!$B$2:$B$454=$F2633,'學員資料-三民高中'!$G$2:$G$454,""))</f>
        <v/>
      </c>
      <c r="R2633" t="str" cm="1">
        <f t="array" ref="R2633">_xlfn.TEXTJOIN("、",TRUE,IF('學員資料-新北高中'!$B$2:$B$583=$F2633,'學員資料-新北高中'!$G$2:$G$583,""))</f>
        <v/>
      </c>
      <c r="S2633" t="str" cm="1">
        <f t="array" ref="S2633">_xlfn.TEXTJOIN("、",TRUE,IF('學員資料-三重商工'!$B$2:$B$472=$F2633,'學員資料-三重商工'!$G$2:$G$472,""))</f>
        <v>0910696688</v>
      </c>
      <c r="T2633">
        <f t="shared" si="41"/>
        <v>1</v>
      </c>
    </row>
    <row r="2634" spans="1:20" ht="101.25" customHeight="1">
      <c r="A2634" s="15">
        <v>2633</v>
      </c>
      <c r="B2634" s="16" t="s">
        <v>8155</v>
      </c>
      <c r="C2634" s="17">
        <v>45517</v>
      </c>
      <c r="D2634" s="15" t="s">
        <v>8156</v>
      </c>
      <c r="E2634" s="18" t="s">
        <v>954</v>
      </c>
      <c r="F2634" s="19" t="s">
        <v>8157</v>
      </c>
      <c r="G2634" s="23"/>
      <c r="H2634" s="20" t="s">
        <v>6757</v>
      </c>
      <c r="I2634" s="15">
        <v>7</v>
      </c>
      <c r="J2634" s="15" t="s">
        <v>23</v>
      </c>
      <c r="K2634" s="15"/>
      <c r="L2634" s="21" t="s">
        <v>16</v>
      </c>
      <c r="M2634" s="22">
        <v>0</v>
      </c>
      <c r="N2634" s="22">
        <v>-7560</v>
      </c>
      <c r="O2634" s="22">
        <v>55440</v>
      </c>
      <c r="P2634" s="22">
        <v>55440</v>
      </c>
      <c r="Q2634" t="str" cm="1">
        <f t="array" ref="Q2634">_xlfn.TEXTJOIN("、",TRUE,IF('學員資料-三民高中'!$B$2:$B$454=$F2634,'學員資料-三民高中'!$G$2:$G$454,""))</f>
        <v/>
      </c>
      <c r="R2634" t="str" cm="1">
        <f t="array" ref="R2634">_xlfn.TEXTJOIN("、",TRUE,IF('學員資料-新北高中'!$B$2:$B$583=$F2634,'學員資料-新北高中'!$G$2:$G$583,""))</f>
        <v/>
      </c>
      <c r="S2634" t="str" cm="1">
        <f t="array" ref="S2634">_xlfn.TEXTJOIN("、",TRUE,IF('學員資料-三重商工'!$B$2:$B$472=$F2634,'學員資料-三重商工'!$G$2:$G$472,""))</f>
        <v/>
      </c>
      <c r="T2634">
        <f t="shared" si="41"/>
        <v>0</v>
      </c>
    </row>
    <row r="2635" spans="1:20" ht="14.25" hidden="1" customHeight="1">
      <c r="A2635" s="15">
        <v>2634</v>
      </c>
      <c r="B2635" s="16" t="s">
        <v>8158</v>
      </c>
      <c r="C2635" s="17">
        <v>45517</v>
      </c>
      <c r="D2635" s="15" t="s">
        <v>8159</v>
      </c>
      <c r="E2635" s="18" t="s">
        <v>954</v>
      </c>
      <c r="F2635" s="19" t="s">
        <v>846</v>
      </c>
      <c r="G2635" s="18" t="s">
        <v>847</v>
      </c>
      <c r="H2635" s="20" t="s">
        <v>5551</v>
      </c>
      <c r="I2635" s="15">
        <v>1</v>
      </c>
      <c r="J2635" s="15" t="s">
        <v>26</v>
      </c>
      <c r="K2635" s="15"/>
      <c r="L2635" s="21" t="s">
        <v>16</v>
      </c>
      <c r="M2635" s="22">
        <v>0</v>
      </c>
      <c r="N2635" s="22">
        <v>0</v>
      </c>
      <c r="O2635" s="22">
        <v>11520</v>
      </c>
      <c r="P2635" s="22">
        <v>11520</v>
      </c>
      <c r="Q2635" t="str" cm="1">
        <f t="array" ref="Q2635">_xlfn.TEXTJOIN("、",TRUE,IF('學員資料-三民高中'!$B$2:$B$454=$F2635,'學員資料-三民高中'!$G$2:$G$454,""))</f>
        <v/>
      </c>
      <c r="R2635" t="str" cm="1">
        <f t="array" ref="R2635">_xlfn.TEXTJOIN("、",TRUE,IF('學員資料-新北高中'!$B$2:$B$583=$F2635,'學員資料-新北高中'!$G$2:$G$583,""))</f>
        <v/>
      </c>
      <c r="S2635" t="str" cm="1">
        <f t="array" ref="S2635">_xlfn.TEXTJOIN("、",TRUE,IF('學員資料-三重商工'!$B$2:$B$472=$F2635,'學員資料-三重商工'!$G$2:$G$472,""))</f>
        <v>0928579181</v>
      </c>
      <c r="T2635">
        <f t="shared" si="41"/>
        <v>1</v>
      </c>
    </row>
    <row r="2636" spans="1:20" ht="14.25" hidden="1" customHeight="1">
      <c r="A2636" s="15">
        <v>2635</v>
      </c>
      <c r="B2636" s="16" t="s">
        <v>8160</v>
      </c>
      <c r="C2636" s="17">
        <v>45517</v>
      </c>
      <c r="D2636" s="15" t="s">
        <v>8161</v>
      </c>
      <c r="E2636" s="18" t="s">
        <v>954</v>
      </c>
      <c r="F2636" s="19" t="s">
        <v>8162</v>
      </c>
      <c r="G2636" s="18" t="s">
        <v>8163</v>
      </c>
      <c r="H2636" s="20" t="s">
        <v>5163</v>
      </c>
      <c r="I2636" s="15">
        <v>1</v>
      </c>
      <c r="J2636" s="15" t="s">
        <v>23</v>
      </c>
      <c r="K2636" s="15"/>
      <c r="L2636" s="21" t="s">
        <v>16</v>
      </c>
      <c r="M2636" s="22">
        <v>0</v>
      </c>
      <c r="N2636" s="22">
        <v>0</v>
      </c>
      <c r="O2636" s="22">
        <v>6600</v>
      </c>
      <c r="P2636" s="22">
        <v>6600</v>
      </c>
      <c r="Q2636" t="str" cm="1">
        <f t="array" ref="Q2636">_xlfn.TEXTJOIN("、",TRUE,IF('學員資料-三民高中'!$B$2:$B$454=$F2636,'學員資料-三民高中'!$G$2:$G$454,""))</f>
        <v/>
      </c>
      <c r="R2636" t="str" cm="1">
        <f t="array" ref="R2636">_xlfn.TEXTJOIN("、",TRUE,IF('學員資料-新北高中'!$B$2:$B$583=$F2636,'學員資料-新北高中'!$G$2:$G$583,""))</f>
        <v>0955999311</v>
      </c>
      <c r="S2636" t="str" cm="1">
        <f t="array" ref="S2636">_xlfn.TEXTJOIN("、",TRUE,IF('學員資料-三重商工'!$B$2:$B$472=$F2636,'學員資料-三重商工'!$G$2:$G$472,""))</f>
        <v/>
      </c>
      <c r="T2636">
        <f t="shared" si="41"/>
        <v>1</v>
      </c>
    </row>
    <row r="2637" spans="1:20" ht="14.25" hidden="1" customHeight="1">
      <c r="A2637" s="15">
        <v>2636</v>
      </c>
      <c r="B2637" s="16" t="s">
        <v>8164</v>
      </c>
      <c r="C2637" s="17">
        <v>45517</v>
      </c>
      <c r="D2637" s="15" t="s">
        <v>8165</v>
      </c>
      <c r="E2637" s="18" t="s">
        <v>954</v>
      </c>
      <c r="F2637" s="19" t="s">
        <v>3228</v>
      </c>
      <c r="G2637" s="18" t="s">
        <v>3229</v>
      </c>
      <c r="H2637" s="20" t="s">
        <v>5131</v>
      </c>
      <c r="I2637" s="15">
        <v>1</v>
      </c>
      <c r="J2637" s="15" t="s">
        <v>24</v>
      </c>
      <c r="K2637" s="15"/>
      <c r="L2637" s="21" t="s">
        <v>16</v>
      </c>
      <c r="M2637" s="22">
        <v>0</v>
      </c>
      <c r="N2637" s="22">
        <v>0</v>
      </c>
      <c r="O2637" s="22">
        <v>7200</v>
      </c>
      <c r="P2637" s="22">
        <v>7200</v>
      </c>
      <c r="Q2637" t="str" cm="1">
        <f t="array" ref="Q2637">_xlfn.TEXTJOIN("、",TRUE,IF('學員資料-三民高中'!$B$2:$B$454=$F2637,'學員資料-三民高中'!$G$2:$G$454,""))</f>
        <v/>
      </c>
      <c r="R2637" t="str" cm="1">
        <f t="array" ref="R2637">_xlfn.TEXTJOIN("、",TRUE,IF('學員資料-新北高中'!$B$2:$B$583=$F2637,'學員資料-新北高中'!$G$2:$G$583,""))</f>
        <v/>
      </c>
      <c r="S2637" t="str" cm="1">
        <f t="array" ref="S2637">_xlfn.TEXTJOIN("、",TRUE,IF('學員資料-三重商工'!$B$2:$B$472=$F2637,'學員資料-三重商工'!$G$2:$G$472,""))</f>
        <v>0920218511</v>
      </c>
      <c r="T2637">
        <f t="shared" si="41"/>
        <v>1</v>
      </c>
    </row>
    <row r="2638" spans="1:20" ht="14.25" hidden="1" customHeight="1">
      <c r="A2638" s="15">
        <v>2637</v>
      </c>
      <c r="B2638" s="16" t="s">
        <v>8166</v>
      </c>
      <c r="C2638" s="17">
        <v>45517</v>
      </c>
      <c r="D2638" s="15" t="s">
        <v>2923</v>
      </c>
      <c r="E2638" s="18" t="s">
        <v>954</v>
      </c>
      <c r="F2638" s="19" t="s">
        <v>6386</v>
      </c>
      <c r="G2638" s="18" t="s">
        <v>6387</v>
      </c>
      <c r="H2638" s="20" t="s">
        <v>5131</v>
      </c>
      <c r="I2638" s="15">
        <v>1</v>
      </c>
      <c r="J2638" s="15" t="s">
        <v>24</v>
      </c>
      <c r="K2638" s="15"/>
      <c r="L2638" s="21" t="s">
        <v>16</v>
      </c>
      <c r="M2638" s="22">
        <v>0</v>
      </c>
      <c r="N2638" s="22">
        <v>0</v>
      </c>
      <c r="O2638" s="22">
        <v>7200</v>
      </c>
      <c r="P2638" s="22">
        <v>7200</v>
      </c>
      <c r="Q2638" t="str" cm="1">
        <f t="array" ref="Q2638">_xlfn.TEXTJOIN("、",TRUE,IF('學員資料-三民高中'!$B$2:$B$454=$F2638,'學員資料-三民高中'!$G$2:$G$454,""))</f>
        <v>0970212588</v>
      </c>
      <c r="R2638" t="str" cm="1">
        <f t="array" ref="R2638">_xlfn.TEXTJOIN("、",TRUE,IF('學員資料-新北高中'!$B$2:$B$583=$F2638,'學員資料-新北高中'!$G$2:$G$583,""))</f>
        <v/>
      </c>
      <c r="S2638" t="str" cm="1">
        <f t="array" ref="S2638">_xlfn.TEXTJOIN("、",TRUE,IF('學員資料-三重商工'!$B$2:$B$472=$F2638,'學員資料-三重商工'!$G$2:$G$472,""))</f>
        <v/>
      </c>
      <c r="T2638">
        <f t="shared" si="41"/>
        <v>1</v>
      </c>
    </row>
    <row r="2639" spans="1:20" ht="14.25" hidden="1" customHeight="1">
      <c r="A2639" s="15">
        <v>2638</v>
      </c>
      <c r="B2639" s="16" t="s">
        <v>8167</v>
      </c>
      <c r="C2639" s="17">
        <v>45517</v>
      </c>
      <c r="D2639" s="15" t="s">
        <v>8168</v>
      </c>
      <c r="E2639" s="18" t="s">
        <v>954</v>
      </c>
      <c r="F2639" s="19" t="s">
        <v>8169</v>
      </c>
      <c r="G2639" s="18" t="s">
        <v>8170</v>
      </c>
      <c r="H2639" s="20" t="s">
        <v>5211</v>
      </c>
      <c r="I2639" s="15">
        <v>1</v>
      </c>
      <c r="J2639" s="15" t="s">
        <v>26</v>
      </c>
      <c r="K2639" s="15"/>
      <c r="L2639" s="21" t="s">
        <v>16</v>
      </c>
      <c r="M2639" s="22">
        <v>0</v>
      </c>
      <c r="N2639" s="22">
        <v>-1080</v>
      </c>
      <c r="O2639" s="22">
        <v>9720</v>
      </c>
      <c r="P2639" s="22">
        <v>9720</v>
      </c>
      <c r="Q2639" t="str" cm="1">
        <f t="array" ref="Q2639">_xlfn.TEXTJOIN("、",TRUE,IF('學員資料-三民高中'!$B$2:$B$454=$F2639,'學員資料-三民高中'!$G$2:$G$454,""))</f>
        <v/>
      </c>
      <c r="R2639" t="str" cm="1">
        <f t="array" ref="R2639">_xlfn.TEXTJOIN("、",TRUE,IF('學員資料-新北高中'!$B$2:$B$583=$F2639,'學員資料-新北高中'!$G$2:$G$583,""))</f>
        <v>0986793088</v>
      </c>
      <c r="S2639" t="str" cm="1">
        <f t="array" ref="S2639">_xlfn.TEXTJOIN("、",TRUE,IF('學員資料-三重商工'!$B$2:$B$472=$F2639,'學員資料-三重商工'!$G$2:$G$472,""))</f>
        <v/>
      </c>
      <c r="T2639">
        <f t="shared" si="41"/>
        <v>1</v>
      </c>
    </row>
    <row r="2640" spans="1:20" ht="14.25" hidden="1" customHeight="1">
      <c r="A2640" s="15">
        <v>2639</v>
      </c>
      <c r="B2640" s="16" t="s">
        <v>8171</v>
      </c>
      <c r="C2640" s="17">
        <v>45517</v>
      </c>
      <c r="D2640" s="15" t="s">
        <v>8172</v>
      </c>
      <c r="E2640" s="18" t="s">
        <v>954</v>
      </c>
      <c r="F2640" s="19" t="s">
        <v>8169</v>
      </c>
      <c r="G2640" s="18" t="s">
        <v>8170</v>
      </c>
      <c r="H2640" s="20" t="s">
        <v>5211</v>
      </c>
      <c r="I2640" s="15">
        <v>1</v>
      </c>
      <c r="J2640" s="15" t="s">
        <v>26</v>
      </c>
      <c r="K2640" s="15"/>
      <c r="L2640" s="21" t="s">
        <v>16</v>
      </c>
      <c r="M2640" s="22">
        <v>0</v>
      </c>
      <c r="N2640" s="22">
        <v>0</v>
      </c>
      <c r="O2640" s="22">
        <v>10800</v>
      </c>
      <c r="P2640" s="22">
        <v>10800</v>
      </c>
      <c r="Q2640" t="str" cm="1">
        <f t="array" ref="Q2640">_xlfn.TEXTJOIN("、",TRUE,IF('學員資料-三民高中'!$B$2:$B$454=$F2640,'學員資料-三民高中'!$G$2:$G$454,""))</f>
        <v/>
      </c>
      <c r="R2640" t="str" cm="1">
        <f t="array" ref="R2640">_xlfn.TEXTJOIN("、",TRUE,IF('學員資料-新北高中'!$B$2:$B$583=$F2640,'學員資料-新北高中'!$G$2:$G$583,""))</f>
        <v>0986793088</v>
      </c>
      <c r="S2640" t="str" cm="1">
        <f t="array" ref="S2640">_xlfn.TEXTJOIN("、",TRUE,IF('學員資料-三重商工'!$B$2:$B$472=$F2640,'學員資料-三重商工'!$G$2:$G$472,""))</f>
        <v/>
      </c>
      <c r="T2640">
        <f t="shared" si="41"/>
        <v>1</v>
      </c>
    </row>
    <row r="2641" spans="1:20" ht="14.25" hidden="1" customHeight="1">
      <c r="A2641" s="15">
        <v>2640</v>
      </c>
      <c r="B2641" s="16" t="s">
        <v>8173</v>
      </c>
      <c r="C2641" s="17">
        <v>45516</v>
      </c>
      <c r="D2641" s="15" t="s">
        <v>8174</v>
      </c>
      <c r="E2641" s="18" t="s">
        <v>954</v>
      </c>
      <c r="F2641" s="19" t="s">
        <v>8175</v>
      </c>
      <c r="G2641" s="18" t="s">
        <v>8176</v>
      </c>
      <c r="H2641" s="20" t="s">
        <v>5148</v>
      </c>
      <c r="I2641" s="15">
        <v>1</v>
      </c>
      <c r="J2641" s="15" t="s">
        <v>25</v>
      </c>
      <c r="K2641" s="15"/>
      <c r="L2641" s="21" t="s">
        <v>16</v>
      </c>
      <c r="M2641" s="22">
        <v>0</v>
      </c>
      <c r="N2641" s="22">
        <v>0</v>
      </c>
      <c r="O2641" s="22">
        <v>9000</v>
      </c>
      <c r="P2641" s="22">
        <v>9000</v>
      </c>
      <c r="Q2641" t="str" cm="1">
        <f t="array" ref="Q2641">_xlfn.TEXTJOIN("、",TRUE,IF('學員資料-三民高中'!$B$2:$B$454=$F2641,'學員資料-三民高中'!$G$2:$G$454,""))</f>
        <v/>
      </c>
      <c r="R2641" t="str" cm="1">
        <f t="array" ref="R2641">_xlfn.TEXTJOIN("、",TRUE,IF('學員資料-新北高中'!$B$2:$B$583=$F2641,'學員資料-新北高中'!$G$2:$G$583,""))</f>
        <v/>
      </c>
      <c r="S2641" t="str" cm="1">
        <f t="array" ref="S2641">_xlfn.TEXTJOIN("、",TRUE,IF('學員資料-三重商工'!$B$2:$B$472=$F2641,'學員資料-三重商工'!$G$2:$G$472,""))</f>
        <v>0910054776</v>
      </c>
      <c r="T2641">
        <f t="shared" si="41"/>
        <v>1</v>
      </c>
    </row>
    <row r="2642" spans="1:20" ht="28.5" hidden="1" customHeight="1">
      <c r="A2642" s="15">
        <v>2641</v>
      </c>
      <c r="B2642" s="16" t="s">
        <v>8177</v>
      </c>
      <c r="C2642" s="17">
        <v>45516</v>
      </c>
      <c r="D2642" s="15" t="s">
        <v>8178</v>
      </c>
      <c r="E2642" s="18" t="s">
        <v>3862</v>
      </c>
      <c r="F2642" s="19" t="s">
        <v>8179</v>
      </c>
      <c r="G2642" s="18" t="s">
        <v>8180</v>
      </c>
      <c r="H2642" s="20" t="s">
        <v>5206</v>
      </c>
      <c r="I2642" s="15">
        <v>2</v>
      </c>
      <c r="J2642" s="15" t="s">
        <v>23</v>
      </c>
      <c r="K2642" s="15"/>
      <c r="L2642" s="21" t="s">
        <v>16</v>
      </c>
      <c r="M2642" s="22">
        <v>0</v>
      </c>
      <c r="N2642" s="22">
        <v>-2640</v>
      </c>
      <c r="O2642" s="22">
        <v>23760</v>
      </c>
      <c r="P2642" s="22">
        <v>23760</v>
      </c>
      <c r="Q2642" t="str" cm="1">
        <f t="array" ref="Q2642">_xlfn.TEXTJOIN("、",TRUE,IF('學員資料-三民高中'!$B$2:$B$454=$F2642,'學員資料-三民高中'!$G$2:$G$454,""))</f>
        <v/>
      </c>
      <c r="R2642" t="str" cm="1">
        <f t="array" ref="R2642">_xlfn.TEXTJOIN("、",TRUE,IF('學員資料-新北高中'!$B$2:$B$583=$F2642,'學員資料-新北高中'!$G$2:$G$583,""))</f>
        <v/>
      </c>
      <c r="S2642" t="str" cm="1">
        <f t="array" ref="S2642">_xlfn.TEXTJOIN("、",TRUE,IF('學員資料-三重商工'!$B$2:$B$472=$F2642,'學員資料-三重商工'!$G$2:$G$472,""))</f>
        <v>0928828969</v>
      </c>
      <c r="T2642">
        <f t="shared" si="41"/>
        <v>1</v>
      </c>
    </row>
    <row r="2643" spans="1:20" ht="14.25" hidden="1" customHeight="1">
      <c r="A2643" s="15">
        <v>2642</v>
      </c>
      <c r="B2643" s="16" t="s">
        <v>8181</v>
      </c>
      <c r="C2643" s="17">
        <v>45516</v>
      </c>
      <c r="D2643" s="15" t="s">
        <v>8182</v>
      </c>
      <c r="E2643" s="18" t="s">
        <v>954</v>
      </c>
      <c r="F2643" s="19" t="s">
        <v>8179</v>
      </c>
      <c r="G2643" s="18" t="s">
        <v>8180</v>
      </c>
      <c r="H2643" s="20" t="s">
        <v>5163</v>
      </c>
      <c r="I2643" s="15">
        <v>1</v>
      </c>
      <c r="J2643" s="15" t="s">
        <v>23</v>
      </c>
      <c r="K2643" s="15"/>
      <c r="L2643" s="21" t="s">
        <v>16</v>
      </c>
      <c r="M2643" s="22">
        <v>0</v>
      </c>
      <c r="N2643" s="22">
        <v>-660</v>
      </c>
      <c r="O2643" s="22">
        <v>5940</v>
      </c>
      <c r="P2643" s="22">
        <v>5940</v>
      </c>
      <c r="Q2643" t="str" cm="1">
        <f t="array" ref="Q2643">_xlfn.TEXTJOIN("、",TRUE,IF('學員資料-三民高中'!$B$2:$B$454=$F2643,'學員資料-三民高中'!$G$2:$G$454,""))</f>
        <v/>
      </c>
      <c r="R2643" t="str" cm="1">
        <f t="array" ref="R2643">_xlfn.TEXTJOIN("、",TRUE,IF('學員資料-新北高中'!$B$2:$B$583=$F2643,'學員資料-新北高中'!$G$2:$G$583,""))</f>
        <v/>
      </c>
      <c r="S2643" t="str" cm="1">
        <f t="array" ref="S2643">_xlfn.TEXTJOIN("、",TRUE,IF('學員資料-三重商工'!$B$2:$B$472=$F2643,'學員資料-三重商工'!$G$2:$G$472,""))</f>
        <v>0928828969</v>
      </c>
      <c r="T2643">
        <f t="shared" si="41"/>
        <v>1</v>
      </c>
    </row>
    <row r="2644" spans="1:20" ht="14.25" hidden="1" customHeight="1">
      <c r="A2644" s="15">
        <v>2643</v>
      </c>
      <c r="B2644" s="16" t="s">
        <v>8183</v>
      </c>
      <c r="C2644" s="17">
        <v>45516</v>
      </c>
      <c r="D2644" s="15" t="s">
        <v>8184</v>
      </c>
      <c r="E2644" s="18" t="s">
        <v>954</v>
      </c>
      <c r="F2644" s="19" t="s">
        <v>8185</v>
      </c>
      <c r="G2644" s="18" t="s">
        <v>8186</v>
      </c>
      <c r="H2644" s="20" t="s">
        <v>5163</v>
      </c>
      <c r="I2644" s="15">
        <v>1</v>
      </c>
      <c r="J2644" s="15" t="s">
        <v>23</v>
      </c>
      <c r="K2644" s="15"/>
      <c r="L2644" s="21" t="s">
        <v>16</v>
      </c>
      <c r="M2644" s="22">
        <v>0</v>
      </c>
      <c r="N2644" s="22">
        <v>-2640</v>
      </c>
      <c r="O2644" s="22">
        <v>3960</v>
      </c>
      <c r="P2644" s="22">
        <v>3960</v>
      </c>
      <c r="Q2644" t="str" cm="1">
        <f t="array" ref="Q2644">_xlfn.TEXTJOIN("、",TRUE,IF('學員資料-三民高中'!$B$2:$B$454=$F2644,'學員資料-三民高中'!$G$2:$G$454,""))</f>
        <v/>
      </c>
      <c r="R2644" t="str" cm="1">
        <f t="array" ref="R2644">_xlfn.TEXTJOIN("、",TRUE,IF('學員資料-新北高中'!$B$2:$B$583=$F2644,'學員資料-新北高中'!$G$2:$G$583,""))</f>
        <v/>
      </c>
      <c r="S2644" t="str" cm="1">
        <f t="array" ref="S2644">_xlfn.TEXTJOIN("、",TRUE,IF('學員資料-三重商工'!$B$2:$B$472=$F2644,'學員資料-三重商工'!$G$2:$G$472,""))</f>
        <v>0988377443</v>
      </c>
      <c r="T2644">
        <f t="shared" si="41"/>
        <v>1</v>
      </c>
    </row>
    <row r="2645" spans="1:20" ht="28.5" hidden="1" customHeight="1">
      <c r="A2645" s="15">
        <v>2644</v>
      </c>
      <c r="B2645" s="16" t="s">
        <v>8187</v>
      </c>
      <c r="C2645" s="17">
        <v>45516</v>
      </c>
      <c r="D2645" s="15" t="s">
        <v>3938</v>
      </c>
      <c r="E2645" s="18" t="s">
        <v>954</v>
      </c>
      <c r="F2645" s="19" t="s">
        <v>8188</v>
      </c>
      <c r="G2645" s="18" t="s">
        <v>8189</v>
      </c>
      <c r="H2645" s="20" t="s">
        <v>5206</v>
      </c>
      <c r="I2645" s="15">
        <v>2</v>
      </c>
      <c r="J2645" s="15" t="s">
        <v>23</v>
      </c>
      <c r="K2645" s="15"/>
      <c r="L2645" s="21" t="s">
        <v>16</v>
      </c>
      <c r="M2645" s="22">
        <v>0</v>
      </c>
      <c r="N2645" s="22">
        <v>0</v>
      </c>
      <c r="O2645" s="22">
        <v>13200</v>
      </c>
      <c r="P2645" s="22">
        <v>13200</v>
      </c>
      <c r="Q2645" t="str" cm="1">
        <f t="array" ref="Q2645">_xlfn.TEXTJOIN("、",TRUE,IF('學員資料-三民高中'!$B$2:$B$454=$F2645,'學員資料-三民高中'!$G$2:$G$454,""))</f>
        <v/>
      </c>
      <c r="R2645" t="str" cm="1">
        <f t="array" ref="R2645">_xlfn.TEXTJOIN("、",TRUE,IF('學員資料-新北高中'!$B$2:$B$583=$F2645,'學員資料-新北高中'!$G$2:$G$583,""))</f>
        <v/>
      </c>
      <c r="S2645" t="str" cm="1">
        <f t="array" ref="S2645">_xlfn.TEXTJOIN("、",TRUE,IF('學員資料-三重商工'!$B$2:$B$472=$F2645,'學員資料-三重商工'!$G$2:$G$472,""))</f>
        <v>0965739936</v>
      </c>
      <c r="T2645">
        <f t="shared" si="41"/>
        <v>1</v>
      </c>
    </row>
    <row r="2646" spans="1:20" ht="28.5" hidden="1" customHeight="1">
      <c r="A2646" s="15">
        <v>2645</v>
      </c>
      <c r="B2646" s="16" t="s">
        <v>8190</v>
      </c>
      <c r="C2646" s="17">
        <v>45516</v>
      </c>
      <c r="D2646" s="15" t="s">
        <v>8191</v>
      </c>
      <c r="E2646" s="18" t="s">
        <v>954</v>
      </c>
      <c r="F2646" s="19" t="s">
        <v>8192</v>
      </c>
      <c r="G2646" s="18" t="s">
        <v>8193</v>
      </c>
      <c r="H2646" s="20" t="s">
        <v>5154</v>
      </c>
      <c r="I2646" s="15">
        <v>2</v>
      </c>
      <c r="J2646" s="15" t="s">
        <v>24</v>
      </c>
      <c r="K2646" s="15"/>
      <c r="L2646" s="21" t="s">
        <v>16</v>
      </c>
      <c r="M2646" s="22">
        <v>0</v>
      </c>
      <c r="N2646" s="22">
        <v>0</v>
      </c>
      <c r="O2646" s="22">
        <v>14400</v>
      </c>
      <c r="P2646" s="22">
        <v>14400</v>
      </c>
      <c r="Q2646" t="str" cm="1">
        <f t="array" ref="Q2646">_xlfn.TEXTJOIN("、",TRUE,IF('學員資料-三民高中'!$B$2:$B$454=$F2646,'學員資料-三民高中'!$G$2:$G$454,""))</f>
        <v/>
      </c>
      <c r="R2646" t="str" cm="1">
        <f t="array" ref="R2646">_xlfn.TEXTJOIN("、",TRUE,IF('學員資料-新北高中'!$B$2:$B$583=$F2646,'學員資料-新北高中'!$G$2:$G$583,""))</f>
        <v>0975178106</v>
      </c>
      <c r="S2646" t="str" cm="1">
        <f t="array" ref="S2646">_xlfn.TEXTJOIN("、",TRUE,IF('學員資料-三重商工'!$B$2:$B$472=$F2646,'學員資料-三重商工'!$G$2:$G$472,""))</f>
        <v/>
      </c>
      <c r="T2646">
        <f t="shared" si="41"/>
        <v>1</v>
      </c>
    </row>
    <row r="2647" spans="1:20" ht="14.25" hidden="1" customHeight="1">
      <c r="A2647" s="15">
        <v>2646</v>
      </c>
      <c r="B2647" s="16" t="s">
        <v>8194</v>
      </c>
      <c r="C2647" s="17">
        <v>45516</v>
      </c>
      <c r="D2647" s="15" t="s">
        <v>8195</v>
      </c>
      <c r="E2647" s="18" t="s">
        <v>954</v>
      </c>
      <c r="F2647" s="19" t="s">
        <v>8192</v>
      </c>
      <c r="G2647" s="18" t="s">
        <v>8193</v>
      </c>
      <c r="H2647" s="20" t="s">
        <v>5131</v>
      </c>
      <c r="I2647" s="15">
        <v>1</v>
      </c>
      <c r="J2647" s="15" t="s">
        <v>24</v>
      </c>
      <c r="K2647" s="15"/>
      <c r="L2647" s="21" t="s">
        <v>16</v>
      </c>
      <c r="M2647" s="22">
        <v>0</v>
      </c>
      <c r="N2647" s="22">
        <v>0</v>
      </c>
      <c r="O2647" s="22">
        <v>7200</v>
      </c>
      <c r="P2647" s="22">
        <v>7200</v>
      </c>
      <c r="Q2647" t="str" cm="1">
        <f t="array" ref="Q2647">_xlfn.TEXTJOIN("、",TRUE,IF('學員資料-三民高中'!$B$2:$B$454=$F2647,'學員資料-三民高中'!$G$2:$G$454,""))</f>
        <v/>
      </c>
      <c r="R2647" t="str" cm="1">
        <f t="array" ref="R2647">_xlfn.TEXTJOIN("、",TRUE,IF('學員資料-新北高中'!$B$2:$B$583=$F2647,'學員資料-新北高中'!$G$2:$G$583,""))</f>
        <v>0975178106</v>
      </c>
      <c r="S2647" t="str" cm="1">
        <f t="array" ref="S2647">_xlfn.TEXTJOIN("、",TRUE,IF('學員資料-三重商工'!$B$2:$B$472=$F2647,'學員資料-三重商工'!$G$2:$G$472,""))</f>
        <v/>
      </c>
      <c r="T2647">
        <f t="shared" si="41"/>
        <v>1</v>
      </c>
    </row>
    <row r="2648" spans="1:20" ht="14.25" hidden="1" customHeight="1">
      <c r="A2648" s="15">
        <v>2647</v>
      </c>
      <c r="B2648" s="16" t="s">
        <v>8196</v>
      </c>
      <c r="C2648" s="17">
        <v>45516</v>
      </c>
      <c r="D2648" s="15" t="s">
        <v>8197</v>
      </c>
      <c r="E2648" s="18" t="s">
        <v>954</v>
      </c>
      <c r="F2648" s="19" t="s">
        <v>7879</v>
      </c>
      <c r="G2648" s="18" t="s">
        <v>7880</v>
      </c>
      <c r="H2648" s="20" t="s">
        <v>683</v>
      </c>
      <c r="I2648" s="15">
        <v>1</v>
      </c>
      <c r="J2648" s="15" t="s">
        <v>23</v>
      </c>
      <c r="K2648" s="15"/>
      <c r="L2648" s="21" t="s">
        <v>16</v>
      </c>
      <c r="M2648" s="22">
        <v>0</v>
      </c>
      <c r="N2648" s="22">
        <v>-1080</v>
      </c>
      <c r="O2648" s="22">
        <v>7920</v>
      </c>
      <c r="P2648" s="22">
        <v>7920</v>
      </c>
      <c r="Q2648" t="str" cm="1">
        <f t="array" ref="Q2648">_xlfn.TEXTJOIN("、",TRUE,IF('學員資料-三民高中'!$B$2:$B$454=$F2648,'學員資料-三民高中'!$G$2:$G$454,""))</f>
        <v/>
      </c>
      <c r="R2648" t="str" cm="1">
        <f t="array" ref="R2648">_xlfn.TEXTJOIN("、",TRUE,IF('學員資料-新北高中'!$B$2:$B$583=$F2648,'學員資料-新北高中'!$G$2:$G$583,""))</f>
        <v>0913530325</v>
      </c>
      <c r="S2648" t="str" cm="1">
        <f t="array" ref="S2648">_xlfn.TEXTJOIN("、",TRUE,IF('學員資料-三重商工'!$B$2:$B$472=$F2648,'學員資料-三重商工'!$G$2:$G$472,""))</f>
        <v/>
      </c>
      <c r="T2648">
        <f t="shared" si="41"/>
        <v>1</v>
      </c>
    </row>
    <row r="2649" spans="1:20" ht="72" hidden="1" customHeight="1">
      <c r="A2649" s="15">
        <v>2648</v>
      </c>
      <c r="B2649" s="16" t="s">
        <v>8198</v>
      </c>
      <c r="C2649" s="17">
        <v>45516</v>
      </c>
      <c r="D2649" s="15" t="s">
        <v>8199</v>
      </c>
      <c r="E2649" s="18" t="s">
        <v>954</v>
      </c>
      <c r="F2649" s="19" t="s">
        <v>7270</v>
      </c>
      <c r="G2649" s="18" t="s">
        <v>7271</v>
      </c>
      <c r="H2649" s="20" t="s">
        <v>3393</v>
      </c>
      <c r="I2649" s="15">
        <v>5</v>
      </c>
      <c r="J2649" s="15" t="s">
        <v>24</v>
      </c>
      <c r="K2649" s="15"/>
      <c r="L2649" s="21" t="s">
        <v>16</v>
      </c>
      <c r="M2649" s="22">
        <v>0</v>
      </c>
      <c r="N2649" s="22">
        <v>-8100</v>
      </c>
      <c r="O2649" s="22">
        <v>45900</v>
      </c>
      <c r="P2649" s="22">
        <v>45900</v>
      </c>
      <c r="Q2649" t="str" cm="1">
        <f t="array" ref="Q2649">_xlfn.TEXTJOIN("、",TRUE,IF('學員資料-三民高中'!$B$2:$B$454=$F2649,'學員資料-三民高中'!$G$2:$G$454,""))</f>
        <v/>
      </c>
      <c r="R2649" t="str" cm="1">
        <f t="array" ref="R2649">_xlfn.TEXTJOIN("、",TRUE,IF('學員資料-新北高中'!$B$2:$B$583=$F2649,'學員資料-新北高中'!$G$2:$G$583,""))</f>
        <v>0917111777</v>
      </c>
      <c r="S2649" t="str" cm="1">
        <f t="array" ref="S2649">_xlfn.TEXTJOIN("、",TRUE,IF('學員資料-三重商工'!$B$2:$B$472=$F2649,'學員資料-三重商工'!$G$2:$G$472,""))</f>
        <v/>
      </c>
      <c r="T2649">
        <f t="shared" si="41"/>
        <v>1</v>
      </c>
    </row>
    <row r="2650" spans="1:20" ht="14.25" hidden="1" customHeight="1">
      <c r="A2650" s="15">
        <v>2649</v>
      </c>
      <c r="B2650" s="16" t="s">
        <v>8200</v>
      </c>
      <c r="C2650" s="17">
        <v>45516</v>
      </c>
      <c r="D2650" s="15" t="s">
        <v>8201</v>
      </c>
      <c r="E2650" s="18" t="s">
        <v>954</v>
      </c>
      <c r="F2650" s="19" t="s">
        <v>1450</v>
      </c>
      <c r="G2650" s="18" t="s">
        <v>1451</v>
      </c>
      <c r="H2650" s="20" t="s">
        <v>5163</v>
      </c>
      <c r="I2650" s="15">
        <v>1</v>
      </c>
      <c r="J2650" s="15" t="s">
        <v>23</v>
      </c>
      <c r="K2650" s="15"/>
      <c r="L2650" s="21" t="s">
        <v>16</v>
      </c>
      <c r="M2650" s="22">
        <v>0</v>
      </c>
      <c r="N2650" s="22">
        <v>0</v>
      </c>
      <c r="O2650" s="22">
        <v>6600</v>
      </c>
      <c r="P2650" s="22">
        <v>6600</v>
      </c>
      <c r="Q2650" t="str" cm="1">
        <f t="array" ref="Q2650">_xlfn.TEXTJOIN("、",TRUE,IF('學員資料-三民高中'!$B$2:$B$454=$F2650,'學員資料-三民高中'!$G$2:$G$454,""))</f>
        <v>0930941302</v>
      </c>
      <c r="R2650" t="str" cm="1">
        <f t="array" ref="R2650">_xlfn.TEXTJOIN("、",TRUE,IF('學員資料-新北高中'!$B$2:$B$583=$F2650,'學員資料-新北高中'!$G$2:$G$583,""))</f>
        <v/>
      </c>
      <c r="S2650" t="str" cm="1">
        <f t="array" ref="S2650">_xlfn.TEXTJOIN("、",TRUE,IF('學員資料-三重商工'!$B$2:$B$472=$F2650,'學員資料-三重商工'!$G$2:$G$472,""))</f>
        <v/>
      </c>
      <c r="T2650">
        <f t="shared" si="41"/>
        <v>1</v>
      </c>
    </row>
    <row r="2651" spans="1:20" ht="14.25" hidden="1" customHeight="1">
      <c r="A2651" s="15">
        <v>2650</v>
      </c>
      <c r="B2651" s="16" t="s">
        <v>8202</v>
      </c>
      <c r="C2651" s="17">
        <v>45516</v>
      </c>
      <c r="D2651" s="15" t="s">
        <v>8203</v>
      </c>
      <c r="E2651" s="18" t="s">
        <v>954</v>
      </c>
      <c r="F2651" s="19" t="s">
        <v>6445</v>
      </c>
      <c r="G2651" s="18" t="s">
        <v>6446</v>
      </c>
      <c r="H2651" s="20" t="s">
        <v>5131</v>
      </c>
      <c r="I2651" s="15">
        <v>1</v>
      </c>
      <c r="J2651" s="15" t="s">
        <v>24</v>
      </c>
      <c r="K2651" s="15"/>
      <c r="L2651" s="21" t="s">
        <v>16</v>
      </c>
      <c r="M2651" s="22">
        <v>0</v>
      </c>
      <c r="N2651" s="22">
        <v>0</v>
      </c>
      <c r="O2651" s="22">
        <v>7200</v>
      </c>
      <c r="P2651" s="22">
        <v>7200</v>
      </c>
      <c r="Q2651" t="str" cm="1">
        <f t="array" ref="Q2651">_xlfn.TEXTJOIN("、",TRUE,IF('學員資料-三民高中'!$B$2:$B$454=$F2651,'學員資料-三民高中'!$G$2:$G$454,""))</f>
        <v>0905580274-1</v>
      </c>
      <c r="R2651" t="str" cm="1">
        <f t="array" ref="R2651">_xlfn.TEXTJOIN("、",TRUE,IF('學員資料-新北高中'!$B$2:$B$583=$F2651,'學員資料-新北高中'!$G$2:$G$583,""))</f>
        <v/>
      </c>
      <c r="S2651" t="str" cm="1">
        <f t="array" ref="S2651">_xlfn.TEXTJOIN("、",TRUE,IF('學員資料-三重商工'!$B$2:$B$472=$F2651,'學員資料-三重商工'!$G$2:$G$472,""))</f>
        <v/>
      </c>
      <c r="T2651">
        <f t="shared" si="41"/>
        <v>1</v>
      </c>
    </row>
    <row r="2652" spans="1:20" ht="14.25" hidden="1" customHeight="1">
      <c r="A2652" s="15">
        <v>2651</v>
      </c>
      <c r="B2652" s="16" t="s">
        <v>8204</v>
      </c>
      <c r="C2652" s="17">
        <v>45516</v>
      </c>
      <c r="D2652" s="15" t="s">
        <v>8205</v>
      </c>
      <c r="E2652" s="18" t="s">
        <v>954</v>
      </c>
      <c r="F2652" s="19" t="s">
        <v>4125</v>
      </c>
      <c r="G2652" s="18" t="s">
        <v>4126</v>
      </c>
      <c r="H2652" s="20" t="s">
        <v>5131</v>
      </c>
      <c r="I2652" s="15">
        <v>1</v>
      </c>
      <c r="J2652" s="15" t="s">
        <v>24</v>
      </c>
      <c r="K2652" s="15"/>
      <c r="L2652" s="21" t="s">
        <v>16</v>
      </c>
      <c r="M2652" s="22">
        <v>0</v>
      </c>
      <c r="N2652" s="22">
        <v>-720</v>
      </c>
      <c r="O2652" s="22">
        <v>6480</v>
      </c>
      <c r="P2652" s="22">
        <v>6480</v>
      </c>
      <c r="Q2652" t="str" cm="1">
        <f t="array" ref="Q2652">_xlfn.TEXTJOIN("、",TRUE,IF('學員資料-三民高中'!$B$2:$B$454=$F2652,'學員資料-三民高中'!$G$2:$G$454,""))</f>
        <v>0910315336-1</v>
      </c>
      <c r="R2652" t="str" cm="1">
        <f t="array" ref="R2652">_xlfn.TEXTJOIN("、",TRUE,IF('學員資料-新北高中'!$B$2:$B$583=$F2652,'學員資料-新北高中'!$G$2:$G$583,""))</f>
        <v/>
      </c>
      <c r="S2652" t="str" cm="1">
        <f t="array" ref="S2652">_xlfn.TEXTJOIN("、",TRUE,IF('學員資料-三重商工'!$B$2:$B$472=$F2652,'學員資料-三重商工'!$G$2:$G$472,""))</f>
        <v/>
      </c>
      <c r="T2652">
        <f t="shared" si="41"/>
        <v>1</v>
      </c>
    </row>
    <row r="2653" spans="1:20" ht="14.25" customHeight="1">
      <c r="A2653" s="15">
        <v>2652</v>
      </c>
      <c r="B2653" s="16" t="s">
        <v>8206</v>
      </c>
      <c r="C2653" s="17">
        <v>45516</v>
      </c>
      <c r="D2653" s="15" t="s">
        <v>8207</v>
      </c>
      <c r="E2653" s="18" t="s">
        <v>954</v>
      </c>
      <c r="F2653" s="19"/>
      <c r="G2653" s="23" t="s">
        <v>439</v>
      </c>
      <c r="H2653" s="20" t="s">
        <v>5163</v>
      </c>
      <c r="I2653" s="15">
        <v>1</v>
      </c>
      <c r="J2653" s="15" t="s">
        <v>23</v>
      </c>
      <c r="K2653" s="15"/>
      <c r="L2653" s="21" t="s">
        <v>16</v>
      </c>
      <c r="M2653" s="22">
        <v>0</v>
      </c>
      <c r="N2653" s="22">
        <v>0</v>
      </c>
      <c r="O2653" s="22">
        <v>6600</v>
      </c>
      <c r="P2653" s="22">
        <v>6600</v>
      </c>
      <c r="Q2653" t="str" cm="1">
        <f t="array" ref="Q2653">_xlfn.TEXTJOIN("、",TRUE,IF('學員資料-三民高中'!$B$2:$B$454=$F2653,'學員資料-三民高中'!$G$2:$G$454,""))</f>
        <v/>
      </c>
      <c r="R2653" t="str" cm="1">
        <f t="array" ref="R2653">_xlfn.TEXTJOIN("、",TRUE,IF('學員資料-新北高中'!$B$2:$B$583=$F2653,'學員資料-新北高中'!$G$2:$G$583,""))</f>
        <v/>
      </c>
      <c r="S2653" t="str" cm="1">
        <f t="array" ref="S2653">_xlfn.TEXTJOIN("、",TRUE,IF('學員資料-三重商工'!$B$2:$B$472=$F2653,'學員資料-三重商工'!$G$2:$G$472,""))</f>
        <v/>
      </c>
      <c r="T2653">
        <f t="shared" si="41"/>
        <v>0</v>
      </c>
    </row>
    <row r="2654" spans="1:20" ht="14.25" hidden="1" customHeight="1">
      <c r="A2654" s="15">
        <v>2653</v>
      </c>
      <c r="B2654" s="16" t="s">
        <v>8208</v>
      </c>
      <c r="C2654" s="17">
        <v>45516</v>
      </c>
      <c r="D2654" s="15" t="s">
        <v>8209</v>
      </c>
      <c r="E2654" s="18" t="s">
        <v>954</v>
      </c>
      <c r="F2654" s="19" t="s">
        <v>3329</v>
      </c>
      <c r="G2654" s="18" t="s">
        <v>3330</v>
      </c>
      <c r="H2654" s="20" t="s">
        <v>5131</v>
      </c>
      <c r="I2654" s="15">
        <v>1</v>
      </c>
      <c r="J2654" s="15" t="s">
        <v>24</v>
      </c>
      <c r="K2654" s="15"/>
      <c r="L2654" s="21" t="s">
        <v>16</v>
      </c>
      <c r="M2654" s="22">
        <v>0</v>
      </c>
      <c r="N2654" s="22">
        <v>0</v>
      </c>
      <c r="O2654" s="22">
        <v>7200</v>
      </c>
      <c r="P2654" s="22">
        <v>7200</v>
      </c>
      <c r="Q2654" t="str" cm="1">
        <f t="array" ref="Q2654">_xlfn.TEXTJOIN("、",TRUE,IF('學員資料-三民高中'!$B$2:$B$454=$F2654,'學員資料-三民高中'!$G$2:$G$454,""))</f>
        <v>0903915039</v>
      </c>
      <c r="R2654" t="str" cm="1">
        <f t="array" ref="R2654">_xlfn.TEXTJOIN("、",TRUE,IF('學員資料-新北高中'!$B$2:$B$583=$F2654,'學員資料-新北高中'!$G$2:$G$583,""))</f>
        <v/>
      </c>
      <c r="S2654" t="str" cm="1">
        <f t="array" ref="S2654">_xlfn.TEXTJOIN("、",TRUE,IF('學員資料-三重商工'!$B$2:$B$472=$F2654,'學員資料-三重商工'!$G$2:$G$472,""))</f>
        <v/>
      </c>
      <c r="T2654">
        <f t="shared" si="41"/>
        <v>1</v>
      </c>
    </row>
    <row r="2655" spans="1:20" ht="14.25" hidden="1" customHeight="1">
      <c r="A2655" s="15">
        <v>2654</v>
      </c>
      <c r="B2655" s="16" t="s">
        <v>8210</v>
      </c>
      <c r="C2655" s="17">
        <v>45516</v>
      </c>
      <c r="D2655" s="15" t="s">
        <v>8143</v>
      </c>
      <c r="E2655" s="18" t="s">
        <v>954</v>
      </c>
      <c r="F2655" s="19" t="s">
        <v>8211</v>
      </c>
      <c r="G2655" s="18" t="s">
        <v>8212</v>
      </c>
      <c r="H2655" s="20" t="s">
        <v>5131</v>
      </c>
      <c r="I2655" s="15">
        <v>1</v>
      </c>
      <c r="J2655" s="15" t="s">
        <v>24</v>
      </c>
      <c r="K2655" s="15"/>
      <c r="L2655" s="21" t="s">
        <v>16</v>
      </c>
      <c r="M2655" s="22">
        <v>0</v>
      </c>
      <c r="N2655" s="22">
        <v>-1080</v>
      </c>
      <c r="O2655" s="22">
        <v>6120</v>
      </c>
      <c r="P2655" s="22">
        <v>6120</v>
      </c>
      <c r="Q2655" t="str" cm="1">
        <f t="array" ref="Q2655">_xlfn.TEXTJOIN("、",TRUE,IF('學員資料-三民高中'!$B$2:$B$454=$F2655,'學員資料-三民高中'!$G$2:$G$454,""))</f>
        <v/>
      </c>
      <c r="R2655" t="str" cm="1">
        <f t="array" ref="R2655">_xlfn.TEXTJOIN("、",TRUE,IF('學員資料-新北高中'!$B$2:$B$583=$F2655,'學員資料-新北高中'!$G$2:$G$583,""))</f>
        <v>0936247558</v>
      </c>
      <c r="S2655" t="str" cm="1">
        <f t="array" ref="S2655">_xlfn.TEXTJOIN("、",TRUE,IF('學員資料-三重商工'!$B$2:$B$472=$F2655,'學員資料-三重商工'!$G$2:$G$472,""))</f>
        <v/>
      </c>
      <c r="T2655">
        <f t="shared" si="41"/>
        <v>1</v>
      </c>
    </row>
    <row r="2656" spans="1:20" ht="14.25" hidden="1" customHeight="1">
      <c r="A2656" s="15">
        <v>2655</v>
      </c>
      <c r="B2656" s="16" t="s">
        <v>8213</v>
      </c>
      <c r="C2656" s="17">
        <v>45516</v>
      </c>
      <c r="D2656" s="15" t="s">
        <v>8214</v>
      </c>
      <c r="E2656" s="18" t="s">
        <v>954</v>
      </c>
      <c r="F2656" s="19" t="s">
        <v>8215</v>
      </c>
      <c r="G2656" s="18" t="s">
        <v>1358</v>
      </c>
      <c r="H2656" s="20" t="s">
        <v>5131</v>
      </c>
      <c r="I2656" s="15">
        <v>1</v>
      </c>
      <c r="J2656" s="15" t="s">
        <v>24</v>
      </c>
      <c r="K2656" s="15"/>
      <c r="L2656" s="21" t="s">
        <v>16</v>
      </c>
      <c r="M2656" s="22">
        <v>0</v>
      </c>
      <c r="N2656" s="22">
        <v>-720</v>
      </c>
      <c r="O2656" s="22">
        <v>6480</v>
      </c>
      <c r="P2656" s="22">
        <v>6480</v>
      </c>
      <c r="Q2656" t="str" cm="1">
        <f t="array" ref="Q2656">_xlfn.TEXTJOIN("、",TRUE,IF('學員資料-三民高中'!$B$2:$B$454=$F2656,'學員資料-三民高中'!$G$2:$G$454,""))</f>
        <v/>
      </c>
      <c r="R2656" t="str" cm="1">
        <f t="array" ref="R2656">_xlfn.TEXTJOIN("、",TRUE,IF('學員資料-新北高中'!$B$2:$B$583=$F2656,'學員資料-新北高中'!$G$2:$G$583,""))</f>
        <v>0962076541</v>
      </c>
      <c r="S2656" t="str" cm="1">
        <f t="array" ref="S2656">_xlfn.TEXTJOIN("、",TRUE,IF('學員資料-三重商工'!$B$2:$B$472=$F2656,'學員資料-三重商工'!$G$2:$G$472,""))</f>
        <v/>
      </c>
      <c r="T2656">
        <f t="shared" si="41"/>
        <v>1</v>
      </c>
    </row>
    <row r="2657" spans="1:20" ht="14.25" hidden="1" customHeight="1">
      <c r="A2657" s="15">
        <v>2656</v>
      </c>
      <c r="B2657" s="16" t="s">
        <v>8216</v>
      </c>
      <c r="C2657" s="17">
        <v>45516</v>
      </c>
      <c r="D2657" s="15" t="s">
        <v>8217</v>
      </c>
      <c r="E2657" s="18" t="s">
        <v>954</v>
      </c>
      <c r="F2657" s="19" t="s">
        <v>2036</v>
      </c>
      <c r="G2657" s="18" t="s">
        <v>2037</v>
      </c>
      <c r="H2657" s="20" t="s">
        <v>5131</v>
      </c>
      <c r="I2657" s="15">
        <v>1</v>
      </c>
      <c r="J2657" s="15" t="s">
        <v>24</v>
      </c>
      <c r="K2657" s="15"/>
      <c r="L2657" s="21" t="s">
        <v>16</v>
      </c>
      <c r="M2657" s="22">
        <v>0</v>
      </c>
      <c r="N2657" s="22">
        <v>0</v>
      </c>
      <c r="O2657" s="22">
        <v>7200</v>
      </c>
      <c r="P2657" s="22">
        <v>7200</v>
      </c>
      <c r="Q2657" t="str" cm="1">
        <f t="array" ref="Q2657">_xlfn.TEXTJOIN("、",TRUE,IF('學員資料-三民高中'!$B$2:$B$454=$F2657,'學員資料-三民高中'!$G$2:$G$454,""))</f>
        <v/>
      </c>
      <c r="R2657" t="str" cm="1">
        <f t="array" ref="R2657">_xlfn.TEXTJOIN("、",TRUE,IF('學員資料-新北高中'!$B$2:$B$583=$F2657,'學員資料-新北高中'!$G$2:$G$583,""))</f>
        <v>0937512688</v>
      </c>
      <c r="S2657" t="str" cm="1">
        <f t="array" ref="S2657">_xlfn.TEXTJOIN("、",TRUE,IF('學員資料-三重商工'!$B$2:$B$472=$F2657,'學員資料-三重商工'!$G$2:$G$472,""))</f>
        <v/>
      </c>
      <c r="T2657">
        <f t="shared" si="41"/>
        <v>1</v>
      </c>
    </row>
    <row r="2658" spans="1:20" ht="14.25" hidden="1" customHeight="1">
      <c r="A2658" s="15">
        <v>2657</v>
      </c>
      <c r="B2658" s="16" t="s">
        <v>8218</v>
      </c>
      <c r="C2658" s="17">
        <v>45516</v>
      </c>
      <c r="D2658" s="15" t="s">
        <v>8219</v>
      </c>
      <c r="E2658" s="18" t="s">
        <v>954</v>
      </c>
      <c r="F2658" s="19" t="s">
        <v>8220</v>
      </c>
      <c r="G2658" s="18" t="s">
        <v>8221</v>
      </c>
      <c r="H2658" s="20" t="s">
        <v>5246</v>
      </c>
      <c r="I2658" s="15">
        <v>1</v>
      </c>
      <c r="J2658" s="15" t="s">
        <v>23</v>
      </c>
      <c r="K2658" s="15"/>
      <c r="L2658" s="21" t="s">
        <v>16</v>
      </c>
      <c r="M2658" s="22">
        <v>0</v>
      </c>
      <c r="N2658" s="22">
        <v>0</v>
      </c>
      <c r="O2658" s="22">
        <v>7200</v>
      </c>
      <c r="P2658" s="22">
        <v>7200</v>
      </c>
      <c r="Q2658" t="str" cm="1">
        <f t="array" ref="Q2658">_xlfn.TEXTJOIN("、",TRUE,IF('學員資料-三民高中'!$B$2:$B$454=$F2658,'學員資料-三民高中'!$G$2:$G$454,""))</f>
        <v>0922833082</v>
      </c>
      <c r="R2658" t="str" cm="1">
        <f t="array" ref="R2658">_xlfn.TEXTJOIN("、",TRUE,IF('學員資料-新北高中'!$B$2:$B$583=$F2658,'學員資料-新北高中'!$G$2:$G$583,""))</f>
        <v/>
      </c>
      <c r="S2658" t="str" cm="1">
        <f t="array" ref="S2658">_xlfn.TEXTJOIN("、",TRUE,IF('學員資料-三重商工'!$B$2:$B$472=$F2658,'學員資料-三重商工'!$G$2:$G$472,""))</f>
        <v/>
      </c>
      <c r="T2658">
        <f t="shared" si="41"/>
        <v>1</v>
      </c>
    </row>
    <row r="2659" spans="1:20" ht="14.25" hidden="1" customHeight="1">
      <c r="A2659" s="15">
        <v>2658</v>
      </c>
      <c r="B2659" s="16" t="s">
        <v>8222</v>
      </c>
      <c r="C2659" s="17">
        <v>45516</v>
      </c>
      <c r="D2659" s="15" t="s">
        <v>8223</v>
      </c>
      <c r="E2659" s="18" t="s">
        <v>954</v>
      </c>
      <c r="F2659" s="19" t="s">
        <v>8224</v>
      </c>
      <c r="G2659" s="18" t="s">
        <v>8225</v>
      </c>
      <c r="H2659" s="20" t="s">
        <v>5246</v>
      </c>
      <c r="I2659" s="15">
        <v>1</v>
      </c>
      <c r="J2659" s="15" t="s">
        <v>23</v>
      </c>
      <c r="K2659" s="15"/>
      <c r="L2659" s="21" t="s">
        <v>16</v>
      </c>
      <c r="M2659" s="22">
        <v>0</v>
      </c>
      <c r="N2659" s="22">
        <v>0</v>
      </c>
      <c r="O2659" s="22">
        <v>7200</v>
      </c>
      <c r="P2659" s="22">
        <v>7200</v>
      </c>
      <c r="Q2659" t="str" cm="1">
        <f t="array" ref="Q2659">_xlfn.TEXTJOIN("、",TRUE,IF('學員資料-三民高中'!$B$2:$B$454=$F2659,'學員資料-三民高中'!$G$2:$G$454,""))</f>
        <v>0938592509</v>
      </c>
      <c r="R2659" t="str" cm="1">
        <f t="array" ref="R2659">_xlfn.TEXTJOIN("、",TRUE,IF('學員資料-新北高中'!$B$2:$B$583=$F2659,'學員資料-新北高中'!$G$2:$G$583,""))</f>
        <v/>
      </c>
      <c r="S2659" t="str" cm="1">
        <f t="array" ref="S2659">_xlfn.TEXTJOIN("、",TRUE,IF('學員資料-三重商工'!$B$2:$B$472=$F2659,'學員資料-三重商工'!$G$2:$G$472,""))</f>
        <v/>
      </c>
      <c r="T2659">
        <f t="shared" si="41"/>
        <v>1</v>
      </c>
    </row>
    <row r="2660" spans="1:20" ht="43.5" hidden="1" customHeight="1">
      <c r="A2660" s="15">
        <v>2659</v>
      </c>
      <c r="B2660" s="16" t="s">
        <v>8226</v>
      </c>
      <c r="C2660" s="17">
        <v>45516</v>
      </c>
      <c r="D2660" s="15" t="s">
        <v>8227</v>
      </c>
      <c r="E2660" s="18" t="s">
        <v>954</v>
      </c>
      <c r="F2660" s="19" t="s">
        <v>8228</v>
      </c>
      <c r="G2660" s="18" t="s">
        <v>8229</v>
      </c>
      <c r="H2660" s="20" t="s">
        <v>5394</v>
      </c>
      <c r="I2660" s="15">
        <v>3</v>
      </c>
      <c r="J2660" s="15" t="s">
        <v>23</v>
      </c>
      <c r="K2660" s="15"/>
      <c r="L2660" s="21" t="s">
        <v>16</v>
      </c>
      <c r="M2660" s="22">
        <v>0</v>
      </c>
      <c r="N2660" s="22">
        <v>-2160</v>
      </c>
      <c r="O2660" s="22">
        <v>19440</v>
      </c>
      <c r="P2660" s="22">
        <v>19440</v>
      </c>
      <c r="Q2660" t="str" cm="1">
        <f t="array" ref="Q2660">_xlfn.TEXTJOIN("、",TRUE,IF('學員資料-三民高中'!$B$2:$B$454=$F2660,'學員資料-三民高中'!$G$2:$G$454,""))</f>
        <v>0922012332</v>
      </c>
      <c r="R2660" t="str" cm="1">
        <f t="array" ref="R2660">_xlfn.TEXTJOIN("、",TRUE,IF('學員資料-新北高中'!$B$2:$B$583=$F2660,'學員資料-新北高中'!$G$2:$G$583,""))</f>
        <v/>
      </c>
      <c r="S2660" t="str" cm="1">
        <f t="array" ref="S2660">_xlfn.TEXTJOIN("、",TRUE,IF('學員資料-三重商工'!$B$2:$B$472=$F2660,'學員資料-三重商工'!$G$2:$G$472,""))</f>
        <v/>
      </c>
      <c r="T2660">
        <f t="shared" si="41"/>
        <v>1</v>
      </c>
    </row>
    <row r="2661" spans="1:20" ht="14.25" hidden="1" customHeight="1">
      <c r="A2661" s="15">
        <v>2660</v>
      </c>
      <c r="B2661" s="16" t="s">
        <v>8230</v>
      </c>
      <c r="C2661" s="17">
        <v>45516</v>
      </c>
      <c r="D2661" s="15" t="s">
        <v>8231</v>
      </c>
      <c r="E2661" s="18" t="s">
        <v>954</v>
      </c>
      <c r="F2661" s="19" t="s">
        <v>8232</v>
      </c>
      <c r="G2661" s="18" t="s">
        <v>8233</v>
      </c>
      <c r="H2661" s="20" t="s">
        <v>5246</v>
      </c>
      <c r="I2661" s="15">
        <v>1</v>
      </c>
      <c r="J2661" s="15" t="s">
        <v>23</v>
      </c>
      <c r="K2661" s="15"/>
      <c r="L2661" s="21" t="s">
        <v>16</v>
      </c>
      <c r="M2661" s="22">
        <v>0</v>
      </c>
      <c r="N2661" s="22">
        <v>-2880</v>
      </c>
      <c r="O2661" s="22">
        <v>4320</v>
      </c>
      <c r="P2661" s="22">
        <v>4320</v>
      </c>
      <c r="Q2661" t="str" cm="1">
        <f t="array" ref="Q2661">_xlfn.TEXTJOIN("、",TRUE,IF('學員資料-三民高中'!$B$2:$B$454=$F2661,'學員資料-三民高中'!$G$2:$G$454,""))</f>
        <v>0920663024</v>
      </c>
      <c r="R2661" t="str" cm="1">
        <f t="array" ref="R2661">_xlfn.TEXTJOIN("、",TRUE,IF('學員資料-新北高中'!$B$2:$B$583=$F2661,'學員資料-新北高中'!$G$2:$G$583,""))</f>
        <v/>
      </c>
      <c r="S2661" t="str" cm="1">
        <f t="array" ref="S2661">_xlfn.TEXTJOIN("、",TRUE,IF('學員資料-三重商工'!$B$2:$B$472=$F2661,'學員資料-三重商工'!$G$2:$G$472,""))</f>
        <v/>
      </c>
      <c r="T2661">
        <f t="shared" si="41"/>
        <v>1</v>
      </c>
    </row>
    <row r="2662" spans="1:20" ht="14.25" hidden="1" customHeight="1">
      <c r="A2662" s="15">
        <v>2661</v>
      </c>
      <c r="B2662" s="16" t="s">
        <v>8234</v>
      </c>
      <c r="C2662" s="17">
        <v>45516</v>
      </c>
      <c r="D2662" s="15" t="s">
        <v>8235</v>
      </c>
      <c r="E2662" s="18" t="s">
        <v>954</v>
      </c>
      <c r="F2662" s="19" t="s">
        <v>8236</v>
      </c>
      <c r="G2662" s="18" t="s">
        <v>8237</v>
      </c>
      <c r="H2662" s="20" t="s">
        <v>8238</v>
      </c>
      <c r="I2662" s="15">
        <v>1</v>
      </c>
      <c r="J2662" s="15" t="s">
        <v>25</v>
      </c>
      <c r="K2662" s="15"/>
      <c r="L2662" s="21" t="s">
        <v>16</v>
      </c>
      <c r="M2662" s="22">
        <v>0</v>
      </c>
      <c r="N2662" s="22">
        <v>0</v>
      </c>
      <c r="O2662" s="22">
        <v>10800</v>
      </c>
      <c r="P2662" s="22">
        <v>10800</v>
      </c>
      <c r="Q2662" t="str" cm="1">
        <f t="array" ref="Q2662">_xlfn.TEXTJOIN("、",TRUE,IF('學員資料-三民高中'!$B$2:$B$454=$F2662,'學員資料-三民高中'!$G$2:$G$454,""))</f>
        <v>0935807406</v>
      </c>
      <c r="R2662" t="str" cm="1">
        <f t="array" ref="R2662">_xlfn.TEXTJOIN("、",TRUE,IF('學員資料-新北高中'!$B$2:$B$583=$F2662,'學員資料-新北高中'!$G$2:$G$583,""))</f>
        <v/>
      </c>
      <c r="S2662" t="str" cm="1">
        <f t="array" ref="S2662">_xlfn.TEXTJOIN("、",TRUE,IF('學員資料-三重商工'!$B$2:$B$472=$F2662,'學員資料-三重商工'!$G$2:$G$472,""))</f>
        <v/>
      </c>
      <c r="T2662">
        <f t="shared" si="41"/>
        <v>1</v>
      </c>
    </row>
    <row r="2663" spans="1:20" ht="14.25" hidden="1" customHeight="1">
      <c r="A2663" s="15">
        <v>2662</v>
      </c>
      <c r="B2663" s="16" t="s">
        <v>8239</v>
      </c>
      <c r="C2663" s="17">
        <v>45516</v>
      </c>
      <c r="D2663" s="15" t="s">
        <v>8240</v>
      </c>
      <c r="E2663" s="18" t="s">
        <v>954</v>
      </c>
      <c r="F2663" s="19" t="s">
        <v>8241</v>
      </c>
      <c r="G2663" s="18" t="s">
        <v>8242</v>
      </c>
      <c r="H2663" s="20" t="s">
        <v>5180</v>
      </c>
      <c r="I2663" s="15">
        <v>1</v>
      </c>
      <c r="J2663" s="15" t="s">
        <v>24</v>
      </c>
      <c r="K2663" s="15"/>
      <c r="L2663" s="21" t="s">
        <v>16</v>
      </c>
      <c r="M2663" s="22">
        <v>0</v>
      </c>
      <c r="N2663" s="22">
        <v>0</v>
      </c>
      <c r="O2663" s="22">
        <v>8640</v>
      </c>
      <c r="P2663" s="22">
        <v>8640</v>
      </c>
      <c r="Q2663" t="str" cm="1">
        <f t="array" ref="Q2663">_xlfn.TEXTJOIN("、",TRUE,IF('學員資料-三民高中'!$B$2:$B$454=$F2663,'學員資料-三民高中'!$G$2:$G$454,""))</f>
        <v>0912587214</v>
      </c>
      <c r="R2663" t="str" cm="1">
        <f t="array" ref="R2663">_xlfn.TEXTJOIN("、",TRUE,IF('學員資料-新北高中'!$B$2:$B$583=$F2663,'學員資料-新北高中'!$G$2:$G$583,""))</f>
        <v/>
      </c>
      <c r="S2663" t="str" cm="1">
        <f t="array" ref="S2663">_xlfn.TEXTJOIN("、",TRUE,IF('學員資料-三重商工'!$B$2:$B$472=$F2663,'學員資料-三重商工'!$G$2:$G$472,""))</f>
        <v/>
      </c>
      <c r="T2663">
        <f t="shared" si="41"/>
        <v>1</v>
      </c>
    </row>
    <row r="2664" spans="1:20" ht="14.25" hidden="1" customHeight="1">
      <c r="A2664" s="15">
        <v>2663</v>
      </c>
      <c r="B2664" s="16" t="s">
        <v>8243</v>
      </c>
      <c r="C2664" s="17">
        <v>45516</v>
      </c>
      <c r="D2664" s="15" t="s">
        <v>8244</v>
      </c>
      <c r="E2664" s="18" t="s">
        <v>954</v>
      </c>
      <c r="F2664" s="19" t="s">
        <v>8245</v>
      </c>
      <c r="G2664" s="18" t="s">
        <v>8246</v>
      </c>
      <c r="H2664" s="20" t="s">
        <v>8238</v>
      </c>
      <c r="I2664" s="15">
        <v>1</v>
      </c>
      <c r="J2664" s="15" t="s">
        <v>25</v>
      </c>
      <c r="K2664" s="15"/>
      <c r="L2664" s="21" t="s">
        <v>16</v>
      </c>
      <c r="M2664" s="22">
        <v>0</v>
      </c>
      <c r="N2664" s="22">
        <v>-4320</v>
      </c>
      <c r="O2664" s="22">
        <v>6480</v>
      </c>
      <c r="P2664" s="22">
        <v>6480</v>
      </c>
      <c r="Q2664" t="str" cm="1">
        <f t="array" ref="Q2664">_xlfn.TEXTJOIN("、",TRUE,IF('學員資料-三民高中'!$B$2:$B$454=$F2664,'學員資料-三民高中'!$G$2:$G$454,""))</f>
        <v>0926667166</v>
      </c>
      <c r="R2664" t="str" cm="1">
        <f t="array" ref="R2664">_xlfn.TEXTJOIN("、",TRUE,IF('學員資料-新北高中'!$B$2:$B$583=$F2664,'學員資料-新北高中'!$G$2:$G$583,""))</f>
        <v/>
      </c>
      <c r="S2664" t="str" cm="1">
        <f t="array" ref="S2664">_xlfn.TEXTJOIN("、",TRUE,IF('學員資料-三重商工'!$B$2:$B$472=$F2664,'學員資料-三重商工'!$G$2:$G$472,""))</f>
        <v/>
      </c>
      <c r="T2664">
        <f t="shared" si="41"/>
        <v>1</v>
      </c>
    </row>
    <row r="2665" spans="1:20" ht="14.25" hidden="1" customHeight="1">
      <c r="A2665" s="15">
        <v>2664</v>
      </c>
      <c r="B2665" s="16" t="s">
        <v>8247</v>
      </c>
      <c r="C2665" s="17">
        <v>45516</v>
      </c>
      <c r="D2665" s="15" t="s">
        <v>8248</v>
      </c>
      <c r="E2665" s="18" t="s">
        <v>954</v>
      </c>
      <c r="F2665" s="19" t="s">
        <v>8249</v>
      </c>
      <c r="G2665" s="18" t="s">
        <v>8250</v>
      </c>
      <c r="H2665" s="20" t="s">
        <v>5246</v>
      </c>
      <c r="I2665" s="15">
        <v>1</v>
      </c>
      <c r="J2665" s="15" t="s">
        <v>23</v>
      </c>
      <c r="K2665" s="15"/>
      <c r="L2665" s="21" t="s">
        <v>16</v>
      </c>
      <c r="M2665" s="22">
        <v>0</v>
      </c>
      <c r="N2665" s="22">
        <v>0</v>
      </c>
      <c r="O2665" s="22">
        <v>7200</v>
      </c>
      <c r="P2665" s="22">
        <v>7200</v>
      </c>
      <c r="Q2665" t="str" cm="1">
        <f t="array" ref="Q2665">_xlfn.TEXTJOIN("、",TRUE,IF('學員資料-三民高中'!$B$2:$B$454=$F2665,'學員資料-三民高中'!$G$2:$G$454,""))</f>
        <v>0960110067</v>
      </c>
      <c r="R2665" t="str" cm="1">
        <f t="array" ref="R2665">_xlfn.TEXTJOIN("、",TRUE,IF('學員資料-新北高中'!$B$2:$B$583=$F2665,'學員資料-新北高中'!$G$2:$G$583,""))</f>
        <v/>
      </c>
      <c r="S2665" t="str" cm="1">
        <f t="array" ref="S2665">_xlfn.TEXTJOIN("、",TRUE,IF('學員資料-三重商工'!$B$2:$B$472=$F2665,'學員資料-三重商工'!$G$2:$G$472,""))</f>
        <v/>
      </c>
      <c r="T2665">
        <f t="shared" si="41"/>
        <v>1</v>
      </c>
    </row>
    <row r="2666" spans="1:20" ht="14.25" hidden="1" customHeight="1">
      <c r="A2666" s="15">
        <v>2665</v>
      </c>
      <c r="B2666" s="16" t="s">
        <v>8251</v>
      </c>
      <c r="C2666" s="17">
        <v>45516</v>
      </c>
      <c r="D2666" s="15" t="s">
        <v>8252</v>
      </c>
      <c r="E2666" s="18" t="s">
        <v>954</v>
      </c>
      <c r="F2666" s="19" t="s">
        <v>3931</v>
      </c>
      <c r="G2666" s="18" t="s">
        <v>3932</v>
      </c>
      <c r="H2666" s="20" t="s">
        <v>5163</v>
      </c>
      <c r="I2666" s="15">
        <v>1</v>
      </c>
      <c r="J2666" s="15" t="s">
        <v>23</v>
      </c>
      <c r="K2666" s="15"/>
      <c r="L2666" s="21" t="s">
        <v>16</v>
      </c>
      <c r="M2666" s="22">
        <v>0</v>
      </c>
      <c r="N2666" s="22">
        <v>-2640</v>
      </c>
      <c r="O2666" s="22">
        <v>3960</v>
      </c>
      <c r="P2666" s="22">
        <v>3960</v>
      </c>
      <c r="Q2666" t="str" cm="1">
        <f t="array" ref="Q2666">_xlfn.TEXTJOIN("、",TRUE,IF('學員資料-三民高中'!$B$2:$B$454=$F2666,'學員資料-三民高中'!$G$2:$G$454,""))</f>
        <v/>
      </c>
      <c r="R2666" t="str" cm="1">
        <f t="array" ref="R2666">_xlfn.TEXTJOIN("、",TRUE,IF('學員資料-新北高中'!$B$2:$B$583=$F2666,'學員資料-新北高中'!$G$2:$G$583,""))</f>
        <v>0930712206</v>
      </c>
      <c r="S2666" t="str" cm="1">
        <f t="array" ref="S2666">_xlfn.TEXTJOIN("、",TRUE,IF('學員資料-三重商工'!$B$2:$B$472=$F2666,'學員資料-三重商工'!$G$2:$G$472,""))</f>
        <v/>
      </c>
      <c r="T2666">
        <f t="shared" si="41"/>
        <v>1</v>
      </c>
    </row>
    <row r="2667" spans="1:20" ht="14.25" hidden="1" customHeight="1">
      <c r="A2667" s="15">
        <v>2666</v>
      </c>
      <c r="B2667" s="16" t="s">
        <v>8253</v>
      </c>
      <c r="C2667" s="17">
        <v>45516</v>
      </c>
      <c r="D2667" s="15" t="s">
        <v>8254</v>
      </c>
      <c r="E2667" s="18" t="s">
        <v>954</v>
      </c>
      <c r="F2667" s="19" t="s">
        <v>8255</v>
      </c>
      <c r="G2667" s="18" t="s">
        <v>8256</v>
      </c>
      <c r="H2667" s="20" t="s">
        <v>5131</v>
      </c>
      <c r="I2667" s="15">
        <v>1</v>
      </c>
      <c r="J2667" s="15" t="s">
        <v>24</v>
      </c>
      <c r="K2667" s="15"/>
      <c r="L2667" s="21" t="s">
        <v>16</v>
      </c>
      <c r="M2667" s="22">
        <v>0</v>
      </c>
      <c r="N2667" s="22">
        <v>0</v>
      </c>
      <c r="O2667" s="22">
        <v>7200</v>
      </c>
      <c r="P2667" s="22">
        <v>7200</v>
      </c>
      <c r="Q2667" t="str" cm="1">
        <f t="array" ref="Q2667">_xlfn.TEXTJOIN("、",TRUE,IF('學員資料-三民高中'!$B$2:$B$454=$F2667,'學員資料-三民高中'!$G$2:$G$454,""))</f>
        <v/>
      </c>
      <c r="R2667" t="str" cm="1">
        <f t="array" ref="R2667">_xlfn.TEXTJOIN("、",TRUE,IF('學員資料-新北高中'!$B$2:$B$583=$F2667,'學員資料-新北高中'!$G$2:$G$583,""))</f>
        <v>0976070785</v>
      </c>
      <c r="S2667" t="str" cm="1">
        <f t="array" ref="S2667">_xlfn.TEXTJOIN("、",TRUE,IF('學員資料-三重商工'!$B$2:$B$472=$F2667,'學員資料-三重商工'!$G$2:$G$472,""))</f>
        <v/>
      </c>
      <c r="T2667">
        <f t="shared" si="41"/>
        <v>1</v>
      </c>
    </row>
    <row r="2668" spans="1:20" ht="14.25" hidden="1" customHeight="1">
      <c r="A2668" s="15">
        <v>2667</v>
      </c>
      <c r="B2668" s="16" t="s">
        <v>8257</v>
      </c>
      <c r="C2668" s="17">
        <v>45516</v>
      </c>
      <c r="D2668" s="15" t="s">
        <v>8258</v>
      </c>
      <c r="E2668" s="18" t="s">
        <v>954</v>
      </c>
      <c r="F2668" s="19" t="s">
        <v>8259</v>
      </c>
      <c r="G2668" s="18" t="s">
        <v>8260</v>
      </c>
      <c r="H2668" s="20" t="s">
        <v>5340</v>
      </c>
      <c r="I2668" s="15">
        <v>1</v>
      </c>
      <c r="J2668" s="15" t="s">
        <v>27</v>
      </c>
      <c r="K2668" s="15"/>
      <c r="L2668" s="21" t="s">
        <v>16</v>
      </c>
      <c r="M2668" s="22">
        <v>0</v>
      </c>
      <c r="N2668" s="22">
        <v>-1350</v>
      </c>
      <c r="O2668" s="22">
        <v>12150</v>
      </c>
      <c r="P2668" s="22">
        <v>12150</v>
      </c>
      <c r="Q2668" t="str" cm="1">
        <f t="array" ref="Q2668">_xlfn.TEXTJOIN("、",TRUE,IF('學員資料-三民高中'!$B$2:$B$454=$F2668,'學員資料-三民高中'!$G$2:$G$454,""))</f>
        <v/>
      </c>
      <c r="R2668" t="str" cm="1">
        <f t="array" ref="R2668">_xlfn.TEXTJOIN("、",TRUE,IF('學員資料-新北高中'!$B$2:$B$583=$F2668,'學員資料-新北高中'!$G$2:$G$583,""))</f>
        <v>0927233487</v>
      </c>
      <c r="S2668" t="str" cm="1">
        <f t="array" ref="S2668">_xlfn.TEXTJOIN("、",TRUE,IF('學員資料-三重商工'!$B$2:$B$472=$F2668,'學員資料-三重商工'!$G$2:$G$472,""))</f>
        <v/>
      </c>
      <c r="T2668">
        <f t="shared" si="41"/>
        <v>1</v>
      </c>
    </row>
    <row r="2669" spans="1:20" ht="14.25" hidden="1" customHeight="1">
      <c r="A2669" s="15">
        <v>2668</v>
      </c>
      <c r="B2669" s="16" t="s">
        <v>8261</v>
      </c>
      <c r="C2669" s="17">
        <v>45515</v>
      </c>
      <c r="D2669" s="15" t="s">
        <v>7110</v>
      </c>
      <c r="E2669" s="18" t="s">
        <v>954</v>
      </c>
      <c r="F2669" s="19" t="s">
        <v>4733</v>
      </c>
      <c r="G2669" s="18" t="s">
        <v>4734</v>
      </c>
      <c r="H2669" s="20" t="s">
        <v>5163</v>
      </c>
      <c r="I2669" s="15">
        <v>1</v>
      </c>
      <c r="J2669" s="15" t="s">
        <v>23</v>
      </c>
      <c r="K2669" s="15"/>
      <c r="L2669" s="21" t="s">
        <v>16</v>
      </c>
      <c r="M2669" s="22">
        <v>0</v>
      </c>
      <c r="N2669" s="22">
        <v>0</v>
      </c>
      <c r="O2669" s="22">
        <v>6600</v>
      </c>
      <c r="P2669" s="22">
        <v>6600</v>
      </c>
      <c r="Q2669" t="str" cm="1">
        <f t="array" ref="Q2669">_xlfn.TEXTJOIN("、",TRUE,IF('學員資料-三民高中'!$B$2:$B$454=$F2669,'學員資料-三民高中'!$G$2:$G$454,""))</f>
        <v/>
      </c>
      <c r="R2669" t="str" cm="1">
        <f t="array" ref="R2669">_xlfn.TEXTJOIN("、",TRUE,IF('學員資料-新北高中'!$B$2:$B$583=$F2669,'學員資料-新北高中'!$G$2:$G$583,""))</f>
        <v/>
      </c>
      <c r="S2669" t="str" cm="1">
        <f t="array" ref="S2669">_xlfn.TEXTJOIN("、",TRUE,IF('學員資料-三重商工'!$B$2:$B$472=$F2669,'學員資料-三重商工'!$G$2:$G$472,""))</f>
        <v>0911685342</v>
      </c>
      <c r="T2669">
        <f t="shared" si="41"/>
        <v>1</v>
      </c>
    </row>
    <row r="2670" spans="1:20" ht="14.25" hidden="1" customHeight="1">
      <c r="A2670" s="15">
        <v>2669</v>
      </c>
      <c r="B2670" s="16" t="s">
        <v>8262</v>
      </c>
      <c r="C2670" s="17">
        <v>45515</v>
      </c>
      <c r="D2670" s="15" t="s">
        <v>8263</v>
      </c>
      <c r="E2670" s="18" t="s">
        <v>954</v>
      </c>
      <c r="F2670" s="19" t="s">
        <v>8264</v>
      </c>
      <c r="G2670" s="18" t="s">
        <v>8265</v>
      </c>
      <c r="H2670" s="20" t="s">
        <v>5148</v>
      </c>
      <c r="I2670" s="15">
        <v>1</v>
      </c>
      <c r="J2670" s="15" t="s">
        <v>25</v>
      </c>
      <c r="K2670" s="15"/>
      <c r="L2670" s="21" t="s">
        <v>16</v>
      </c>
      <c r="M2670" s="22">
        <v>0</v>
      </c>
      <c r="N2670" s="22">
        <v>-900</v>
      </c>
      <c r="O2670" s="22">
        <v>8100</v>
      </c>
      <c r="P2670" s="22">
        <v>8100</v>
      </c>
      <c r="Q2670" t="str" cm="1">
        <f t="array" ref="Q2670">_xlfn.TEXTJOIN("、",TRUE,IF('學員資料-三民高中'!$B$2:$B$454=$F2670,'學員資料-三民高中'!$G$2:$G$454,""))</f>
        <v/>
      </c>
      <c r="R2670" t="str" cm="1">
        <f t="array" ref="R2670">_xlfn.TEXTJOIN("、",TRUE,IF('學員資料-新北高中'!$B$2:$B$583=$F2670,'學員資料-新北高中'!$G$2:$G$583,""))</f>
        <v>0955680421</v>
      </c>
      <c r="S2670" t="str" cm="1">
        <f t="array" ref="S2670">_xlfn.TEXTJOIN("、",TRUE,IF('學員資料-三重商工'!$B$2:$B$472=$F2670,'學員資料-三重商工'!$G$2:$G$472,""))</f>
        <v/>
      </c>
      <c r="T2670">
        <f t="shared" si="41"/>
        <v>1</v>
      </c>
    </row>
    <row r="2671" spans="1:20" ht="14.25" hidden="1" customHeight="1">
      <c r="A2671" s="15">
        <v>2670</v>
      </c>
      <c r="B2671" s="16" t="s">
        <v>8266</v>
      </c>
      <c r="C2671" s="17">
        <v>45515</v>
      </c>
      <c r="D2671" s="15" t="s">
        <v>8267</v>
      </c>
      <c r="E2671" s="18" t="s">
        <v>954</v>
      </c>
      <c r="F2671" s="19" t="s">
        <v>6817</v>
      </c>
      <c r="G2671" s="18" t="s">
        <v>6818</v>
      </c>
      <c r="H2671" s="20" t="s">
        <v>5131</v>
      </c>
      <c r="I2671" s="15">
        <v>1</v>
      </c>
      <c r="J2671" s="15" t="s">
        <v>24</v>
      </c>
      <c r="K2671" s="15"/>
      <c r="L2671" s="21" t="s">
        <v>16</v>
      </c>
      <c r="M2671" s="22">
        <v>0</v>
      </c>
      <c r="N2671" s="22">
        <v>-1080</v>
      </c>
      <c r="O2671" s="22">
        <v>6120</v>
      </c>
      <c r="P2671" s="22">
        <v>6120</v>
      </c>
      <c r="Q2671" t="str" cm="1">
        <f t="array" ref="Q2671">_xlfn.TEXTJOIN("、",TRUE,IF('學員資料-三民高中'!$B$2:$B$454=$F2671,'學員資料-三民高中'!$G$2:$G$454,""))</f>
        <v/>
      </c>
      <c r="R2671" t="str" cm="1">
        <f t="array" ref="R2671">_xlfn.TEXTJOIN("、",TRUE,IF('學員資料-新北高中'!$B$2:$B$583=$F2671,'學員資料-新北高中'!$G$2:$G$583,""))</f>
        <v>0937955231</v>
      </c>
      <c r="S2671" t="str" cm="1">
        <f t="array" ref="S2671">_xlfn.TEXTJOIN("、",TRUE,IF('學員資料-三重商工'!$B$2:$B$472=$F2671,'學員資料-三重商工'!$G$2:$G$472,""))</f>
        <v/>
      </c>
      <c r="T2671">
        <f t="shared" si="41"/>
        <v>1</v>
      </c>
    </row>
    <row r="2672" spans="1:20" ht="14.25" hidden="1" customHeight="1">
      <c r="A2672" s="15">
        <v>2671</v>
      </c>
      <c r="B2672" s="16" t="s">
        <v>8268</v>
      </c>
      <c r="C2672" s="17">
        <v>45515</v>
      </c>
      <c r="D2672" s="15" t="s">
        <v>8269</v>
      </c>
      <c r="E2672" s="18" t="s">
        <v>954</v>
      </c>
      <c r="F2672" s="19" t="s">
        <v>8270</v>
      </c>
      <c r="G2672" s="18" t="s">
        <v>6954</v>
      </c>
      <c r="H2672" s="20" t="s">
        <v>5131</v>
      </c>
      <c r="I2672" s="15">
        <v>1</v>
      </c>
      <c r="J2672" s="15" t="s">
        <v>24</v>
      </c>
      <c r="K2672" s="15"/>
      <c r="L2672" s="21" t="s">
        <v>16</v>
      </c>
      <c r="M2672" s="22">
        <v>0</v>
      </c>
      <c r="N2672" s="22">
        <v>-720</v>
      </c>
      <c r="O2672" s="22">
        <v>6480</v>
      </c>
      <c r="P2672" s="22">
        <v>6480</v>
      </c>
      <c r="Q2672" t="str" cm="1">
        <f t="array" ref="Q2672">_xlfn.TEXTJOIN("、",TRUE,IF('學員資料-三民高中'!$B$2:$B$454=$F2672,'學員資料-三民高中'!$G$2:$G$454,""))</f>
        <v/>
      </c>
      <c r="R2672" t="str" cm="1">
        <f t="array" ref="R2672">_xlfn.TEXTJOIN("、",TRUE,IF('學員資料-新北高中'!$B$2:$B$583=$F2672,'學員資料-新北高中'!$G$2:$G$583,""))</f>
        <v>0926243093(1)</v>
      </c>
      <c r="S2672" t="str" cm="1">
        <f t="array" ref="S2672">_xlfn.TEXTJOIN("、",TRUE,IF('學員資料-三重商工'!$B$2:$B$472=$F2672,'學員資料-三重商工'!$G$2:$G$472,""))</f>
        <v/>
      </c>
      <c r="T2672">
        <f t="shared" si="41"/>
        <v>1</v>
      </c>
    </row>
    <row r="2673" spans="1:20" ht="14.25" hidden="1" customHeight="1">
      <c r="A2673" s="15">
        <v>2672</v>
      </c>
      <c r="B2673" s="16" t="s">
        <v>8271</v>
      </c>
      <c r="C2673" s="17">
        <v>45515</v>
      </c>
      <c r="D2673" s="15" t="s">
        <v>8272</v>
      </c>
      <c r="E2673" s="18" t="s">
        <v>954</v>
      </c>
      <c r="F2673" s="19" t="s">
        <v>6107</v>
      </c>
      <c r="G2673" s="18" t="s">
        <v>6108</v>
      </c>
      <c r="H2673" s="20" t="s">
        <v>5148</v>
      </c>
      <c r="I2673" s="15">
        <v>1</v>
      </c>
      <c r="J2673" s="15" t="s">
        <v>25</v>
      </c>
      <c r="K2673" s="15"/>
      <c r="L2673" s="21" t="s">
        <v>16</v>
      </c>
      <c r="M2673" s="22">
        <v>0</v>
      </c>
      <c r="N2673" s="22">
        <v>-900</v>
      </c>
      <c r="O2673" s="22">
        <v>8100</v>
      </c>
      <c r="P2673" s="22">
        <v>8100</v>
      </c>
      <c r="Q2673" t="str" cm="1">
        <f t="array" ref="Q2673">_xlfn.TEXTJOIN("、",TRUE,IF('學員資料-三民高中'!$B$2:$B$454=$F2673,'學員資料-三民高中'!$G$2:$G$454,""))</f>
        <v/>
      </c>
      <c r="R2673" t="str" cm="1">
        <f t="array" ref="R2673">_xlfn.TEXTJOIN("、",TRUE,IF('學員資料-新北高中'!$B$2:$B$583=$F2673,'學員資料-新北高中'!$G$2:$G$583,""))</f>
        <v>0926234093</v>
      </c>
      <c r="S2673" t="str" cm="1">
        <f t="array" ref="S2673">_xlfn.TEXTJOIN("、",TRUE,IF('學員資料-三重商工'!$B$2:$B$472=$F2673,'學員資料-三重商工'!$G$2:$G$472,""))</f>
        <v/>
      </c>
      <c r="T2673">
        <f t="shared" si="41"/>
        <v>1</v>
      </c>
    </row>
    <row r="2674" spans="1:20" ht="14.25" hidden="1" customHeight="1">
      <c r="A2674" s="15">
        <v>2673</v>
      </c>
      <c r="B2674" s="16" t="s">
        <v>8273</v>
      </c>
      <c r="C2674" s="17">
        <v>45515</v>
      </c>
      <c r="D2674" s="15" t="s">
        <v>8274</v>
      </c>
      <c r="E2674" s="18" t="s">
        <v>954</v>
      </c>
      <c r="F2674" s="19" t="s">
        <v>1312</v>
      </c>
      <c r="G2674" s="18" t="s">
        <v>1313</v>
      </c>
      <c r="H2674" s="20" t="s">
        <v>5131</v>
      </c>
      <c r="I2674" s="15">
        <v>1</v>
      </c>
      <c r="J2674" s="15" t="s">
        <v>24</v>
      </c>
      <c r="K2674" s="15"/>
      <c r="L2674" s="21" t="s">
        <v>16</v>
      </c>
      <c r="M2674" s="22">
        <v>0</v>
      </c>
      <c r="N2674" s="22">
        <v>-720</v>
      </c>
      <c r="O2674" s="22">
        <v>6480</v>
      </c>
      <c r="P2674" s="22">
        <v>6480</v>
      </c>
      <c r="Q2674" t="str" cm="1">
        <f t="array" ref="Q2674">_xlfn.TEXTJOIN("、",TRUE,IF('學員資料-三民高中'!$B$2:$B$454=$F2674,'學員資料-三民高中'!$G$2:$G$454,""))</f>
        <v/>
      </c>
      <c r="R2674" t="str" cm="1">
        <f t="array" ref="R2674">_xlfn.TEXTJOIN("、",TRUE,IF('學員資料-新北高中'!$B$2:$B$583=$F2674,'學員資料-新北高中'!$G$2:$G$583,""))</f>
        <v>0937639739</v>
      </c>
      <c r="S2674" t="str" cm="1">
        <f t="array" ref="S2674">_xlfn.TEXTJOIN("、",TRUE,IF('學員資料-三重商工'!$B$2:$B$472=$F2674,'學員資料-三重商工'!$G$2:$G$472,""))</f>
        <v/>
      </c>
      <c r="T2674">
        <f t="shared" si="41"/>
        <v>1</v>
      </c>
    </row>
    <row r="2675" spans="1:20" ht="14.25" hidden="1" customHeight="1">
      <c r="A2675" s="15">
        <v>2674</v>
      </c>
      <c r="B2675" s="16" t="s">
        <v>8275</v>
      </c>
      <c r="C2675" s="17">
        <v>45515</v>
      </c>
      <c r="D2675" s="15" t="s">
        <v>8276</v>
      </c>
      <c r="E2675" s="18" t="s">
        <v>954</v>
      </c>
      <c r="F2675" s="19" t="s">
        <v>8277</v>
      </c>
      <c r="G2675" s="18" t="s">
        <v>8278</v>
      </c>
      <c r="H2675" s="20" t="s">
        <v>5148</v>
      </c>
      <c r="I2675" s="15">
        <v>1</v>
      </c>
      <c r="J2675" s="15" t="s">
        <v>25</v>
      </c>
      <c r="K2675" s="15"/>
      <c r="L2675" s="21" t="s">
        <v>16</v>
      </c>
      <c r="M2675" s="22">
        <v>0</v>
      </c>
      <c r="N2675" s="22">
        <v>-900</v>
      </c>
      <c r="O2675" s="22">
        <v>8100</v>
      </c>
      <c r="P2675" s="22">
        <v>8100</v>
      </c>
      <c r="Q2675" t="str" cm="1">
        <f t="array" ref="Q2675">_xlfn.TEXTJOIN("、",TRUE,IF('學員資料-三民高中'!$B$2:$B$454=$F2675,'學員資料-三民高中'!$G$2:$G$454,""))</f>
        <v/>
      </c>
      <c r="R2675" t="str" cm="1">
        <f t="array" ref="R2675">_xlfn.TEXTJOIN("、",TRUE,IF('學員資料-新北高中'!$B$2:$B$583=$F2675,'學員資料-新北高中'!$G$2:$G$583,""))</f>
        <v>0937469019</v>
      </c>
      <c r="S2675" t="str" cm="1">
        <f t="array" ref="S2675">_xlfn.TEXTJOIN("、",TRUE,IF('學員資料-三重商工'!$B$2:$B$472=$F2675,'學員資料-三重商工'!$G$2:$G$472,""))</f>
        <v/>
      </c>
      <c r="T2675">
        <f t="shared" si="41"/>
        <v>1</v>
      </c>
    </row>
    <row r="2676" spans="1:20" ht="28.5" customHeight="1">
      <c r="A2676" s="15">
        <v>2675</v>
      </c>
      <c r="B2676" s="16" t="s">
        <v>8279</v>
      </c>
      <c r="C2676" s="17">
        <v>45515</v>
      </c>
      <c r="D2676" s="15" t="s">
        <v>8280</v>
      </c>
      <c r="E2676" s="18" t="s">
        <v>954</v>
      </c>
      <c r="F2676" s="19"/>
      <c r="G2676" s="23" t="s">
        <v>4490</v>
      </c>
      <c r="H2676" s="20" t="s">
        <v>5729</v>
      </c>
      <c r="I2676" s="15">
        <v>2</v>
      </c>
      <c r="J2676" s="15" t="s">
        <v>26</v>
      </c>
      <c r="K2676" s="15"/>
      <c r="L2676" s="21" t="s">
        <v>16</v>
      </c>
      <c r="M2676" s="22">
        <v>0</v>
      </c>
      <c r="N2676" s="22">
        <v>-2592</v>
      </c>
      <c r="O2676" s="22">
        <v>19008</v>
      </c>
      <c r="P2676" s="22">
        <v>19008</v>
      </c>
      <c r="Q2676" t="str" cm="1">
        <f t="array" ref="Q2676">_xlfn.TEXTJOIN("、",TRUE,IF('學員資料-三民高中'!$B$2:$B$454=$F2676,'學員資料-三民高中'!$G$2:$G$454,""))</f>
        <v/>
      </c>
      <c r="R2676" t="str" cm="1">
        <f t="array" ref="R2676">_xlfn.TEXTJOIN("、",TRUE,IF('學員資料-新北高中'!$B$2:$B$583=$F2676,'學員資料-新北高中'!$G$2:$G$583,""))</f>
        <v/>
      </c>
      <c r="S2676" t="str" cm="1">
        <f t="array" ref="S2676">_xlfn.TEXTJOIN("、",TRUE,IF('學員資料-三重商工'!$B$2:$B$472=$F2676,'學員資料-三重商工'!$G$2:$G$472,""))</f>
        <v/>
      </c>
      <c r="T2676">
        <f t="shared" si="41"/>
        <v>0</v>
      </c>
    </row>
    <row r="2677" spans="1:20" ht="28.5" hidden="1" customHeight="1">
      <c r="A2677" s="15">
        <v>2676</v>
      </c>
      <c r="B2677" s="16" t="s">
        <v>8281</v>
      </c>
      <c r="C2677" s="17">
        <v>45515</v>
      </c>
      <c r="D2677" s="15" t="s">
        <v>8282</v>
      </c>
      <c r="E2677" s="18" t="s">
        <v>954</v>
      </c>
      <c r="F2677" s="19" t="s">
        <v>8283</v>
      </c>
      <c r="G2677" s="18" t="s">
        <v>8284</v>
      </c>
      <c r="H2677" s="20" t="s">
        <v>5154</v>
      </c>
      <c r="I2677" s="15">
        <v>2</v>
      </c>
      <c r="J2677" s="15" t="s">
        <v>24</v>
      </c>
      <c r="K2677" s="15"/>
      <c r="L2677" s="21" t="s">
        <v>16</v>
      </c>
      <c r="M2677" s="22">
        <v>0</v>
      </c>
      <c r="N2677" s="22">
        <v>-1440</v>
      </c>
      <c r="O2677" s="22">
        <v>12960</v>
      </c>
      <c r="P2677" s="22">
        <v>12960</v>
      </c>
      <c r="Q2677" t="str" cm="1">
        <f t="array" ref="Q2677">_xlfn.TEXTJOIN("、",TRUE,IF('學員資料-三民高中'!$B$2:$B$454=$F2677,'學員資料-三民高中'!$G$2:$G$454,""))</f>
        <v/>
      </c>
      <c r="R2677" t="str" cm="1">
        <f t="array" ref="R2677">_xlfn.TEXTJOIN("、",TRUE,IF('學員資料-新北高中'!$B$2:$B$583=$F2677,'學員資料-新北高中'!$G$2:$G$583,""))</f>
        <v>0937845378</v>
      </c>
      <c r="S2677" t="str" cm="1">
        <f t="array" ref="S2677">_xlfn.TEXTJOIN("、",TRUE,IF('學員資料-三重商工'!$B$2:$B$472=$F2677,'學員資料-三重商工'!$G$2:$G$472,""))</f>
        <v/>
      </c>
      <c r="T2677">
        <f t="shared" si="41"/>
        <v>1</v>
      </c>
    </row>
    <row r="2678" spans="1:20" ht="14.25" hidden="1" customHeight="1">
      <c r="A2678" s="15">
        <v>2677</v>
      </c>
      <c r="B2678" s="16" t="s">
        <v>8285</v>
      </c>
      <c r="C2678" s="17">
        <v>45515</v>
      </c>
      <c r="D2678" s="15" t="s">
        <v>8286</v>
      </c>
      <c r="E2678" s="18" t="s">
        <v>954</v>
      </c>
      <c r="F2678" s="19" t="s">
        <v>8283</v>
      </c>
      <c r="G2678" s="18" t="s">
        <v>8284</v>
      </c>
      <c r="H2678" s="20" t="s">
        <v>5131</v>
      </c>
      <c r="I2678" s="15">
        <v>1</v>
      </c>
      <c r="J2678" s="15" t="s">
        <v>24</v>
      </c>
      <c r="K2678" s="15"/>
      <c r="L2678" s="21" t="s">
        <v>16</v>
      </c>
      <c r="M2678" s="22">
        <v>0</v>
      </c>
      <c r="N2678" s="22">
        <v>-720</v>
      </c>
      <c r="O2678" s="22">
        <v>6480</v>
      </c>
      <c r="P2678" s="22">
        <v>6480</v>
      </c>
      <c r="Q2678" t="str" cm="1">
        <f t="array" ref="Q2678">_xlfn.TEXTJOIN("、",TRUE,IF('學員資料-三民高中'!$B$2:$B$454=$F2678,'學員資料-三民高中'!$G$2:$G$454,""))</f>
        <v/>
      </c>
      <c r="R2678" t="str" cm="1">
        <f t="array" ref="R2678">_xlfn.TEXTJOIN("、",TRUE,IF('學員資料-新北高中'!$B$2:$B$583=$F2678,'學員資料-新北高中'!$G$2:$G$583,""))</f>
        <v>0937845378</v>
      </c>
      <c r="S2678" t="str" cm="1">
        <f t="array" ref="S2678">_xlfn.TEXTJOIN("、",TRUE,IF('學員資料-三重商工'!$B$2:$B$472=$F2678,'學員資料-三重商工'!$G$2:$G$472,""))</f>
        <v/>
      </c>
      <c r="T2678">
        <f t="shared" si="41"/>
        <v>1</v>
      </c>
    </row>
    <row r="2679" spans="1:20" ht="28.5" hidden="1" customHeight="1">
      <c r="A2679" s="15">
        <v>2678</v>
      </c>
      <c r="B2679" s="16" t="s">
        <v>8287</v>
      </c>
      <c r="C2679" s="17">
        <v>45515</v>
      </c>
      <c r="D2679" s="15" t="s">
        <v>8288</v>
      </c>
      <c r="E2679" s="18" t="s">
        <v>954</v>
      </c>
      <c r="F2679" s="19" t="s">
        <v>8289</v>
      </c>
      <c r="G2679" s="18" t="s">
        <v>8290</v>
      </c>
      <c r="H2679" s="20" t="s">
        <v>5263</v>
      </c>
      <c r="I2679" s="15">
        <v>2</v>
      </c>
      <c r="J2679" s="15" t="s">
        <v>25</v>
      </c>
      <c r="K2679" s="15"/>
      <c r="L2679" s="21" t="s">
        <v>16</v>
      </c>
      <c r="M2679" s="22">
        <v>0</v>
      </c>
      <c r="N2679" s="22">
        <v>0</v>
      </c>
      <c r="O2679" s="22">
        <v>18000</v>
      </c>
      <c r="P2679" s="22">
        <v>18000</v>
      </c>
      <c r="Q2679" t="str" cm="1">
        <f t="array" ref="Q2679">_xlfn.TEXTJOIN("、",TRUE,IF('學員資料-三民高中'!$B$2:$B$454=$F2679,'學員資料-三民高中'!$G$2:$G$454,""))</f>
        <v/>
      </c>
      <c r="R2679" t="str" cm="1">
        <f t="array" ref="R2679">_xlfn.TEXTJOIN("、",TRUE,IF('學員資料-新北高中'!$B$2:$B$583=$F2679,'學員資料-新北高中'!$G$2:$G$583,""))</f>
        <v>0982480987</v>
      </c>
      <c r="S2679" t="str" cm="1">
        <f t="array" ref="S2679">_xlfn.TEXTJOIN("、",TRUE,IF('學員資料-三重商工'!$B$2:$B$472=$F2679,'學員資料-三重商工'!$G$2:$G$472,""))</f>
        <v/>
      </c>
      <c r="T2679">
        <f t="shared" si="41"/>
        <v>1</v>
      </c>
    </row>
    <row r="2680" spans="1:20" ht="14.25" hidden="1" customHeight="1">
      <c r="A2680" s="15">
        <v>2679</v>
      </c>
      <c r="B2680" s="16" t="s">
        <v>8291</v>
      </c>
      <c r="C2680" s="17">
        <v>45515</v>
      </c>
      <c r="D2680" s="15" t="s">
        <v>8292</v>
      </c>
      <c r="E2680" s="18" t="s">
        <v>954</v>
      </c>
      <c r="F2680" s="19" t="s">
        <v>5755</v>
      </c>
      <c r="G2680" s="18" t="s">
        <v>5756</v>
      </c>
      <c r="H2680" s="20" t="s">
        <v>5131</v>
      </c>
      <c r="I2680" s="15">
        <v>1</v>
      </c>
      <c r="J2680" s="15" t="s">
        <v>24</v>
      </c>
      <c r="K2680" s="15"/>
      <c r="L2680" s="21" t="s">
        <v>16</v>
      </c>
      <c r="M2680" s="22">
        <v>0</v>
      </c>
      <c r="N2680" s="22">
        <v>0</v>
      </c>
      <c r="O2680" s="22">
        <v>7200</v>
      </c>
      <c r="P2680" s="22">
        <v>7200</v>
      </c>
      <c r="Q2680" t="str" cm="1">
        <f t="array" ref="Q2680">_xlfn.TEXTJOIN("、",TRUE,IF('學員資料-三民高中'!$B$2:$B$454=$F2680,'學員資料-三民高中'!$G$2:$G$454,""))</f>
        <v/>
      </c>
      <c r="R2680" t="str" cm="1">
        <f t="array" ref="R2680">_xlfn.TEXTJOIN("、",TRUE,IF('學員資料-新北高中'!$B$2:$B$583=$F2680,'學員資料-新北高中'!$G$2:$G$583,""))</f>
        <v/>
      </c>
      <c r="S2680" t="str" cm="1">
        <f t="array" ref="S2680">_xlfn.TEXTJOIN("、",TRUE,IF('學員資料-三重商工'!$B$2:$B$472=$F2680,'學員資料-三重商工'!$G$2:$G$472,""))</f>
        <v>0963326146</v>
      </c>
      <c r="T2680">
        <f t="shared" si="41"/>
        <v>1</v>
      </c>
    </row>
    <row r="2681" spans="1:20" ht="14.25" hidden="1" customHeight="1">
      <c r="A2681" s="15">
        <v>2680</v>
      </c>
      <c r="B2681" s="16" t="s">
        <v>8293</v>
      </c>
      <c r="C2681" s="17">
        <v>45515</v>
      </c>
      <c r="D2681" s="15" t="s">
        <v>8294</v>
      </c>
      <c r="E2681" s="18" t="s">
        <v>954</v>
      </c>
      <c r="F2681" s="19" t="s">
        <v>4817</v>
      </c>
      <c r="G2681" s="18" t="s">
        <v>4818</v>
      </c>
      <c r="H2681" s="20" t="s">
        <v>5163</v>
      </c>
      <c r="I2681" s="15">
        <v>1</v>
      </c>
      <c r="J2681" s="15" t="s">
        <v>23</v>
      </c>
      <c r="K2681" s="15"/>
      <c r="L2681" s="21" t="s">
        <v>16</v>
      </c>
      <c r="M2681" s="22">
        <v>0</v>
      </c>
      <c r="N2681" s="22">
        <v>0</v>
      </c>
      <c r="O2681" s="22">
        <v>6600</v>
      </c>
      <c r="P2681" s="22">
        <v>6600</v>
      </c>
      <c r="Q2681" t="str" cm="1">
        <f t="array" ref="Q2681">_xlfn.TEXTJOIN("、",TRUE,IF('學員資料-三民高中'!$B$2:$B$454=$F2681,'學員資料-三民高中'!$G$2:$G$454,""))</f>
        <v>0905580274</v>
      </c>
      <c r="R2681" t="str" cm="1">
        <f t="array" ref="R2681">_xlfn.TEXTJOIN("、",TRUE,IF('學員資料-新北高中'!$B$2:$B$583=$F2681,'學員資料-新北高中'!$G$2:$G$583,""))</f>
        <v/>
      </c>
      <c r="S2681" t="str" cm="1">
        <f t="array" ref="S2681">_xlfn.TEXTJOIN("、",TRUE,IF('學員資料-三重商工'!$B$2:$B$472=$F2681,'學員資料-三重商工'!$G$2:$G$472,""))</f>
        <v/>
      </c>
      <c r="T2681">
        <f t="shared" si="41"/>
        <v>1</v>
      </c>
    </row>
    <row r="2682" spans="1:20" ht="14.25" hidden="1" customHeight="1">
      <c r="A2682" s="15">
        <v>2681</v>
      </c>
      <c r="B2682" s="16" t="s">
        <v>8295</v>
      </c>
      <c r="C2682" s="17">
        <v>45515</v>
      </c>
      <c r="D2682" s="15" t="s">
        <v>8296</v>
      </c>
      <c r="E2682" s="18" t="s">
        <v>954</v>
      </c>
      <c r="F2682" s="19" t="s">
        <v>446</v>
      </c>
      <c r="G2682" s="18" t="s">
        <v>447</v>
      </c>
      <c r="H2682" s="20" t="s">
        <v>5163</v>
      </c>
      <c r="I2682" s="15">
        <v>1</v>
      </c>
      <c r="J2682" s="15" t="s">
        <v>23</v>
      </c>
      <c r="K2682" s="15"/>
      <c r="L2682" s="21" t="s">
        <v>16</v>
      </c>
      <c r="M2682" s="22">
        <v>0</v>
      </c>
      <c r="N2682" s="22">
        <v>0</v>
      </c>
      <c r="O2682" s="22">
        <v>6600</v>
      </c>
      <c r="P2682" s="22">
        <v>6600</v>
      </c>
      <c r="Q2682" t="str" cm="1">
        <f t="array" ref="Q2682">_xlfn.TEXTJOIN("、",TRUE,IF('學員資料-三民高中'!$B$2:$B$454=$F2682,'學員資料-三民高中'!$G$2:$G$454,""))</f>
        <v/>
      </c>
      <c r="R2682" t="str" cm="1">
        <f t="array" ref="R2682">_xlfn.TEXTJOIN("、",TRUE,IF('學員資料-新北高中'!$B$2:$B$583=$F2682,'學員資料-新北高中'!$G$2:$G$583,""))</f>
        <v>0928827113(2)</v>
      </c>
      <c r="S2682" t="str" cm="1">
        <f t="array" ref="S2682">_xlfn.TEXTJOIN("、",TRUE,IF('學員資料-三重商工'!$B$2:$B$472=$F2682,'學員資料-三重商工'!$G$2:$G$472,""))</f>
        <v/>
      </c>
      <c r="T2682">
        <f t="shared" si="41"/>
        <v>1</v>
      </c>
    </row>
    <row r="2683" spans="1:20" ht="14.25" hidden="1" customHeight="1">
      <c r="A2683" s="15">
        <v>2682</v>
      </c>
      <c r="B2683" s="16" t="s">
        <v>8297</v>
      </c>
      <c r="C2683" s="17">
        <v>45515</v>
      </c>
      <c r="D2683" s="15" t="s">
        <v>8298</v>
      </c>
      <c r="E2683" s="18" t="s">
        <v>954</v>
      </c>
      <c r="F2683" s="19" t="s">
        <v>667</v>
      </c>
      <c r="G2683" s="18" t="s">
        <v>668</v>
      </c>
      <c r="H2683" s="20" t="s">
        <v>5163</v>
      </c>
      <c r="I2683" s="15">
        <v>1</v>
      </c>
      <c r="J2683" s="15" t="s">
        <v>23</v>
      </c>
      <c r="K2683" s="15"/>
      <c r="L2683" s="21" t="s">
        <v>16</v>
      </c>
      <c r="M2683" s="22">
        <v>0</v>
      </c>
      <c r="N2683" s="22">
        <v>0</v>
      </c>
      <c r="O2683" s="22">
        <v>6600</v>
      </c>
      <c r="P2683" s="22">
        <v>6600</v>
      </c>
      <c r="Q2683" t="str" cm="1">
        <f t="array" ref="Q2683">_xlfn.TEXTJOIN("、",TRUE,IF('學員資料-三民高中'!$B$2:$B$454=$F2683,'學員資料-三民高中'!$G$2:$G$454,""))</f>
        <v/>
      </c>
      <c r="R2683" t="str" cm="1">
        <f t="array" ref="R2683">_xlfn.TEXTJOIN("、",TRUE,IF('學員資料-新北高中'!$B$2:$B$583=$F2683,'學員資料-新北高中'!$G$2:$G$583,""))</f>
        <v>0928827113(1)</v>
      </c>
      <c r="S2683" t="str" cm="1">
        <f t="array" ref="S2683">_xlfn.TEXTJOIN("、",TRUE,IF('學員資料-三重商工'!$B$2:$B$472=$F2683,'學員資料-三重商工'!$G$2:$G$472,""))</f>
        <v/>
      </c>
      <c r="T2683">
        <f t="shared" si="41"/>
        <v>1</v>
      </c>
    </row>
    <row r="2684" spans="1:20" ht="14.25" hidden="1" customHeight="1">
      <c r="A2684" s="15">
        <v>2683</v>
      </c>
      <c r="B2684" s="16" t="s">
        <v>8299</v>
      </c>
      <c r="C2684" s="17">
        <v>45515</v>
      </c>
      <c r="D2684" s="15" t="s">
        <v>8300</v>
      </c>
      <c r="E2684" s="18" t="s">
        <v>954</v>
      </c>
      <c r="F2684" s="19" t="s">
        <v>2957</v>
      </c>
      <c r="G2684" s="18" t="s">
        <v>2958</v>
      </c>
      <c r="H2684" s="20" t="s">
        <v>683</v>
      </c>
      <c r="I2684" s="15">
        <v>1</v>
      </c>
      <c r="J2684" s="15" t="s">
        <v>23</v>
      </c>
      <c r="K2684" s="15"/>
      <c r="L2684" s="21" t="s">
        <v>16</v>
      </c>
      <c r="M2684" s="22">
        <v>0</v>
      </c>
      <c r="N2684" s="22">
        <v>0</v>
      </c>
      <c r="O2684" s="22">
        <v>9000</v>
      </c>
      <c r="P2684" s="22">
        <v>9000</v>
      </c>
      <c r="Q2684" t="str" cm="1">
        <f t="array" ref="Q2684">_xlfn.TEXTJOIN("、",TRUE,IF('學員資料-三民高中'!$B$2:$B$454=$F2684,'學員資料-三民高中'!$G$2:$G$454,""))</f>
        <v/>
      </c>
      <c r="R2684" t="str" cm="1">
        <f t="array" ref="R2684">_xlfn.TEXTJOIN("、",TRUE,IF('學員資料-新北高中'!$B$2:$B$583=$F2684,'學員資料-新北高中'!$G$2:$G$583,""))</f>
        <v>0933025041</v>
      </c>
      <c r="S2684" t="str" cm="1">
        <f t="array" ref="S2684">_xlfn.TEXTJOIN("、",TRUE,IF('學員資料-三重商工'!$B$2:$B$472=$F2684,'學員資料-三重商工'!$G$2:$G$472,""))</f>
        <v/>
      </c>
      <c r="T2684">
        <f t="shared" si="41"/>
        <v>1</v>
      </c>
    </row>
    <row r="2685" spans="1:20" ht="14.25" hidden="1" customHeight="1">
      <c r="A2685" s="15">
        <v>2684</v>
      </c>
      <c r="B2685" s="16" t="s">
        <v>8301</v>
      </c>
      <c r="C2685" s="17">
        <v>45514</v>
      </c>
      <c r="D2685" s="15" t="s">
        <v>8302</v>
      </c>
      <c r="E2685" s="18" t="s">
        <v>954</v>
      </c>
      <c r="F2685" s="19" t="s">
        <v>8303</v>
      </c>
      <c r="G2685" s="18" t="s">
        <v>8304</v>
      </c>
      <c r="H2685" s="20" t="s">
        <v>5163</v>
      </c>
      <c r="I2685" s="15">
        <v>1</v>
      </c>
      <c r="J2685" s="15" t="s">
        <v>23</v>
      </c>
      <c r="K2685" s="15"/>
      <c r="L2685" s="21" t="s">
        <v>16</v>
      </c>
      <c r="M2685" s="22">
        <v>0</v>
      </c>
      <c r="N2685" s="22">
        <v>0</v>
      </c>
      <c r="O2685" s="22">
        <v>6600</v>
      </c>
      <c r="P2685" s="22">
        <v>6600</v>
      </c>
      <c r="Q2685" t="str" cm="1">
        <f t="array" ref="Q2685">_xlfn.TEXTJOIN("、",TRUE,IF('學員資料-三民高中'!$B$2:$B$454=$F2685,'學員資料-三民高中'!$G$2:$G$454,""))</f>
        <v>0933796857</v>
      </c>
      <c r="R2685" t="str" cm="1">
        <f t="array" ref="R2685">_xlfn.TEXTJOIN("、",TRUE,IF('學員資料-新北高中'!$B$2:$B$583=$F2685,'學員資料-新北高中'!$G$2:$G$583,""))</f>
        <v/>
      </c>
      <c r="S2685" t="str" cm="1">
        <f t="array" ref="S2685">_xlfn.TEXTJOIN("、",TRUE,IF('學員資料-三重商工'!$B$2:$B$472=$F2685,'學員資料-三重商工'!$G$2:$G$472,""))</f>
        <v/>
      </c>
      <c r="T2685">
        <f t="shared" si="41"/>
        <v>1</v>
      </c>
    </row>
    <row r="2686" spans="1:20" ht="14.25" hidden="1" customHeight="1">
      <c r="A2686" s="15">
        <v>2685</v>
      </c>
      <c r="B2686" s="16" t="s">
        <v>8305</v>
      </c>
      <c r="C2686" s="17">
        <v>45514</v>
      </c>
      <c r="D2686" s="15" t="s">
        <v>8306</v>
      </c>
      <c r="E2686" s="18" t="s">
        <v>3862</v>
      </c>
      <c r="F2686" s="19" t="s">
        <v>2031</v>
      </c>
      <c r="G2686" s="18" t="s">
        <v>2032</v>
      </c>
      <c r="H2686" s="20" t="s">
        <v>683</v>
      </c>
      <c r="I2686" s="15">
        <v>1</v>
      </c>
      <c r="J2686" s="15" t="s">
        <v>23</v>
      </c>
      <c r="K2686" s="15"/>
      <c r="L2686" s="21" t="s">
        <v>16</v>
      </c>
      <c r="M2686" s="22">
        <v>0</v>
      </c>
      <c r="N2686" s="22">
        <v>0</v>
      </c>
      <c r="O2686" s="22">
        <v>9000</v>
      </c>
      <c r="P2686" s="22">
        <v>9000</v>
      </c>
      <c r="Q2686" t="str" cm="1">
        <f t="array" ref="Q2686">_xlfn.TEXTJOIN("、",TRUE,IF('學員資料-三民高中'!$B$2:$B$454=$F2686,'學員資料-三民高中'!$G$2:$G$454,""))</f>
        <v/>
      </c>
      <c r="R2686" t="str" cm="1">
        <f t="array" ref="R2686">_xlfn.TEXTJOIN("、",TRUE,IF('學員資料-新北高中'!$B$2:$B$583=$F2686,'學員資料-新北高中'!$G$2:$G$583,""))</f>
        <v>0911143119</v>
      </c>
      <c r="S2686" t="str" cm="1">
        <f t="array" ref="S2686">_xlfn.TEXTJOIN("、",TRUE,IF('學員資料-三重商工'!$B$2:$B$472=$F2686,'學員資料-三重商工'!$G$2:$G$472,""))</f>
        <v/>
      </c>
      <c r="T2686">
        <f t="shared" si="41"/>
        <v>1</v>
      </c>
    </row>
    <row r="2687" spans="1:20" ht="14.25" hidden="1" customHeight="1">
      <c r="A2687" s="15">
        <v>2686</v>
      </c>
      <c r="B2687" s="16" t="s">
        <v>8307</v>
      </c>
      <c r="C2687" s="17">
        <v>45514</v>
      </c>
      <c r="D2687" s="15" t="s">
        <v>8308</v>
      </c>
      <c r="E2687" s="18" t="s">
        <v>954</v>
      </c>
      <c r="F2687" s="19" t="s">
        <v>8309</v>
      </c>
      <c r="G2687" s="18" t="s">
        <v>8310</v>
      </c>
      <c r="H2687" s="20" t="s">
        <v>5148</v>
      </c>
      <c r="I2687" s="15">
        <v>1</v>
      </c>
      <c r="J2687" s="15" t="s">
        <v>25</v>
      </c>
      <c r="K2687" s="15"/>
      <c r="L2687" s="21" t="s">
        <v>16</v>
      </c>
      <c r="M2687" s="22">
        <v>0</v>
      </c>
      <c r="N2687" s="22">
        <v>-900</v>
      </c>
      <c r="O2687" s="22">
        <v>8100</v>
      </c>
      <c r="P2687" s="22">
        <v>8100</v>
      </c>
      <c r="Q2687" t="str" cm="1">
        <f t="array" ref="Q2687">_xlfn.TEXTJOIN("、",TRUE,IF('學員資料-三民高中'!$B$2:$B$454=$F2687,'學員資料-三民高中'!$G$2:$G$454,""))</f>
        <v/>
      </c>
      <c r="R2687" t="str" cm="1">
        <f t="array" ref="R2687">_xlfn.TEXTJOIN("、",TRUE,IF('學員資料-新北高中'!$B$2:$B$583=$F2687,'學員資料-新北高中'!$G$2:$G$583,""))</f>
        <v>0939691004</v>
      </c>
      <c r="S2687" t="str" cm="1">
        <f t="array" ref="S2687">_xlfn.TEXTJOIN("、",TRUE,IF('學員資料-三重商工'!$B$2:$B$472=$F2687,'學員資料-三重商工'!$G$2:$G$472,""))</f>
        <v/>
      </c>
      <c r="T2687">
        <f t="shared" si="41"/>
        <v>1</v>
      </c>
    </row>
    <row r="2688" spans="1:20" ht="14.25" customHeight="1">
      <c r="A2688" s="15">
        <v>2687</v>
      </c>
      <c r="B2688" s="16" t="s">
        <v>8311</v>
      </c>
      <c r="C2688" s="17">
        <v>45514</v>
      </c>
      <c r="D2688" s="15" t="s">
        <v>8312</v>
      </c>
      <c r="E2688" s="18" t="s">
        <v>954</v>
      </c>
      <c r="F2688" s="19" t="s">
        <v>8313</v>
      </c>
      <c r="G2688" s="18" t="s">
        <v>8314</v>
      </c>
      <c r="H2688" s="20" t="s">
        <v>5163</v>
      </c>
      <c r="I2688" s="15">
        <v>1</v>
      </c>
      <c r="J2688" s="15" t="s">
        <v>23</v>
      </c>
      <c r="K2688" s="15"/>
      <c r="L2688" s="21" t="s">
        <v>16</v>
      </c>
      <c r="M2688" s="22">
        <v>0</v>
      </c>
      <c r="N2688" s="22">
        <v>-660</v>
      </c>
      <c r="O2688" s="22">
        <v>5940</v>
      </c>
      <c r="P2688" s="22">
        <v>5940</v>
      </c>
      <c r="Q2688" t="str" cm="1">
        <f t="array" ref="Q2688">_xlfn.TEXTJOIN("、",TRUE,IF('學員資料-三民高中'!$B$2:$B$454=$F2688,'學員資料-三民高中'!$G$2:$G$454,""))</f>
        <v/>
      </c>
      <c r="R2688" t="str" cm="1">
        <f t="array" ref="R2688">_xlfn.TEXTJOIN("、",TRUE,IF('學員資料-新北高中'!$B$2:$B$583=$F2688,'學員資料-新北高中'!$G$2:$G$583,""))</f>
        <v/>
      </c>
      <c r="S2688" t="str" cm="1">
        <f t="array" ref="S2688">_xlfn.TEXTJOIN("、",TRUE,IF('學員資料-三重商工'!$B$2:$B$472=$F2688,'學員資料-三重商工'!$G$2:$G$472,""))</f>
        <v/>
      </c>
      <c r="T2688">
        <f t="shared" si="41"/>
        <v>0</v>
      </c>
    </row>
    <row r="2689" spans="1:20" ht="14.25" customHeight="1">
      <c r="A2689" s="15">
        <v>2688</v>
      </c>
      <c r="B2689" s="16" t="s">
        <v>8315</v>
      </c>
      <c r="C2689" s="17">
        <v>45514</v>
      </c>
      <c r="D2689" s="15" t="s">
        <v>8316</v>
      </c>
      <c r="E2689" s="18" t="s">
        <v>954</v>
      </c>
      <c r="F2689" s="19" t="s">
        <v>8313</v>
      </c>
      <c r="G2689" s="18" t="s">
        <v>8314</v>
      </c>
      <c r="H2689" s="20" t="s">
        <v>5163</v>
      </c>
      <c r="I2689" s="15">
        <v>1</v>
      </c>
      <c r="J2689" s="15" t="s">
        <v>23</v>
      </c>
      <c r="K2689" s="15"/>
      <c r="L2689" s="21" t="s">
        <v>16</v>
      </c>
      <c r="M2689" s="22">
        <v>0</v>
      </c>
      <c r="N2689" s="22">
        <v>-660</v>
      </c>
      <c r="O2689" s="22">
        <v>5940</v>
      </c>
      <c r="P2689" s="22">
        <v>5940</v>
      </c>
      <c r="Q2689" t="str" cm="1">
        <f t="array" ref="Q2689">_xlfn.TEXTJOIN("、",TRUE,IF('學員資料-三民高中'!$B$2:$B$454=$F2689,'學員資料-三民高中'!$G$2:$G$454,""))</f>
        <v/>
      </c>
      <c r="R2689" t="str" cm="1">
        <f t="array" ref="R2689">_xlfn.TEXTJOIN("、",TRUE,IF('學員資料-新北高中'!$B$2:$B$583=$F2689,'學員資料-新北高中'!$G$2:$G$583,""))</f>
        <v/>
      </c>
      <c r="S2689" t="str" cm="1">
        <f t="array" ref="S2689">_xlfn.TEXTJOIN("、",TRUE,IF('學員資料-三重商工'!$B$2:$B$472=$F2689,'學員資料-三重商工'!$G$2:$G$472,""))</f>
        <v/>
      </c>
      <c r="T2689">
        <f t="shared" si="41"/>
        <v>0</v>
      </c>
    </row>
    <row r="2690" spans="1:20" ht="28.5" customHeight="1">
      <c r="A2690" s="15">
        <v>2689</v>
      </c>
      <c r="B2690" s="16" t="s">
        <v>8317</v>
      </c>
      <c r="C2690" s="17">
        <v>45514</v>
      </c>
      <c r="D2690" s="15" t="s">
        <v>8318</v>
      </c>
      <c r="E2690" s="18" t="s">
        <v>954</v>
      </c>
      <c r="F2690" s="19" t="s">
        <v>7957</v>
      </c>
      <c r="G2690" s="23"/>
      <c r="H2690" s="20" t="s">
        <v>5154</v>
      </c>
      <c r="I2690" s="15">
        <v>2</v>
      </c>
      <c r="J2690" s="15" t="s">
        <v>24</v>
      </c>
      <c r="K2690" s="15"/>
      <c r="L2690" s="21" t="s">
        <v>16</v>
      </c>
      <c r="M2690" s="22">
        <v>0</v>
      </c>
      <c r="N2690" s="22">
        <v>-1440</v>
      </c>
      <c r="O2690" s="22">
        <v>12960</v>
      </c>
      <c r="P2690" s="22">
        <v>12960</v>
      </c>
      <c r="Q2690" t="str" cm="1">
        <f t="array" ref="Q2690">_xlfn.TEXTJOIN("、",TRUE,IF('學員資料-三民高中'!$B$2:$B$454=$F2690,'學員資料-三民高中'!$G$2:$G$454,""))</f>
        <v/>
      </c>
      <c r="R2690" t="str" cm="1">
        <f t="array" ref="R2690">_xlfn.TEXTJOIN("、",TRUE,IF('學員資料-新北高中'!$B$2:$B$583=$F2690,'學員資料-新北高中'!$G$2:$G$583,""))</f>
        <v/>
      </c>
      <c r="S2690" t="str" cm="1">
        <f t="array" ref="S2690">_xlfn.TEXTJOIN("、",TRUE,IF('學員資料-三重商工'!$B$2:$B$472=$F2690,'學員資料-三重商工'!$G$2:$G$472,""))</f>
        <v/>
      </c>
      <c r="T2690">
        <f t="shared" si="41"/>
        <v>0</v>
      </c>
    </row>
    <row r="2691" spans="1:20" ht="14.25" hidden="1" customHeight="1">
      <c r="A2691" s="15">
        <v>2690</v>
      </c>
      <c r="B2691" s="16" t="s">
        <v>8319</v>
      </c>
      <c r="C2691" s="17">
        <v>45514</v>
      </c>
      <c r="D2691" s="15" t="s">
        <v>8320</v>
      </c>
      <c r="E2691" s="18" t="s">
        <v>954</v>
      </c>
      <c r="F2691" s="19" t="s">
        <v>8321</v>
      </c>
      <c r="G2691" s="18" t="s">
        <v>1597</v>
      </c>
      <c r="H2691" s="20" t="s">
        <v>5211</v>
      </c>
      <c r="I2691" s="15">
        <v>1</v>
      </c>
      <c r="J2691" s="15" t="s">
        <v>26</v>
      </c>
      <c r="K2691" s="15"/>
      <c r="L2691" s="21" t="s">
        <v>16</v>
      </c>
      <c r="M2691" s="22">
        <v>0</v>
      </c>
      <c r="N2691" s="22">
        <v>0</v>
      </c>
      <c r="O2691" s="22">
        <v>10800</v>
      </c>
      <c r="P2691" s="22">
        <v>10800</v>
      </c>
      <c r="Q2691" t="str" cm="1">
        <f t="array" ref="Q2691">_xlfn.TEXTJOIN("、",TRUE,IF('學員資料-三民高中'!$B$2:$B$454=$F2691,'學員資料-三民高中'!$G$2:$G$454,""))</f>
        <v>0915172967</v>
      </c>
      <c r="R2691" t="str" cm="1">
        <f t="array" ref="R2691">_xlfn.TEXTJOIN("、",TRUE,IF('學員資料-新北高中'!$B$2:$B$583=$F2691,'學員資料-新北高中'!$G$2:$G$583,""))</f>
        <v/>
      </c>
      <c r="S2691" t="str" cm="1">
        <f t="array" ref="S2691">_xlfn.TEXTJOIN("、",TRUE,IF('學員資料-三重商工'!$B$2:$B$472=$F2691,'學員資料-三重商工'!$G$2:$G$472,""))</f>
        <v/>
      </c>
      <c r="T2691">
        <f t="shared" ref="T2691:T2754" si="42">3-COUNTBLANK(Q2691:S2691)</f>
        <v>1</v>
      </c>
    </row>
    <row r="2692" spans="1:20" ht="14.25" hidden="1" customHeight="1">
      <c r="A2692" s="15">
        <v>2691</v>
      </c>
      <c r="B2692" s="16" t="s">
        <v>8322</v>
      </c>
      <c r="C2692" s="17">
        <v>45514</v>
      </c>
      <c r="D2692" s="15" t="s">
        <v>8323</v>
      </c>
      <c r="E2692" s="18" t="s">
        <v>954</v>
      </c>
      <c r="F2692" s="19" t="s">
        <v>8324</v>
      </c>
      <c r="G2692" s="18" t="s">
        <v>8325</v>
      </c>
      <c r="H2692" s="20" t="s">
        <v>5211</v>
      </c>
      <c r="I2692" s="15">
        <v>1</v>
      </c>
      <c r="J2692" s="15" t="s">
        <v>26</v>
      </c>
      <c r="K2692" s="15"/>
      <c r="L2692" s="21" t="s">
        <v>16</v>
      </c>
      <c r="M2692" s="22">
        <v>0</v>
      </c>
      <c r="N2692" s="22">
        <v>0</v>
      </c>
      <c r="O2692" s="22">
        <v>10800</v>
      </c>
      <c r="P2692" s="22">
        <v>10800</v>
      </c>
      <c r="Q2692" t="str" cm="1">
        <f t="array" ref="Q2692">_xlfn.TEXTJOIN("、",TRUE,IF('學員資料-三民高中'!$B$2:$B$454=$F2692,'學員資料-三民高中'!$G$2:$G$454,""))</f>
        <v>0970621800</v>
      </c>
      <c r="R2692" t="str" cm="1">
        <f t="array" ref="R2692">_xlfn.TEXTJOIN("、",TRUE,IF('學員資料-新北高中'!$B$2:$B$583=$F2692,'學員資料-新北高中'!$G$2:$G$583,""))</f>
        <v/>
      </c>
      <c r="S2692" t="str" cm="1">
        <f t="array" ref="S2692">_xlfn.TEXTJOIN("、",TRUE,IF('學員資料-三重商工'!$B$2:$B$472=$F2692,'學員資料-三重商工'!$G$2:$G$472,""))</f>
        <v/>
      </c>
      <c r="T2692">
        <f t="shared" si="42"/>
        <v>1</v>
      </c>
    </row>
    <row r="2693" spans="1:20" ht="14.25" hidden="1" customHeight="1">
      <c r="A2693" s="15">
        <v>2692</v>
      </c>
      <c r="B2693" s="16" t="s">
        <v>8326</v>
      </c>
      <c r="C2693" s="17">
        <v>45514</v>
      </c>
      <c r="D2693" s="15" t="s">
        <v>8327</v>
      </c>
      <c r="E2693" s="18" t="s">
        <v>954</v>
      </c>
      <c r="F2693" s="19" t="s">
        <v>6625</v>
      </c>
      <c r="G2693" s="18" t="s">
        <v>6626</v>
      </c>
      <c r="H2693" s="20" t="s">
        <v>5131</v>
      </c>
      <c r="I2693" s="15">
        <v>1</v>
      </c>
      <c r="J2693" s="15" t="s">
        <v>24</v>
      </c>
      <c r="K2693" s="15"/>
      <c r="L2693" s="21" t="s">
        <v>16</v>
      </c>
      <c r="M2693" s="22">
        <v>0</v>
      </c>
      <c r="N2693" s="22">
        <v>-720</v>
      </c>
      <c r="O2693" s="22">
        <v>6480</v>
      </c>
      <c r="P2693" s="22">
        <v>6480</v>
      </c>
      <c r="Q2693" t="str" cm="1">
        <f t="array" ref="Q2693">_xlfn.TEXTJOIN("、",TRUE,IF('學員資料-三民高中'!$B$2:$B$454=$F2693,'學員資料-三民高中'!$G$2:$G$454,""))</f>
        <v>0910315336</v>
      </c>
      <c r="R2693" t="str" cm="1">
        <f t="array" ref="R2693">_xlfn.TEXTJOIN("、",TRUE,IF('學員資料-新北高中'!$B$2:$B$583=$F2693,'學員資料-新北高中'!$G$2:$G$583,""))</f>
        <v/>
      </c>
      <c r="S2693" t="str" cm="1">
        <f t="array" ref="S2693">_xlfn.TEXTJOIN("、",TRUE,IF('學員資料-三重商工'!$B$2:$B$472=$F2693,'學員資料-三重商工'!$G$2:$G$472,""))</f>
        <v/>
      </c>
      <c r="T2693">
        <f t="shared" si="42"/>
        <v>1</v>
      </c>
    </row>
    <row r="2694" spans="1:20" ht="14.25" hidden="1" customHeight="1">
      <c r="A2694" s="15">
        <v>2693</v>
      </c>
      <c r="B2694" s="16" t="s">
        <v>8328</v>
      </c>
      <c r="C2694" s="17">
        <v>45514</v>
      </c>
      <c r="D2694" s="15" t="s">
        <v>8329</v>
      </c>
      <c r="E2694" s="18" t="s">
        <v>954</v>
      </c>
      <c r="F2694" s="19" t="s">
        <v>2317</v>
      </c>
      <c r="G2694" s="18" t="s">
        <v>2318</v>
      </c>
      <c r="H2694" s="20" t="s">
        <v>266</v>
      </c>
      <c r="I2694" s="15">
        <v>1</v>
      </c>
      <c r="J2694" s="15" t="s">
        <v>24</v>
      </c>
      <c r="K2694" s="15"/>
      <c r="L2694" s="21" t="s">
        <v>16</v>
      </c>
      <c r="M2694" s="22">
        <v>0</v>
      </c>
      <c r="N2694" s="22">
        <v>0</v>
      </c>
      <c r="O2694" s="22">
        <v>10800</v>
      </c>
      <c r="P2694" s="22">
        <v>10800</v>
      </c>
      <c r="Q2694" t="str" cm="1">
        <f t="array" ref="Q2694">_xlfn.TEXTJOIN("、",TRUE,IF('學員資料-三民高中'!$B$2:$B$454=$F2694,'學員資料-三民高中'!$G$2:$G$454,""))</f>
        <v/>
      </c>
      <c r="R2694" t="str" cm="1">
        <f t="array" ref="R2694">_xlfn.TEXTJOIN("、",TRUE,IF('學員資料-新北高中'!$B$2:$B$583=$F2694,'學員資料-新北高中'!$G$2:$G$583,""))</f>
        <v>0937027629</v>
      </c>
      <c r="S2694" t="str" cm="1">
        <f t="array" ref="S2694">_xlfn.TEXTJOIN("、",TRUE,IF('學員資料-三重商工'!$B$2:$B$472=$F2694,'學員資料-三重商工'!$G$2:$G$472,""))</f>
        <v/>
      </c>
      <c r="T2694">
        <f t="shared" si="42"/>
        <v>1</v>
      </c>
    </row>
    <row r="2695" spans="1:20" ht="14.25" hidden="1" customHeight="1">
      <c r="A2695" s="15">
        <v>2694</v>
      </c>
      <c r="B2695" s="16" t="s">
        <v>8330</v>
      </c>
      <c r="C2695" s="17">
        <v>45514</v>
      </c>
      <c r="D2695" s="15" t="s">
        <v>8331</v>
      </c>
      <c r="E2695" s="18" t="s">
        <v>954</v>
      </c>
      <c r="F2695" s="19" t="s">
        <v>8332</v>
      </c>
      <c r="G2695" s="18" t="s">
        <v>8333</v>
      </c>
      <c r="H2695" s="20" t="s">
        <v>5131</v>
      </c>
      <c r="I2695" s="15">
        <v>1</v>
      </c>
      <c r="J2695" s="15" t="s">
        <v>24</v>
      </c>
      <c r="K2695" s="15"/>
      <c r="L2695" s="21" t="s">
        <v>16</v>
      </c>
      <c r="M2695" s="22">
        <v>0</v>
      </c>
      <c r="N2695" s="22">
        <v>0</v>
      </c>
      <c r="O2695" s="22">
        <v>7200</v>
      </c>
      <c r="P2695" s="22">
        <v>7200</v>
      </c>
      <c r="Q2695" t="str" cm="1">
        <f t="array" ref="Q2695">_xlfn.TEXTJOIN("、",TRUE,IF('學員資料-三民高中'!$B$2:$B$454=$F2695,'學員資料-三民高中'!$G$2:$G$454,""))</f>
        <v/>
      </c>
      <c r="R2695" t="str" cm="1">
        <f t="array" ref="R2695">_xlfn.TEXTJOIN("、",TRUE,IF('學員資料-新北高中'!$B$2:$B$583=$F2695,'學員資料-新北高中'!$G$2:$G$583,""))</f>
        <v/>
      </c>
      <c r="S2695" t="str" cm="1">
        <f t="array" ref="S2695">_xlfn.TEXTJOIN("、",TRUE,IF('學員資料-三重商工'!$B$2:$B$472=$F2695,'學員資料-三重商工'!$G$2:$G$472,""))</f>
        <v>0934193003</v>
      </c>
      <c r="T2695">
        <f t="shared" si="42"/>
        <v>1</v>
      </c>
    </row>
    <row r="2696" spans="1:20" ht="14.25" hidden="1" customHeight="1">
      <c r="A2696" s="15">
        <v>2695</v>
      </c>
      <c r="B2696" s="16" t="s">
        <v>8334</v>
      </c>
      <c r="C2696" s="17">
        <v>45514</v>
      </c>
      <c r="D2696" s="15" t="s">
        <v>8335</v>
      </c>
      <c r="E2696" s="18" t="s">
        <v>954</v>
      </c>
      <c r="F2696" s="19" t="s">
        <v>2596</v>
      </c>
      <c r="G2696" s="18" t="s">
        <v>2597</v>
      </c>
      <c r="H2696" s="20" t="s">
        <v>5131</v>
      </c>
      <c r="I2696" s="15">
        <v>1</v>
      </c>
      <c r="J2696" s="15" t="s">
        <v>24</v>
      </c>
      <c r="K2696" s="15"/>
      <c r="L2696" s="21" t="s">
        <v>16</v>
      </c>
      <c r="M2696" s="22">
        <v>0</v>
      </c>
      <c r="N2696" s="22">
        <v>0</v>
      </c>
      <c r="O2696" s="22">
        <v>7200</v>
      </c>
      <c r="P2696" s="22">
        <v>7200</v>
      </c>
      <c r="Q2696" t="str" cm="1">
        <f t="array" ref="Q2696">_xlfn.TEXTJOIN("、",TRUE,IF('學員資料-三民高中'!$B$2:$B$454=$F2696,'學員資料-三民高中'!$G$2:$G$454,""))</f>
        <v/>
      </c>
      <c r="R2696" t="str" cm="1">
        <f t="array" ref="R2696">_xlfn.TEXTJOIN("、",TRUE,IF('學員資料-新北高中'!$B$2:$B$583=$F2696,'學員資料-新北高中'!$G$2:$G$583,""))</f>
        <v/>
      </c>
      <c r="S2696" t="str" cm="1">
        <f t="array" ref="S2696">_xlfn.TEXTJOIN("、",TRUE,IF('學員資料-三重商工'!$B$2:$B$472=$F2696,'學員資料-三重商工'!$G$2:$G$472,""))</f>
        <v>0939332750</v>
      </c>
      <c r="T2696">
        <f t="shared" si="42"/>
        <v>1</v>
      </c>
    </row>
    <row r="2697" spans="1:20" ht="14.25" hidden="1" customHeight="1">
      <c r="A2697" s="15">
        <v>2696</v>
      </c>
      <c r="B2697" s="16" t="s">
        <v>8336</v>
      </c>
      <c r="C2697" s="17">
        <v>45514</v>
      </c>
      <c r="D2697" s="15" t="s">
        <v>8337</v>
      </c>
      <c r="E2697" s="18" t="s">
        <v>954</v>
      </c>
      <c r="F2697" s="19" t="s">
        <v>4976</v>
      </c>
      <c r="G2697" s="18" t="s">
        <v>4977</v>
      </c>
      <c r="H2697" s="20" t="s">
        <v>5131</v>
      </c>
      <c r="I2697" s="15">
        <v>1</v>
      </c>
      <c r="J2697" s="15" t="s">
        <v>24</v>
      </c>
      <c r="K2697" s="15"/>
      <c r="L2697" s="21" t="s">
        <v>16</v>
      </c>
      <c r="M2697" s="22">
        <v>0</v>
      </c>
      <c r="N2697" s="22">
        <v>0</v>
      </c>
      <c r="O2697" s="22">
        <v>7200</v>
      </c>
      <c r="P2697" s="22">
        <v>7200</v>
      </c>
      <c r="Q2697" t="str" cm="1">
        <f t="array" ref="Q2697">_xlfn.TEXTJOIN("、",TRUE,IF('學員資料-三民高中'!$B$2:$B$454=$F2697,'學員資料-三民高中'!$G$2:$G$454,""))</f>
        <v/>
      </c>
      <c r="R2697" t="str" cm="1">
        <f t="array" ref="R2697">_xlfn.TEXTJOIN("、",TRUE,IF('學員資料-新北高中'!$B$2:$B$583=$F2697,'學員資料-新北高中'!$G$2:$G$583,""))</f>
        <v/>
      </c>
      <c r="S2697" t="str" cm="1">
        <f t="array" ref="S2697">_xlfn.TEXTJOIN("、",TRUE,IF('學員資料-三重商工'!$B$2:$B$472=$F2697,'學員資料-三重商工'!$G$2:$G$472,""))</f>
        <v>0918903203</v>
      </c>
      <c r="T2697">
        <f t="shared" si="42"/>
        <v>1</v>
      </c>
    </row>
    <row r="2698" spans="1:20" ht="14.25" hidden="1" customHeight="1">
      <c r="A2698" s="15">
        <v>2697</v>
      </c>
      <c r="B2698" s="16" t="s">
        <v>8338</v>
      </c>
      <c r="C2698" s="17">
        <v>45514</v>
      </c>
      <c r="D2698" s="15" t="s">
        <v>8339</v>
      </c>
      <c r="E2698" s="18" t="s">
        <v>954</v>
      </c>
      <c r="F2698" s="19" t="s">
        <v>6415</v>
      </c>
      <c r="G2698" s="18" t="s">
        <v>6416</v>
      </c>
      <c r="H2698" s="20" t="s">
        <v>5131</v>
      </c>
      <c r="I2698" s="15">
        <v>1</v>
      </c>
      <c r="J2698" s="15" t="s">
        <v>24</v>
      </c>
      <c r="K2698" s="15"/>
      <c r="L2698" s="21" t="s">
        <v>16</v>
      </c>
      <c r="M2698" s="22">
        <v>0</v>
      </c>
      <c r="N2698" s="22">
        <v>0</v>
      </c>
      <c r="O2698" s="22">
        <v>7200</v>
      </c>
      <c r="P2698" s="22">
        <v>7200</v>
      </c>
      <c r="Q2698" t="str" cm="1">
        <f t="array" ref="Q2698">_xlfn.TEXTJOIN("、",TRUE,IF('學員資料-三民高中'!$B$2:$B$454=$F2698,'學員資料-三民高中'!$G$2:$G$454,""))</f>
        <v/>
      </c>
      <c r="R2698" t="str" cm="1">
        <f t="array" ref="R2698">_xlfn.TEXTJOIN("、",TRUE,IF('學員資料-新北高中'!$B$2:$B$583=$F2698,'學員資料-新北高中'!$G$2:$G$583,""))</f>
        <v/>
      </c>
      <c r="S2698" t="str" cm="1">
        <f t="array" ref="S2698">_xlfn.TEXTJOIN("、",TRUE,IF('學員資料-三重商工'!$B$2:$B$472=$F2698,'學員資料-三重商工'!$G$2:$G$472,""))</f>
        <v>0921622688</v>
      </c>
      <c r="T2698">
        <f t="shared" si="42"/>
        <v>1</v>
      </c>
    </row>
    <row r="2699" spans="1:20" ht="14.25" hidden="1" customHeight="1">
      <c r="A2699" s="15">
        <v>2698</v>
      </c>
      <c r="B2699" s="16" t="s">
        <v>8340</v>
      </c>
      <c r="C2699" s="17">
        <v>45514</v>
      </c>
      <c r="D2699" s="15" t="s">
        <v>8341</v>
      </c>
      <c r="E2699" s="18" t="s">
        <v>954</v>
      </c>
      <c r="F2699" s="19" t="s">
        <v>1357</v>
      </c>
      <c r="G2699" s="18" t="s">
        <v>1358</v>
      </c>
      <c r="H2699" s="20" t="s">
        <v>5131</v>
      </c>
      <c r="I2699" s="15">
        <v>1</v>
      </c>
      <c r="J2699" s="15" t="s">
        <v>24</v>
      </c>
      <c r="K2699" s="15"/>
      <c r="L2699" s="21" t="s">
        <v>16</v>
      </c>
      <c r="M2699" s="22">
        <v>0</v>
      </c>
      <c r="N2699" s="22">
        <v>0</v>
      </c>
      <c r="O2699" s="22">
        <v>7200</v>
      </c>
      <c r="P2699" s="22">
        <v>7200</v>
      </c>
      <c r="Q2699" t="str" cm="1">
        <f t="array" ref="Q2699">_xlfn.TEXTJOIN("、",TRUE,IF('學員資料-三民高中'!$B$2:$B$454=$F2699,'學員資料-三民高中'!$G$2:$G$454,""))</f>
        <v/>
      </c>
      <c r="R2699" t="str" cm="1">
        <f t="array" ref="R2699">_xlfn.TEXTJOIN("、",TRUE,IF('學員資料-新北高中'!$B$2:$B$583=$F2699,'學員資料-新北高中'!$G$2:$G$583,""))</f>
        <v>0916008818</v>
      </c>
      <c r="S2699" t="str" cm="1">
        <f t="array" ref="S2699">_xlfn.TEXTJOIN("、",TRUE,IF('學員資料-三重商工'!$B$2:$B$472=$F2699,'學員資料-三重商工'!$G$2:$G$472,""))</f>
        <v/>
      </c>
      <c r="T2699">
        <f t="shared" si="42"/>
        <v>1</v>
      </c>
    </row>
    <row r="2700" spans="1:20" ht="14.25" hidden="1" customHeight="1">
      <c r="A2700" s="15">
        <v>2699</v>
      </c>
      <c r="B2700" s="16" t="s">
        <v>8342</v>
      </c>
      <c r="C2700" s="17">
        <v>45514</v>
      </c>
      <c r="D2700" s="15" t="s">
        <v>8343</v>
      </c>
      <c r="E2700" s="18" t="s">
        <v>954</v>
      </c>
      <c r="F2700" s="19" t="s">
        <v>815</v>
      </c>
      <c r="G2700" s="18" t="s">
        <v>816</v>
      </c>
      <c r="H2700" s="20" t="s">
        <v>5148</v>
      </c>
      <c r="I2700" s="15">
        <v>1</v>
      </c>
      <c r="J2700" s="15" t="s">
        <v>25</v>
      </c>
      <c r="K2700" s="15"/>
      <c r="L2700" s="21" t="s">
        <v>16</v>
      </c>
      <c r="M2700" s="22">
        <v>0</v>
      </c>
      <c r="N2700" s="22">
        <v>0</v>
      </c>
      <c r="O2700" s="22">
        <v>9000</v>
      </c>
      <c r="P2700" s="22">
        <v>9000</v>
      </c>
      <c r="Q2700" t="str" cm="1">
        <f t="array" ref="Q2700">_xlfn.TEXTJOIN("、",TRUE,IF('學員資料-三民高中'!$B$2:$B$454=$F2700,'學員資料-三民高中'!$G$2:$G$454,""))</f>
        <v/>
      </c>
      <c r="R2700" t="str" cm="1">
        <f t="array" ref="R2700">_xlfn.TEXTJOIN("、",TRUE,IF('學員資料-新北高中'!$B$2:$B$583=$F2700,'學員資料-新北高中'!$G$2:$G$583,""))</f>
        <v>0972912531</v>
      </c>
      <c r="S2700" t="str" cm="1">
        <f t="array" ref="S2700">_xlfn.TEXTJOIN("、",TRUE,IF('學員資料-三重商工'!$B$2:$B$472=$F2700,'學員資料-三重商工'!$G$2:$G$472,""))</f>
        <v/>
      </c>
      <c r="T2700">
        <f t="shared" si="42"/>
        <v>1</v>
      </c>
    </row>
    <row r="2701" spans="1:20" ht="14.25" hidden="1" customHeight="1">
      <c r="A2701" s="15">
        <v>2700</v>
      </c>
      <c r="B2701" s="16" t="s">
        <v>8344</v>
      </c>
      <c r="C2701" s="17">
        <v>45514</v>
      </c>
      <c r="D2701" s="15" t="s">
        <v>8345</v>
      </c>
      <c r="E2701" s="18" t="s">
        <v>954</v>
      </c>
      <c r="F2701" s="19" t="s">
        <v>2402</v>
      </c>
      <c r="G2701" s="18" t="s">
        <v>2403</v>
      </c>
      <c r="H2701" s="20" t="s">
        <v>5131</v>
      </c>
      <c r="I2701" s="15">
        <v>1</v>
      </c>
      <c r="J2701" s="15" t="s">
        <v>24</v>
      </c>
      <c r="K2701" s="15"/>
      <c r="L2701" s="21" t="s">
        <v>16</v>
      </c>
      <c r="M2701" s="22">
        <v>0</v>
      </c>
      <c r="N2701" s="22">
        <v>0</v>
      </c>
      <c r="O2701" s="22">
        <v>7200</v>
      </c>
      <c r="P2701" s="22">
        <v>7200</v>
      </c>
      <c r="Q2701" t="str" cm="1">
        <f t="array" ref="Q2701">_xlfn.TEXTJOIN("、",TRUE,IF('學員資料-三民高中'!$B$2:$B$454=$F2701,'學員資料-三民高中'!$G$2:$G$454,""))</f>
        <v/>
      </c>
      <c r="R2701" t="str" cm="1">
        <f t="array" ref="R2701">_xlfn.TEXTJOIN("、",TRUE,IF('學員資料-新北高中'!$B$2:$B$583=$F2701,'學員資料-新北高中'!$G$2:$G$583,""))</f>
        <v>0922639775</v>
      </c>
      <c r="S2701" t="str" cm="1">
        <f t="array" ref="S2701">_xlfn.TEXTJOIN("、",TRUE,IF('學員資料-三重商工'!$B$2:$B$472=$F2701,'學員資料-三重商工'!$G$2:$G$472,""))</f>
        <v/>
      </c>
      <c r="T2701">
        <f t="shared" si="42"/>
        <v>1</v>
      </c>
    </row>
    <row r="2702" spans="1:20" ht="14.25" hidden="1" customHeight="1">
      <c r="A2702" s="15">
        <v>2701</v>
      </c>
      <c r="B2702" s="16" t="s">
        <v>8346</v>
      </c>
      <c r="C2702" s="17">
        <v>45513</v>
      </c>
      <c r="D2702" s="15" t="s">
        <v>8347</v>
      </c>
      <c r="E2702" s="18" t="s">
        <v>954</v>
      </c>
      <c r="F2702" s="19" t="s">
        <v>4976</v>
      </c>
      <c r="G2702" s="18" t="s">
        <v>4977</v>
      </c>
      <c r="H2702" s="20" t="s">
        <v>5131</v>
      </c>
      <c r="I2702" s="15">
        <v>1</v>
      </c>
      <c r="J2702" s="15" t="s">
        <v>24</v>
      </c>
      <c r="K2702" s="15"/>
      <c r="L2702" s="21" t="s">
        <v>16</v>
      </c>
      <c r="M2702" s="22">
        <v>0</v>
      </c>
      <c r="N2702" s="22">
        <v>-720</v>
      </c>
      <c r="O2702" s="22">
        <v>6480</v>
      </c>
      <c r="P2702" s="22">
        <v>6480</v>
      </c>
      <c r="Q2702" t="str" cm="1">
        <f t="array" ref="Q2702">_xlfn.TEXTJOIN("、",TRUE,IF('學員資料-三民高中'!$B$2:$B$454=$F2702,'學員資料-三民高中'!$G$2:$G$454,""))</f>
        <v/>
      </c>
      <c r="R2702" t="str" cm="1">
        <f t="array" ref="R2702">_xlfn.TEXTJOIN("、",TRUE,IF('學員資料-新北高中'!$B$2:$B$583=$F2702,'學員資料-新北高中'!$G$2:$G$583,""))</f>
        <v/>
      </c>
      <c r="S2702" t="str" cm="1">
        <f t="array" ref="S2702">_xlfn.TEXTJOIN("、",TRUE,IF('學員資料-三重商工'!$B$2:$B$472=$F2702,'學員資料-三重商工'!$G$2:$G$472,""))</f>
        <v>0918903203</v>
      </c>
      <c r="T2702">
        <f t="shared" si="42"/>
        <v>1</v>
      </c>
    </row>
    <row r="2703" spans="1:20" ht="14.25" hidden="1" customHeight="1">
      <c r="A2703" s="15">
        <v>2702</v>
      </c>
      <c r="B2703" s="16" t="s">
        <v>8348</v>
      </c>
      <c r="C2703" s="17">
        <v>45513</v>
      </c>
      <c r="D2703" s="15" t="s">
        <v>8349</v>
      </c>
      <c r="E2703" s="18" t="s">
        <v>954</v>
      </c>
      <c r="F2703" s="19" t="s">
        <v>4976</v>
      </c>
      <c r="G2703" s="18" t="s">
        <v>4977</v>
      </c>
      <c r="H2703" s="20" t="s">
        <v>5131</v>
      </c>
      <c r="I2703" s="15">
        <v>1</v>
      </c>
      <c r="J2703" s="15" t="s">
        <v>24</v>
      </c>
      <c r="K2703" s="15"/>
      <c r="L2703" s="21" t="s">
        <v>16</v>
      </c>
      <c r="M2703" s="22">
        <v>0</v>
      </c>
      <c r="N2703" s="22">
        <v>0</v>
      </c>
      <c r="O2703" s="22">
        <v>7200</v>
      </c>
      <c r="P2703" s="22">
        <v>7200</v>
      </c>
      <c r="Q2703" t="str" cm="1">
        <f t="array" ref="Q2703">_xlfn.TEXTJOIN("、",TRUE,IF('學員資料-三民高中'!$B$2:$B$454=$F2703,'學員資料-三民高中'!$G$2:$G$454,""))</f>
        <v/>
      </c>
      <c r="R2703" t="str" cm="1">
        <f t="array" ref="R2703">_xlfn.TEXTJOIN("、",TRUE,IF('學員資料-新北高中'!$B$2:$B$583=$F2703,'學員資料-新北高中'!$G$2:$G$583,""))</f>
        <v/>
      </c>
      <c r="S2703" t="str" cm="1">
        <f t="array" ref="S2703">_xlfn.TEXTJOIN("、",TRUE,IF('學員資料-三重商工'!$B$2:$B$472=$F2703,'學員資料-三重商工'!$G$2:$G$472,""))</f>
        <v>0918903203</v>
      </c>
      <c r="T2703">
        <f t="shared" si="42"/>
        <v>1</v>
      </c>
    </row>
    <row r="2704" spans="1:20" ht="14.25" hidden="1" customHeight="1">
      <c r="A2704" s="15">
        <v>2703</v>
      </c>
      <c r="B2704" s="16" t="s">
        <v>8350</v>
      </c>
      <c r="C2704" s="17">
        <v>45513</v>
      </c>
      <c r="D2704" s="15" t="s">
        <v>8351</v>
      </c>
      <c r="E2704" s="18" t="s">
        <v>954</v>
      </c>
      <c r="F2704" s="19" t="s">
        <v>1149</v>
      </c>
      <c r="G2704" s="18" t="s">
        <v>1150</v>
      </c>
      <c r="H2704" s="20" t="s">
        <v>5163</v>
      </c>
      <c r="I2704" s="15">
        <v>1</v>
      </c>
      <c r="J2704" s="15" t="s">
        <v>23</v>
      </c>
      <c r="K2704" s="15"/>
      <c r="L2704" s="21" t="s">
        <v>16</v>
      </c>
      <c r="M2704" s="22">
        <v>0</v>
      </c>
      <c r="N2704" s="22">
        <v>0</v>
      </c>
      <c r="O2704" s="22">
        <v>6600</v>
      </c>
      <c r="P2704" s="22">
        <v>6600</v>
      </c>
      <c r="Q2704" t="str" cm="1">
        <f t="array" ref="Q2704">_xlfn.TEXTJOIN("、",TRUE,IF('學員資料-三民高中'!$B$2:$B$454=$F2704,'學員資料-三民高中'!$G$2:$G$454,""))</f>
        <v/>
      </c>
      <c r="R2704" t="str" cm="1">
        <f t="array" ref="R2704">_xlfn.TEXTJOIN("、",TRUE,IF('學員資料-新北高中'!$B$2:$B$583=$F2704,'學員資料-新北高中'!$G$2:$G$583,""))</f>
        <v>0921812164</v>
      </c>
      <c r="S2704" t="str" cm="1">
        <f t="array" ref="S2704">_xlfn.TEXTJOIN("、",TRUE,IF('學員資料-三重商工'!$B$2:$B$472=$F2704,'學員資料-三重商工'!$G$2:$G$472,""))</f>
        <v/>
      </c>
      <c r="T2704">
        <f t="shared" si="42"/>
        <v>1</v>
      </c>
    </row>
    <row r="2705" spans="1:20" ht="14.25" hidden="1" customHeight="1">
      <c r="A2705" s="15">
        <v>2704</v>
      </c>
      <c r="B2705" s="16" t="s">
        <v>8352</v>
      </c>
      <c r="C2705" s="17">
        <v>45513</v>
      </c>
      <c r="D2705" s="15" t="s">
        <v>8353</v>
      </c>
      <c r="E2705" s="18" t="s">
        <v>954</v>
      </c>
      <c r="F2705" s="19" t="s">
        <v>2104</v>
      </c>
      <c r="G2705" s="18" t="s">
        <v>2105</v>
      </c>
      <c r="H2705" s="20" t="s">
        <v>683</v>
      </c>
      <c r="I2705" s="15">
        <v>1</v>
      </c>
      <c r="J2705" s="15" t="s">
        <v>23</v>
      </c>
      <c r="K2705" s="15"/>
      <c r="L2705" s="21" t="s">
        <v>16</v>
      </c>
      <c r="M2705" s="22">
        <v>0</v>
      </c>
      <c r="N2705" s="22">
        <v>0</v>
      </c>
      <c r="O2705" s="22">
        <v>9000</v>
      </c>
      <c r="P2705" s="22">
        <v>9000</v>
      </c>
      <c r="Q2705" t="str" cm="1">
        <f t="array" ref="Q2705">_xlfn.TEXTJOIN("、",TRUE,IF('學員資料-三民高中'!$B$2:$B$454=$F2705,'學員資料-三民高中'!$G$2:$G$454,""))</f>
        <v/>
      </c>
      <c r="R2705" t="str" cm="1">
        <f t="array" ref="R2705">_xlfn.TEXTJOIN("、",TRUE,IF('學員資料-新北高中'!$B$2:$B$583=$F2705,'學員資料-新北高中'!$G$2:$G$583,""))</f>
        <v>0916333432</v>
      </c>
      <c r="S2705" t="str" cm="1">
        <f t="array" ref="S2705">_xlfn.TEXTJOIN("、",TRUE,IF('學員資料-三重商工'!$B$2:$B$472=$F2705,'學員資料-三重商工'!$G$2:$G$472,""))</f>
        <v/>
      </c>
      <c r="T2705">
        <f t="shared" si="42"/>
        <v>1</v>
      </c>
    </row>
    <row r="2706" spans="1:20" ht="14.25" hidden="1" customHeight="1">
      <c r="A2706" s="15">
        <v>2705</v>
      </c>
      <c r="B2706" s="16" t="s">
        <v>8354</v>
      </c>
      <c r="C2706" s="17">
        <v>45513</v>
      </c>
      <c r="D2706" s="15" t="s">
        <v>8355</v>
      </c>
      <c r="E2706" s="18" t="s">
        <v>954</v>
      </c>
      <c r="F2706" s="19" t="s">
        <v>4300</v>
      </c>
      <c r="G2706" s="18" t="s">
        <v>4301</v>
      </c>
      <c r="H2706" s="20" t="s">
        <v>5131</v>
      </c>
      <c r="I2706" s="15">
        <v>1</v>
      </c>
      <c r="J2706" s="15" t="s">
        <v>24</v>
      </c>
      <c r="K2706" s="15"/>
      <c r="L2706" s="21" t="s">
        <v>16</v>
      </c>
      <c r="M2706" s="22">
        <v>0</v>
      </c>
      <c r="N2706" s="22">
        <v>-1320</v>
      </c>
      <c r="O2706" s="22">
        <v>5880</v>
      </c>
      <c r="P2706" s="22">
        <v>5880</v>
      </c>
      <c r="Q2706" t="str" cm="1">
        <f t="array" ref="Q2706">_xlfn.TEXTJOIN("、",TRUE,IF('學員資料-三民高中'!$B$2:$B$454=$F2706,'學員資料-三民高中'!$G$2:$G$454,""))</f>
        <v/>
      </c>
      <c r="R2706" t="str" cm="1">
        <f t="array" ref="R2706">_xlfn.TEXTJOIN("、",TRUE,IF('學員資料-新北高中'!$B$2:$B$583=$F2706,'學員資料-新北高中'!$G$2:$G$583,""))</f>
        <v>0952668021</v>
      </c>
      <c r="S2706" t="str" cm="1">
        <f t="array" ref="S2706">_xlfn.TEXTJOIN("、",TRUE,IF('學員資料-三重商工'!$B$2:$B$472=$F2706,'學員資料-三重商工'!$G$2:$G$472,""))</f>
        <v/>
      </c>
      <c r="T2706">
        <f t="shared" si="42"/>
        <v>1</v>
      </c>
    </row>
    <row r="2707" spans="1:20" ht="28.5" hidden="1" customHeight="1">
      <c r="A2707" s="15">
        <v>2706</v>
      </c>
      <c r="B2707" s="16" t="s">
        <v>8356</v>
      </c>
      <c r="C2707" s="17">
        <v>45513</v>
      </c>
      <c r="D2707" s="15" t="s">
        <v>8357</v>
      </c>
      <c r="E2707" s="18" t="s">
        <v>954</v>
      </c>
      <c r="F2707" s="19" t="s">
        <v>4300</v>
      </c>
      <c r="G2707" s="18" t="s">
        <v>4301</v>
      </c>
      <c r="H2707" s="20" t="s">
        <v>6631</v>
      </c>
      <c r="I2707" s="15">
        <v>2</v>
      </c>
      <c r="J2707" s="15" t="s">
        <v>24</v>
      </c>
      <c r="K2707" s="21" t="s">
        <v>116</v>
      </c>
      <c r="L2707" s="21" t="s">
        <v>16</v>
      </c>
      <c r="M2707" s="22">
        <v>0</v>
      </c>
      <c r="N2707" s="22">
        <v>0</v>
      </c>
      <c r="O2707" s="22">
        <v>1200</v>
      </c>
      <c r="P2707" s="22">
        <v>1200</v>
      </c>
      <c r="Q2707" t="str" cm="1">
        <f t="array" ref="Q2707">_xlfn.TEXTJOIN("、",TRUE,IF('學員資料-三民高中'!$B$2:$B$454=$F2707,'學員資料-三民高中'!$G$2:$G$454,""))</f>
        <v/>
      </c>
      <c r="R2707" t="str" cm="1">
        <f t="array" ref="R2707">_xlfn.TEXTJOIN("、",TRUE,IF('學員資料-新北高中'!$B$2:$B$583=$F2707,'學員資料-新北高中'!$G$2:$G$583,""))</f>
        <v>0952668021</v>
      </c>
      <c r="S2707" t="str" cm="1">
        <f t="array" ref="S2707">_xlfn.TEXTJOIN("、",TRUE,IF('學員資料-三重商工'!$B$2:$B$472=$F2707,'學員資料-三重商工'!$G$2:$G$472,""))</f>
        <v/>
      </c>
      <c r="T2707">
        <f t="shared" si="42"/>
        <v>1</v>
      </c>
    </row>
    <row r="2708" spans="1:20" ht="14.25" hidden="1" customHeight="1">
      <c r="A2708" s="15">
        <v>2707</v>
      </c>
      <c r="B2708" s="16" t="s">
        <v>8358</v>
      </c>
      <c r="C2708" s="17">
        <v>45513</v>
      </c>
      <c r="D2708" s="15" t="s">
        <v>8359</v>
      </c>
      <c r="E2708" s="18" t="s">
        <v>954</v>
      </c>
      <c r="F2708" s="19" t="s">
        <v>8360</v>
      </c>
      <c r="G2708" s="18" t="s">
        <v>8361</v>
      </c>
      <c r="H2708" s="20" t="s">
        <v>683</v>
      </c>
      <c r="I2708" s="15">
        <v>1</v>
      </c>
      <c r="J2708" s="15" t="s">
        <v>23</v>
      </c>
      <c r="K2708" s="15"/>
      <c r="L2708" s="21" t="s">
        <v>16</v>
      </c>
      <c r="M2708" s="22">
        <v>0</v>
      </c>
      <c r="N2708" s="22">
        <v>0</v>
      </c>
      <c r="O2708" s="22">
        <v>9000</v>
      </c>
      <c r="P2708" s="22">
        <v>9000</v>
      </c>
      <c r="Q2708" t="str" cm="1">
        <f t="array" ref="Q2708">_xlfn.TEXTJOIN("、",TRUE,IF('學員資料-三民高中'!$B$2:$B$454=$F2708,'學員資料-三民高中'!$G$2:$G$454,""))</f>
        <v/>
      </c>
      <c r="R2708" t="str" cm="1">
        <f t="array" ref="R2708">_xlfn.TEXTJOIN("、",TRUE,IF('學員資料-新北高中'!$B$2:$B$583=$F2708,'學員資料-新北高中'!$G$2:$G$583,""))</f>
        <v>0953554707-1</v>
      </c>
      <c r="S2708" t="str" cm="1">
        <f t="array" ref="S2708">_xlfn.TEXTJOIN("、",TRUE,IF('學員資料-三重商工'!$B$2:$B$472=$F2708,'學員資料-三重商工'!$G$2:$G$472,""))</f>
        <v/>
      </c>
      <c r="T2708">
        <f t="shared" si="42"/>
        <v>1</v>
      </c>
    </row>
    <row r="2709" spans="1:20" ht="14.25" hidden="1" customHeight="1">
      <c r="A2709" s="15">
        <v>2708</v>
      </c>
      <c r="B2709" s="16" t="s">
        <v>8362</v>
      </c>
      <c r="C2709" s="17">
        <v>45513</v>
      </c>
      <c r="D2709" s="15" t="s">
        <v>8178</v>
      </c>
      <c r="E2709" s="18" t="s">
        <v>3862</v>
      </c>
      <c r="F2709" s="19" t="s">
        <v>8363</v>
      </c>
      <c r="G2709" s="18" t="s">
        <v>8364</v>
      </c>
      <c r="H2709" s="20" t="s">
        <v>5211</v>
      </c>
      <c r="I2709" s="15">
        <v>1</v>
      </c>
      <c r="J2709" s="15" t="s">
        <v>26</v>
      </c>
      <c r="K2709" s="15"/>
      <c r="L2709" s="21" t="s">
        <v>16</v>
      </c>
      <c r="M2709" s="22">
        <v>0</v>
      </c>
      <c r="N2709" s="22">
        <v>-1296</v>
      </c>
      <c r="O2709" s="22">
        <v>9504</v>
      </c>
      <c r="P2709" s="22">
        <v>9504</v>
      </c>
      <c r="Q2709" t="str" cm="1">
        <f t="array" ref="Q2709">_xlfn.TEXTJOIN("、",TRUE,IF('學員資料-三民高中'!$B$2:$B$454=$F2709,'學員資料-三民高中'!$G$2:$G$454,""))</f>
        <v/>
      </c>
      <c r="R2709" t="str" cm="1">
        <f t="array" ref="R2709">_xlfn.TEXTJOIN("、",TRUE,IF('學員資料-新北高中'!$B$2:$B$583=$F2709,'學員資料-新北高中'!$G$2:$G$583,""))</f>
        <v>0987316117</v>
      </c>
      <c r="S2709" t="str" cm="1">
        <f t="array" ref="S2709">_xlfn.TEXTJOIN("、",TRUE,IF('學員資料-三重商工'!$B$2:$B$472=$F2709,'學員資料-三重商工'!$G$2:$G$472,""))</f>
        <v/>
      </c>
      <c r="T2709">
        <f t="shared" si="42"/>
        <v>1</v>
      </c>
    </row>
    <row r="2710" spans="1:20" ht="14.25" hidden="1" customHeight="1">
      <c r="A2710" s="15">
        <v>2709</v>
      </c>
      <c r="B2710" s="16" t="s">
        <v>8365</v>
      </c>
      <c r="C2710" s="17">
        <v>45513</v>
      </c>
      <c r="D2710" s="15" t="s">
        <v>8366</v>
      </c>
      <c r="E2710" s="18" t="s">
        <v>954</v>
      </c>
      <c r="F2710" s="19" t="s">
        <v>8367</v>
      </c>
      <c r="G2710" s="18" t="s">
        <v>8368</v>
      </c>
      <c r="H2710" s="20" t="s">
        <v>5131</v>
      </c>
      <c r="I2710" s="15">
        <v>1</v>
      </c>
      <c r="J2710" s="15" t="s">
        <v>24</v>
      </c>
      <c r="K2710" s="15"/>
      <c r="L2710" s="21" t="s">
        <v>16</v>
      </c>
      <c r="M2710" s="22">
        <v>0</v>
      </c>
      <c r="N2710" s="22">
        <v>-864</v>
      </c>
      <c r="O2710" s="22">
        <v>6336</v>
      </c>
      <c r="P2710" s="22">
        <v>6336</v>
      </c>
      <c r="Q2710" t="str" cm="1">
        <f t="array" ref="Q2710">_xlfn.TEXTJOIN("、",TRUE,IF('學員資料-三民高中'!$B$2:$B$454=$F2710,'學員資料-三民高中'!$G$2:$G$454,""))</f>
        <v/>
      </c>
      <c r="R2710" t="str" cm="1">
        <f t="array" ref="R2710">_xlfn.TEXTJOIN("、",TRUE,IF('學員資料-新北高中'!$B$2:$B$583=$F2710,'學員資料-新北高中'!$G$2:$G$583,""))</f>
        <v>0912148262</v>
      </c>
      <c r="S2710" t="str" cm="1">
        <f t="array" ref="S2710">_xlfn.TEXTJOIN("、",TRUE,IF('學員資料-三重商工'!$B$2:$B$472=$F2710,'學員資料-三重商工'!$G$2:$G$472,""))</f>
        <v/>
      </c>
      <c r="T2710">
        <f t="shared" si="42"/>
        <v>1</v>
      </c>
    </row>
    <row r="2711" spans="1:20" ht="14.25" hidden="1" customHeight="1">
      <c r="A2711" s="15">
        <v>2710</v>
      </c>
      <c r="B2711" s="16" t="s">
        <v>8369</v>
      </c>
      <c r="C2711" s="17">
        <v>45513</v>
      </c>
      <c r="D2711" s="15" t="s">
        <v>8370</v>
      </c>
      <c r="E2711" s="18" t="s">
        <v>954</v>
      </c>
      <c r="F2711" s="19" t="s">
        <v>8371</v>
      </c>
      <c r="G2711" s="18" t="s">
        <v>8372</v>
      </c>
      <c r="H2711" s="20" t="s">
        <v>5148</v>
      </c>
      <c r="I2711" s="15">
        <v>1</v>
      </c>
      <c r="J2711" s="15" t="s">
        <v>25</v>
      </c>
      <c r="K2711" s="15"/>
      <c r="L2711" s="21" t="s">
        <v>16</v>
      </c>
      <c r="M2711" s="22">
        <v>0</v>
      </c>
      <c r="N2711" s="22">
        <v>-1080</v>
      </c>
      <c r="O2711" s="22">
        <v>7920</v>
      </c>
      <c r="P2711" s="22">
        <v>7920</v>
      </c>
      <c r="Q2711" t="str" cm="1">
        <f t="array" ref="Q2711">_xlfn.TEXTJOIN("、",TRUE,IF('學員資料-三民高中'!$B$2:$B$454=$F2711,'學員資料-三民高中'!$G$2:$G$454,""))</f>
        <v/>
      </c>
      <c r="R2711" t="str" cm="1">
        <f t="array" ref="R2711">_xlfn.TEXTJOIN("、",TRUE,IF('學員資料-新北高中'!$B$2:$B$583=$F2711,'學員資料-新北高中'!$G$2:$G$583,""))</f>
        <v>0911503032</v>
      </c>
      <c r="S2711" t="str" cm="1">
        <f t="array" ref="S2711">_xlfn.TEXTJOIN("、",TRUE,IF('學員資料-三重商工'!$B$2:$B$472=$F2711,'學員資料-三重商工'!$G$2:$G$472,""))</f>
        <v/>
      </c>
      <c r="T2711">
        <f t="shared" si="42"/>
        <v>1</v>
      </c>
    </row>
    <row r="2712" spans="1:20" ht="28.5" hidden="1" customHeight="1">
      <c r="A2712" s="15">
        <v>2711</v>
      </c>
      <c r="B2712" s="16" t="s">
        <v>8373</v>
      </c>
      <c r="C2712" s="17">
        <v>45513</v>
      </c>
      <c r="D2712" s="15" t="s">
        <v>8374</v>
      </c>
      <c r="E2712" s="18" t="s">
        <v>954</v>
      </c>
      <c r="F2712" s="19" t="s">
        <v>3533</v>
      </c>
      <c r="G2712" s="18" t="s">
        <v>3534</v>
      </c>
      <c r="H2712" s="20" t="s">
        <v>5206</v>
      </c>
      <c r="I2712" s="15">
        <v>2</v>
      </c>
      <c r="J2712" s="15" t="s">
        <v>23</v>
      </c>
      <c r="K2712" s="15"/>
      <c r="L2712" s="21" t="s">
        <v>16</v>
      </c>
      <c r="M2712" s="22">
        <v>0</v>
      </c>
      <c r="N2712" s="22">
        <v>-1584</v>
      </c>
      <c r="O2712" s="22">
        <v>11616</v>
      </c>
      <c r="P2712" s="22">
        <v>11616</v>
      </c>
      <c r="Q2712" t="str" cm="1">
        <f t="array" ref="Q2712">_xlfn.TEXTJOIN("、",TRUE,IF('學員資料-三民高中'!$B$2:$B$454=$F2712,'學員資料-三民高中'!$G$2:$G$454,""))</f>
        <v/>
      </c>
      <c r="R2712" t="str" cm="1">
        <f t="array" ref="R2712">_xlfn.TEXTJOIN("、",TRUE,IF('學員資料-新北高中'!$B$2:$B$583=$F2712,'學員資料-新北高中'!$G$2:$G$583,""))</f>
        <v>0939999253</v>
      </c>
      <c r="S2712" t="str" cm="1">
        <f t="array" ref="S2712">_xlfn.TEXTJOIN("、",TRUE,IF('學員資料-三重商工'!$B$2:$B$472=$F2712,'學員資料-三重商工'!$G$2:$G$472,""))</f>
        <v/>
      </c>
      <c r="T2712">
        <f t="shared" si="42"/>
        <v>1</v>
      </c>
    </row>
    <row r="2713" spans="1:20" ht="14.25" hidden="1" customHeight="1">
      <c r="A2713" s="15">
        <v>2712</v>
      </c>
      <c r="B2713" s="16" t="s">
        <v>8375</v>
      </c>
      <c r="C2713" s="17">
        <v>45513</v>
      </c>
      <c r="D2713" s="15" t="s">
        <v>8376</v>
      </c>
      <c r="E2713" s="18" t="s">
        <v>954</v>
      </c>
      <c r="F2713" s="19" t="s">
        <v>8377</v>
      </c>
      <c r="G2713" s="18" t="s">
        <v>8378</v>
      </c>
      <c r="H2713" s="20" t="s">
        <v>5131</v>
      </c>
      <c r="I2713" s="15">
        <v>1</v>
      </c>
      <c r="J2713" s="15" t="s">
        <v>24</v>
      </c>
      <c r="K2713" s="15"/>
      <c r="L2713" s="21" t="s">
        <v>16</v>
      </c>
      <c r="M2713" s="22">
        <v>0</v>
      </c>
      <c r="N2713" s="22">
        <v>0</v>
      </c>
      <c r="O2713" s="22">
        <v>7200</v>
      </c>
      <c r="P2713" s="22">
        <v>7200</v>
      </c>
      <c r="Q2713" t="str" cm="1">
        <f t="array" ref="Q2713">_xlfn.TEXTJOIN("、",TRUE,IF('學員資料-三民高中'!$B$2:$B$454=$F2713,'學員資料-三民高中'!$G$2:$G$454,""))</f>
        <v/>
      </c>
      <c r="R2713" t="str" cm="1">
        <f t="array" ref="R2713">_xlfn.TEXTJOIN("、",TRUE,IF('學員資料-新北高中'!$B$2:$B$583=$F2713,'學員資料-新北高中'!$G$2:$G$583,""))</f>
        <v>0963093938</v>
      </c>
      <c r="S2713" t="str" cm="1">
        <f t="array" ref="S2713">_xlfn.TEXTJOIN("、",TRUE,IF('學員資料-三重商工'!$B$2:$B$472=$F2713,'學員資料-三重商工'!$G$2:$G$472,""))</f>
        <v/>
      </c>
      <c r="T2713">
        <f t="shared" si="42"/>
        <v>1</v>
      </c>
    </row>
    <row r="2714" spans="1:20" ht="14.25" hidden="1" customHeight="1">
      <c r="A2714" s="15">
        <v>2713</v>
      </c>
      <c r="B2714" s="16" t="s">
        <v>8379</v>
      </c>
      <c r="C2714" s="17">
        <v>45513</v>
      </c>
      <c r="D2714" s="15" t="s">
        <v>8380</v>
      </c>
      <c r="E2714" s="18" t="s">
        <v>954</v>
      </c>
      <c r="F2714" s="19" t="s">
        <v>8381</v>
      </c>
      <c r="G2714" s="18" t="s">
        <v>8382</v>
      </c>
      <c r="H2714" s="20" t="s">
        <v>5361</v>
      </c>
      <c r="I2714" s="15">
        <v>1</v>
      </c>
      <c r="J2714" s="15" t="s">
        <v>23</v>
      </c>
      <c r="K2714" s="21" t="s">
        <v>116</v>
      </c>
      <c r="L2714" s="21" t="s">
        <v>16</v>
      </c>
      <c r="M2714" s="22">
        <v>0</v>
      </c>
      <c r="N2714" s="22">
        <v>0</v>
      </c>
      <c r="O2714" s="22">
        <v>1100</v>
      </c>
      <c r="P2714" s="22">
        <v>1100</v>
      </c>
      <c r="Q2714" t="str" cm="1">
        <f t="array" ref="Q2714">_xlfn.TEXTJOIN("、",TRUE,IF('學員資料-三民高中'!$B$2:$B$454=$F2714,'學員資料-三民高中'!$G$2:$G$454,""))</f>
        <v/>
      </c>
      <c r="R2714" t="str" cm="1">
        <f t="array" ref="R2714">_xlfn.TEXTJOIN("、",TRUE,IF('學員資料-新北高中'!$B$2:$B$583=$F2714,'學員資料-新北高中'!$G$2:$G$583,""))</f>
        <v>0972995028</v>
      </c>
      <c r="S2714" t="str" cm="1">
        <f t="array" ref="S2714">_xlfn.TEXTJOIN("、",TRUE,IF('學員資料-三重商工'!$B$2:$B$472=$F2714,'學員資料-三重商工'!$G$2:$G$472,""))</f>
        <v/>
      </c>
      <c r="T2714">
        <f t="shared" si="42"/>
        <v>1</v>
      </c>
    </row>
    <row r="2715" spans="1:20" ht="14.25" hidden="1" customHeight="1">
      <c r="A2715" s="15">
        <v>2714</v>
      </c>
      <c r="B2715" s="16" t="s">
        <v>8383</v>
      </c>
      <c r="C2715" s="17">
        <v>45513</v>
      </c>
      <c r="D2715" s="15" t="s">
        <v>8384</v>
      </c>
      <c r="E2715" s="18" t="s">
        <v>954</v>
      </c>
      <c r="F2715" s="19" t="s">
        <v>6206</v>
      </c>
      <c r="G2715" s="18" t="s">
        <v>6207</v>
      </c>
      <c r="H2715" s="20" t="s">
        <v>5131</v>
      </c>
      <c r="I2715" s="15">
        <v>1</v>
      </c>
      <c r="J2715" s="15" t="s">
        <v>24</v>
      </c>
      <c r="K2715" s="15"/>
      <c r="L2715" s="21" t="s">
        <v>16</v>
      </c>
      <c r="M2715" s="22">
        <v>0</v>
      </c>
      <c r="N2715" s="22">
        <v>0</v>
      </c>
      <c r="O2715" s="22">
        <v>7200</v>
      </c>
      <c r="P2715" s="22">
        <v>7200</v>
      </c>
      <c r="Q2715" t="str" cm="1">
        <f t="array" ref="Q2715">_xlfn.TEXTJOIN("、",TRUE,IF('學員資料-三民高中'!$B$2:$B$454=$F2715,'學員資料-三民高中'!$G$2:$G$454,""))</f>
        <v/>
      </c>
      <c r="R2715" t="str" cm="1">
        <f t="array" ref="R2715">_xlfn.TEXTJOIN("、",TRUE,IF('學員資料-新北高中'!$B$2:$B$583=$F2715,'學員資料-新北高中'!$G$2:$G$583,""))</f>
        <v>0952104288</v>
      </c>
      <c r="S2715" t="str" cm="1">
        <f t="array" ref="S2715">_xlfn.TEXTJOIN("、",TRUE,IF('學員資料-三重商工'!$B$2:$B$472=$F2715,'學員資料-三重商工'!$G$2:$G$472,""))</f>
        <v/>
      </c>
      <c r="T2715">
        <f t="shared" si="42"/>
        <v>1</v>
      </c>
    </row>
    <row r="2716" spans="1:20" ht="14.25" hidden="1" customHeight="1">
      <c r="A2716" s="15">
        <v>2715</v>
      </c>
      <c r="B2716" s="16" t="s">
        <v>8385</v>
      </c>
      <c r="C2716" s="17">
        <v>45513</v>
      </c>
      <c r="D2716" s="15" t="s">
        <v>8386</v>
      </c>
      <c r="E2716" s="18" t="s">
        <v>954</v>
      </c>
      <c r="F2716" s="19" t="s">
        <v>8387</v>
      </c>
      <c r="G2716" s="18" t="s">
        <v>8388</v>
      </c>
      <c r="H2716" s="20" t="s">
        <v>5148</v>
      </c>
      <c r="I2716" s="15">
        <v>1</v>
      </c>
      <c r="J2716" s="15" t="s">
        <v>25</v>
      </c>
      <c r="K2716" s="15"/>
      <c r="L2716" s="21" t="s">
        <v>16</v>
      </c>
      <c r="M2716" s="22">
        <v>0</v>
      </c>
      <c r="N2716" s="22">
        <v>-1080</v>
      </c>
      <c r="O2716" s="22">
        <v>7920</v>
      </c>
      <c r="P2716" s="22">
        <v>7920</v>
      </c>
      <c r="Q2716" t="str" cm="1">
        <f t="array" ref="Q2716">_xlfn.TEXTJOIN("、",TRUE,IF('學員資料-三民高中'!$B$2:$B$454=$F2716,'學員資料-三民高中'!$G$2:$G$454,""))</f>
        <v/>
      </c>
      <c r="R2716" t="str" cm="1">
        <f t="array" ref="R2716">_xlfn.TEXTJOIN("、",TRUE,IF('學員資料-新北高中'!$B$2:$B$583=$F2716,'學員資料-新北高中'!$G$2:$G$583,""))</f>
        <v>0931393973</v>
      </c>
      <c r="S2716" t="str" cm="1">
        <f t="array" ref="S2716">_xlfn.TEXTJOIN("、",TRUE,IF('學員資料-三重商工'!$B$2:$B$472=$F2716,'學員資料-三重商工'!$G$2:$G$472,""))</f>
        <v/>
      </c>
      <c r="T2716">
        <f t="shared" si="42"/>
        <v>1</v>
      </c>
    </row>
    <row r="2717" spans="1:20" ht="14.25" hidden="1" customHeight="1">
      <c r="A2717" s="15">
        <v>2716</v>
      </c>
      <c r="B2717" s="16" t="s">
        <v>8389</v>
      </c>
      <c r="C2717" s="17">
        <v>45513</v>
      </c>
      <c r="D2717" s="15" t="s">
        <v>8390</v>
      </c>
      <c r="E2717" s="18" t="s">
        <v>954</v>
      </c>
      <c r="F2717" s="19" t="s">
        <v>8391</v>
      </c>
      <c r="G2717" s="18" t="s">
        <v>748</v>
      </c>
      <c r="H2717" s="20" t="s">
        <v>5131</v>
      </c>
      <c r="I2717" s="15">
        <v>1</v>
      </c>
      <c r="J2717" s="15" t="s">
        <v>24</v>
      </c>
      <c r="K2717" s="15"/>
      <c r="L2717" s="21" t="s">
        <v>16</v>
      </c>
      <c r="M2717" s="22">
        <v>0</v>
      </c>
      <c r="N2717" s="22">
        <v>-864</v>
      </c>
      <c r="O2717" s="22">
        <v>6336</v>
      </c>
      <c r="P2717" s="22">
        <v>6336</v>
      </c>
      <c r="Q2717" t="str" cm="1">
        <f t="array" ref="Q2717">_xlfn.TEXTJOIN("、",TRUE,IF('學員資料-三民高中'!$B$2:$B$454=$F2717,'學員資料-三民高中'!$G$2:$G$454,""))</f>
        <v/>
      </c>
      <c r="R2717" t="str" cm="1">
        <f t="array" ref="R2717">_xlfn.TEXTJOIN("、",TRUE,IF('學員資料-新北高中'!$B$2:$B$583=$F2717,'學員資料-新北高中'!$G$2:$G$583,""))</f>
        <v>0926366288-2</v>
      </c>
      <c r="S2717" t="str" cm="1">
        <f t="array" ref="S2717">_xlfn.TEXTJOIN("、",TRUE,IF('學員資料-三重商工'!$B$2:$B$472=$F2717,'學員資料-三重商工'!$G$2:$G$472,""))</f>
        <v/>
      </c>
      <c r="T2717">
        <f t="shared" si="42"/>
        <v>1</v>
      </c>
    </row>
    <row r="2718" spans="1:20" ht="57.75" hidden="1" customHeight="1">
      <c r="A2718" s="15">
        <v>2717</v>
      </c>
      <c r="B2718" s="16" t="s">
        <v>8392</v>
      </c>
      <c r="C2718" s="17">
        <v>45513</v>
      </c>
      <c r="D2718" s="15" t="s">
        <v>8393</v>
      </c>
      <c r="E2718" s="18" t="s">
        <v>954</v>
      </c>
      <c r="F2718" s="19" t="s">
        <v>8394</v>
      </c>
      <c r="G2718" s="18" t="s">
        <v>8395</v>
      </c>
      <c r="H2718" s="20" t="s">
        <v>6398</v>
      </c>
      <c r="I2718" s="15">
        <v>4</v>
      </c>
      <c r="J2718" s="15" t="s">
        <v>23</v>
      </c>
      <c r="K2718" s="15"/>
      <c r="L2718" s="21" t="s">
        <v>16</v>
      </c>
      <c r="M2718" s="22">
        <v>0</v>
      </c>
      <c r="N2718" s="22">
        <v>-3168</v>
      </c>
      <c r="O2718" s="22">
        <v>23232</v>
      </c>
      <c r="P2718" s="22">
        <v>23232</v>
      </c>
      <c r="Q2718" t="str" cm="1">
        <f t="array" ref="Q2718">_xlfn.TEXTJOIN("、",TRUE,IF('學員資料-三民高中'!$B$2:$B$454=$F2718,'學員資料-三民高中'!$G$2:$G$454,""))</f>
        <v/>
      </c>
      <c r="R2718" t="str" cm="1">
        <f t="array" ref="R2718">_xlfn.TEXTJOIN("、",TRUE,IF('學員資料-新北高中'!$B$2:$B$583=$F2718,'學員資料-新北高中'!$G$2:$G$583,""))</f>
        <v>0911591190</v>
      </c>
      <c r="S2718" t="str" cm="1">
        <f t="array" ref="S2718">_xlfn.TEXTJOIN("、",TRUE,IF('學員資料-三重商工'!$B$2:$B$472=$F2718,'學員資料-三重商工'!$G$2:$G$472,""))</f>
        <v/>
      </c>
      <c r="T2718">
        <f t="shared" si="42"/>
        <v>1</v>
      </c>
    </row>
    <row r="2719" spans="1:20" ht="14.25" hidden="1" customHeight="1">
      <c r="A2719" s="15">
        <v>2718</v>
      </c>
      <c r="B2719" s="16" t="s">
        <v>8396</v>
      </c>
      <c r="C2719" s="17">
        <v>45513</v>
      </c>
      <c r="D2719" s="15" t="s">
        <v>8397</v>
      </c>
      <c r="E2719" s="18" t="s">
        <v>954</v>
      </c>
      <c r="F2719" s="19" t="s">
        <v>5370</v>
      </c>
      <c r="G2719" s="18" t="s">
        <v>5371</v>
      </c>
      <c r="H2719" s="20" t="s">
        <v>5211</v>
      </c>
      <c r="I2719" s="15">
        <v>1</v>
      </c>
      <c r="J2719" s="15" t="s">
        <v>26</v>
      </c>
      <c r="K2719" s="15"/>
      <c r="L2719" s="21" t="s">
        <v>16</v>
      </c>
      <c r="M2719" s="22">
        <v>0</v>
      </c>
      <c r="N2719" s="22">
        <v>-4320</v>
      </c>
      <c r="O2719" s="22">
        <v>6480</v>
      </c>
      <c r="P2719" s="22">
        <v>6480</v>
      </c>
      <c r="Q2719" t="str" cm="1">
        <f t="array" ref="Q2719">_xlfn.TEXTJOIN("、",TRUE,IF('學員資料-三民高中'!$B$2:$B$454=$F2719,'學員資料-三民高中'!$G$2:$G$454,""))</f>
        <v/>
      </c>
      <c r="R2719" t="str" cm="1">
        <f t="array" ref="R2719">_xlfn.TEXTJOIN("、",TRUE,IF('學員資料-新北高中'!$B$2:$B$583=$F2719,'學員資料-新北高中'!$G$2:$G$583,""))</f>
        <v>0922989892</v>
      </c>
      <c r="S2719" t="str" cm="1">
        <f t="array" ref="S2719">_xlfn.TEXTJOIN("、",TRUE,IF('學員資料-三重商工'!$B$2:$B$472=$F2719,'學員資料-三重商工'!$G$2:$G$472,""))</f>
        <v/>
      </c>
      <c r="T2719">
        <f t="shared" si="42"/>
        <v>1</v>
      </c>
    </row>
    <row r="2720" spans="1:20" ht="14.25" hidden="1" customHeight="1">
      <c r="A2720" s="15">
        <v>2719</v>
      </c>
      <c r="B2720" s="16" t="s">
        <v>8398</v>
      </c>
      <c r="C2720" s="17">
        <v>45513</v>
      </c>
      <c r="D2720" s="15" t="s">
        <v>8399</v>
      </c>
      <c r="E2720" s="18" t="s">
        <v>954</v>
      </c>
      <c r="F2720" s="19" t="s">
        <v>8400</v>
      </c>
      <c r="G2720" s="18" t="s">
        <v>8401</v>
      </c>
      <c r="H2720" s="20" t="s">
        <v>5131</v>
      </c>
      <c r="I2720" s="15">
        <v>1</v>
      </c>
      <c r="J2720" s="15" t="s">
        <v>24</v>
      </c>
      <c r="K2720" s="15"/>
      <c r="L2720" s="21" t="s">
        <v>16</v>
      </c>
      <c r="M2720" s="22">
        <v>0</v>
      </c>
      <c r="N2720" s="22">
        <v>0</v>
      </c>
      <c r="O2720" s="22">
        <v>7200</v>
      </c>
      <c r="P2720" s="22">
        <v>7200</v>
      </c>
      <c r="Q2720" t="str" cm="1">
        <f t="array" ref="Q2720">_xlfn.TEXTJOIN("、",TRUE,IF('學員資料-三民高中'!$B$2:$B$454=$F2720,'學員資料-三民高中'!$G$2:$G$454,""))</f>
        <v/>
      </c>
      <c r="R2720" t="str" cm="1">
        <f t="array" ref="R2720">_xlfn.TEXTJOIN("、",TRUE,IF('學員資料-新北高中'!$B$2:$B$583=$F2720,'學員資料-新北高中'!$G$2:$G$583,""))</f>
        <v>0903137057</v>
      </c>
      <c r="S2720" t="str" cm="1">
        <f t="array" ref="S2720">_xlfn.TEXTJOIN("、",TRUE,IF('學員資料-三重商工'!$B$2:$B$472=$F2720,'學員資料-三重商工'!$G$2:$G$472,""))</f>
        <v/>
      </c>
      <c r="T2720">
        <f t="shared" si="42"/>
        <v>1</v>
      </c>
    </row>
    <row r="2721" spans="1:20" ht="14.25" hidden="1" customHeight="1">
      <c r="A2721" s="15">
        <v>2720</v>
      </c>
      <c r="B2721" s="16" t="s">
        <v>8402</v>
      </c>
      <c r="C2721" s="17">
        <v>45513</v>
      </c>
      <c r="D2721" s="15" t="s">
        <v>8403</v>
      </c>
      <c r="E2721" s="18" t="s">
        <v>954</v>
      </c>
      <c r="F2721" s="19" t="s">
        <v>1811</v>
      </c>
      <c r="G2721" s="18" t="s">
        <v>1812</v>
      </c>
      <c r="H2721" s="20" t="s">
        <v>683</v>
      </c>
      <c r="I2721" s="15">
        <v>1</v>
      </c>
      <c r="J2721" s="15" t="s">
        <v>23</v>
      </c>
      <c r="K2721" s="15"/>
      <c r="L2721" s="21" t="s">
        <v>16</v>
      </c>
      <c r="M2721" s="22">
        <v>0</v>
      </c>
      <c r="N2721" s="22">
        <v>-900</v>
      </c>
      <c r="O2721" s="22">
        <v>8100</v>
      </c>
      <c r="P2721" s="22">
        <v>8100</v>
      </c>
      <c r="Q2721" t="str" cm="1">
        <f t="array" ref="Q2721">_xlfn.TEXTJOIN("、",TRUE,IF('學員資料-三民高中'!$B$2:$B$454=$F2721,'學員資料-三民高中'!$G$2:$G$454,""))</f>
        <v/>
      </c>
      <c r="R2721" t="str" cm="1">
        <f t="array" ref="R2721">_xlfn.TEXTJOIN("、",TRUE,IF('學員資料-新北高中'!$B$2:$B$583=$F2721,'學員資料-新北高中'!$G$2:$G$583,""))</f>
        <v>0921387692</v>
      </c>
      <c r="S2721" t="str" cm="1">
        <f t="array" ref="S2721">_xlfn.TEXTJOIN("、",TRUE,IF('學員資料-三重商工'!$B$2:$B$472=$F2721,'學員資料-三重商工'!$G$2:$G$472,""))</f>
        <v/>
      </c>
      <c r="T2721">
        <f t="shared" si="42"/>
        <v>1</v>
      </c>
    </row>
    <row r="2722" spans="1:20" ht="14.25" hidden="1" customHeight="1">
      <c r="A2722" s="15">
        <v>2721</v>
      </c>
      <c r="B2722" s="16" t="s">
        <v>8404</v>
      </c>
      <c r="C2722" s="17">
        <v>45513</v>
      </c>
      <c r="D2722" s="15" t="s">
        <v>8405</v>
      </c>
      <c r="E2722" s="18" t="s">
        <v>954</v>
      </c>
      <c r="F2722" s="19" t="s">
        <v>8371</v>
      </c>
      <c r="G2722" s="18" t="s">
        <v>8372</v>
      </c>
      <c r="H2722" s="20" t="s">
        <v>5148</v>
      </c>
      <c r="I2722" s="15">
        <v>1</v>
      </c>
      <c r="J2722" s="15" t="s">
        <v>25</v>
      </c>
      <c r="K2722" s="15"/>
      <c r="L2722" s="21" t="s">
        <v>16</v>
      </c>
      <c r="M2722" s="22">
        <v>0</v>
      </c>
      <c r="N2722" s="22">
        <v>-1080</v>
      </c>
      <c r="O2722" s="22">
        <v>7920</v>
      </c>
      <c r="P2722" s="22">
        <v>7920</v>
      </c>
      <c r="Q2722" t="str" cm="1">
        <f t="array" ref="Q2722">_xlfn.TEXTJOIN("、",TRUE,IF('學員資料-三民高中'!$B$2:$B$454=$F2722,'學員資料-三民高中'!$G$2:$G$454,""))</f>
        <v/>
      </c>
      <c r="R2722" t="str" cm="1">
        <f t="array" ref="R2722">_xlfn.TEXTJOIN("、",TRUE,IF('學員資料-新北高中'!$B$2:$B$583=$F2722,'學員資料-新北高中'!$G$2:$G$583,""))</f>
        <v>0911503032</v>
      </c>
      <c r="S2722" t="str" cm="1">
        <f t="array" ref="S2722">_xlfn.TEXTJOIN("、",TRUE,IF('學員資料-三重商工'!$B$2:$B$472=$F2722,'學員資料-三重商工'!$G$2:$G$472,""))</f>
        <v/>
      </c>
      <c r="T2722">
        <f t="shared" si="42"/>
        <v>1</v>
      </c>
    </row>
    <row r="2723" spans="1:20" ht="14.25" hidden="1" customHeight="1">
      <c r="A2723" s="15">
        <v>2722</v>
      </c>
      <c r="B2723" s="16" t="s">
        <v>8406</v>
      </c>
      <c r="C2723" s="17">
        <v>45513</v>
      </c>
      <c r="D2723" s="15" t="s">
        <v>8407</v>
      </c>
      <c r="E2723" s="18" t="s">
        <v>954</v>
      </c>
      <c r="F2723" s="19" t="s">
        <v>8367</v>
      </c>
      <c r="G2723" s="18" t="s">
        <v>8368</v>
      </c>
      <c r="H2723" s="20" t="s">
        <v>5131</v>
      </c>
      <c r="I2723" s="15">
        <v>1</v>
      </c>
      <c r="J2723" s="15" t="s">
        <v>24</v>
      </c>
      <c r="K2723" s="15"/>
      <c r="L2723" s="21" t="s">
        <v>16</v>
      </c>
      <c r="M2723" s="22">
        <v>0</v>
      </c>
      <c r="N2723" s="22">
        <v>-864</v>
      </c>
      <c r="O2723" s="22">
        <v>6336</v>
      </c>
      <c r="P2723" s="22">
        <v>6336</v>
      </c>
      <c r="Q2723" t="str" cm="1">
        <f t="array" ref="Q2723">_xlfn.TEXTJOIN("、",TRUE,IF('學員資料-三民高中'!$B$2:$B$454=$F2723,'學員資料-三民高中'!$G$2:$G$454,""))</f>
        <v/>
      </c>
      <c r="R2723" t="str" cm="1">
        <f t="array" ref="R2723">_xlfn.TEXTJOIN("、",TRUE,IF('學員資料-新北高中'!$B$2:$B$583=$F2723,'學員資料-新北高中'!$G$2:$G$583,""))</f>
        <v>0912148262</v>
      </c>
      <c r="S2723" t="str" cm="1">
        <f t="array" ref="S2723">_xlfn.TEXTJOIN("、",TRUE,IF('學員資料-三重商工'!$B$2:$B$472=$F2723,'學員資料-三重商工'!$G$2:$G$472,""))</f>
        <v/>
      </c>
      <c r="T2723">
        <f t="shared" si="42"/>
        <v>1</v>
      </c>
    </row>
    <row r="2724" spans="1:20" ht="28.5" hidden="1" customHeight="1">
      <c r="A2724" s="15">
        <v>2723</v>
      </c>
      <c r="B2724" s="16" t="s">
        <v>8408</v>
      </c>
      <c r="C2724" s="17">
        <v>45513</v>
      </c>
      <c r="D2724" s="15" t="s">
        <v>8409</v>
      </c>
      <c r="E2724" s="18" t="s">
        <v>954</v>
      </c>
      <c r="F2724" s="19" t="s">
        <v>8363</v>
      </c>
      <c r="G2724" s="18" t="s">
        <v>8410</v>
      </c>
      <c r="H2724" s="20" t="s">
        <v>5729</v>
      </c>
      <c r="I2724" s="15">
        <v>2</v>
      </c>
      <c r="J2724" s="15" t="s">
        <v>26</v>
      </c>
      <c r="K2724" s="15"/>
      <c r="L2724" s="21" t="s">
        <v>16</v>
      </c>
      <c r="M2724" s="22">
        <v>0</v>
      </c>
      <c r="N2724" s="22">
        <v>-2592</v>
      </c>
      <c r="O2724" s="22">
        <v>19008</v>
      </c>
      <c r="P2724" s="22">
        <v>19008</v>
      </c>
      <c r="Q2724" t="str" cm="1">
        <f t="array" ref="Q2724">_xlfn.TEXTJOIN("、",TRUE,IF('學員資料-三民高中'!$B$2:$B$454=$F2724,'學員資料-三民高中'!$G$2:$G$454,""))</f>
        <v/>
      </c>
      <c r="R2724" t="str" cm="1">
        <f t="array" ref="R2724">_xlfn.TEXTJOIN("、",TRUE,IF('學員資料-新北高中'!$B$2:$B$583=$F2724,'學員資料-新北高中'!$G$2:$G$583,""))</f>
        <v>0987316117</v>
      </c>
      <c r="S2724" t="str" cm="1">
        <f t="array" ref="S2724">_xlfn.TEXTJOIN("、",TRUE,IF('學員資料-三重商工'!$B$2:$B$472=$F2724,'學員資料-三重商工'!$G$2:$G$472,""))</f>
        <v/>
      </c>
      <c r="T2724">
        <f t="shared" si="42"/>
        <v>1</v>
      </c>
    </row>
    <row r="2725" spans="1:20" ht="14.25" hidden="1" customHeight="1">
      <c r="A2725" s="15">
        <v>2724</v>
      </c>
      <c r="B2725" s="16" t="s">
        <v>8411</v>
      </c>
      <c r="C2725" s="17">
        <v>45513</v>
      </c>
      <c r="D2725" s="15" t="s">
        <v>8412</v>
      </c>
      <c r="E2725" s="18" t="s">
        <v>954</v>
      </c>
      <c r="F2725" s="19" t="s">
        <v>8413</v>
      </c>
      <c r="G2725" s="18" t="s">
        <v>8414</v>
      </c>
      <c r="H2725" s="20" t="s">
        <v>5163</v>
      </c>
      <c r="I2725" s="15">
        <v>1</v>
      </c>
      <c r="J2725" s="15" t="s">
        <v>23</v>
      </c>
      <c r="K2725" s="15"/>
      <c r="L2725" s="21" t="s">
        <v>16</v>
      </c>
      <c r="M2725" s="22">
        <v>0</v>
      </c>
      <c r="N2725" s="22">
        <v>0</v>
      </c>
      <c r="O2725" s="22">
        <v>6600</v>
      </c>
      <c r="P2725" s="22">
        <v>6600</v>
      </c>
      <c r="Q2725" t="str" cm="1">
        <f t="array" ref="Q2725">_xlfn.TEXTJOIN("、",TRUE,IF('學員資料-三民高中'!$B$2:$B$454=$F2725,'學員資料-三民高中'!$G$2:$G$454,""))</f>
        <v>0937089640</v>
      </c>
      <c r="R2725" t="str" cm="1">
        <f t="array" ref="R2725">_xlfn.TEXTJOIN("、",TRUE,IF('學員資料-新北高中'!$B$2:$B$583=$F2725,'學員資料-新北高中'!$G$2:$G$583,""))</f>
        <v/>
      </c>
      <c r="S2725" t="str" cm="1">
        <f t="array" ref="S2725">_xlfn.TEXTJOIN("、",TRUE,IF('學員資料-三重商工'!$B$2:$B$472=$F2725,'學員資料-三重商工'!$G$2:$G$472,""))</f>
        <v/>
      </c>
      <c r="T2725">
        <f t="shared" si="42"/>
        <v>1</v>
      </c>
    </row>
    <row r="2726" spans="1:20" ht="14.25" hidden="1" customHeight="1">
      <c r="A2726" s="15">
        <v>2725</v>
      </c>
      <c r="B2726" s="16" t="s">
        <v>8415</v>
      </c>
      <c r="C2726" s="17">
        <v>45513</v>
      </c>
      <c r="D2726" s="15" t="s">
        <v>8416</v>
      </c>
      <c r="E2726" s="18" t="s">
        <v>954</v>
      </c>
      <c r="F2726" s="19" t="s">
        <v>8360</v>
      </c>
      <c r="G2726" s="18" t="s">
        <v>8361</v>
      </c>
      <c r="H2726" s="20" t="s">
        <v>683</v>
      </c>
      <c r="I2726" s="15">
        <v>1</v>
      </c>
      <c r="J2726" s="15" t="s">
        <v>23</v>
      </c>
      <c r="K2726" s="15"/>
      <c r="L2726" s="21" t="s">
        <v>16</v>
      </c>
      <c r="M2726" s="22">
        <v>0</v>
      </c>
      <c r="N2726" s="22">
        <v>0</v>
      </c>
      <c r="O2726" s="22">
        <v>9000</v>
      </c>
      <c r="P2726" s="22">
        <v>9000</v>
      </c>
      <c r="Q2726" t="str" cm="1">
        <f t="array" ref="Q2726">_xlfn.TEXTJOIN("、",TRUE,IF('學員資料-三民高中'!$B$2:$B$454=$F2726,'學員資料-三民高中'!$G$2:$G$454,""))</f>
        <v/>
      </c>
      <c r="R2726" t="str" cm="1">
        <f t="array" ref="R2726">_xlfn.TEXTJOIN("、",TRUE,IF('學員資料-新北高中'!$B$2:$B$583=$F2726,'學員資料-新北高中'!$G$2:$G$583,""))</f>
        <v>0953554707-1</v>
      </c>
      <c r="S2726" t="str" cm="1">
        <f t="array" ref="S2726">_xlfn.TEXTJOIN("、",TRUE,IF('學員資料-三重商工'!$B$2:$B$472=$F2726,'學員資料-三重商工'!$G$2:$G$472,""))</f>
        <v/>
      </c>
      <c r="T2726">
        <f t="shared" si="42"/>
        <v>1</v>
      </c>
    </row>
    <row r="2727" spans="1:20" ht="14.25" hidden="1" customHeight="1">
      <c r="A2727" s="15">
        <v>2726</v>
      </c>
      <c r="B2727" s="16" t="s">
        <v>8417</v>
      </c>
      <c r="C2727" s="17">
        <v>45513</v>
      </c>
      <c r="D2727" s="15" t="s">
        <v>8418</v>
      </c>
      <c r="E2727" s="18" t="s">
        <v>954</v>
      </c>
      <c r="F2727" s="19" t="s">
        <v>2104</v>
      </c>
      <c r="G2727" s="18" t="s">
        <v>2105</v>
      </c>
      <c r="H2727" s="20" t="s">
        <v>683</v>
      </c>
      <c r="I2727" s="15">
        <v>1</v>
      </c>
      <c r="J2727" s="15" t="s">
        <v>23</v>
      </c>
      <c r="K2727" s="15"/>
      <c r="L2727" s="21" t="s">
        <v>16</v>
      </c>
      <c r="M2727" s="22">
        <v>0</v>
      </c>
      <c r="N2727" s="22">
        <v>0</v>
      </c>
      <c r="O2727" s="22">
        <v>9000</v>
      </c>
      <c r="P2727" s="22">
        <v>9000</v>
      </c>
      <c r="Q2727" t="str" cm="1">
        <f t="array" ref="Q2727">_xlfn.TEXTJOIN("、",TRUE,IF('學員資料-三民高中'!$B$2:$B$454=$F2727,'學員資料-三民高中'!$G$2:$G$454,""))</f>
        <v/>
      </c>
      <c r="R2727" t="str" cm="1">
        <f t="array" ref="R2727">_xlfn.TEXTJOIN("、",TRUE,IF('學員資料-新北高中'!$B$2:$B$583=$F2727,'學員資料-新北高中'!$G$2:$G$583,""))</f>
        <v>0916333432</v>
      </c>
      <c r="S2727" t="str" cm="1">
        <f t="array" ref="S2727">_xlfn.TEXTJOIN("、",TRUE,IF('學員資料-三重商工'!$B$2:$B$472=$F2727,'學員資料-三重商工'!$G$2:$G$472,""))</f>
        <v/>
      </c>
      <c r="T2727">
        <f t="shared" si="42"/>
        <v>1</v>
      </c>
    </row>
    <row r="2728" spans="1:20" ht="14.25" hidden="1" customHeight="1">
      <c r="A2728" s="15">
        <v>2727</v>
      </c>
      <c r="B2728" s="16" t="s">
        <v>8419</v>
      </c>
      <c r="C2728" s="17">
        <v>45513</v>
      </c>
      <c r="D2728" s="15" t="s">
        <v>8420</v>
      </c>
      <c r="E2728" s="18" t="s">
        <v>954</v>
      </c>
      <c r="F2728" s="19" t="s">
        <v>1149</v>
      </c>
      <c r="G2728" s="18" t="s">
        <v>1150</v>
      </c>
      <c r="H2728" s="20" t="s">
        <v>5163</v>
      </c>
      <c r="I2728" s="15">
        <v>1</v>
      </c>
      <c r="J2728" s="15" t="s">
        <v>23</v>
      </c>
      <c r="K2728" s="15"/>
      <c r="L2728" s="21" t="s">
        <v>16</v>
      </c>
      <c r="M2728" s="22">
        <v>0</v>
      </c>
      <c r="N2728" s="22">
        <v>0</v>
      </c>
      <c r="O2728" s="22">
        <v>6600</v>
      </c>
      <c r="P2728" s="22">
        <v>6600</v>
      </c>
      <c r="Q2728" t="str" cm="1">
        <f t="array" ref="Q2728">_xlfn.TEXTJOIN("、",TRUE,IF('學員資料-三民高中'!$B$2:$B$454=$F2728,'學員資料-三民高中'!$G$2:$G$454,""))</f>
        <v/>
      </c>
      <c r="R2728" t="str" cm="1">
        <f t="array" ref="R2728">_xlfn.TEXTJOIN("、",TRUE,IF('學員資料-新北高中'!$B$2:$B$583=$F2728,'學員資料-新北高中'!$G$2:$G$583,""))</f>
        <v>0921812164</v>
      </c>
      <c r="S2728" t="str" cm="1">
        <f t="array" ref="S2728">_xlfn.TEXTJOIN("、",TRUE,IF('學員資料-三重商工'!$B$2:$B$472=$F2728,'學員資料-三重商工'!$G$2:$G$472,""))</f>
        <v/>
      </c>
      <c r="T2728">
        <f t="shared" si="42"/>
        <v>1</v>
      </c>
    </row>
    <row r="2729" spans="1:20" ht="14.25" hidden="1" customHeight="1">
      <c r="A2729" s="15">
        <v>2728</v>
      </c>
      <c r="B2729" s="16" t="s">
        <v>8421</v>
      </c>
      <c r="C2729" s="17">
        <v>45513</v>
      </c>
      <c r="D2729" s="15" t="s">
        <v>8422</v>
      </c>
      <c r="E2729" s="18" t="s">
        <v>954</v>
      </c>
      <c r="F2729" s="19" t="s">
        <v>7266</v>
      </c>
      <c r="G2729" s="18" t="s">
        <v>7267</v>
      </c>
      <c r="H2729" s="20" t="s">
        <v>6338</v>
      </c>
      <c r="I2729" s="15">
        <v>1</v>
      </c>
      <c r="J2729" s="15" t="s">
        <v>26</v>
      </c>
      <c r="K2729" s="15"/>
      <c r="L2729" s="21" t="s">
        <v>16</v>
      </c>
      <c r="M2729" s="22">
        <v>0</v>
      </c>
      <c r="N2729" s="22">
        <v>-2880</v>
      </c>
      <c r="O2729" s="22">
        <v>11520</v>
      </c>
      <c r="P2729" s="22">
        <v>11520</v>
      </c>
      <c r="Q2729" t="str" cm="1">
        <f t="array" ref="Q2729">_xlfn.TEXTJOIN("、",TRUE,IF('學員資料-三民高中'!$B$2:$B$454=$F2729,'學員資料-三民高中'!$G$2:$G$454,""))</f>
        <v/>
      </c>
      <c r="R2729" t="str" cm="1">
        <f t="array" ref="R2729">_xlfn.TEXTJOIN("、",TRUE,IF('學員資料-新北高中'!$B$2:$B$583=$F2729,'學員資料-新北高中'!$G$2:$G$583,""))</f>
        <v>AQ0004</v>
      </c>
      <c r="S2729" t="str" cm="1">
        <f t="array" ref="S2729">_xlfn.TEXTJOIN("、",TRUE,IF('學員資料-三重商工'!$B$2:$B$472=$F2729,'學員資料-三重商工'!$G$2:$G$472,""))</f>
        <v/>
      </c>
      <c r="T2729">
        <f t="shared" si="42"/>
        <v>1</v>
      </c>
    </row>
    <row r="2730" spans="1:20" ht="28.5" hidden="1" customHeight="1">
      <c r="A2730" s="15">
        <v>2729</v>
      </c>
      <c r="B2730" s="16" t="s">
        <v>8423</v>
      </c>
      <c r="C2730" s="17">
        <v>45513</v>
      </c>
      <c r="D2730" s="15" t="s">
        <v>8424</v>
      </c>
      <c r="E2730" s="18" t="s">
        <v>954</v>
      </c>
      <c r="F2730" s="19" t="s">
        <v>8425</v>
      </c>
      <c r="G2730" s="18" t="s">
        <v>8426</v>
      </c>
      <c r="H2730" s="20" t="s">
        <v>5729</v>
      </c>
      <c r="I2730" s="15">
        <v>2</v>
      </c>
      <c r="J2730" s="15" t="s">
        <v>26</v>
      </c>
      <c r="K2730" s="15"/>
      <c r="L2730" s="21" t="s">
        <v>16</v>
      </c>
      <c r="M2730" s="22">
        <v>0</v>
      </c>
      <c r="N2730" s="22">
        <v>-2592</v>
      </c>
      <c r="O2730" s="22">
        <v>19008</v>
      </c>
      <c r="P2730" s="22">
        <v>19008</v>
      </c>
      <c r="Q2730" t="str" cm="1">
        <f t="array" ref="Q2730">_xlfn.TEXTJOIN("、",TRUE,IF('學員資料-三民高中'!$B$2:$B$454=$F2730,'學員資料-三民高中'!$G$2:$G$454,""))</f>
        <v/>
      </c>
      <c r="R2730" t="str" cm="1">
        <f t="array" ref="R2730">_xlfn.TEXTJOIN("、",TRUE,IF('學員資料-新北高中'!$B$2:$B$583=$F2730,'學員資料-新北高中'!$G$2:$G$583,""))</f>
        <v>0931365060</v>
      </c>
      <c r="S2730" t="str" cm="1">
        <f t="array" ref="S2730">_xlfn.TEXTJOIN("、",TRUE,IF('學員資料-三重商工'!$B$2:$B$472=$F2730,'學員資料-三重商工'!$G$2:$G$472,""))</f>
        <v/>
      </c>
      <c r="T2730">
        <f t="shared" si="42"/>
        <v>1</v>
      </c>
    </row>
    <row r="2731" spans="1:20" ht="28.5" hidden="1" customHeight="1">
      <c r="A2731" s="15">
        <v>2730</v>
      </c>
      <c r="B2731" s="16" t="s">
        <v>8427</v>
      </c>
      <c r="C2731" s="17">
        <v>45513</v>
      </c>
      <c r="D2731" s="15" t="s">
        <v>509</v>
      </c>
      <c r="E2731" s="18" t="s">
        <v>3862</v>
      </c>
      <c r="F2731" s="19" t="s">
        <v>6535</v>
      </c>
      <c r="G2731" s="18" t="s">
        <v>8428</v>
      </c>
      <c r="H2731" s="20" t="s">
        <v>5263</v>
      </c>
      <c r="I2731" s="15">
        <v>2</v>
      </c>
      <c r="J2731" s="15" t="s">
        <v>25</v>
      </c>
      <c r="K2731" s="15"/>
      <c r="L2731" s="21" t="s">
        <v>16</v>
      </c>
      <c r="M2731" s="22">
        <v>0</v>
      </c>
      <c r="N2731" s="22">
        <v>-3240</v>
      </c>
      <c r="O2731" s="22">
        <v>23760</v>
      </c>
      <c r="P2731" s="22">
        <v>23760</v>
      </c>
      <c r="Q2731" t="str" cm="1">
        <f t="array" ref="Q2731">_xlfn.TEXTJOIN("、",TRUE,IF('學員資料-三民高中'!$B$2:$B$454=$F2731,'學員資料-三民高中'!$G$2:$G$454,""))</f>
        <v/>
      </c>
      <c r="R2731" t="str" cm="1">
        <f t="array" ref="R2731">_xlfn.TEXTJOIN("、",TRUE,IF('學員資料-新北高中'!$B$2:$B$583=$F2731,'學員資料-新北高中'!$G$2:$G$583,""))</f>
        <v>0920180204</v>
      </c>
      <c r="S2731" t="str" cm="1">
        <f t="array" ref="S2731">_xlfn.TEXTJOIN("、",TRUE,IF('學員資料-三重商工'!$B$2:$B$472=$F2731,'學員資料-三重商工'!$G$2:$G$472,""))</f>
        <v/>
      </c>
      <c r="T2731">
        <f t="shared" si="42"/>
        <v>1</v>
      </c>
    </row>
    <row r="2732" spans="1:20" ht="14.25" hidden="1" customHeight="1">
      <c r="A2732" s="15">
        <v>2731</v>
      </c>
      <c r="B2732" s="16" t="s">
        <v>8429</v>
      </c>
      <c r="C2732" s="17">
        <v>45513</v>
      </c>
      <c r="D2732" s="15" t="s">
        <v>8430</v>
      </c>
      <c r="E2732" s="18" t="s">
        <v>954</v>
      </c>
      <c r="F2732" s="19" t="s">
        <v>8431</v>
      </c>
      <c r="G2732" s="18" t="s">
        <v>8432</v>
      </c>
      <c r="H2732" s="20" t="s">
        <v>5180</v>
      </c>
      <c r="I2732" s="15">
        <v>1</v>
      </c>
      <c r="J2732" s="15" t="s">
        <v>24</v>
      </c>
      <c r="K2732" s="15"/>
      <c r="L2732" s="21" t="s">
        <v>16</v>
      </c>
      <c r="M2732" s="22">
        <v>0</v>
      </c>
      <c r="N2732" s="22">
        <v>0</v>
      </c>
      <c r="O2732" s="22">
        <v>8640</v>
      </c>
      <c r="P2732" s="22">
        <v>8640</v>
      </c>
      <c r="Q2732" t="str" cm="1">
        <f t="array" ref="Q2732">_xlfn.TEXTJOIN("、",TRUE,IF('學員資料-三民高中'!$B$2:$B$454=$F2732,'學員資料-三民高中'!$G$2:$G$454,""))</f>
        <v/>
      </c>
      <c r="R2732" t="str" cm="1">
        <f t="array" ref="R2732">_xlfn.TEXTJOIN("、",TRUE,IF('學員資料-新北高中'!$B$2:$B$583=$F2732,'學員資料-新北高中'!$G$2:$G$583,""))</f>
        <v/>
      </c>
      <c r="S2732" t="str" cm="1">
        <f t="array" ref="S2732">_xlfn.TEXTJOIN("、",TRUE,IF('學員資料-三重商工'!$B$2:$B$472=$F2732,'學員資料-三重商工'!$G$2:$G$472,""))</f>
        <v>0956697676</v>
      </c>
      <c r="T2732">
        <f t="shared" si="42"/>
        <v>1</v>
      </c>
    </row>
    <row r="2733" spans="1:20" ht="14.25" hidden="1" customHeight="1">
      <c r="A2733" s="15">
        <v>2732</v>
      </c>
      <c r="B2733" s="16" t="s">
        <v>8433</v>
      </c>
      <c r="C2733" s="17">
        <v>45513</v>
      </c>
      <c r="D2733" s="15" t="s">
        <v>8434</v>
      </c>
      <c r="E2733" s="18" t="s">
        <v>954</v>
      </c>
      <c r="F2733" s="19" t="s">
        <v>963</v>
      </c>
      <c r="G2733" s="18" t="s">
        <v>964</v>
      </c>
      <c r="H2733" s="20" t="s">
        <v>5180</v>
      </c>
      <c r="I2733" s="15">
        <v>1</v>
      </c>
      <c r="J2733" s="15" t="s">
        <v>24</v>
      </c>
      <c r="K2733" s="15"/>
      <c r="L2733" s="21" t="s">
        <v>16</v>
      </c>
      <c r="M2733" s="22">
        <v>0</v>
      </c>
      <c r="N2733" s="22">
        <v>0</v>
      </c>
      <c r="O2733" s="22">
        <v>8640</v>
      </c>
      <c r="P2733" s="22">
        <v>8640</v>
      </c>
      <c r="Q2733" t="str" cm="1">
        <f t="array" ref="Q2733">_xlfn.TEXTJOIN("、",TRUE,IF('學員資料-三民高中'!$B$2:$B$454=$F2733,'學員資料-三民高中'!$G$2:$G$454,""))</f>
        <v/>
      </c>
      <c r="R2733" t="str" cm="1">
        <f t="array" ref="R2733">_xlfn.TEXTJOIN("、",TRUE,IF('學員資料-新北高中'!$B$2:$B$583=$F2733,'學員資料-新北高中'!$G$2:$G$583,""))</f>
        <v/>
      </c>
      <c r="S2733" t="str" cm="1">
        <f t="array" ref="S2733">_xlfn.TEXTJOIN("、",TRUE,IF('學員資料-三重商工'!$B$2:$B$472=$F2733,'學員資料-三重商工'!$G$2:$G$472,""))</f>
        <v>0961222201</v>
      </c>
      <c r="T2733">
        <f t="shared" si="42"/>
        <v>1</v>
      </c>
    </row>
    <row r="2734" spans="1:20" ht="14.25" hidden="1" customHeight="1">
      <c r="A2734" s="15">
        <v>2733</v>
      </c>
      <c r="B2734" s="16" t="s">
        <v>8435</v>
      </c>
      <c r="C2734" s="17">
        <v>45513</v>
      </c>
      <c r="D2734" s="15" t="s">
        <v>8436</v>
      </c>
      <c r="E2734" s="18" t="s">
        <v>954</v>
      </c>
      <c r="F2734" s="19" t="s">
        <v>6124</v>
      </c>
      <c r="G2734" s="18" t="s">
        <v>6125</v>
      </c>
      <c r="H2734" s="20" t="s">
        <v>5163</v>
      </c>
      <c r="I2734" s="15">
        <v>1</v>
      </c>
      <c r="J2734" s="15" t="s">
        <v>23</v>
      </c>
      <c r="K2734" s="15"/>
      <c r="L2734" s="21" t="s">
        <v>16</v>
      </c>
      <c r="M2734" s="22">
        <v>0</v>
      </c>
      <c r="N2734" s="22">
        <v>0</v>
      </c>
      <c r="O2734" s="22">
        <v>6600</v>
      </c>
      <c r="P2734" s="22">
        <v>6600</v>
      </c>
      <c r="Q2734" t="str" cm="1">
        <f t="array" ref="Q2734">_xlfn.TEXTJOIN("、",TRUE,IF('學員資料-三民高中'!$B$2:$B$454=$F2734,'學員資料-三民高中'!$G$2:$G$454,""))</f>
        <v/>
      </c>
      <c r="R2734" t="str" cm="1">
        <f t="array" ref="R2734">_xlfn.TEXTJOIN("、",TRUE,IF('學員資料-新北高中'!$B$2:$B$583=$F2734,'學員資料-新北高中'!$G$2:$G$583,""))</f>
        <v/>
      </c>
      <c r="S2734" t="str" cm="1">
        <f t="array" ref="S2734">_xlfn.TEXTJOIN("、",TRUE,IF('學員資料-三重商工'!$B$2:$B$472=$F2734,'學員資料-三重商工'!$G$2:$G$472,""))</f>
        <v>0927885596</v>
      </c>
      <c r="T2734">
        <f t="shared" si="42"/>
        <v>1</v>
      </c>
    </row>
    <row r="2735" spans="1:20" ht="43.5" hidden="1" customHeight="1">
      <c r="A2735" s="15">
        <v>2734</v>
      </c>
      <c r="B2735" s="16" t="s">
        <v>8437</v>
      </c>
      <c r="C2735" s="17">
        <v>45513</v>
      </c>
      <c r="D2735" s="15" t="s">
        <v>8438</v>
      </c>
      <c r="E2735" s="18" t="s">
        <v>954</v>
      </c>
      <c r="F2735" s="19" t="s">
        <v>2898</v>
      </c>
      <c r="G2735" s="18" t="s">
        <v>2899</v>
      </c>
      <c r="H2735" s="20" t="s">
        <v>8439</v>
      </c>
      <c r="I2735" s="15">
        <v>3</v>
      </c>
      <c r="J2735" s="15" t="s">
        <v>23</v>
      </c>
      <c r="K2735" s="21" t="s">
        <v>116</v>
      </c>
      <c r="L2735" s="21" t="s">
        <v>16</v>
      </c>
      <c r="M2735" s="22">
        <v>0</v>
      </c>
      <c r="N2735" s="22">
        <v>0</v>
      </c>
      <c r="O2735" s="22">
        <v>3300</v>
      </c>
      <c r="P2735" s="22">
        <v>3300</v>
      </c>
      <c r="Q2735" t="str" cm="1">
        <f t="array" ref="Q2735">_xlfn.TEXTJOIN("、",TRUE,IF('學員資料-三民高中'!$B$2:$B$454=$F2735,'學員資料-三民高中'!$G$2:$G$454,""))</f>
        <v/>
      </c>
      <c r="R2735" t="str" cm="1">
        <f t="array" ref="R2735">_xlfn.TEXTJOIN("、",TRUE,IF('學員資料-新北高中'!$B$2:$B$583=$F2735,'學員資料-新北高中'!$G$2:$G$583,""))</f>
        <v/>
      </c>
      <c r="S2735" t="str" cm="1">
        <f t="array" ref="S2735">_xlfn.TEXTJOIN("、",TRUE,IF('學員資料-三重商工'!$B$2:$B$472=$F2735,'學員資料-三重商工'!$G$2:$G$472,""))</f>
        <v>0911182938</v>
      </c>
      <c r="T2735">
        <f t="shared" si="42"/>
        <v>1</v>
      </c>
    </row>
    <row r="2736" spans="1:20" ht="14.25" hidden="1" customHeight="1">
      <c r="A2736" s="15">
        <v>2735</v>
      </c>
      <c r="B2736" s="16" t="s">
        <v>8440</v>
      </c>
      <c r="C2736" s="17">
        <v>45513</v>
      </c>
      <c r="D2736" s="15" t="s">
        <v>8441</v>
      </c>
      <c r="E2736" s="18" t="s">
        <v>954</v>
      </c>
      <c r="F2736" s="19" t="s">
        <v>5903</v>
      </c>
      <c r="G2736" s="18" t="s">
        <v>5904</v>
      </c>
      <c r="H2736" s="20" t="s">
        <v>5163</v>
      </c>
      <c r="I2736" s="15">
        <v>1</v>
      </c>
      <c r="J2736" s="15" t="s">
        <v>23</v>
      </c>
      <c r="K2736" s="15"/>
      <c r="L2736" s="21" t="s">
        <v>16</v>
      </c>
      <c r="M2736" s="22">
        <v>0</v>
      </c>
      <c r="N2736" s="22">
        <v>0</v>
      </c>
      <c r="O2736" s="22">
        <v>6600</v>
      </c>
      <c r="P2736" s="22">
        <v>6600</v>
      </c>
      <c r="Q2736" t="str" cm="1">
        <f t="array" ref="Q2736">_xlfn.TEXTJOIN("、",TRUE,IF('學員資料-三民高中'!$B$2:$B$454=$F2736,'學員資料-三民高中'!$G$2:$G$454,""))</f>
        <v/>
      </c>
      <c r="R2736" t="str" cm="1">
        <f t="array" ref="R2736">_xlfn.TEXTJOIN("、",TRUE,IF('學員資料-新北高中'!$B$2:$B$583=$F2736,'學員資料-新北高中'!$G$2:$G$583,""))</f>
        <v/>
      </c>
      <c r="S2736" t="str" cm="1">
        <f t="array" ref="S2736">_xlfn.TEXTJOIN("、",TRUE,IF('學員資料-三重商工'!$B$2:$B$472=$F2736,'學員資料-三重商工'!$G$2:$G$472,""))</f>
        <v>0939599839</v>
      </c>
      <c r="T2736">
        <f t="shared" si="42"/>
        <v>1</v>
      </c>
    </row>
    <row r="2737" spans="1:20" ht="14.25" hidden="1" customHeight="1">
      <c r="A2737" s="15">
        <v>2736</v>
      </c>
      <c r="B2737" s="16" t="s">
        <v>8442</v>
      </c>
      <c r="C2737" s="17">
        <v>45513</v>
      </c>
      <c r="D2737" s="15" t="s">
        <v>8443</v>
      </c>
      <c r="E2737" s="18" t="s">
        <v>954</v>
      </c>
      <c r="F2737" s="19" t="s">
        <v>4833</v>
      </c>
      <c r="G2737" s="18" t="s">
        <v>4834</v>
      </c>
      <c r="H2737" s="20" t="s">
        <v>5148</v>
      </c>
      <c r="I2737" s="15">
        <v>1</v>
      </c>
      <c r="J2737" s="15" t="s">
        <v>25</v>
      </c>
      <c r="K2737" s="15"/>
      <c r="L2737" s="21" t="s">
        <v>16</v>
      </c>
      <c r="M2737" s="22">
        <v>0</v>
      </c>
      <c r="N2737" s="22">
        <v>-1080</v>
      </c>
      <c r="O2737" s="22">
        <v>7920</v>
      </c>
      <c r="P2737" s="22">
        <v>7920</v>
      </c>
      <c r="Q2737" t="str" cm="1">
        <f t="array" ref="Q2737">_xlfn.TEXTJOIN("、",TRUE,IF('學員資料-三民高中'!$B$2:$B$454=$F2737,'學員資料-三民高中'!$G$2:$G$454,""))</f>
        <v>0937458420-1</v>
      </c>
      <c r="R2737" t="str" cm="1">
        <f t="array" ref="R2737">_xlfn.TEXTJOIN("、",TRUE,IF('學員資料-新北高中'!$B$2:$B$583=$F2737,'學員資料-新北高中'!$G$2:$G$583,""))</f>
        <v/>
      </c>
      <c r="S2737" t="str" cm="1">
        <f t="array" ref="S2737">_xlfn.TEXTJOIN("、",TRUE,IF('學員資料-三重商工'!$B$2:$B$472=$F2737,'學員資料-三重商工'!$G$2:$G$472,""))</f>
        <v/>
      </c>
      <c r="T2737">
        <f t="shared" si="42"/>
        <v>1</v>
      </c>
    </row>
    <row r="2738" spans="1:20" ht="14.25" hidden="1" customHeight="1">
      <c r="A2738" s="15">
        <v>2737</v>
      </c>
      <c r="B2738" s="16" t="s">
        <v>8444</v>
      </c>
      <c r="C2738" s="17">
        <v>45513</v>
      </c>
      <c r="D2738" s="15" t="s">
        <v>8445</v>
      </c>
      <c r="E2738" s="18" t="s">
        <v>954</v>
      </c>
      <c r="F2738" s="19" t="s">
        <v>1694</v>
      </c>
      <c r="G2738" s="18" t="s">
        <v>1695</v>
      </c>
      <c r="H2738" s="20" t="s">
        <v>5131</v>
      </c>
      <c r="I2738" s="15">
        <v>1</v>
      </c>
      <c r="J2738" s="15" t="s">
        <v>24</v>
      </c>
      <c r="K2738" s="15"/>
      <c r="L2738" s="21" t="s">
        <v>16</v>
      </c>
      <c r="M2738" s="22">
        <v>0</v>
      </c>
      <c r="N2738" s="22">
        <v>0</v>
      </c>
      <c r="O2738" s="22">
        <v>7200</v>
      </c>
      <c r="P2738" s="22">
        <v>7200</v>
      </c>
      <c r="Q2738" t="str" cm="1">
        <f t="array" ref="Q2738">_xlfn.TEXTJOIN("、",TRUE,IF('學員資料-三民高中'!$B$2:$B$454=$F2738,'學員資料-三民高中'!$G$2:$G$454,""))</f>
        <v/>
      </c>
      <c r="R2738" t="str" cm="1">
        <f t="array" ref="R2738">_xlfn.TEXTJOIN("、",TRUE,IF('學員資料-新北高中'!$B$2:$B$583=$F2738,'學員資料-新北高中'!$G$2:$G$583,""))</f>
        <v/>
      </c>
      <c r="S2738" t="str" cm="1">
        <f t="array" ref="S2738">_xlfn.TEXTJOIN("、",TRUE,IF('學員資料-三重商工'!$B$2:$B$472=$F2738,'學員資料-三重商工'!$G$2:$G$472,""))</f>
        <v>0928787516</v>
      </c>
      <c r="T2738">
        <f t="shared" si="42"/>
        <v>1</v>
      </c>
    </row>
    <row r="2739" spans="1:20" ht="28.5" hidden="1" customHeight="1">
      <c r="A2739" s="15">
        <v>2738</v>
      </c>
      <c r="B2739" s="16" t="s">
        <v>8446</v>
      </c>
      <c r="C2739" s="17">
        <v>45513</v>
      </c>
      <c r="D2739" s="15" t="s">
        <v>8447</v>
      </c>
      <c r="E2739" s="18" t="s">
        <v>954</v>
      </c>
      <c r="F2739" s="19" t="s">
        <v>3484</v>
      </c>
      <c r="G2739" s="18" t="s">
        <v>3485</v>
      </c>
      <c r="H2739" s="20" t="s">
        <v>5154</v>
      </c>
      <c r="I2739" s="15">
        <v>2</v>
      </c>
      <c r="J2739" s="15" t="s">
        <v>24</v>
      </c>
      <c r="K2739" s="15"/>
      <c r="L2739" s="21" t="s">
        <v>16</v>
      </c>
      <c r="M2739" s="22">
        <v>0</v>
      </c>
      <c r="N2739" s="22">
        <v>0</v>
      </c>
      <c r="O2739" s="22">
        <v>14400</v>
      </c>
      <c r="P2739" s="22">
        <v>14400</v>
      </c>
      <c r="Q2739" t="str" cm="1">
        <f t="array" ref="Q2739">_xlfn.TEXTJOIN("、",TRUE,IF('學員資料-三民高中'!$B$2:$B$454=$F2739,'學員資料-三民高中'!$G$2:$G$454,""))</f>
        <v/>
      </c>
      <c r="R2739" t="str" cm="1">
        <f t="array" ref="R2739">_xlfn.TEXTJOIN("、",TRUE,IF('學員資料-新北高中'!$B$2:$B$583=$F2739,'學員資料-新北高中'!$G$2:$G$583,""))</f>
        <v/>
      </c>
      <c r="S2739" t="str" cm="1">
        <f t="array" ref="S2739">_xlfn.TEXTJOIN("、",TRUE,IF('學員資料-三重商工'!$B$2:$B$472=$F2739,'學員資料-三重商工'!$G$2:$G$472,""))</f>
        <v>0919501937</v>
      </c>
      <c r="T2739">
        <f t="shared" si="42"/>
        <v>1</v>
      </c>
    </row>
    <row r="2740" spans="1:20" ht="14.25" hidden="1" customHeight="1">
      <c r="A2740" s="15">
        <v>2739</v>
      </c>
      <c r="B2740" s="16" t="s">
        <v>8448</v>
      </c>
      <c r="C2740" s="17">
        <v>45513</v>
      </c>
      <c r="D2740" s="15" t="s">
        <v>8449</v>
      </c>
      <c r="E2740" s="18" t="s">
        <v>954</v>
      </c>
      <c r="F2740" s="19" t="s">
        <v>8450</v>
      </c>
      <c r="G2740" s="18" t="s">
        <v>8451</v>
      </c>
      <c r="H2740" s="20" t="s">
        <v>5131</v>
      </c>
      <c r="I2740" s="15">
        <v>1</v>
      </c>
      <c r="J2740" s="15" t="s">
        <v>24</v>
      </c>
      <c r="K2740" s="15"/>
      <c r="L2740" s="21" t="s">
        <v>16</v>
      </c>
      <c r="M2740" s="22">
        <v>0</v>
      </c>
      <c r="N2740" s="22">
        <v>0</v>
      </c>
      <c r="O2740" s="22">
        <v>7200</v>
      </c>
      <c r="P2740" s="22">
        <v>7200</v>
      </c>
      <c r="Q2740" t="str" cm="1">
        <f t="array" ref="Q2740">_xlfn.TEXTJOIN("、",TRUE,IF('學員資料-三民高中'!$B$2:$B$454=$F2740,'學員資料-三民高中'!$G$2:$G$454,""))</f>
        <v/>
      </c>
      <c r="R2740" t="str" cm="1">
        <f t="array" ref="R2740">_xlfn.TEXTJOIN("、",TRUE,IF('學員資料-新北高中'!$B$2:$B$583=$F2740,'學員資料-新北高中'!$G$2:$G$583,""))</f>
        <v>0976711380-1</v>
      </c>
      <c r="S2740" t="str" cm="1">
        <f t="array" ref="S2740">_xlfn.TEXTJOIN("、",TRUE,IF('學員資料-三重商工'!$B$2:$B$472=$F2740,'學員資料-三重商工'!$G$2:$G$472,""))</f>
        <v/>
      </c>
      <c r="T2740">
        <f t="shared" si="42"/>
        <v>1</v>
      </c>
    </row>
    <row r="2741" spans="1:20" ht="14.25" hidden="1" customHeight="1">
      <c r="A2741" s="15">
        <v>2740</v>
      </c>
      <c r="B2741" s="16" t="s">
        <v>8452</v>
      </c>
      <c r="C2741" s="17">
        <v>45513</v>
      </c>
      <c r="D2741" s="15" t="s">
        <v>8453</v>
      </c>
      <c r="E2741" s="18" t="s">
        <v>954</v>
      </c>
      <c r="F2741" s="19" t="s">
        <v>7701</v>
      </c>
      <c r="G2741" s="18" t="s">
        <v>7702</v>
      </c>
      <c r="H2741" s="20" t="s">
        <v>5163</v>
      </c>
      <c r="I2741" s="15">
        <v>1</v>
      </c>
      <c r="J2741" s="15" t="s">
        <v>23</v>
      </c>
      <c r="K2741" s="15"/>
      <c r="L2741" s="21" t="s">
        <v>16</v>
      </c>
      <c r="M2741" s="22">
        <v>0</v>
      </c>
      <c r="N2741" s="22">
        <v>-2640</v>
      </c>
      <c r="O2741" s="22">
        <v>3960</v>
      </c>
      <c r="P2741" s="22">
        <v>3960</v>
      </c>
      <c r="Q2741" t="str" cm="1">
        <f t="array" ref="Q2741">_xlfn.TEXTJOIN("、",TRUE,IF('學員資料-三民高中'!$B$2:$B$454=$F2741,'學員資料-三民高中'!$G$2:$G$454,""))</f>
        <v>0933523597</v>
      </c>
      <c r="R2741" t="str" cm="1">
        <f t="array" ref="R2741">_xlfn.TEXTJOIN("、",TRUE,IF('學員資料-新北高中'!$B$2:$B$583=$F2741,'學員資料-新北高中'!$G$2:$G$583,""))</f>
        <v/>
      </c>
      <c r="S2741" t="str" cm="1">
        <f t="array" ref="S2741">_xlfn.TEXTJOIN("、",TRUE,IF('學員資料-三重商工'!$B$2:$B$472=$F2741,'學員資料-三重商工'!$G$2:$G$472,""))</f>
        <v/>
      </c>
      <c r="T2741">
        <f t="shared" si="42"/>
        <v>1</v>
      </c>
    </row>
    <row r="2742" spans="1:20" ht="28.5" hidden="1" customHeight="1">
      <c r="A2742" s="15">
        <v>2741</v>
      </c>
      <c r="B2742" s="16" t="s">
        <v>8454</v>
      </c>
      <c r="C2742" s="17">
        <v>45512</v>
      </c>
      <c r="D2742" s="15" t="s">
        <v>8455</v>
      </c>
      <c r="E2742" s="18" t="s">
        <v>954</v>
      </c>
      <c r="F2742" s="19" t="s">
        <v>8456</v>
      </c>
      <c r="G2742" s="18" t="s">
        <v>8457</v>
      </c>
      <c r="H2742" s="20" t="s">
        <v>5138</v>
      </c>
      <c r="I2742" s="15">
        <v>2</v>
      </c>
      <c r="J2742" s="15" t="s">
        <v>23</v>
      </c>
      <c r="K2742" s="15"/>
      <c r="L2742" s="21" t="s">
        <v>16</v>
      </c>
      <c r="M2742" s="22">
        <v>0</v>
      </c>
      <c r="N2742" s="22">
        <v>-2520</v>
      </c>
      <c r="O2742" s="22">
        <v>11880</v>
      </c>
      <c r="P2742" s="22">
        <v>11880</v>
      </c>
      <c r="Q2742" t="str" cm="1">
        <f t="array" ref="Q2742">_xlfn.TEXTJOIN("、",TRUE,IF('學員資料-三民高中'!$B$2:$B$454=$F2742,'學員資料-三民高中'!$G$2:$G$454,""))</f>
        <v>0935583191</v>
      </c>
      <c r="R2742" t="str" cm="1">
        <f t="array" ref="R2742">_xlfn.TEXTJOIN("、",TRUE,IF('學員資料-新北高中'!$B$2:$B$583=$F2742,'學員資料-新北高中'!$G$2:$G$583,""))</f>
        <v/>
      </c>
      <c r="S2742" t="str" cm="1">
        <f t="array" ref="S2742">_xlfn.TEXTJOIN("、",TRUE,IF('學員資料-三重商工'!$B$2:$B$472=$F2742,'學員資料-三重商工'!$G$2:$G$472,""))</f>
        <v/>
      </c>
      <c r="T2742">
        <f t="shared" si="42"/>
        <v>1</v>
      </c>
    </row>
    <row r="2743" spans="1:20" ht="14.25" hidden="1" customHeight="1">
      <c r="A2743" s="15">
        <v>2742</v>
      </c>
      <c r="B2743" s="16" t="s">
        <v>8458</v>
      </c>
      <c r="C2743" s="17">
        <v>45512</v>
      </c>
      <c r="D2743" s="15" t="s">
        <v>8459</v>
      </c>
      <c r="E2743" s="18" t="s">
        <v>954</v>
      </c>
      <c r="F2743" s="19" t="s">
        <v>8460</v>
      </c>
      <c r="G2743" s="18" t="s">
        <v>8461</v>
      </c>
      <c r="H2743" s="20" t="s">
        <v>8462</v>
      </c>
      <c r="I2743" s="15">
        <v>1</v>
      </c>
      <c r="J2743" s="15" t="s">
        <v>27</v>
      </c>
      <c r="K2743" s="15"/>
      <c r="L2743" s="21" t="s">
        <v>16</v>
      </c>
      <c r="M2743" s="22">
        <v>0</v>
      </c>
      <c r="N2743" s="22">
        <v>-1800</v>
      </c>
      <c r="O2743" s="22">
        <v>14400</v>
      </c>
      <c r="P2743" s="22">
        <v>14400</v>
      </c>
      <c r="Q2743" t="str" cm="1">
        <f t="array" ref="Q2743">_xlfn.TEXTJOIN("、",TRUE,IF('學員資料-三民高中'!$B$2:$B$454=$F2743,'學員資料-三民高中'!$G$2:$G$454,""))</f>
        <v>0980906632</v>
      </c>
      <c r="R2743" t="str" cm="1">
        <f t="array" ref="R2743">_xlfn.TEXTJOIN("、",TRUE,IF('學員資料-新北高中'!$B$2:$B$583=$F2743,'學員資料-新北高中'!$G$2:$G$583,""))</f>
        <v/>
      </c>
      <c r="S2743" t="str" cm="1">
        <f t="array" ref="S2743">_xlfn.TEXTJOIN("、",TRUE,IF('學員資料-三重商工'!$B$2:$B$472=$F2743,'學員資料-三重商工'!$G$2:$G$472,""))</f>
        <v/>
      </c>
      <c r="T2743">
        <f t="shared" si="42"/>
        <v>1</v>
      </c>
    </row>
    <row r="2744" spans="1:20" ht="14.25" hidden="1" customHeight="1">
      <c r="A2744" s="15">
        <v>2743</v>
      </c>
      <c r="B2744" s="16" t="s">
        <v>8463</v>
      </c>
      <c r="C2744" s="17">
        <v>45512</v>
      </c>
      <c r="D2744" s="15" t="s">
        <v>8464</v>
      </c>
      <c r="E2744" s="18" t="s">
        <v>954</v>
      </c>
      <c r="F2744" s="19" t="s">
        <v>3488</v>
      </c>
      <c r="G2744" s="18" t="s">
        <v>3489</v>
      </c>
      <c r="H2744" s="20" t="s">
        <v>5131</v>
      </c>
      <c r="I2744" s="15">
        <v>1</v>
      </c>
      <c r="J2744" s="15" t="s">
        <v>24</v>
      </c>
      <c r="K2744" s="15"/>
      <c r="L2744" s="21" t="s">
        <v>16</v>
      </c>
      <c r="M2744" s="22">
        <v>0</v>
      </c>
      <c r="N2744" s="22">
        <v>0</v>
      </c>
      <c r="O2744" s="22">
        <v>7200</v>
      </c>
      <c r="P2744" s="22">
        <v>7200</v>
      </c>
      <c r="Q2744" t="str" cm="1">
        <f t="array" ref="Q2744">_xlfn.TEXTJOIN("、",TRUE,IF('學員資料-三民高中'!$B$2:$B$454=$F2744,'學員資料-三民高中'!$G$2:$G$454,""))</f>
        <v/>
      </c>
      <c r="R2744" t="str" cm="1">
        <f t="array" ref="R2744">_xlfn.TEXTJOIN("、",TRUE,IF('學員資料-新北高中'!$B$2:$B$583=$F2744,'學員資料-新北高中'!$G$2:$G$583,""))</f>
        <v>0908553878</v>
      </c>
      <c r="S2744" t="str" cm="1">
        <f t="array" ref="S2744">_xlfn.TEXTJOIN("、",TRUE,IF('學員資料-三重商工'!$B$2:$B$472=$F2744,'學員資料-三重商工'!$G$2:$G$472,""))</f>
        <v/>
      </c>
      <c r="T2744">
        <f t="shared" si="42"/>
        <v>1</v>
      </c>
    </row>
    <row r="2745" spans="1:20" ht="28.5" hidden="1" customHeight="1">
      <c r="A2745" s="15">
        <v>2744</v>
      </c>
      <c r="B2745" s="16" t="s">
        <v>8465</v>
      </c>
      <c r="C2745" s="17">
        <v>45512</v>
      </c>
      <c r="D2745" s="15" t="s">
        <v>8466</v>
      </c>
      <c r="E2745" s="18" t="s">
        <v>954</v>
      </c>
      <c r="F2745" s="19" t="s">
        <v>8467</v>
      </c>
      <c r="G2745" s="18" t="s">
        <v>7601</v>
      </c>
      <c r="H2745" s="20" t="s">
        <v>5263</v>
      </c>
      <c r="I2745" s="15">
        <v>2</v>
      </c>
      <c r="J2745" s="15" t="s">
        <v>25</v>
      </c>
      <c r="K2745" s="15"/>
      <c r="L2745" s="21" t="s">
        <v>16</v>
      </c>
      <c r="M2745" s="22">
        <v>0</v>
      </c>
      <c r="N2745" s="22">
        <v>-6336</v>
      </c>
      <c r="O2745" s="22">
        <v>11664</v>
      </c>
      <c r="P2745" s="22">
        <v>11664</v>
      </c>
      <c r="Q2745" t="str" cm="1">
        <f t="array" ref="Q2745">_xlfn.TEXTJOIN("、",TRUE,IF('學員資料-三民高中'!$B$2:$B$454=$F2745,'學員資料-三民高中'!$G$2:$G$454,""))</f>
        <v>0928250747</v>
      </c>
      <c r="R2745" t="str" cm="1">
        <f t="array" ref="R2745">_xlfn.TEXTJOIN("、",TRUE,IF('學員資料-新北高中'!$B$2:$B$583=$F2745,'學員資料-新北高中'!$G$2:$G$583,""))</f>
        <v/>
      </c>
      <c r="S2745" t="str" cm="1">
        <f t="array" ref="S2745">_xlfn.TEXTJOIN("、",TRUE,IF('學員資料-三重商工'!$B$2:$B$472=$F2745,'學員資料-三重商工'!$G$2:$G$472,""))</f>
        <v/>
      </c>
      <c r="T2745">
        <f t="shared" si="42"/>
        <v>1</v>
      </c>
    </row>
    <row r="2746" spans="1:20" ht="14.25" hidden="1" customHeight="1">
      <c r="A2746" s="15">
        <v>2745</v>
      </c>
      <c r="B2746" s="16" t="s">
        <v>8468</v>
      </c>
      <c r="C2746" s="17">
        <v>45512</v>
      </c>
      <c r="D2746" s="15" t="s">
        <v>8469</v>
      </c>
      <c r="E2746" s="18" t="s">
        <v>954</v>
      </c>
      <c r="F2746" s="19" t="s">
        <v>4340</v>
      </c>
      <c r="G2746" s="18" t="s">
        <v>4341</v>
      </c>
      <c r="H2746" s="20" t="s">
        <v>8470</v>
      </c>
      <c r="I2746" s="15">
        <v>1</v>
      </c>
      <c r="J2746" s="15" t="s">
        <v>26</v>
      </c>
      <c r="K2746" s="15"/>
      <c r="L2746" s="21" t="s">
        <v>16</v>
      </c>
      <c r="M2746" s="22">
        <v>0</v>
      </c>
      <c r="N2746" s="22">
        <v>-1440</v>
      </c>
      <c r="O2746" s="22">
        <v>11520</v>
      </c>
      <c r="P2746" s="22">
        <v>11520</v>
      </c>
      <c r="Q2746" t="str" cm="1">
        <f t="array" ref="Q2746">_xlfn.TEXTJOIN("、",TRUE,IF('學員資料-三民高中'!$B$2:$B$454=$F2746,'學員資料-三民高中'!$G$2:$G$454,""))</f>
        <v>0955181838</v>
      </c>
      <c r="R2746" t="str" cm="1">
        <f t="array" ref="R2746">_xlfn.TEXTJOIN("、",TRUE,IF('學員資料-新北高中'!$B$2:$B$583=$F2746,'學員資料-新北高中'!$G$2:$G$583,""))</f>
        <v/>
      </c>
      <c r="S2746" t="str" cm="1">
        <f t="array" ref="S2746">_xlfn.TEXTJOIN("、",TRUE,IF('學員資料-三重商工'!$B$2:$B$472=$F2746,'學員資料-三重商工'!$G$2:$G$472,""))</f>
        <v/>
      </c>
      <c r="T2746">
        <f t="shared" si="42"/>
        <v>1</v>
      </c>
    </row>
    <row r="2747" spans="1:20" ht="14.25" hidden="1" customHeight="1">
      <c r="A2747" s="15">
        <v>2746</v>
      </c>
      <c r="B2747" s="16" t="s">
        <v>8471</v>
      </c>
      <c r="C2747" s="17">
        <v>45512</v>
      </c>
      <c r="D2747" s="15" t="s">
        <v>8472</v>
      </c>
      <c r="E2747" s="18" t="s">
        <v>954</v>
      </c>
      <c r="F2747" s="19" t="s">
        <v>4131</v>
      </c>
      <c r="G2747" s="18" t="s">
        <v>4132</v>
      </c>
      <c r="H2747" s="20" t="s">
        <v>5180</v>
      </c>
      <c r="I2747" s="15">
        <v>1</v>
      </c>
      <c r="J2747" s="15" t="s">
        <v>24</v>
      </c>
      <c r="K2747" s="15"/>
      <c r="L2747" s="21" t="s">
        <v>16</v>
      </c>
      <c r="M2747" s="22">
        <v>0</v>
      </c>
      <c r="N2747" s="22">
        <v>0</v>
      </c>
      <c r="O2747" s="22">
        <v>8640</v>
      </c>
      <c r="P2747" s="22">
        <v>8640</v>
      </c>
      <c r="Q2747" t="str" cm="1">
        <f t="array" ref="Q2747">_xlfn.TEXTJOIN("、",TRUE,IF('學員資料-三民高中'!$B$2:$B$454=$F2747,'學員資料-三民高中'!$G$2:$G$454,""))</f>
        <v>0965807900</v>
      </c>
      <c r="R2747" t="str" cm="1">
        <f t="array" ref="R2747">_xlfn.TEXTJOIN("、",TRUE,IF('學員資料-新北高中'!$B$2:$B$583=$F2747,'學員資料-新北高中'!$G$2:$G$583,""))</f>
        <v/>
      </c>
      <c r="S2747" t="str" cm="1">
        <f t="array" ref="S2747">_xlfn.TEXTJOIN("、",TRUE,IF('學員資料-三重商工'!$B$2:$B$472=$F2747,'學員資料-三重商工'!$G$2:$G$472,""))</f>
        <v/>
      </c>
      <c r="T2747">
        <f t="shared" si="42"/>
        <v>1</v>
      </c>
    </row>
    <row r="2748" spans="1:20" ht="14.25" customHeight="1">
      <c r="A2748" s="15">
        <v>2747</v>
      </c>
      <c r="B2748" s="16" t="s">
        <v>8473</v>
      </c>
      <c r="C2748" s="17">
        <v>45512</v>
      </c>
      <c r="D2748" s="15" t="s">
        <v>8474</v>
      </c>
      <c r="E2748" s="18" t="s">
        <v>954</v>
      </c>
      <c r="F2748" s="19" t="s">
        <v>8475</v>
      </c>
      <c r="G2748" s="23"/>
      <c r="H2748" s="20" t="s">
        <v>5163</v>
      </c>
      <c r="I2748" s="15">
        <v>1</v>
      </c>
      <c r="J2748" s="15" t="s">
        <v>23</v>
      </c>
      <c r="K2748" s="15"/>
      <c r="L2748" s="21" t="s">
        <v>16</v>
      </c>
      <c r="M2748" s="22">
        <v>0</v>
      </c>
      <c r="N2748" s="22">
        <v>-660</v>
      </c>
      <c r="O2748" s="22">
        <v>5940</v>
      </c>
      <c r="P2748" s="22">
        <v>5940</v>
      </c>
      <c r="Q2748" t="str" cm="1">
        <f t="array" ref="Q2748">_xlfn.TEXTJOIN("、",TRUE,IF('學員資料-三民高中'!$B$2:$B$454=$F2748,'學員資料-三民高中'!$G$2:$G$454,""))</f>
        <v/>
      </c>
      <c r="R2748" t="str" cm="1">
        <f t="array" ref="R2748">_xlfn.TEXTJOIN("、",TRUE,IF('學員資料-新北高中'!$B$2:$B$583=$F2748,'學員資料-新北高中'!$G$2:$G$583,""))</f>
        <v/>
      </c>
      <c r="S2748" t="str" cm="1">
        <f t="array" ref="S2748">_xlfn.TEXTJOIN("、",TRUE,IF('學員資料-三重商工'!$B$2:$B$472=$F2748,'學員資料-三重商工'!$G$2:$G$472,""))</f>
        <v/>
      </c>
      <c r="T2748">
        <f t="shared" si="42"/>
        <v>0</v>
      </c>
    </row>
    <row r="2749" spans="1:20" ht="14.25" hidden="1" customHeight="1">
      <c r="A2749" s="15">
        <v>2748</v>
      </c>
      <c r="B2749" s="16" t="s">
        <v>8476</v>
      </c>
      <c r="C2749" s="17">
        <v>45512</v>
      </c>
      <c r="D2749" s="15" t="s">
        <v>8477</v>
      </c>
      <c r="E2749" s="18" t="s">
        <v>954</v>
      </c>
      <c r="F2749" s="19" t="s">
        <v>2970</v>
      </c>
      <c r="G2749" s="18" t="s">
        <v>2971</v>
      </c>
      <c r="H2749" s="20" t="s">
        <v>5131</v>
      </c>
      <c r="I2749" s="15">
        <v>1</v>
      </c>
      <c r="J2749" s="15" t="s">
        <v>24</v>
      </c>
      <c r="K2749" s="15"/>
      <c r="L2749" s="21" t="s">
        <v>16</v>
      </c>
      <c r="M2749" s="22">
        <v>0</v>
      </c>
      <c r="N2749" s="22">
        <v>0</v>
      </c>
      <c r="O2749" s="22">
        <v>7200</v>
      </c>
      <c r="P2749" s="22">
        <v>7200</v>
      </c>
      <c r="Q2749" t="str" cm="1">
        <f t="array" ref="Q2749">_xlfn.TEXTJOIN("、",TRUE,IF('學員資料-三民高中'!$B$2:$B$454=$F2749,'學員資料-三民高中'!$G$2:$G$454,""))</f>
        <v/>
      </c>
      <c r="R2749" t="str" cm="1">
        <f t="array" ref="R2749">_xlfn.TEXTJOIN("、",TRUE,IF('學員資料-新北高中'!$B$2:$B$583=$F2749,'學員資料-新北高中'!$G$2:$G$583,""))</f>
        <v>0928500335</v>
      </c>
      <c r="S2749" t="str" cm="1">
        <f t="array" ref="S2749">_xlfn.TEXTJOIN("、",TRUE,IF('學員資料-三重商工'!$B$2:$B$472=$F2749,'學員資料-三重商工'!$G$2:$G$472,""))</f>
        <v/>
      </c>
      <c r="T2749">
        <f t="shared" si="42"/>
        <v>1</v>
      </c>
    </row>
    <row r="2750" spans="1:20" ht="28.5" hidden="1" customHeight="1">
      <c r="A2750" s="15">
        <v>2749</v>
      </c>
      <c r="B2750" s="16" t="s">
        <v>8478</v>
      </c>
      <c r="C2750" s="17">
        <v>45512</v>
      </c>
      <c r="D2750" s="15" t="s">
        <v>3808</v>
      </c>
      <c r="E2750" s="18" t="s">
        <v>954</v>
      </c>
      <c r="F2750" s="19" t="s">
        <v>8413</v>
      </c>
      <c r="G2750" s="18" t="s">
        <v>8414</v>
      </c>
      <c r="H2750" s="20" t="s">
        <v>5206</v>
      </c>
      <c r="I2750" s="15">
        <v>2</v>
      </c>
      <c r="J2750" s="15" t="s">
        <v>23</v>
      </c>
      <c r="K2750" s="15"/>
      <c r="L2750" s="21" t="s">
        <v>16</v>
      </c>
      <c r="M2750" s="22">
        <v>0</v>
      </c>
      <c r="N2750" s="22">
        <v>-1320</v>
      </c>
      <c r="O2750" s="22">
        <v>11880</v>
      </c>
      <c r="P2750" s="22">
        <v>11880</v>
      </c>
      <c r="Q2750" t="str" cm="1">
        <f t="array" ref="Q2750">_xlfn.TEXTJOIN("、",TRUE,IF('學員資料-三民高中'!$B$2:$B$454=$F2750,'學員資料-三民高中'!$G$2:$G$454,""))</f>
        <v>0937089640</v>
      </c>
      <c r="R2750" t="str" cm="1">
        <f t="array" ref="R2750">_xlfn.TEXTJOIN("、",TRUE,IF('學員資料-新北高中'!$B$2:$B$583=$F2750,'學員資料-新北高中'!$G$2:$G$583,""))</f>
        <v/>
      </c>
      <c r="S2750" t="str" cm="1">
        <f t="array" ref="S2750">_xlfn.TEXTJOIN("、",TRUE,IF('學員資料-三重商工'!$B$2:$B$472=$F2750,'學員資料-三重商工'!$G$2:$G$472,""))</f>
        <v/>
      </c>
      <c r="T2750">
        <f t="shared" si="42"/>
        <v>1</v>
      </c>
    </row>
    <row r="2751" spans="1:20" ht="14.25" hidden="1" customHeight="1">
      <c r="A2751" s="15">
        <v>2750</v>
      </c>
      <c r="B2751" s="16" t="s">
        <v>8479</v>
      </c>
      <c r="C2751" s="17">
        <v>45512</v>
      </c>
      <c r="D2751" s="15" t="s">
        <v>8480</v>
      </c>
      <c r="E2751" s="18" t="s">
        <v>954</v>
      </c>
      <c r="F2751" s="19" t="s">
        <v>4366</v>
      </c>
      <c r="G2751" s="18" t="s">
        <v>4367</v>
      </c>
      <c r="H2751" s="20" t="s">
        <v>683</v>
      </c>
      <c r="I2751" s="15">
        <v>1</v>
      </c>
      <c r="J2751" s="15" t="s">
        <v>23</v>
      </c>
      <c r="K2751" s="15"/>
      <c r="L2751" s="21" t="s">
        <v>16</v>
      </c>
      <c r="M2751" s="22">
        <v>0</v>
      </c>
      <c r="N2751" s="22">
        <v>-900</v>
      </c>
      <c r="O2751" s="22">
        <v>8100</v>
      </c>
      <c r="P2751" s="22">
        <v>8100</v>
      </c>
      <c r="Q2751" t="str" cm="1">
        <f t="array" ref="Q2751">_xlfn.TEXTJOIN("、",TRUE,IF('學員資料-三民高中'!$B$2:$B$454=$F2751,'學員資料-三民高中'!$G$2:$G$454,""))</f>
        <v/>
      </c>
      <c r="R2751" t="str" cm="1">
        <f t="array" ref="R2751">_xlfn.TEXTJOIN("、",TRUE,IF('學員資料-新北高中'!$B$2:$B$583=$F2751,'學員資料-新北高中'!$G$2:$G$583,""))</f>
        <v>0926061999</v>
      </c>
      <c r="S2751" t="str" cm="1">
        <f t="array" ref="S2751">_xlfn.TEXTJOIN("、",TRUE,IF('學員資料-三重商工'!$B$2:$B$472=$F2751,'學員資料-三重商工'!$G$2:$G$472,""))</f>
        <v/>
      </c>
      <c r="T2751">
        <f t="shared" si="42"/>
        <v>1</v>
      </c>
    </row>
    <row r="2752" spans="1:20" ht="14.25" hidden="1" customHeight="1">
      <c r="A2752" s="15">
        <v>2751</v>
      </c>
      <c r="B2752" s="16" t="s">
        <v>8481</v>
      </c>
      <c r="C2752" s="17">
        <v>45512</v>
      </c>
      <c r="D2752" s="15" t="s">
        <v>8482</v>
      </c>
      <c r="E2752" s="18" t="s">
        <v>954</v>
      </c>
      <c r="F2752" s="19" t="s">
        <v>8483</v>
      </c>
      <c r="G2752" s="18" t="s">
        <v>8484</v>
      </c>
      <c r="H2752" s="20" t="s">
        <v>6210</v>
      </c>
      <c r="I2752" s="15">
        <v>1</v>
      </c>
      <c r="J2752" s="15" t="s">
        <v>25</v>
      </c>
      <c r="K2752" s="15"/>
      <c r="L2752" s="21" t="s">
        <v>16</v>
      </c>
      <c r="M2752" s="22">
        <v>0</v>
      </c>
      <c r="N2752" s="22">
        <v>-1215</v>
      </c>
      <c r="O2752" s="22">
        <v>10935</v>
      </c>
      <c r="P2752" s="22">
        <v>10935</v>
      </c>
      <c r="Q2752" t="str" cm="1">
        <f t="array" ref="Q2752">_xlfn.TEXTJOIN("、",TRUE,IF('學員資料-三民高中'!$B$2:$B$454=$F2752,'學員資料-三民高中'!$G$2:$G$454,""))</f>
        <v/>
      </c>
      <c r="R2752" t="str" cm="1">
        <f t="array" ref="R2752">_xlfn.TEXTJOIN("、",TRUE,IF('學員資料-新北高中'!$B$2:$B$583=$F2752,'學員資料-新北高中'!$G$2:$G$583,""))</f>
        <v>0958889153</v>
      </c>
      <c r="S2752" t="str" cm="1">
        <f t="array" ref="S2752">_xlfn.TEXTJOIN("、",TRUE,IF('學員資料-三重商工'!$B$2:$B$472=$F2752,'學員資料-三重商工'!$G$2:$G$472,""))</f>
        <v/>
      </c>
      <c r="T2752">
        <f t="shared" si="42"/>
        <v>1</v>
      </c>
    </row>
    <row r="2753" spans="1:20" ht="14.25" hidden="1" customHeight="1">
      <c r="A2753" s="15">
        <v>2752</v>
      </c>
      <c r="B2753" s="16" t="s">
        <v>8485</v>
      </c>
      <c r="C2753" s="17">
        <v>45512</v>
      </c>
      <c r="D2753" s="15" t="s">
        <v>8486</v>
      </c>
      <c r="E2753" s="18" t="s">
        <v>954</v>
      </c>
      <c r="F2753" s="19" t="s">
        <v>7879</v>
      </c>
      <c r="G2753" s="18" t="s">
        <v>7880</v>
      </c>
      <c r="H2753" s="20" t="s">
        <v>683</v>
      </c>
      <c r="I2753" s="15">
        <v>1</v>
      </c>
      <c r="J2753" s="15" t="s">
        <v>23</v>
      </c>
      <c r="K2753" s="15"/>
      <c r="L2753" s="21" t="s">
        <v>16</v>
      </c>
      <c r="M2753" s="22">
        <v>0</v>
      </c>
      <c r="N2753" s="22">
        <v>0</v>
      </c>
      <c r="O2753" s="22">
        <v>9000</v>
      </c>
      <c r="P2753" s="22">
        <v>9000</v>
      </c>
      <c r="Q2753" t="str" cm="1">
        <f t="array" ref="Q2753">_xlfn.TEXTJOIN("、",TRUE,IF('學員資料-三民高中'!$B$2:$B$454=$F2753,'學員資料-三民高中'!$G$2:$G$454,""))</f>
        <v/>
      </c>
      <c r="R2753" t="str" cm="1">
        <f t="array" ref="R2753">_xlfn.TEXTJOIN("、",TRUE,IF('學員資料-新北高中'!$B$2:$B$583=$F2753,'學員資料-新北高中'!$G$2:$G$583,""))</f>
        <v>0913530325</v>
      </c>
      <c r="S2753" t="str" cm="1">
        <f t="array" ref="S2753">_xlfn.TEXTJOIN("、",TRUE,IF('學員資料-三重商工'!$B$2:$B$472=$F2753,'學員資料-三重商工'!$G$2:$G$472,""))</f>
        <v/>
      </c>
      <c r="T2753">
        <f t="shared" si="42"/>
        <v>1</v>
      </c>
    </row>
    <row r="2754" spans="1:20" ht="43.5" hidden="1" customHeight="1">
      <c r="A2754" s="15">
        <v>2753</v>
      </c>
      <c r="B2754" s="16" t="s">
        <v>8487</v>
      </c>
      <c r="C2754" s="17">
        <v>45512</v>
      </c>
      <c r="D2754" s="15" t="s">
        <v>8488</v>
      </c>
      <c r="E2754" s="18" t="s">
        <v>954</v>
      </c>
      <c r="F2754" s="19" t="s">
        <v>8489</v>
      </c>
      <c r="G2754" s="18" t="s">
        <v>8490</v>
      </c>
      <c r="H2754" s="20" t="s">
        <v>5969</v>
      </c>
      <c r="I2754" s="15">
        <v>3</v>
      </c>
      <c r="J2754" s="15" t="s">
        <v>24</v>
      </c>
      <c r="K2754" s="21" t="s">
        <v>116</v>
      </c>
      <c r="L2754" s="21" t="s">
        <v>16</v>
      </c>
      <c r="M2754" s="22">
        <v>0</v>
      </c>
      <c r="N2754" s="22">
        <v>0</v>
      </c>
      <c r="O2754" s="22">
        <v>1800</v>
      </c>
      <c r="P2754" s="22">
        <v>1800</v>
      </c>
      <c r="Q2754" t="str" cm="1">
        <f t="array" ref="Q2754">_xlfn.TEXTJOIN("、",TRUE,IF('學員資料-三民高中'!$B$2:$B$454=$F2754,'學員資料-三民高中'!$G$2:$G$454,""))</f>
        <v>0955777747</v>
      </c>
      <c r="R2754" t="str" cm="1">
        <f t="array" ref="R2754">_xlfn.TEXTJOIN("、",TRUE,IF('學員資料-新北高中'!$B$2:$B$583=$F2754,'學員資料-新北高中'!$G$2:$G$583,""))</f>
        <v/>
      </c>
      <c r="S2754" t="str" cm="1">
        <f t="array" ref="S2754">_xlfn.TEXTJOIN("、",TRUE,IF('學員資料-三重商工'!$B$2:$B$472=$F2754,'學員資料-三重商工'!$G$2:$G$472,""))</f>
        <v/>
      </c>
      <c r="T2754">
        <f t="shared" si="42"/>
        <v>1</v>
      </c>
    </row>
    <row r="2755" spans="1:20" ht="72" hidden="1" customHeight="1">
      <c r="A2755" s="15">
        <v>2754</v>
      </c>
      <c r="B2755" s="16" t="s">
        <v>8491</v>
      </c>
      <c r="C2755" s="17">
        <v>45512</v>
      </c>
      <c r="D2755" s="15" t="s">
        <v>4218</v>
      </c>
      <c r="E2755" s="18" t="s">
        <v>954</v>
      </c>
      <c r="F2755" s="19" t="s">
        <v>5166</v>
      </c>
      <c r="G2755" s="18" t="s">
        <v>5167</v>
      </c>
      <c r="H2755" s="20" t="s">
        <v>6617</v>
      </c>
      <c r="I2755" s="15">
        <v>5</v>
      </c>
      <c r="J2755" s="15" t="s">
        <v>24</v>
      </c>
      <c r="K2755" s="15"/>
      <c r="L2755" s="21" t="s">
        <v>16</v>
      </c>
      <c r="M2755" s="22">
        <v>0</v>
      </c>
      <c r="N2755" s="22">
        <v>-4320</v>
      </c>
      <c r="O2755" s="22">
        <v>31680</v>
      </c>
      <c r="P2755" s="22">
        <v>31680</v>
      </c>
      <c r="Q2755" t="str" cm="1">
        <f t="array" ref="Q2755">_xlfn.TEXTJOIN("、",TRUE,IF('學員資料-三民高中'!$B$2:$B$454=$F2755,'學員資料-三民高中'!$G$2:$G$454,""))</f>
        <v>0937399561-1</v>
      </c>
      <c r="R2755" t="str" cm="1">
        <f t="array" ref="R2755">_xlfn.TEXTJOIN("、",TRUE,IF('學員資料-新北高中'!$B$2:$B$583=$F2755,'學員資料-新北高中'!$G$2:$G$583,""))</f>
        <v/>
      </c>
      <c r="S2755" t="str" cm="1">
        <f t="array" ref="S2755">_xlfn.TEXTJOIN("、",TRUE,IF('學員資料-三重商工'!$B$2:$B$472=$F2755,'學員資料-三重商工'!$G$2:$G$472,""))</f>
        <v/>
      </c>
      <c r="T2755">
        <f t="shared" ref="T2755:T2818" si="43">3-COUNTBLANK(Q2755:S2755)</f>
        <v>1</v>
      </c>
    </row>
    <row r="2756" spans="1:20" ht="14.25" hidden="1" customHeight="1">
      <c r="A2756" s="15">
        <v>2755</v>
      </c>
      <c r="B2756" s="16" t="s">
        <v>8492</v>
      </c>
      <c r="C2756" s="17">
        <v>45512</v>
      </c>
      <c r="D2756" s="15" t="s">
        <v>8493</v>
      </c>
      <c r="E2756" s="18" t="s">
        <v>954</v>
      </c>
      <c r="F2756" s="19" t="s">
        <v>8494</v>
      </c>
      <c r="G2756" s="18" t="s">
        <v>8495</v>
      </c>
      <c r="H2756" s="20" t="s">
        <v>5131</v>
      </c>
      <c r="I2756" s="15">
        <v>1</v>
      </c>
      <c r="J2756" s="15" t="s">
        <v>24</v>
      </c>
      <c r="K2756" s="15"/>
      <c r="L2756" s="21" t="s">
        <v>16</v>
      </c>
      <c r="M2756" s="22">
        <v>0</v>
      </c>
      <c r="N2756" s="22">
        <v>-720</v>
      </c>
      <c r="O2756" s="22">
        <v>6480</v>
      </c>
      <c r="P2756" s="22">
        <v>6480</v>
      </c>
      <c r="Q2756" t="str" cm="1">
        <f t="array" ref="Q2756">_xlfn.TEXTJOIN("、",TRUE,IF('學員資料-三民高中'!$B$2:$B$454=$F2756,'學員資料-三民高中'!$G$2:$G$454,""))</f>
        <v>0989617355</v>
      </c>
      <c r="R2756" t="str" cm="1">
        <f t="array" ref="R2756">_xlfn.TEXTJOIN("、",TRUE,IF('學員資料-新北高中'!$B$2:$B$583=$F2756,'學員資料-新北高中'!$G$2:$G$583,""))</f>
        <v/>
      </c>
      <c r="S2756" t="str" cm="1">
        <f t="array" ref="S2756">_xlfn.TEXTJOIN("、",TRUE,IF('學員資料-三重商工'!$B$2:$B$472=$F2756,'學員資料-三重商工'!$G$2:$G$472,""))</f>
        <v/>
      </c>
      <c r="T2756">
        <f t="shared" si="43"/>
        <v>1</v>
      </c>
    </row>
    <row r="2757" spans="1:20" ht="87" hidden="1" customHeight="1">
      <c r="A2757" s="15">
        <v>2756</v>
      </c>
      <c r="B2757" s="16" t="s">
        <v>8496</v>
      </c>
      <c r="C2757" s="17">
        <v>45512</v>
      </c>
      <c r="D2757" s="15" t="s">
        <v>8497</v>
      </c>
      <c r="E2757" s="18" t="s">
        <v>954</v>
      </c>
      <c r="F2757" s="19" t="s">
        <v>8494</v>
      </c>
      <c r="G2757" s="18" t="s">
        <v>8495</v>
      </c>
      <c r="H2757" s="20" t="s">
        <v>7183</v>
      </c>
      <c r="I2757" s="15">
        <v>6</v>
      </c>
      <c r="J2757" s="15" t="s">
        <v>24</v>
      </c>
      <c r="K2757" s="15"/>
      <c r="L2757" s="21" t="s">
        <v>16</v>
      </c>
      <c r="M2757" s="22">
        <v>0</v>
      </c>
      <c r="N2757" s="22">
        <v>-5184</v>
      </c>
      <c r="O2757" s="22">
        <v>38016</v>
      </c>
      <c r="P2757" s="22">
        <v>38016</v>
      </c>
      <c r="Q2757" t="str" cm="1">
        <f t="array" ref="Q2757">_xlfn.TEXTJOIN("、",TRUE,IF('學員資料-三民高中'!$B$2:$B$454=$F2757,'學員資料-三民高中'!$G$2:$G$454,""))</f>
        <v>0989617355</v>
      </c>
      <c r="R2757" t="str" cm="1">
        <f t="array" ref="R2757">_xlfn.TEXTJOIN("、",TRUE,IF('學員資料-新北高中'!$B$2:$B$583=$F2757,'學員資料-新北高中'!$G$2:$G$583,""))</f>
        <v/>
      </c>
      <c r="S2757" t="str" cm="1">
        <f t="array" ref="S2757">_xlfn.TEXTJOIN("、",TRUE,IF('學員資料-三重商工'!$B$2:$B$472=$F2757,'學員資料-三重商工'!$G$2:$G$472,""))</f>
        <v/>
      </c>
      <c r="T2757">
        <f t="shared" si="43"/>
        <v>1</v>
      </c>
    </row>
    <row r="2758" spans="1:20" ht="14.25" hidden="1" customHeight="1">
      <c r="A2758" s="15">
        <v>2757</v>
      </c>
      <c r="B2758" s="16" t="s">
        <v>8498</v>
      </c>
      <c r="C2758" s="17">
        <v>45512</v>
      </c>
      <c r="D2758" s="15" t="s">
        <v>8499</v>
      </c>
      <c r="E2758" s="18" t="s">
        <v>954</v>
      </c>
      <c r="F2758" s="19" t="s">
        <v>8500</v>
      </c>
      <c r="G2758" s="18" t="s">
        <v>8501</v>
      </c>
      <c r="H2758" s="20" t="s">
        <v>683</v>
      </c>
      <c r="I2758" s="15">
        <v>1</v>
      </c>
      <c r="J2758" s="15" t="s">
        <v>23</v>
      </c>
      <c r="K2758" s="15"/>
      <c r="L2758" s="21" t="s">
        <v>16</v>
      </c>
      <c r="M2758" s="22">
        <v>0</v>
      </c>
      <c r="N2758" s="22">
        <v>0</v>
      </c>
      <c r="O2758" s="22">
        <v>9000</v>
      </c>
      <c r="P2758" s="22">
        <v>9000</v>
      </c>
      <c r="Q2758" t="str" cm="1">
        <f t="array" ref="Q2758">_xlfn.TEXTJOIN("、",TRUE,IF('學員資料-三民高中'!$B$2:$B$454=$F2758,'學員資料-三民高中'!$G$2:$G$454,""))</f>
        <v/>
      </c>
      <c r="R2758" t="str" cm="1">
        <f t="array" ref="R2758">_xlfn.TEXTJOIN("、",TRUE,IF('學員資料-新北高中'!$B$2:$B$583=$F2758,'學員資料-新北高中'!$G$2:$G$583,""))</f>
        <v>0911886110</v>
      </c>
      <c r="S2758" t="str" cm="1">
        <f t="array" ref="S2758">_xlfn.TEXTJOIN("、",TRUE,IF('學員資料-三重商工'!$B$2:$B$472=$F2758,'學員資料-三重商工'!$G$2:$G$472,""))</f>
        <v/>
      </c>
      <c r="T2758">
        <f t="shared" si="43"/>
        <v>1</v>
      </c>
    </row>
    <row r="2759" spans="1:20" ht="14.25" hidden="1" customHeight="1">
      <c r="A2759" s="15">
        <v>2758</v>
      </c>
      <c r="B2759" s="16" t="s">
        <v>8502</v>
      </c>
      <c r="C2759" s="17">
        <v>45512</v>
      </c>
      <c r="D2759" s="15" t="s">
        <v>8503</v>
      </c>
      <c r="E2759" s="18" t="s">
        <v>954</v>
      </c>
      <c r="F2759" s="19" t="s">
        <v>5397</v>
      </c>
      <c r="G2759" s="18" t="s">
        <v>5398</v>
      </c>
      <c r="H2759" s="20" t="s">
        <v>5131</v>
      </c>
      <c r="I2759" s="15">
        <v>1</v>
      </c>
      <c r="J2759" s="15" t="s">
        <v>24</v>
      </c>
      <c r="K2759" s="15"/>
      <c r="L2759" s="21" t="s">
        <v>16</v>
      </c>
      <c r="M2759" s="22">
        <v>0</v>
      </c>
      <c r="N2759" s="22">
        <v>0</v>
      </c>
      <c r="O2759" s="22">
        <v>7200</v>
      </c>
      <c r="P2759" s="22">
        <v>7200</v>
      </c>
      <c r="Q2759" t="str" cm="1">
        <f t="array" ref="Q2759">_xlfn.TEXTJOIN("、",TRUE,IF('學員資料-三民高中'!$B$2:$B$454=$F2759,'學員資料-三民高中'!$G$2:$G$454,""))</f>
        <v>0986610666</v>
      </c>
      <c r="R2759" t="str" cm="1">
        <f t="array" ref="R2759">_xlfn.TEXTJOIN("、",TRUE,IF('學員資料-新北高中'!$B$2:$B$583=$F2759,'學員資料-新北高中'!$G$2:$G$583,""))</f>
        <v/>
      </c>
      <c r="S2759" t="str" cm="1">
        <f t="array" ref="S2759">_xlfn.TEXTJOIN("、",TRUE,IF('學員資料-三重商工'!$B$2:$B$472=$F2759,'學員資料-三重商工'!$G$2:$G$472,""))</f>
        <v/>
      </c>
      <c r="T2759">
        <f t="shared" si="43"/>
        <v>1</v>
      </c>
    </row>
    <row r="2760" spans="1:20" ht="14.25" hidden="1" customHeight="1">
      <c r="A2760" s="15">
        <v>2759</v>
      </c>
      <c r="B2760" s="16" t="s">
        <v>8504</v>
      </c>
      <c r="C2760" s="17">
        <v>45512</v>
      </c>
      <c r="D2760" s="15" t="s">
        <v>8505</v>
      </c>
      <c r="E2760" s="18" t="s">
        <v>954</v>
      </c>
      <c r="F2760" s="19" t="s">
        <v>2195</v>
      </c>
      <c r="G2760" s="18" t="s">
        <v>2196</v>
      </c>
      <c r="H2760" s="20" t="s">
        <v>5131</v>
      </c>
      <c r="I2760" s="15">
        <v>1</v>
      </c>
      <c r="J2760" s="15" t="s">
        <v>24</v>
      </c>
      <c r="K2760" s="15"/>
      <c r="L2760" s="21" t="s">
        <v>16</v>
      </c>
      <c r="M2760" s="22">
        <v>0</v>
      </c>
      <c r="N2760" s="22">
        <v>0</v>
      </c>
      <c r="O2760" s="22">
        <v>7200</v>
      </c>
      <c r="P2760" s="22">
        <v>7200</v>
      </c>
      <c r="Q2760" t="str" cm="1">
        <f t="array" ref="Q2760">_xlfn.TEXTJOIN("、",TRUE,IF('學員資料-三民高中'!$B$2:$B$454=$F2760,'學員資料-三民高中'!$G$2:$G$454,""))</f>
        <v>0987870773</v>
      </c>
      <c r="R2760" t="str" cm="1">
        <f t="array" ref="R2760">_xlfn.TEXTJOIN("、",TRUE,IF('學員資料-新北高中'!$B$2:$B$583=$F2760,'學員資料-新北高中'!$G$2:$G$583,""))</f>
        <v/>
      </c>
      <c r="S2760" t="str" cm="1">
        <f t="array" ref="S2760">_xlfn.TEXTJOIN("、",TRUE,IF('學員資料-三重商工'!$B$2:$B$472=$F2760,'學員資料-三重商工'!$G$2:$G$472,""))</f>
        <v/>
      </c>
      <c r="T2760">
        <f t="shared" si="43"/>
        <v>1</v>
      </c>
    </row>
    <row r="2761" spans="1:20" ht="14.25" hidden="1" customHeight="1">
      <c r="A2761" s="15">
        <v>2760</v>
      </c>
      <c r="B2761" s="16" t="s">
        <v>8506</v>
      </c>
      <c r="C2761" s="17">
        <v>45512</v>
      </c>
      <c r="D2761" s="15" t="s">
        <v>8507</v>
      </c>
      <c r="E2761" s="18" t="s">
        <v>954</v>
      </c>
      <c r="F2761" s="19" t="s">
        <v>3249</v>
      </c>
      <c r="G2761" s="18" t="s">
        <v>3250</v>
      </c>
      <c r="H2761" s="20" t="s">
        <v>5163</v>
      </c>
      <c r="I2761" s="15">
        <v>1</v>
      </c>
      <c r="J2761" s="15" t="s">
        <v>23</v>
      </c>
      <c r="K2761" s="15"/>
      <c r="L2761" s="21" t="s">
        <v>16</v>
      </c>
      <c r="M2761" s="22">
        <v>0</v>
      </c>
      <c r="N2761" s="22">
        <v>0</v>
      </c>
      <c r="O2761" s="22">
        <v>6600</v>
      </c>
      <c r="P2761" s="22">
        <v>6600</v>
      </c>
      <c r="Q2761" t="str" cm="1">
        <f t="array" ref="Q2761">_xlfn.TEXTJOIN("、",TRUE,IF('學員資料-三民高中'!$B$2:$B$454=$F2761,'學員資料-三民高中'!$G$2:$G$454,""))</f>
        <v>0972878118</v>
      </c>
      <c r="R2761" t="str" cm="1">
        <f t="array" ref="R2761">_xlfn.TEXTJOIN("、",TRUE,IF('學員資料-新北高中'!$B$2:$B$583=$F2761,'學員資料-新北高中'!$G$2:$G$583,""))</f>
        <v/>
      </c>
      <c r="S2761" t="str" cm="1">
        <f t="array" ref="S2761">_xlfn.TEXTJOIN("、",TRUE,IF('學員資料-三重商工'!$B$2:$B$472=$F2761,'學員資料-三重商工'!$G$2:$G$472,""))</f>
        <v/>
      </c>
      <c r="T2761">
        <f t="shared" si="43"/>
        <v>1</v>
      </c>
    </row>
    <row r="2762" spans="1:20" ht="14.25" hidden="1" customHeight="1">
      <c r="A2762" s="15">
        <v>2761</v>
      </c>
      <c r="B2762" s="16" t="s">
        <v>8508</v>
      </c>
      <c r="C2762" s="17">
        <v>45512</v>
      </c>
      <c r="D2762" s="15" t="s">
        <v>8509</v>
      </c>
      <c r="E2762" s="18" t="s">
        <v>3862</v>
      </c>
      <c r="F2762" s="19" t="s">
        <v>7435</v>
      </c>
      <c r="G2762" s="18" t="s">
        <v>7436</v>
      </c>
      <c r="H2762" s="20" t="s">
        <v>5163</v>
      </c>
      <c r="I2762" s="15">
        <v>1</v>
      </c>
      <c r="J2762" s="15" t="s">
        <v>23</v>
      </c>
      <c r="K2762" s="15"/>
      <c r="L2762" s="21" t="s">
        <v>16</v>
      </c>
      <c r="M2762" s="22">
        <v>0</v>
      </c>
      <c r="N2762" s="22">
        <v>0</v>
      </c>
      <c r="O2762" s="22">
        <v>6600</v>
      </c>
      <c r="P2762" s="22">
        <v>6600</v>
      </c>
      <c r="Q2762" t="str" cm="1">
        <f t="array" ref="Q2762">_xlfn.TEXTJOIN("、",TRUE,IF('學員資料-三民高中'!$B$2:$B$454=$F2762,'學員資料-三民高中'!$G$2:$G$454,""))</f>
        <v>0958360413</v>
      </c>
      <c r="R2762" t="str" cm="1">
        <f t="array" ref="R2762">_xlfn.TEXTJOIN("、",TRUE,IF('學員資料-新北高中'!$B$2:$B$583=$F2762,'學員資料-新北高中'!$G$2:$G$583,""))</f>
        <v/>
      </c>
      <c r="S2762" t="str" cm="1">
        <f t="array" ref="S2762">_xlfn.TEXTJOIN("、",TRUE,IF('學員資料-三重商工'!$B$2:$B$472=$F2762,'學員資料-三重商工'!$G$2:$G$472,""))</f>
        <v/>
      </c>
      <c r="T2762">
        <f t="shared" si="43"/>
        <v>1</v>
      </c>
    </row>
    <row r="2763" spans="1:20" ht="14.25" hidden="1" customHeight="1">
      <c r="A2763" s="15">
        <v>2762</v>
      </c>
      <c r="B2763" s="16" t="s">
        <v>8510</v>
      </c>
      <c r="C2763" s="17">
        <v>45512</v>
      </c>
      <c r="D2763" s="15" t="s">
        <v>8511</v>
      </c>
      <c r="E2763" s="18" t="s">
        <v>954</v>
      </c>
      <c r="F2763" s="19" t="s">
        <v>8512</v>
      </c>
      <c r="G2763" s="18" t="s">
        <v>8513</v>
      </c>
      <c r="H2763" s="20" t="s">
        <v>5163</v>
      </c>
      <c r="I2763" s="15">
        <v>1</v>
      </c>
      <c r="J2763" s="15" t="s">
        <v>23</v>
      </c>
      <c r="K2763" s="15"/>
      <c r="L2763" s="21" t="s">
        <v>16</v>
      </c>
      <c r="M2763" s="22">
        <v>0</v>
      </c>
      <c r="N2763" s="22">
        <v>-792</v>
      </c>
      <c r="O2763" s="22">
        <v>5808</v>
      </c>
      <c r="P2763" s="22">
        <v>5808</v>
      </c>
      <c r="Q2763" t="str" cm="1">
        <f t="array" ref="Q2763">_xlfn.TEXTJOIN("、",TRUE,IF('學員資料-三民高中'!$B$2:$B$454=$F2763,'學員資料-三民高中'!$G$2:$G$454,""))</f>
        <v>0935242518-2</v>
      </c>
      <c r="R2763" t="str" cm="1">
        <f t="array" ref="R2763">_xlfn.TEXTJOIN("、",TRUE,IF('學員資料-新北高中'!$B$2:$B$583=$F2763,'學員資料-新北高中'!$G$2:$G$583,""))</f>
        <v/>
      </c>
      <c r="S2763" t="str" cm="1">
        <f t="array" ref="S2763">_xlfn.TEXTJOIN("、",TRUE,IF('學員資料-三重商工'!$B$2:$B$472=$F2763,'學員資料-三重商工'!$G$2:$G$472,""))</f>
        <v/>
      </c>
      <c r="T2763">
        <f t="shared" si="43"/>
        <v>1</v>
      </c>
    </row>
    <row r="2764" spans="1:20" ht="14.25" hidden="1" customHeight="1">
      <c r="A2764" s="15">
        <v>2763</v>
      </c>
      <c r="B2764" s="16" t="s">
        <v>8514</v>
      </c>
      <c r="C2764" s="17">
        <v>45512</v>
      </c>
      <c r="D2764" s="15" t="s">
        <v>8515</v>
      </c>
      <c r="E2764" s="18" t="s">
        <v>954</v>
      </c>
      <c r="F2764" s="19" t="s">
        <v>8512</v>
      </c>
      <c r="G2764" s="18" t="s">
        <v>8513</v>
      </c>
      <c r="H2764" s="20" t="s">
        <v>5163</v>
      </c>
      <c r="I2764" s="15">
        <v>1</v>
      </c>
      <c r="J2764" s="15" t="s">
        <v>23</v>
      </c>
      <c r="K2764" s="15"/>
      <c r="L2764" s="21" t="s">
        <v>16</v>
      </c>
      <c r="M2764" s="22">
        <v>0</v>
      </c>
      <c r="N2764" s="22">
        <v>-792</v>
      </c>
      <c r="O2764" s="22">
        <v>5808</v>
      </c>
      <c r="P2764" s="22">
        <v>5808</v>
      </c>
      <c r="Q2764" t="str" cm="1">
        <f t="array" ref="Q2764">_xlfn.TEXTJOIN("、",TRUE,IF('學員資料-三民高中'!$B$2:$B$454=$F2764,'學員資料-三民高中'!$G$2:$G$454,""))</f>
        <v>0935242518-2</v>
      </c>
      <c r="R2764" t="str" cm="1">
        <f t="array" ref="R2764">_xlfn.TEXTJOIN("、",TRUE,IF('學員資料-新北高中'!$B$2:$B$583=$F2764,'學員資料-新北高中'!$G$2:$G$583,""))</f>
        <v/>
      </c>
      <c r="S2764" t="str" cm="1">
        <f t="array" ref="S2764">_xlfn.TEXTJOIN("、",TRUE,IF('學員資料-三重商工'!$B$2:$B$472=$F2764,'學員資料-三重商工'!$G$2:$G$472,""))</f>
        <v/>
      </c>
      <c r="T2764">
        <f t="shared" si="43"/>
        <v>1</v>
      </c>
    </row>
    <row r="2765" spans="1:20" ht="14.25" customHeight="1">
      <c r="A2765" s="15">
        <v>2764</v>
      </c>
      <c r="B2765" s="16" t="s">
        <v>8516</v>
      </c>
      <c r="C2765" s="17">
        <v>45512</v>
      </c>
      <c r="D2765" s="15" t="s">
        <v>8517</v>
      </c>
      <c r="E2765" s="18" t="s">
        <v>954</v>
      </c>
      <c r="F2765" s="19" t="s">
        <v>8518</v>
      </c>
      <c r="G2765" s="23"/>
      <c r="H2765" s="20" t="s">
        <v>5131</v>
      </c>
      <c r="I2765" s="15">
        <v>1</v>
      </c>
      <c r="J2765" s="15" t="s">
        <v>24</v>
      </c>
      <c r="K2765" s="15"/>
      <c r="L2765" s="21" t="s">
        <v>16</v>
      </c>
      <c r="M2765" s="22">
        <v>0</v>
      </c>
      <c r="N2765" s="22">
        <v>-864</v>
      </c>
      <c r="O2765" s="22">
        <v>6336</v>
      </c>
      <c r="P2765" s="22">
        <v>6336</v>
      </c>
      <c r="Q2765" t="str" cm="1">
        <f t="array" ref="Q2765">_xlfn.TEXTJOIN("、",TRUE,IF('學員資料-三民高中'!$B$2:$B$454=$F2765,'學員資料-三民高中'!$G$2:$G$454,""))</f>
        <v/>
      </c>
      <c r="R2765" t="str" cm="1">
        <f t="array" ref="R2765">_xlfn.TEXTJOIN("、",TRUE,IF('學員資料-新北高中'!$B$2:$B$583=$F2765,'學員資料-新北高中'!$G$2:$G$583,""))</f>
        <v/>
      </c>
      <c r="S2765" t="str" cm="1">
        <f t="array" ref="S2765">_xlfn.TEXTJOIN("、",TRUE,IF('學員資料-三重商工'!$B$2:$B$472=$F2765,'學員資料-三重商工'!$G$2:$G$472,""))</f>
        <v/>
      </c>
      <c r="T2765">
        <f t="shared" si="43"/>
        <v>0</v>
      </c>
    </row>
    <row r="2766" spans="1:20" ht="14.25" customHeight="1">
      <c r="A2766" s="15">
        <v>2765</v>
      </c>
      <c r="B2766" s="16" t="s">
        <v>8519</v>
      </c>
      <c r="C2766" s="17">
        <v>45512</v>
      </c>
      <c r="D2766" s="15" t="s">
        <v>8520</v>
      </c>
      <c r="E2766" s="18" t="s">
        <v>954</v>
      </c>
      <c r="F2766" s="19" t="s">
        <v>8518</v>
      </c>
      <c r="G2766" s="23"/>
      <c r="H2766" s="20" t="s">
        <v>5131</v>
      </c>
      <c r="I2766" s="15">
        <v>1</v>
      </c>
      <c r="J2766" s="15" t="s">
        <v>24</v>
      </c>
      <c r="K2766" s="15"/>
      <c r="L2766" s="21" t="s">
        <v>16</v>
      </c>
      <c r="M2766" s="22">
        <v>0</v>
      </c>
      <c r="N2766" s="22">
        <v>-864</v>
      </c>
      <c r="O2766" s="22">
        <v>6336</v>
      </c>
      <c r="P2766" s="22">
        <v>6336</v>
      </c>
      <c r="Q2766" t="str" cm="1">
        <f t="array" ref="Q2766">_xlfn.TEXTJOIN("、",TRUE,IF('學員資料-三民高中'!$B$2:$B$454=$F2766,'學員資料-三民高中'!$G$2:$G$454,""))</f>
        <v/>
      </c>
      <c r="R2766" t="str" cm="1">
        <f t="array" ref="R2766">_xlfn.TEXTJOIN("、",TRUE,IF('學員資料-新北高中'!$B$2:$B$583=$F2766,'學員資料-新北高中'!$G$2:$G$583,""))</f>
        <v/>
      </c>
      <c r="S2766" t="str" cm="1">
        <f t="array" ref="S2766">_xlfn.TEXTJOIN("、",TRUE,IF('學員資料-三重商工'!$B$2:$B$472=$F2766,'學員資料-三重商工'!$G$2:$G$472,""))</f>
        <v/>
      </c>
      <c r="T2766">
        <f t="shared" si="43"/>
        <v>0</v>
      </c>
    </row>
    <row r="2767" spans="1:20" ht="14.25" hidden="1" customHeight="1">
      <c r="A2767" s="15">
        <v>2766</v>
      </c>
      <c r="B2767" s="16" t="s">
        <v>8521</v>
      </c>
      <c r="C2767" s="17">
        <v>45512</v>
      </c>
      <c r="D2767" s="15" t="s">
        <v>8522</v>
      </c>
      <c r="E2767" s="18" t="s">
        <v>954</v>
      </c>
      <c r="F2767" s="19" t="s">
        <v>8523</v>
      </c>
      <c r="G2767" s="18" t="s">
        <v>8524</v>
      </c>
      <c r="H2767" s="20" t="s">
        <v>5131</v>
      </c>
      <c r="I2767" s="15">
        <v>1</v>
      </c>
      <c r="J2767" s="15" t="s">
        <v>24</v>
      </c>
      <c r="K2767" s="15"/>
      <c r="L2767" s="21" t="s">
        <v>16</v>
      </c>
      <c r="M2767" s="22">
        <v>0</v>
      </c>
      <c r="N2767" s="22">
        <v>-720</v>
      </c>
      <c r="O2767" s="22">
        <v>6480</v>
      </c>
      <c r="P2767" s="22">
        <v>6480</v>
      </c>
      <c r="Q2767" t="str" cm="1">
        <f t="array" ref="Q2767">_xlfn.TEXTJOIN("、",TRUE,IF('學員資料-三民高中'!$B$2:$B$454=$F2767,'學員資料-三民高中'!$G$2:$G$454,""))</f>
        <v>0930139880</v>
      </c>
      <c r="R2767" t="str" cm="1">
        <f t="array" ref="R2767">_xlfn.TEXTJOIN("、",TRUE,IF('學員資料-新北高中'!$B$2:$B$583=$F2767,'學員資料-新北高中'!$G$2:$G$583,""))</f>
        <v/>
      </c>
      <c r="S2767" t="str" cm="1">
        <f t="array" ref="S2767">_xlfn.TEXTJOIN("、",TRUE,IF('學員資料-三重商工'!$B$2:$B$472=$F2767,'學員資料-三重商工'!$G$2:$G$472,""))</f>
        <v/>
      </c>
      <c r="T2767">
        <f t="shared" si="43"/>
        <v>1</v>
      </c>
    </row>
    <row r="2768" spans="1:20" ht="28.5" hidden="1" customHeight="1">
      <c r="A2768" s="15">
        <v>2767</v>
      </c>
      <c r="B2768" s="16" t="s">
        <v>8525</v>
      </c>
      <c r="C2768" s="17">
        <v>45512</v>
      </c>
      <c r="D2768" s="15" t="s">
        <v>8526</v>
      </c>
      <c r="E2768" s="18" t="s">
        <v>954</v>
      </c>
      <c r="F2768" s="19" t="s">
        <v>8523</v>
      </c>
      <c r="G2768" s="18" t="s">
        <v>8524</v>
      </c>
      <c r="H2768" s="20" t="s">
        <v>5154</v>
      </c>
      <c r="I2768" s="15">
        <v>2</v>
      </c>
      <c r="J2768" s="15" t="s">
        <v>24</v>
      </c>
      <c r="K2768" s="15"/>
      <c r="L2768" s="21" t="s">
        <v>16</v>
      </c>
      <c r="M2768" s="22">
        <v>0</v>
      </c>
      <c r="N2768" s="22">
        <v>-1728</v>
      </c>
      <c r="O2768" s="22">
        <v>12672</v>
      </c>
      <c r="P2768" s="22">
        <v>12672</v>
      </c>
      <c r="Q2768" t="str" cm="1">
        <f t="array" ref="Q2768">_xlfn.TEXTJOIN("、",TRUE,IF('學員資料-三民高中'!$B$2:$B$454=$F2768,'學員資料-三民高中'!$G$2:$G$454,""))</f>
        <v>0930139880</v>
      </c>
      <c r="R2768" t="str" cm="1">
        <f t="array" ref="R2768">_xlfn.TEXTJOIN("、",TRUE,IF('學員資料-新北高中'!$B$2:$B$583=$F2768,'學員資料-新北高中'!$G$2:$G$583,""))</f>
        <v/>
      </c>
      <c r="S2768" t="str" cm="1">
        <f t="array" ref="S2768">_xlfn.TEXTJOIN("、",TRUE,IF('學員資料-三重商工'!$B$2:$B$472=$F2768,'學員資料-三重商工'!$G$2:$G$472,""))</f>
        <v/>
      </c>
      <c r="T2768">
        <f t="shared" si="43"/>
        <v>1</v>
      </c>
    </row>
    <row r="2769" spans="1:20" ht="28.5" hidden="1" customHeight="1">
      <c r="A2769" s="15">
        <v>2768</v>
      </c>
      <c r="B2769" s="16" t="s">
        <v>8527</v>
      </c>
      <c r="C2769" s="17">
        <v>45512</v>
      </c>
      <c r="D2769" s="15" t="s">
        <v>8528</v>
      </c>
      <c r="E2769" s="18" t="s">
        <v>954</v>
      </c>
      <c r="F2769" s="19" t="s">
        <v>417</v>
      </c>
      <c r="G2769" s="18" t="s">
        <v>418</v>
      </c>
      <c r="H2769" s="20" t="s">
        <v>5206</v>
      </c>
      <c r="I2769" s="15">
        <v>2</v>
      </c>
      <c r="J2769" s="15" t="s">
        <v>23</v>
      </c>
      <c r="K2769" s="15"/>
      <c r="L2769" s="21" t="s">
        <v>16</v>
      </c>
      <c r="M2769" s="22">
        <v>0</v>
      </c>
      <c r="N2769" s="22">
        <v>-1584</v>
      </c>
      <c r="O2769" s="22">
        <v>11616</v>
      </c>
      <c r="P2769" s="22">
        <v>11616</v>
      </c>
      <c r="Q2769" t="str" cm="1">
        <f t="array" ref="Q2769">_xlfn.TEXTJOIN("、",TRUE,IF('學員資料-三民高中'!$B$2:$B$454=$F2769,'學員資料-三民高中'!$G$2:$G$454,""))</f>
        <v>0930220021</v>
      </c>
      <c r="R2769" t="str" cm="1">
        <f t="array" ref="R2769">_xlfn.TEXTJOIN("、",TRUE,IF('學員資料-新北高中'!$B$2:$B$583=$F2769,'學員資料-新北高中'!$G$2:$G$583,""))</f>
        <v/>
      </c>
      <c r="S2769" t="str" cm="1">
        <f t="array" ref="S2769">_xlfn.TEXTJOIN("、",TRUE,IF('學員資料-三重商工'!$B$2:$B$472=$F2769,'學員資料-三重商工'!$G$2:$G$472,""))</f>
        <v/>
      </c>
      <c r="T2769">
        <f t="shared" si="43"/>
        <v>1</v>
      </c>
    </row>
    <row r="2770" spans="1:20" ht="14.25" hidden="1" customHeight="1">
      <c r="A2770" s="15">
        <v>2769</v>
      </c>
      <c r="B2770" s="16" t="s">
        <v>8529</v>
      </c>
      <c r="C2770" s="17">
        <v>45512</v>
      </c>
      <c r="D2770" s="15" t="s">
        <v>8530</v>
      </c>
      <c r="E2770" s="18" t="s">
        <v>954</v>
      </c>
      <c r="F2770" s="19" t="s">
        <v>417</v>
      </c>
      <c r="G2770" s="18" t="s">
        <v>418</v>
      </c>
      <c r="H2770" s="20" t="s">
        <v>5163</v>
      </c>
      <c r="I2770" s="15">
        <v>1</v>
      </c>
      <c r="J2770" s="15" t="s">
        <v>23</v>
      </c>
      <c r="K2770" s="15"/>
      <c r="L2770" s="21" t="s">
        <v>16</v>
      </c>
      <c r="M2770" s="22">
        <v>0</v>
      </c>
      <c r="N2770" s="22">
        <v>-660</v>
      </c>
      <c r="O2770" s="22">
        <v>5940</v>
      </c>
      <c r="P2770" s="22">
        <v>5940</v>
      </c>
      <c r="Q2770" t="str" cm="1">
        <f t="array" ref="Q2770">_xlfn.TEXTJOIN("、",TRUE,IF('學員資料-三民高中'!$B$2:$B$454=$F2770,'學員資料-三民高中'!$G$2:$G$454,""))</f>
        <v>0930220021</v>
      </c>
      <c r="R2770" t="str" cm="1">
        <f t="array" ref="R2770">_xlfn.TEXTJOIN("、",TRUE,IF('學員資料-新北高中'!$B$2:$B$583=$F2770,'學員資料-新北高中'!$G$2:$G$583,""))</f>
        <v/>
      </c>
      <c r="S2770" t="str" cm="1">
        <f t="array" ref="S2770">_xlfn.TEXTJOIN("、",TRUE,IF('學員資料-三重商工'!$B$2:$B$472=$F2770,'學員資料-三重商工'!$G$2:$G$472,""))</f>
        <v/>
      </c>
      <c r="T2770">
        <f t="shared" si="43"/>
        <v>1</v>
      </c>
    </row>
    <row r="2771" spans="1:20" ht="14.25" hidden="1" customHeight="1">
      <c r="A2771" s="15">
        <v>2770</v>
      </c>
      <c r="B2771" s="16" t="s">
        <v>8531</v>
      </c>
      <c r="C2771" s="17">
        <v>45512</v>
      </c>
      <c r="D2771" s="15" t="s">
        <v>8532</v>
      </c>
      <c r="E2771" s="18" t="s">
        <v>954</v>
      </c>
      <c r="F2771" s="19" t="s">
        <v>417</v>
      </c>
      <c r="G2771" s="18" t="s">
        <v>418</v>
      </c>
      <c r="H2771" s="20" t="s">
        <v>5163</v>
      </c>
      <c r="I2771" s="15">
        <v>1</v>
      </c>
      <c r="J2771" s="15" t="s">
        <v>23</v>
      </c>
      <c r="K2771" s="15"/>
      <c r="L2771" s="21" t="s">
        <v>16</v>
      </c>
      <c r="M2771" s="22">
        <v>0</v>
      </c>
      <c r="N2771" s="22">
        <v>-660</v>
      </c>
      <c r="O2771" s="22">
        <v>5940</v>
      </c>
      <c r="P2771" s="22">
        <v>5940</v>
      </c>
      <c r="Q2771" t="str" cm="1">
        <f t="array" ref="Q2771">_xlfn.TEXTJOIN("、",TRUE,IF('學員資料-三民高中'!$B$2:$B$454=$F2771,'學員資料-三民高中'!$G$2:$G$454,""))</f>
        <v>0930220021</v>
      </c>
      <c r="R2771" t="str" cm="1">
        <f t="array" ref="R2771">_xlfn.TEXTJOIN("、",TRUE,IF('學員資料-新北高中'!$B$2:$B$583=$F2771,'學員資料-新北高中'!$G$2:$G$583,""))</f>
        <v/>
      </c>
      <c r="S2771" t="str" cm="1">
        <f t="array" ref="S2771">_xlfn.TEXTJOIN("、",TRUE,IF('學員資料-三重商工'!$B$2:$B$472=$F2771,'學員資料-三重商工'!$G$2:$G$472,""))</f>
        <v/>
      </c>
      <c r="T2771">
        <f t="shared" si="43"/>
        <v>1</v>
      </c>
    </row>
    <row r="2772" spans="1:20" ht="14.25" hidden="1" customHeight="1">
      <c r="A2772" s="15">
        <v>2771</v>
      </c>
      <c r="B2772" s="16" t="s">
        <v>8533</v>
      </c>
      <c r="C2772" s="17">
        <v>45512</v>
      </c>
      <c r="D2772" s="15" t="s">
        <v>8534</v>
      </c>
      <c r="E2772" s="18" t="s">
        <v>954</v>
      </c>
      <c r="F2772" s="19" t="s">
        <v>8535</v>
      </c>
      <c r="G2772" s="18" t="s">
        <v>8536</v>
      </c>
      <c r="H2772" s="20" t="s">
        <v>5163</v>
      </c>
      <c r="I2772" s="15">
        <v>1</v>
      </c>
      <c r="J2772" s="15" t="s">
        <v>23</v>
      </c>
      <c r="K2772" s="15"/>
      <c r="L2772" s="21" t="s">
        <v>16</v>
      </c>
      <c r="M2772" s="22">
        <v>0</v>
      </c>
      <c r="N2772" s="22">
        <v>-120</v>
      </c>
      <c r="O2772" s="22">
        <v>6480</v>
      </c>
      <c r="P2772" s="22">
        <v>6480</v>
      </c>
      <c r="Q2772" t="str" cm="1">
        <f t="array" ref="Q2772">_xlfn.TEXTJOIN("、",TRUE,IF('學員資料-三民高中'!$B$2:$B$454=$F2772,'學員資料-三民高中'!$G$2:$G$454,""))</f>
        <v/>
      </c>
      <c r="R2772" t="str" cm="1">
        <f t="array" ref="R2772">_xlfn.TEXTJOIN("、",TRUE,IF('學員資料-新北高中'!$B$2:$B$583=$F2772,'學員資料-新北高中'!$G$2:$G$583,""))</f>
        <v>0978071701-1</v>
      </c>
      <c r="S2772" t="str" cm="1">
        <f t="array" ref="S2772">_xlfn.TEXTJOIN("、",TRUE,IF('學員資料-三重商工'!$B$2:$B$472=$F2772,'學員資料-三重商工'!$G$2:$G$472,""))</f>
        <v/>
      </c>
      <c r="T2772">
        <f t="shared" si="43"/>
        <v>1</v>
      </c>
    </row>
    <row r="2773" spans="1:20" ht="57.75" hidden="1" customHeight="1">
      <c r="A2773" s="15">
        <v>2772</v>
      </c>
      <c r="B2773" s="16" t="s">
        <v>8537</v>
      </c>
      <c r="C2773" s="17">
        <v>45512</v>
      </c>
      <c r="D2773" s="15" t="s">
        <v>8538</v>
      </c>
      <c r="E2773" s="18" t="s">
        <v>954</v>
      </c>
      <c r="F2773" s="19" t="s">
        <v>8539</v>
      </c>
      <c r="G2773" s="18" t="s">
        <v>8540</v>
      </c>
      <c r="H2773" s="20" t="s">
        <v>8541</v>
      </c>
      <c r="I2773" s="15">
        <v>4</v>
      </c>
      <c r="J2773" s="15" t="s">
        <v>23</v>
      </c>
      <c r="K2773" s="21" t="s">
        <v>116</v>
      </c>
      <c r="L2773" s="21" t="s">
        <v>16</v>
      </c>
      <c r="M2773" s="22">
        <v>0</v>
      </c>
      <c r="N2773" s="22">
        <v>0</v>
      </c>
      <c r="O2773" s="22">
        <v>4400</v>
      </c>
      <c r="P2773" s="22">
        <v>4400</v>
      </c>
      <c r="Q2773" t="str" cm="1">
        <f t="array" ref="Q2773">_xlfn.TEXTJOIN("、",TRUE,IF('學員資料-三民高中'!$B$2:$B$454=$F2773,'學員資料-三民高中'!$G$2:$G$454,""))</f>
        <v/>
      </c>
      <c r="R2773" t="str" cm="1">
        <f t="array" ref="R2773">_xlfn.TEXTJOIN("、",TRUE,IF('學員資料-新北高中'!$B$2:$B$583=$F2773,'學員資料-新北高中'!$G$2:$G$583,""))</f>
        <v>0933217417-2</v>
      </c>
      <c r="S2773" t="str" cm="1">
        <f t="array" ref="S2773">_xlfn.TEXTJOIN("、",TRUE,IF('學員資料-三重商工'!$B$2:$B$472=$F2773,'學員資料-三重商工'!$G$2:$G$472,""))</f>
        <v/>
      </c>
      <c r="T2773">
        <f t="shared" si="43"/>
        <v>1</v>
      </c>
    </row>
    <row r="2774" spans="1:20" ht="14.25" hidden="1" customHeight="1">
      <c r="A2774" s="15">
        <v>2773</v>
      </c>
      <c r="B2774" s="16" t="s">
        <v>8542</v>
      </c>
      <c r="C2774" s="17">
        <v>45512</v>
      </c>
      <c r="D2774" s="15" t="s">
        <v>8543</v>
      </c>
      <c r="E2774" s="18" t="s">
        <v>954</v>
      </c>
      <c r="F2774" s="19" t="s">
        <v>5037</v>
      </c>
      <c r="G2774" s="18" t="s">
        <v>5038</v>
      </c>
      <c r="H2774" s="20" t="s">
        <v>5131</v>
      </c>
      <c r="I2774" s="15">
        <v>1</v>
      </c>
      <c r="J2774" s="15" t="s">
        <v>24</v>
      </c>
      <c r="K2774" s="15"/>
      <c r="L2774" s="21" t="s">
        <v>16</v>
      </c>
      <c r="M2774" s="22">
        <v>0</v>
      </c>
      <c r="N2774" s="22">
        <v>0</v>
      </c>
      <c r="O2774" s="22">
        <v>7200</v>
      </c>
      <c r="P2774" s="22">
        <v>7200</v>
      </c>
      <c r="Q2774" t="str" cm="1">
        <f t="array" ref="Q2774">_xlfn.TEXTJOIN("、",TRUE,IF('學員資料-三民高中'!$B$2:$B$454=$F2774,'學員資料-三民高中'!$G$2:$G$454,""))</f>
        <v/>
      </c>
      <c r="R2774" t="str" cm="1">
        <f t="array" ref="R2774">_xlfn.TEXTJOIN("、",TRUE,IF('學員資料-新北高中'!$B$2:$B$583=$F2774,'學員資料-新北高中'!$G$2:$G$583,""))</f>
        <v>0910369779</v>
      </c>
      <c r="S2774" t="str" cm="1">
        <f t="array" ref="S2774">_xlfn.TEXTJOIN("、",TRUE,IF('學員資料-三重商工'!$B$2:$B$472=$F2774,'學員資料-三重商工'!$G$2:$G$472,""))</f>
        <v/>
      </c>
      <c r="T2774">
        <f t="shared" si="43"/>
        <v>1</v>
      </c>
    </row>
    <row r="2775" spans="1:20" ht="14.25" hidden="1" customHeight="1">
      <c r="A2775" s="15">
        <v>2774</v>
      </c>
      <c r="B2775" s="16" t="s">
        <v>8544</v>
      </c>
      <c r="C2775" s="17">
        <v>45512</v>
      </c>
      <c r="D2775" s="15" t="s">
        <v>8545</v>
      </c>
      <c r="E2775" s="18" t="s">
        <v>954</v>
      </c>
      <c r="F2775" s="19" t="s">
        <v>1596</v>
      </c>
      <c r="G2775" s="18" t="s">
        <v>1597</v>
      </c>
      <c r="H2775" s="20" t="s">
        <v>5211</v>
      </c>
      <c r="I2775" s="15">
        <v>1</v>
      </c>
      <c r="J2775" s="15" t="s">
        <v>26</v>
      </c>
      <c r="K2775" s="15"/>
      <c r="L2775" s="21" t="s">
        <v>16</v>
      </c>
      <c r="M2775" s="22">
        <v>0</v>
      </c>
      <c r="N2775" s="22">
        <v>0</v>
      </c>
      <c r="O2775" s="22">
        <v>10800</v>
      </c>
      <c r="P2775" s="22">
        <v>10800</v>
      </c>
      <c r="Q2775" t="str" cm="1">
        <f t="array" ref="Q2775">_xlfn.TEXTJOIN("、",TRUE,IF('學員資料-三民高中'!$B$2:$B$454=$F2775,'學員資料-三民高中'!$G$2:$G$454,""))</f>
        <v>0927959290</v>
      </c>
      <c r="R2775" t="str" cm="1">
        <f t="array" ref="R2775">_xlfn.TEXTJOIN("、",TRUE,IF('學員資料-新北高中'!$B$2:$B$583=$F2775,'學員資料-新北高中'!$G$2:$G$583,""))</f>
        <v/>
      </c>
      <c r="S2775" t="str" cm="1">
        <f t="array" ref="S2775">_xlfn.TEXTJOIN("、",TRUE,IF('學員資料-三重商工'!$B$2:$B$472=$F2775,'學員資料-三重商工'!$G$2:$G$472,""))</f>
        <v/>
      </c>
      <c r="T2775">
        <f t="shared" si="43"/>
        <v>1</v>
      </c>
    </row>
    <row r="2776" spans="1:20" ht="14.25" hidden="1" customHeight="1">
      <c r="A2776" s="15">
        <v>2775</v>
      </c>
      <c r="B2776" s="16" t="s">
        <v>8546</v>
      </c>
      <c r="C2776" s="17">
        <v>45512</v>
      </c>
      <c r="D2776" s="15" t="s">
        <v>8547</v>
      </c>
      <c r="E2776" s="18" t="s">
        <v>954</v>
      </c>
      <c r="F2776" s="19" t="s">
        <v>8548</v>
      </c>
      <c r="G2776" s="18" t="s">
        <v>8549</v>
      </c>
      <c r="H2776" s="20" t="s">
        <v>5131</v>
      </c>
      <c r="I2776" s="15">
        <v>1</v>
      </c>
      <c r="J2776" s="15" t="s">
        <v>24</v>
      </c>
      <c r="K2776" s="15"/>
      <c r="L2776" s="21" t="s">
        <v>16</v>
      </c>
      <c r="M2776" s="22">
        <v>0</v>
      </c>
      <c r="N2776" s="22">
        <v>0</v>
      </c>
      <c r="O2776" s="22">
        <v>7200</v>
      </c>
      <c r="P2776" s="22">
        <v>7200</v>
      </c>
      <c r="Q2776" t="str" cm="1">
        <f t="array" ref="Q2776">_xlfn.TEXTJOIN("、",TRUE,IF('學員資料-三民高中'!$B$2:$B$454=$F2776,'學員資料-三民高中'!$G$2:$G$454,""))</f>
        <v>0937886780</v>
      </c>
      <c r="R2776" t="str" cm="1">
        <f t="array" ref="R2776">_xlfn.TEXTJOIN("、",TRUE,IF('學員資料-新北高中'!$B$2:$B$583=$F2776,'學員資料-新北高中'!$G$2:$G$583,""))</f>
        <v/>
      </c>
      <c r="S2776" t="str" cm="1">
        <f t="array" ref="S2776">_xlfn.TEXTJOIN("、",TRUE,IF('學員資料-三重商工'!$B$2:$B$472=$F2776,'學員資料-三重商工'!$G$2:$G$472,""))</f>
        <v/>
      </c>
      <c r="T2776">
        <f t="shared" si="43"/>
        <v>1</v>
      </c>
    </row>
    <row r="2777" spans="1:20" ht="14.25" hidden="1" customHeight="1">
      <c r="A2777" s="15">
        <v>2776</v>
      </c>
      <c r="B2777" s="16" t="s">
        <v>8550</v>
      </c>
      <c r="C2777" s="17">
        <v>45512</v>
      </c>
      <c r="D2777" s="15" t="s">
        <v>8551</v>
      </c>
      <c r="E2777" s="18" t="s">
        <v>954</v>
      </c>
      <c r="F2777" s="19" t="s">
        <v>5982</v>
      </c>
      <c r="G2777" s="18" t="s">
        <v>5983</v>
      </c>
      <c r="H2777" s="20" t="s">
        <v>5131</v>
      </c>
      <c r="I2777" s="15">
        <v>1</v>
      </c>
      <c r="J2777" s="15" t="s">
        <v>24</v>
      </c>
      <c r="K2777" s="15"/>
      <c r="L2777" s="21" t="s">
        <v>16</v>
      </c>
      <c r="M2777" s="22">
        <v>0</v>
      </c>
      <c r="N2777" s="22">
        <v>0</v>
      </c>
      <c r="O2777" s="22">
        <v>7200</v>
      </c>
      <c r="P2777" s="22">
        <v>7200</v>
      </c>
      <c r="Q2777" t="str" cm="1">
        <f t="array" ref="Q2777">_xlfn.TEXTJOIN("、",TRUE,IF('學員資料-三民高中'!$B$2:$B$454=$F2777,'學員資料-三民高中'!$G$2:$G$454,""))</f>
        <v>0921143106</v>
      </c>
      <c r="R2777" t="str" cm="1">
        <f t="array" ref="R2777">_xlfn.TEXTJOIN("、",TRUE,IF('學員資料-新北高中'!$B$2:$B$583=$F2777,'學員資料-新北高中'!$G$2:$G$583,""))</f>
        <v/>
      </c>
      <c r="S2777" t="str" cm="1">
        <f t="array" ref="S2777">_xlfn.TEXTJOIN("、",TRUE,IF('學員資料-三重商工'!$B$2:$B$472=$F2777,'學員資料-三重商工'!$G$2:$G$472,""))</f>
        <v/>
      </c>
      <c r="T2777">
        <f t="shared" si="43"/>
        <v>1</v>
      </c>
    </row>
    <row r="2778" spans="1:20" ht="14.25" customHeight="1">
      <c r="A2778" s="15">
        <v>2777</v>
      </c>
      <c r="B2778" s="16" t="s">
        <v>8552</v>
      </c>
      <c r="C2778" s="17">
        <v>45512</v>
      </c>
      <c r="D2778" s="15" t="s">
        <v>8553</v>
      </c>
      <c r="E2778" s="18" t="s">
        <v>954</v>
      </c>
      <c r="F2778" s="19" t="s">
        <v>6012</v>
      </c>
      <c r="G2778" s="23"/>
      <c r="H2778" s="20" t="s">
        <v>5163</v>
      </c>
      <c r="I2778" s="15">
        <v>1</v>
      </c>
      <c r="J2778" s="15" t="s">
        <v>23</v>
      </c>
      <c r="K2778" s="15"/>
      <c r="L2778" s="21" t="s">
        <v>16</v>
      </c>
      <c r="M2778" s="22">
        <v>0</v>
      </c>
      <c r="N2778" s="22">
        <v>0</v>
      </c>
      <c r="O2778" s="22">
        <v>6600</v>
      </c>
      <c r="P2778" s="22">
        <v>6600</v>
      </c>
      <c r="Q2778" t="str" cm="1">
        <f t="array" ref="Q2778">_xlfn.TEXTJOIN("、",TRUE,IF('學員資料-三民高中'!$B$2:$B$454=$F2778,'學員資料-三民高中'!$G$2:$G$454,""))</f>
        <v/>
      </c>
      <c r="R2778" t="str" cm="1">
        <f t="array" ref="R2778">_xlfn.TEXTJOIN("、",TRUE,IF('學員資料-新北高中'!$B$2:$B$583=$F2778,'學員資料-新北高中'!$G$2:$G$583,""))</f>
        <v/>
      </c>
      <c r="S2778" t="str" cm="1">
        <f t="array" ref="S2778">_xlfn.TEXTJOIN("、",TRUE,IF('學員資料-三重商工'!$B$2:$B$472=$F2778,'學員資料-三重商工'!$G$2:$G$472,""))</f>
        <v/>
      </c>
      <c r="T2778">
        <f t="shared" si="43"/>
        <v>0</v>
      </c>
    </row>
    <row r="2779" spans="1:20" ht="14.25" customHeight="1">
      <c r="A2779" s="15">
        <v>2778</v>
      </c>
      <c r="B2779" s="16" t="s">
        <v>8554</v>
      </c>
      <c r="C2779" s="17">
        <v>45512</v>
      </c>
      <c r="D2779" s="15" t="s">
        <v>8555</v>
      </c>
      <c r="E2779" s="18" t="s">
        <v>954</v>
      </c>
      <c r="F2779" s="19"/>
      <c r="G2779" s="23" t="s">
        <v>6786</v>
      </c>
      <c r="H2779" s="20" t="s">
        <v>5131</v>
      </c>
      <c r="I2779" s="15">
        <v>1</v>
      </c>
      <c r="J2779" s="15" t="s">
        <v>24</v>
      </c>
      <c r="K2779" s="15"/>
      <c r="L2779" s="21" t="s">
        <v>16</v>
      </c>
      <c r="M2779" s="22">
        <v>0</v>
      </c>
      <c r="N2779" s="22">
        <v>0</v>
      </c>
      <c r="O2779" s="22">
        <v>7200</v>
      </c>
      <c r="P2779" s="22">
        <v>7200</v>
      </c>
      <c r="Q2779" t="str" cm="1">
        <f t="array" ref="Q2779">_xlfn.TEXTJOIN("、",TRUE,IF('學員資料-三民高中'!$B$2:$B$454=$F2779,'學員資料-三民高中'!$G$2:$G$454,""))</f>
        <v/>
      </c>
      <c r="R2779" t="str" cm="1">
        <f t="array" ref="R2779">_xlfn.TEXTJOIN("、",TRUE,IF('學員資料-新北高中'!$B$2:$B$583=$F2779,'學員資料-新北高中'!$G$2:$G$583,""))</f>
        <v/>
      </c>
      <c r="S2779" t="str" cm="1">
        <f t="array" ref="S2779">_xlfn.TEXTJOIN("、",TRUE,IF('學員資料-三重商工'!$B$2:$B$472=$F2779,'學員資料-三重商工'!$G$2:$G$472,""))</f>
        <v/>
      </c>
      <c r="T2779">
        <f t="shared" si="43"/>
        <v>0</v>
      </c>
    </row>
    <row r="2780" spans="1:20" ht="14.25" hidden="1" customHeight="1">
      <c r="A2780" s="15">
        <v>2779</v>
      </c>
      <c r="B2780" s="16" t="s">
        <v>8556</v>
      </c>
      <c r="C2780" s="17">
        <v>45512</v>
      </c>
      <c r="D2780" s="15" t="s">
        <v>8557</v>
      </c>
      <c r="E2780" s="18" t="s">
        <v>954</v>
      </c>
      <c r="F2780" s="19" t="s">
        <v>458</v>
      </c>
      <c r="G2780" s="18" t="s">
        <v>459</v>
      </c>
      <c r="H2780" s="20" t="s">
        <v>5131</v>
      </c>
      <c r="I2780" s="15">
        <v>1</v>
      </c>
      <c r="J2780" s="15" t="s">
        <v>24</v>
      </c>
      <c r="K2780" s="15"/>
      <c r="L2780" s="21" t="s">
        <v>16</v>
      </c>
      <c r="M2780" s="22">
        <v>0</v>
      </c>
      <c r="N2780" s="22">
        <v>0</v>
      </c>
      <c r="O2780" s="22">
        <v>7200</v>
      </c>
      <c r="P2780" s="22">
        <v>7200</v>
      </c>
      <c r="Q2780" t="str" cm="1">
        <f t="array" ref="Q2780">_xlfn.TEXTJOIN("、",TRUE,IF('學員資料-三民高中'!$B$2:$B$454=$F2780,'學員資料-三民高中'!$G$2:$G$454,""))</f>
        <v>0930901313</v>
      </c>
      <c r="R2780" t="str" cm="1">
        <f t="array" ref="R2780">_xlfn.TEXTJOIN("、",TRUE,IF('學員資料-新北高中'!$B$2:$B$583=$F2780,'學員資料-新北高中'!$G$2:$G$583,""))</f>
        <v/>
      </c>
      <c r="S2780" t="str" cm="1">
        <f t="array" ref="S2780">_xlfn.TEXTJOIN("、",TRUE,IF('學員資料-三重商工'!$B$2:$B$472=$F2780,'學員資料-三重商工'!$G$2:$G$472,""))</f>
        <v/>
      </c>
      <c r="T2780">
        <f t="shared" si="43"/>
        <v>1</v>
      </c>
    </row>
    <row r="2781" spans="1:20" ht="14.25" hidden="1" customHeight="1">
      <c r="A2781" s="15">
        <v>2780</v>
      </c>
      <c r="B2781" s="16" t="s">
        <v>8558</v>
      </c>
      <c r="C2781" s="17">
        <v>45512</v>
      </c>
      <c r="D2781" s="15" t="s">
        <v>8559</v>
      </c>
      <c r="E2781" s="18" t="s">
        <v>954</v>
      </c>
      <c r="F2781" s="19" t="s">
        <v>8560</v>
      </c>
      <c r="G2781" s="18" t="s">
        <v>8561</v>
      </c>
      <c r="H2781" s="20" t="s">
        <v>5163</v>
      </c>
      <c r="I2781" s="15">
        <v>1</v>
      </c>
      <c r="J2781" s="15" t="s">
        <v>23</v>
      </c>
      <c r="K2781" s="15"/>
      <c r="L2781" s="21" t="s">
        <v>16</v>
      </c>
      <c r="M2781" s="22">
        <v>0</v>
      </c>
      <c r="N2781" s="22">
        <v>-660</v>
      </c>
      <c r="O2781" s="22">
        <v>5940</v>
      </c>
      <c r="P2781" s="22">
        <v>5940</v>
      </c>
      <c r="Q2781" t="str" cm="1">
        <f t="array" ref="Q2781">_xlfn.TEXTJOIN("、",TRUE,IF('學員資料-三民高中'!$B$2:$B$454=$F2781,'學員資料-三民高中'!$G$2:$G$454,""))</f>
        <v>0928552475</v>
      </c>
      <c r="R2781" t="str" cm="1">
        <f t="array" ref="R2781">_xlfn.TEXTJOIN("、",TRUE,IF('學員資料-新北高中'!$B$2:$B$583=$F2781,'學員資料-新北高中'!$G$2:$G$583,""))</f>
        <v/>
      </c>
      <c r="S2781" t="str" cm="1">
        <f t="array" ref="S2781">_xlfn.TEXTJOIN("、",TRUE,IF('學員資料-三重商工'!$B$2:$B$472=$F2781,'學員資料-三重商工'!$G$2:$G$472,""))</f>
        <v/>
      </c>
      <c r="T2781">
        <f t="shared" si="43"/>
        <v>1</v>
      </c>
    </row>
    <row r="2782" spans="1:20" ht="14.25" hidden="1" customHeight="1">
      <c r="A2782" s="15">
        <v>2781</v>
      </c>
      <c r="B2782" s="16" t="s">
        <v>8562</v>
      </c>
      <c r="C2782" s="17">
        <v>45512</v>
      </c>
      <c r="D2782" s="15" t="s">
        <v>8563</v>
      </c>
      <c r="E2782" s="18" t="s">
        <v>954</v>
      </c>
      <c r="F2782" s="19" t="s">
        <v>8564</v>
      </c>
      <c r="G2782" s="18" t="s">
        <v>8565</v>
      </c>
      <c r="H2782" s="20" t="s">
        <v>5163</v>
      </c>
      <c r="I2782" s="15">
        <v>1</v>
      </c>
      <c r="J2782" s="15" t="s">
        <v>23</v>
      </c>
      <c r="K2782" s="15"/>
      <c r="L2782" s="21" t="s">
        <v>16</v>
      </c>
      <c r="M2782" s="22">
        <v>0</v>
      </c>
      <c r="N2782" s="22">
        <v>0</v>
      </c>
      <c r="O2782" s="22">
        <v>6600</v>
      </c>
      <c r="P2782" s="22">
        <v>6600</v>
      </c>
      <c r="Q2782" t="str" cm="1">
        <f t="array" ref="Q2782">_xlfn.TEXTJOIN("、",TRUE,IF('學員資料-三民高中'!$B$2:$B$454=$F2782,'學員資料-三民高中'!$G$2:$G$454,""))</f>
        <v/>
      </c>
      <c r="R2782" t="str" cm="1">
        <f t="array" ref="R2782">_xlfn.TEXTJOIN("、",TRUE,IF('學員資料-新北高中'!$B$2:$B$583=$F2782,'學員資料-新北高中'!$G$2:$G$583,""))</f>
        <v>0933018549</v>
      </c>
      <c r="S2782" t="str" cm="1">
        <f t="array" ref="S2782">_xlfn.TEXTJOIN("、",TRUE,IF('學員資料-三重商工'!$B$2:$B$472=$F2782,'學員資料-三重商工'!$G$2:$G$472,""))</f>
        <v/>
      </c>
      <c r="T2782">
        <f t="shared" si="43"/>
        <v>1</v>
      </c>
    </row>
    <row r="2783" spans="1:20" ht="14.25" hidden="1" customHeight="1">
      <c r="A2783" s="15">
        <v>2782</v>
      </c>
      <c r="B2783" s="16" t="s">
        <v>8566</v>
      </c>
      <c r="C2783" s="17">
        <v>45512</v>
      </c>
      <c r="D2783" s="15" t="s">
        <v>8567</v>
      </c>
      <c r="E2783" s="18" t="s">
        <v>954</v>
      </c>
      <c r="F2783" s="19" t="s">
        <v>7879</v>
      </c>
      <c r="G2783" s="18" t="s">
        <v>7880</v>
      </c>
      <c r="H2783" s="20" t="s">
        <v>683</v>
      </c>
      <c r="I2783" s="15">
        <v>1</v>
      </c>
      <c r="J2783" s="15" t="s">
        <v>23</v>
      </c>
      <c r="K2783" s="15"/>
      <c r="L2783" s="21" t="s">
        <v>16</v>
      </c>
      <c r="M2783" s="22">
        <v>0</v>
      </c>
      <c r="N2783" s="22">
        <v>0</v>
      </c>
      <c r="O2783" s="22">
        <v>9000</v>
      </c>
      <c r="P2783" s="22">
        <v>9000</v>
      </c>
      <c r="Q2783" t="str" cm="1">
        <f t="array" ref="Q2783">_xlfn.TEXTJOIN("、",TRUE,IF('學員資料-三民高中'!$B$2:$B$454=$F2783,'學員資料-三民高中'!$G$2:$G$454,""))</f>
        <v/>
      </c>
      <c r="R2783" t="str" cm="1">
        <f t="array" ref="R2783">_xlfn.TEXTJOIN("、",TRUE,IF('學員資料-新北高中'!$B$2:$B$583=$F2783,'學員資料-新北高中'!$G$2:$G$583,""))</f>
        <v>0913530325</v>
      </c>
      <c r="S2783" t="str" cm="1">
        <f t="array" ref="S2783">_xlfn.TEXTJOIN("、",TRUE,IF('學員資料-三重商工'!$B$2:$B$472=$F2783,'學員資料-三重商工'!$G$2:$G$472,""))</f>
        <v/>
      </c>
      <c r="T2783">
        <f t="shared" si="43"/>
        <v>1</v>
      </c>
    </row>
    <row r="2784" spans="1:20" ht="14.25" hidden="1" customHeight="1">
      <c r="A2784" s="15">
        <v>2783</v>
      </c>
      <c r="B2784" s="16" t="s">
        <v>8568</v>
      </c>
      <c r="C2784" s="17">
        <v>45512</v>
      </c>
      <c r="D2784" s="15" t="s">
        <v>8569</v>
      </c>
      <c r="E2784" s="18" t="s">
        <v>954</v>
      </c>
      <c r="F2784" s="19" t="s">
        <v>6376</v>
      </c>
      <c r="G2784" s="18" t="s">
        <v>6377</v>
      </c>
      <c r="H2784" s="20" t="s">
        <v>5148</v>
      </c>
      <c r="I2784" s="15">
        <v>1</v>
      </c>
      <c r="J2784" s="15" t="s">
        <v>25</v>
      </c>
      <c r="K2784" s="15"/>
      <c r="L2784" s="21" t="s">
        <v>16</v>
      </c>
      <c r="M2784" s="22">
        <v>0</v>
      </c>
      <c r="N2784" s="22">
        <v>0</v>
      </c>
      <c r="O2784" s="22">
        <v>9000</v>
      </c>
      <c r="P2784" s="22">
        <v>9000</v>
      </c>
      <c r="Q2784" t="str" cm="1">
        <f t="array" ref="Q2784">_xlfn.TEXTJOIN("、",TRUE,IF('學員資料-三民高中'!$B$2:$B$454=$F2784,'學員資料-三民高中'!$G$2:$G$454,""))</f>
        <v>0963001667</v>
      </c>
      <c r="R2784" t="str" cm="1">
        <f t="array" ref="R2784">_xlfn.TEXTJOIN("、",TRUE,IF('學員資料-新北高中'!$B$2:$B$583=$F2784,'學員資料-新北高中'!$G$2:$G$583,""))</f>
        <v/>
      </c>
      <c r="S2784" t="str" cm="1">
        <f t="array" ref="S2784">_xlfn.TEXTJOIN("、",TRUE,IF('學員資料-三重商工'!$B$2:$B$472=$F2784,'學員資料-三重商工'!$G$2:$G$472,""))</f>
        <v/>
      </c>
      <c r="T2784">
        <f t="shared" si="43"/>
        <v>1</v>
      </c>
    </row>
    <row r="2785" spans="1:20" ht="14.25" hidden="1" customHeight="1">
      <c r="A2785" s="15">
        <v>2784</v>
      </c>
      <c r="B2785" s="16" t="s">
        <v>8570</v>
      </c>
      <c r="C2785" s="17">
        <v>45512</v>
      </c>
      <c r="D2785" s="15" t="s">
        <v>8571</v>
      </c>
      <c r="E2785" s="18" t="s">
        <v>954</v>
      </c>
      <c r="F2785" s="19" t="s">
        <v>8572</v>
      </c>
      <c r="G2785" s="18" t="s">
        <v>8573</v>
      </c>
      <c r="H2785" s="20" t="s">
        <v>5131</v>
      </c>
      <c r="I2785" s="15">
        <v>1</v>
      </c>
      <c r="J2785" s="15" t="s">
        <v>24</v>
      </c>
      <c r="K2785" s="15"/>
      <c r="L2785" s="21" t="s">
        <v>16</v>
      </c>
      <c r="M2785" s="22">
        <v>0</v>
      </c>
      <c r="N2785" s="22">
        <v>-720</v>
      </c>
      <c r="O2785" s="22">
        <v>6480</v>
      </c>
      <c r="P2785" s="22">
        <v>6480</v>
      </c>
      <c r="Q2785" t="str" cm="1">
        <f t="array" ref="Q2785">_xlfn.TEXTJOIN("、",TRUE,IF('學員資料-三民高中'!$B$2:$B$454=$F2785,'學員資料-三民高中'!$G$2:$G$454,""))</f>
        <v>0922452978</v>
      </c>
      <c r="R2785" t="str" cm="1">
        <f t="array" ref="R2785">_xlfn.TEXTJOIN("、",TRUE,IF('學員資料-新北高中'!$B$2:$B$583=$F2785,'學員資料-新北高中'!$G$2:$G$583,""))</f>
        <v/>
      </c>
      <c r="S2785" t="str" cm="1">
        <f t="array" ref="S2785">_xlfn.TEXTJOIN("、",TRUE,IF('學員資料-三重商工'!$B$2:$B$472=$F2785,'學員資料-三重商工'!$G$2:$G$472,""))</f>
        <v/>
      </c>
      <c r="T2785">
        <f t="shared" si="43"/>
        <v>1</v>
      </c>
    </row>
    <row r="2786" spans="1:20" ht="28.5" hidden="1" customHeight="1">
      <c r="A2786" s="15">
        <v>2785</v>
      </c>
      <c r="B2786" s="16" t="s">
        <v>8574</v>
      </c>
      <c r="C2786" s="17">
        <v>45512</v>
      </c>
      <c r="D2786" s="15" t="s">
        <v>8575</v>
      </c>
      <c r="E2786" s="18" t="s">
        <v>954</v>
      </c>
      <c r="F2786" s="19" t="s">
        <v>8576</v>
      </c>
      <c r="G2786" s="18" t="s">
        <v>8577</v>
      </c>
      <c r="H2786" s="20" t="s">
        <v>5206</v>
      </c>
      <c r="I2786" s="15">
        <v>2</v>
      </c>
      <c r="J2786" s="15" t="s">
        <v>23</v>
      </c>
      <c r="K2786" s="15"/>
      <c r="L2786" s="21" t="s">
        <v>16</v>
      </c>
      <c r="M2786" s="22">
        <v>0</v>
      </c>
      <c r="N2786" s="22">
        <v>0</v>
      </c>
      <c r="O2786" s="22">
        <v>13200</v>
      </c>
      <c r="P2786" s="22">
        <v>13200</v>
      </c>
      <c r="Q2786" t="str" cm="1">
        <f t="array" ref="Q2786">_xlfn.TEXTJOIN("、",TRUE,IF('學員資料-三民高中'!$B$2:$B$454=$F2786,'學員資料-三民高中'!$G$2:$G$454,""))</f>
        <v>0981356925</v>
      </c>
      <c r="R2786" t="str" cm="1">
        <f t="array" ref="R2786">_xlfn.TEXTJOIN("、",TRUE,IF('學員資料-新北高中'!$B$2:$B$583=$F2786,'學員資料-新北高中'!$G$2:$G$583,""))</f>
        <v/>
      </c>
      <c r="S2786" t="str" cm="1">
        <f t="array" ref="S2786">_xlfn.TEXTJOIN("、",TRUE,IF('學員資料-三重商工'!$B$2:$B$472=$F2786,'學員資料-三重商工'!$G$2:$G$472,""))</f>
        <v/>
      </c>
      <c r="T2786">
        <f t="shared" si="43"/>
        <v>1</v>
      </c>
    </row>
    <row r="2787" spans="1:20" ht="28.5" hidden="1" customHeight="1">
      <c r="A2787" s="15">
        <v>2786</v>
      </c>
      <c r="B2787" s="16" t="s">
        <v>8578</v>
      </c>
      <c r="C2787" s="17">
        <v>45512</v>
      </c>
      <c r="D2787" s="15" t="s">
        <v>8579</v>
      </c>
      <c r="E2787" s="18" t="s">
        <v>954</v>
      </c>
      <c r="F2787" s="19" t="s">
        <v>6605</v>
      </c>
      <c r="G2787" s="18" t="s">
        <v>6606</v>
      </c>
      <c r="H2787" s="20" t="s">
        <v>5263</v>
      </c>
      <c r="I2787" s="15">
        <v>2</v>
      </c>
      <c r="J2787" s="15" t="s">
        <v>25</v>
      </c>
      <c r="K2787" s="15"/>
      <c r="L2787" s="21" t="s">
        <v>16</v>
      </c>
      <c r="M2787" s="22">
        <v>0</v>
      </c>
      <c r="N2787" s="22">
        <v>-2160</v>
      </c>
      <c r="O2787" s="22">
        <v>15840</v>
      </c>
      <c r="P2787" s="22">
        <v>15840</v>
      </c>
      <c r="Q2787" t="str" cm="1">
        <f t="array" ref="Q2787">_xlfn.TEXTJOIN("、",TRUE,IF('學員資料-三民高中'!$B$2:$B$454=$F2787,'學員資料-三民高中'!$G$2:$G$454,""))</f>
        <v>0987771876</v>
      </c>
      <c r="R2787" t="str" cm="1">
        <f t="array" ref="R2787">_xlfn.TEXTJOIN("、",TRUE,IF('學員資料-新北高中'!$B$2:$B$583=$F2787,'學員資料-新北高中'!$G$2:$G$583,""))</f>
        <v/>
      </c>
      <c r="S2787" t="str" cm="1">
        <f t="array" ref="S2787">_xlfn.TEXTJOIN("、",TRUE,IF('學員資料-三重商工'!$B$2:$B$472=$F2787,'學員資料-三重商工'!$G$2:$G$472,""))</f>
        <v/>
      </c>
      <c r="T2787">
        <f t="shared" si="43"/>
        <v>1</v>
      </c>
    </row>
    <row r="2788" spans="1:20" ht="14.25" hidden="1" customHeight="1">
      <c r="A2788" s="15">
        <v>2787</v>
      </c>
      <c r="B2788" s="16" t="s">
        <v>8580</v>
      </c>
      <c r="C2788" s="17">
        <v>45512</v>
      </c>
      <c r="D2788" s="15" t="s">
        <v>8581</v>
      </c>
      <c r="E2788" s="18" t="s">
        <v>954</v>
      </c>
      <c r="F2788" s="19" t="s">
        <v>639</v>
      </c>
      <c r="G2788" s="18" t="s">
        <v>640</v>
      </c>
      <c r="H2788" s="20" t="s">
        <v>5131</v>
      </c>
      <c r="I2788" s="15">
        <v>1</v>
      </c>
      <c r="J2788" s="15" t="s">
        <v>24</v>
      </c>
      <c r="K2788" s="15"/>
      <c r="L2788" s="21" t="s">
        <v>16</v>
      </c>
      <c r="M2788" s="22">
        <v>0</v>
      </c>
      <c r="N2788" s="22">
        <v>0</v>
      </c>
      <c r="O2788" s="22">
        <v>7200</v>
      </c>
      <c r="P2788" s="22">
        <v>7200</v>
      </c>
      <c r="Q2788" t="str" cm="1">
        <f t="array" ref="Q2788">_xlfn.TEXTJOIN("、",TRUE,IF('學員資料-三民高中'!$B$2:$B$454=$F2788,'學員資料-三民高中'!$G$2:$G$454,""))</f>
        <v>0937504107</v>
      </c>
      <c r="R2788" t="str" cm="1">
        <f t="array" ref="R2788">_xlfn.TEXTJOIN("、",TRUE,IF('學員資料-新北高中'!$B$2:$B$583=$F2788,'學員資料-新北高中'!$G$2:$G$583,""))</f>
        <v/>
      </c>
      <c r="S2788" t="str" cm="1">
        <f t="array" ref="S2788">_xlfn.TEXTJOIN("、",TRUE,IF('學員資料-三重商工'!$B$2:$B$472=$F2788,'學員資料-三重商工'!$G$2:$G$472,""))</f>
        <v/>
      </c>
      <c r="T2788">
        <f t="shared" si="43"/>
        <v>1</v>
      </c>
    </row>
    <row r="2789" spans="1:20" ht="43.5" hidden="1" customHeight="1">
      <c r="A2789" s="15">
        <v>2788</v>
      </c>
      <c r="B2789" s="16" t="s">
        <v>8582</v>
      </c>
      <c r="C2789" s="17">
        <v>45512</v>
      </c>
      <c r="D2789" s="15" t="s">
        <v>8583</v>
      </c>
      <c r="E2789" s="18" t="s">
        <v>954</v>
      </c>
      <c r="F2789" s="19" t="s">
        <v>4164</v>
      </c>
      <c r="G2789" s="18" t="s">
        <v>2615</v>
      </c>
      <c r="H2789" s="20" t="s">
        <v>5128</v>
      </c>
      <c r="I2789" s="15">
        <v>3</v>
      </c>
      <c r="J2789" s="15" t="s">
        <v>25</v>
      </c>
      <c r="K2789" s="15"/>
      <c r="L2789" s="21" t="s">
        <v>16</v>
      </c>
      <c r="M2789" s="22">
        <v>0</v>
      </c>
      <c r="N2789" s="22">
        <v>0</v>
      </c>
      <c r="O2789" s="22">
        <v>27000</v>
      </c>
      <c r="P2789" s="22">
        <v>27000</v>
      </c>
      <c r="Q2789" t="str" cm="1">
        <f t="array" ref="Q2789">_xlfn.TEXTJOIN("、",TRUE,IF('學員資料-三民高中'!$B$2:$B$454=$F2789,'學員資料-三民高中'!$G$2:$G$454,""))</f>
        <v>0939355870</v>
      </c>
      <c r="R2789" t="str" cm="1">
        <f t="array" ref="R2789">_xlfn.TEXTJOIN("、",TRUE,IF('學員資料-新北高中'!$B$2:$B$583=$F2789,'學員資料-新北高中'!$G$2:$G$583,""))</f>
        <v/>
      </c>
      <c r="S2789" t="str" cm="1">
        <f t="array" ref="S2789">_xlfn.TEXTJOIN("、",TRUE,IF('學員資料-三重商工'!$B$2:$B$472=$F2789,'學員資料-三重商工'!$G$2:$G$472,""))</f>
        <v/>
      </c>
      <c r="T2789">
        <f t="shared" si="43"/>
        <v>1</v>
      </c>
    </row>
    <row r="2790" spans="1:20" ht="14.25" hidden="1" customHeight="1">
      <c r="A2790" s="15">
        <v>2789</v>
      </c>
      <c r="B2790" s="16" t="s">
        <v>8584</v>
      </c>
      <c r="C2790" s="17">
        <v>45512</v>
      </c>
      <c r="D2790" s="15" t="s">
        <v>8585</v>
      </c>
      <c r="E2790" s="18" t="s">
        <v>954</v>
      </c>
      <c r="F2790" s="19" t="s">
        <v>7439</v>
      </c>
      <c r="G2790" s="18" t="s">
        <v>7440</v>
      </c>
      <c r="H2790" s="20" t="s">
        <v>5148</v>
      </c>
      <c r="I2790" s="15">
        <v>1</v>
      </c>
      <c r="J2790" s="15" t="s">
        <v>25</v>
      </c>
      <c r="K2790" s="15"/>
      <c r="L2790" s="21" t="s">
        <v>16</v>
      </c>
      <c r="M2790" s="22">
        <v>0</v>
      </c>
      <c r="N2790" s="22">
        <v>0</v>
      </c>
      <c r="O2790" s="22">
        <v>9000</v>
      </c>
      <c r="P2790" s="22">
        <v>9000</v>
      </c>
      <c r="Q2790" t="str" cm="1">
        <f t="array" ref="Q2790">_xlfn.TEXTJOIN("、",TRUE,IF('學員資料-三民高中'!$B$2:$B$454=$F2790,'學員資料-三民高中'!$G$2:$G$454,""))</f>
        <v>0939110232</v>
      </c>
      <c r="R2790" t="str" cm="1">
        <f t="array" ref="R2790">_xlfn.TEXTJOIN("、",TRUE,IF('學員資料-新北高中'!$B$2:$B$583=$F2790,'學員資料-新北高中'!$G$2:$G$583,""))</f>
        <v/>
      </c>
      <c r="S2790" t="str" cm="1">
        <f t="array" ref="S2790">_xlfn.TEXTJOIN("、",TRUE,IF('學員資料-三重商工'!$B$2:$B$472=$F2790,'學員資料-三重商工'!$G$2:$G$472,""))</f>
        <v/>
      </c>
      <c r="T2790">
        <f t="shared" si="43"/>
        <v>1</v>
      </c>
    </row>
    <row r="2791" spans="1:20" ht="14.25" hidden="1" customHeight="1">
      <c r="A2791" s="15">
        <v>2790</v>
      </c>
      <c r="B2791" s="16" t="s">
        <v>8586</v>
      </c>
      <c r="C2791" s="17">
        <v>45512</v>
      </c>
      <c r="D2791" s="15" t="s">
        <v>3727</v>
      </c>
      <c r="E2791" s="18" t="s">
        <v>954</v>
      </c>
      <c r="F2791" s="19" t="s">
        <v>5533</v>
      </c>
      <c r="G2791" s="18" t="s">
        <v>5534</v>
      </c>
      <c r="H2791" s="20" t="s">
        <v>5131</v>
      </c>
      <c r="I2791" s="15">
        <v>1</v>
      </c>
      <c r="J2791" s="15" t="s">
        <v>24</v>
      </c>
      <c r="K2791" s="15"/>
      <c r="L2791" s="21" t="s">
        <v>16</v>
      </c>
      <c r="M2791" s="22">
        <v>0</v>
      </c>
      <c r="N2791" s="22">
        <v>0</v>
      </c>
      <c r="O2791" s="22">
        <v>7200</v>
      </c>
      <c r="P2791" s="22">
        <v>7200</v>
      </c>
      <c r="Q2791" t="str" cm="1">
        <f t="array" ref="Q2791">_xlfn.TEXTJOIN("、",TRUE,IF('學員資料-三民高中'!$B$2:$B$454=$F2791,'學員資料-三民高中'!$G$2:$G$454,""))</f>
        <v>0983661545</v>
      </c>
      <c r="R2791" t="str" cm="1">
        <f t="array" ref="R2791">_xlfn.TEXTJOIN("、",TRUE,IF('學員資料-新北高中'!$B$2:$B$583=$F2791,'學員資料-新北高中'!$G$2:$G$583,""))</f>
        <v/>
      </c>
      <c r="S2791" t="str" cm="1">
        <f t="array" ref="S2791">_xlfn.TEXTJOIN("、",TRUE,IF('學員資料-三重商工'!$B$2:$B$472=$F2791,'學員資料-三重商工'!$G$2:$G$472,""))</f>
        <v/>
      </c>
      <c r="T2791">
        <f t="shared" si="43"/>
        <v>1</v>
      </c>
    </row>
    <row r="2792" spans="1:20" ht="14.25" hidden="1" customHeight="1">
      <c r="A2792" s="15">
        <v>2791</v>
      </c>
      <c r="B2792" s="16" t="s">
        <v>8587</v>
      </c>
      <c r="C2792" s="17">
        <v>45512</v>
      </c>
      <c r="D2792" s="15" t="s">
        <v>8588</v>
      </c>
      <c r="E2792" s="18" t="s">
        <v>954</v>
      </c>
      <c r="F2792" s="19" t="s">
        <v>8589</v>
      </c>
      <c r="G2792" s="18" t="s">
        <v>8590</v>
      </c>
      <c r="H2792" s="20" t="s">
        <v>5131</v>
      </c>
      <c r="I2792" s="15">
        <v>1</v>
      </c>
      <c r="J2792" s="15" t="s">
        <v>24</v>
      </c>
      <c r="K2792" s="15"/>
      <c r="L2792" s="21" t="s">
        <v>16</v>
      </c>
      <c r="M2792" s="22">
        <v>0</v>
      </c>
      <c r="N2792" s="22">
        <v>0</v>
      </c>
      <c r="O2792" s="22">
        <v>7200</v>
      </c>
      <c r="P2792" s="22">
        <v>7200</v>
      </c>
      <c r="Q2792" t="str" cm="1">
        <f t="array" ref="Q2792">_xlfn.TEXTJOIN("、",TRUE,IF('學員資料-三民高中'!$B$2:$B$454=$F2792,'學員資料-三民高中'!$G$2:$G$454,""))</f>
        <v>0919438560</v>
      </c>
      <c r="R2792" t="str" cm="1">
        <f t="array" ref="R2792">_xlfn.TEXTJOIN("、",TRUE,IF('學員資料-新北高中'!$B$2:$B$583=$F2792,'學員資料-新北高中'!$G$2:$G$583,""))</f>
        <v/>
      </c>
      <c r="S2792" t="str" cm="1">
        <f t="array" ref="S2792">_xlfn.TEXTJOIN("、",TRUE,IF('學員資料-三重商工'!$B$2:$B$472=$F2792,'學員資料-三重商工'!$G$2:$G$472,""))</f>
        <v/>
      </c>
      <c r="T2792">
        <f t="shared" si="43"/>
        <v>1</v>
      </c>
    </row>
    <row r="2793" spans="1:20" ht="14.25" hidden="1" customHeight="1">
      <c r="A2793" s="15">
        <v>2792</v>
      </c>
      <c r="B2793" s="16" t="s">
        <v>8591</v>
      </c>
      <c r="C2793" s="17">
        <v>45512</v>
      </c>
      <c r="D2793" s="15" t="s">
        <v>8592</v>
      </c>
      <c r="E2793" s="18" t="s">
        <v>954</v>
      </c>
      <c r="F2793" s="19" t="s">
        <v>1159</v>
      </c>
      <c r="G2793" s="18" t="s">
        <v>1160</v>
      </c>
      <c r="H2793" s="20" t="s">
        <v>5131</v>
      </c>
      <c r="I2793" s="15">
        <v>1</v>
      </c>
      <c r="J2793" s="15" t="s">
        <v>24</v>
      </c>
      <c r="K2793" s="15"/>
      <c r="L2793" s="21" t="s">
        <v>16</v>
      </c>
      <c r="M2793" s="22">
        <v>0</v>
      </c>
      <c r="N2793" s="22">
        <v>0</v>
      </c>
      <c r="O2793" s="22">
        <v>7200</v>
      </c>
      <c r="P2793" s="22">
        <v>7200</v>
      </c>
      <c r="Q2793" t="str" cm="1">
        <f t="array" ref="Q2793">_xlfn.TEXTJOIN("、",TRUE,IF('學員資料-三民高中'!$B$2:$B$454=$F2793,'學員資料-三民高中'!$G$2:$G$454,""))</f>
        <v>0912567346</v>
      </c>
      <c r="R2793" t="str" cm="1">
        <f t="array" ref="R2793">_xlfn.TEXTJOIN("、",TRUE,IF('學員資料-新北高中'!$B$2:$B$583=$F2793,'學員資料-新北高中'!$G$2:$G$583,""))</f>
        <v/>
      </c>
      <c r="S2793" t="str" cm="1">
        <f t="array" ref="S2793">_xlfn.TEXTJOIN("、",TRUE,IF('學員資料-三重商工'!$B$2:$B$472=$F2793,'學員資料-三重商工'!$G$2:$G$472,""))</f>
        <v/>
      </c>
      <c r="T2793">
        <f t="shared" si="43"/>
        <v>1</v>
      </c>
    </row>
    <row r="2794" spans="1:20" ht="14.25" hidden="1" customHeight="1">
      <c r="A2794" s="15">
        <v>2793</v>
      </c>
      <c r="B2794" s="16" t="s">
        <v>8593</v>
      </c>
      <c r="C2794" s="17">
        <v>45512</v>
      </c>
      <c r="D2794" s="15" t="s">
        <v>8594</v>
      </c>
      <c r="E2794" s="18" t="s">
        <v>954</v>
      </c>
      <c r="F2794" s="19" t="s">
        <v>1159</v>
      </c>
      <c r="G2794" s="18" t="s">
        <v>1160</v>
      </c>
      <c r="H2794" s="20" t="s">
        <v>5131</v>
      </c>
      <c r="I2794" s="15">
        <v>1</v>
      </c>
      <c r="J2794" s="15" t="s">
        <v>24</v>
      </c>
      <c r="K2794" s="15"/>
      <c r="L2794" s="21" t="s">
        <v>16</v>
      </c>
      <c r="M2794" s="22">
        <v>0</v>
      </c>
      <c r="N2794" s="22">
        <v>0</v>
      </c>
      <c r="O2794" s="22">
        <v>7200</v>
      </c>
      <c r="P2794" s="22">
        <v>7200</v>
      </c>
      <c r="Q2794" t="str" cm="1">
        <f t="array" ref="Q2794">_xlfn.TEXTJOIN("、",TRUE,IF('學員資料-三民高中'!$B$2:$B$454=$F2794,'學員資料-三民高中'!$G$2:$G$454,""))</f>
        <v>0912567346</v>
      </c>
      <c r="R2794" t="str" cm="1">
        <f t="array" ref="R2794">_xlfn.TEXTJOIN("、",TRUE,IF('學員資料-新北高中'!$B$2:$B$583=$F2794,'學員資料-新北高中'!$G$2:$G$583,""))</f>
        <v/>
      </c>
      <c r="S2794" t="str" cm="1">
        <f t="array" ref="S2794">_xlfn.TEXTJOIN("、",TRUE,IF('學員資料-三重商工'!$B$2:$B$472=$F2794,'學員資料-三重商工'!$G$2:$G$472,""))</f>
        <v/>
      </c>
      <c r="T2794">
        <f t="shared" si="43"/>
        <v>1</v>
      </c>
    </row>
    <row r="2795" spans="1:20" ht="14.25" hidden="1" customHeight="1">
      <c r="A2795" s="15">
        <v>2794</v>
      </c>
      <c r="B2795" s="16" t="s">
        <v>8595</v>
      </c>
      <c r="C2795" s="17">
        <v>45512</v>
      </c>
      <c r="D2795" s="15" t="s">
        <v>8596</v>
      </c>
      <c r="E2795" s="18" t="s">
        <v>954</v>
      </c>
      <c r="F2795" s="19" t="s">
        <v>6625</v>
      </c>
      <c r="G2795" s="18" t="s">
        <v>6626</v>
      </c>
      <c r="H2795" s="20" t="s">
        <v>5148</v>
      </c>
      <c r="I2795" s="15">
        <v>1</v>
      </c>
      <c r="J2795" s="15" t="s">
        <v>25</v>
      </c>
      <c r="K2795" s="15"/>
      <c r="L2795" s="21" t="s">
        <v>16</v>
      </c>
      <c r="M2795" s="22">
        <v>0</v>
      </c>
      <c r="N2795" s="22">
        <v>-900</v>
      </c>
      <c r="O2795" s="22">
        <v>8100</v>
      </c>
      <c r="P2795" s="22">
        <v>8100</v>
      </c>
      <c r="Q2795" t="str" cm="1">
        <f t="array" ref="Q2795">_xlfn.TEXTJOIN("、",TRUE,IF('學員資料-三民高中'!$B$2:$B$454=$F2795,'學員資料-三民高中'!$G$2:$G$454,""))</f>
        <v>0910315336</v>
      </c>
      <c r="R2795" t="str" cm="1">
        <f t="array" ref="R2795">_xlfn.TEXTJOIN("、",TRUE,IF('學員資料-新北高中'!$B$2:$B$583=$F2795,'學員資料-新北高中'!$G$2:$G$583,""))</f>
        <v/>
      </c>
      <c r="S2795" t="str" cm="1">
        <f t="array" ref="S2795">_xlfn.TEXTJOIN("、",TRUE,IF('學員資料-三重商工'!$B$2:$B$472=$F2795,'學員資料-三重商工'!$G$2:$G$472,""))</f>
        <v/>
      </c>
      <c r="T2795">
        <f t="shared" si="43"/>
        <v>1</v>
      </c>
    </row>
    <row r="2796" spans="1:20" ht="14.25" hidden="1" customHeight="1">
      <c r="A2796" s="15">
        <v>2795</v>
      </c>
      <c r="B2796" s="16" t="s">
        <v>8597</v>
      </c>
      <c r="C2796" s="17">
        <v>45512</v>
      </c>
      <c r="D2796" s="15" t="s">
        <v>8598</v>
      </c>
      <c r="E2796" s="18" t="s">
        <v>954</v>
      </c>
      <c r="F2796" s="19" t="s">
        <v>3781</v>
      </c>
      <c r="G2796" s="18" t="s">
        <v>3782</v>
      </c>
      <c r="H2796" s="20" t="s">
        <v>5131</v>
      </c>
      <c r="I2796" s="15">
        <v>1</v>
      </c>
      <c r="J2796" s="15" t="s">
        <v>24</v>
      </c>
      <c r="K2796" s="15"/>
      <c r="L2796" s="21" t="s">
        <v>16</v>
      </c>
      <c r="M2796" s="22">
        <v>0</v>
      </c>
      <c r="N2796" s="22">
        <v>-2880</v>
      </c>
      <c r="O2796" s="22">
        <v>4320</v>
      </c>
      <c r="P2796" s="22">
        <v>4320</v>
      </c>
      <c r="Q2796" t="str" cm="1">
        <f t="array" ref="Q2796">_xlfn.TEXTJOIN("、",TRUE,IF('學員資料-三民高中'!$B$2:$B$454=$F2796,'學員資料-三民高中'!$G$2:$G$454,""))</f>
        <v>0919683333</v>
      </c>
      <c r="R2796" t="str" cm="1">
        <f t="array" ref="R2796">_xlfn.TEXTJOIN("、",TRUE,IF('學員資料-新北高中'!$B$2:$B$583=$F2796,'學員資料-新北高中'!$G$2:$G$583,""))</f>
        <v/>
      </c>
      <c r="S2796" t="str" cm="1">
        <f t="array" ref="S2796">_xlfn.TEXTJOIN("、",TRUE,IF('學員資料-三重商工'!$B$2:$B$472=$F2796,'學員資料-三重商工'!$G$2:$G$472,""))</f>
        <v/>
      </c>
      <c r="T2796">
        <f t="shared" si="43"/>
        <v>1</v>
      </c>
    </row>
    <row r="2797" spans="1:20" ht="14.25" hidden="1" customHeight="1">
      <c r="A2797" s="15">
        <v>2796</v>
      </c>
      <c r="B2797" s="16" t="s">
        <v>8599</v>
      </c>
      <c r="C2797" s="17">
        <v>45512</v>
      </c>
      <c r="D2797" s="15" t="s">
        <v>8600</v>
      </c>
      <c r="E2797" s="18" t="s">
        <v>954</v>
      </c>
      <c r="F2797" s="19" t="s">
        <v>3754</v>
      </c>
      <c r="G2797" s="18" t="s">
        <v>3755</v>
      </c>
      <c r="H2797" s="20" t="s">
        <v>5131</v>
      </c>
      <c r="I2797" s="15">
        <v>1</v>
      </c>
      <c r="J2797" s="15" t="s">
        <v>24</v>
      </c>
      <c r="K2797" s="15"/>
      <c r="L2797" s="21" t="s">
        <v>16</v>
      </c>
      <c r="M2797" s="22">
        <v>0</v>
      </c>
      <c r="N2797" s="22">
        <v>0</v>
      </c>
      <c r="O2797" s="22">
        <v>7200</v>
      </c>
      <c r="P2797" s="22">
        <v>7200</v>
      </c>
      <c r="Q2797" t="str" cm="1">
        <f t="array" ref="Q2797">_xlfn.TEXTJOIN("、",TRUE,IF('學員資料-三民高中'!$B$2:$B$454=$F2797,'學員資料-三民高中'!$G$2:$G$454,""))</f>
        <v>0928626113</v>
      </c>
      <c r="R2797" t="str" cm="1">
        <f t="array" ref="R2797">_xlfn.TEXTJOIN("、",TRUE,IF('學員資料-新北高中'!$B$2:$B$583=$F2797,'學員資料-新北高中'!$G$2:$G$583,""))</f>
        <v/>
      </c>
      <c r="S2797" t="str" cm="1">
        <f t="array" ref="S2797">_xlfn.TEXTJOIN("、",TRUE,IF('學員資料-三重商工'!$B$2:$B$472=$F2797,'學員資料-三重商工'!$G$2:$G$472,""))</f>
        <v/>
      </c>
      <c r="T2797">
        <f t="shared" si="43"/>
        <v>1</v>
      </c>
    </row>
    <row r="2798" spans="1:20" ht="14.25" hidden="1" customHeight="1">
      <c r="A2798" s="15">
        <v>2797</v>
      </c>
      <c r="B2798" s="16" t="s">
        <v>8601</v>
      </c>
      <c r="C2798" s="17">
        <v>45512</v>
      </c>
      <c r="D2798" s="15" t="s">
        <v>8602</v>
      </c>
      <c r="E2798" s="18" t="s">
        <v>954</v>
      </c>
      <c r="F2798" s="19" t="s">
        <v>7701</v>
      </c>
      <c r="G2798" s="18" t="s">
        <v>7702</v>
      </c>
      <c r="H2798" s="20" t="s">
        <v>5163</v>
      </c>
      <c r="I2798" s="15">
        <v>1</v>
      </c>
      <c r="J2798" s="15" t="s">
        <v>23</v>
      </c>
      <c r="K2798" s="15"/>
      <c r="L2798" s="21" t="s">
        <v>16</v>
      </c>
      <c r="M2798" s="22">
        <v>0</v>
      </c>
      <c r="N2798" s="22">
        <v>-2640</v>
      </c>
      <c r="O2798" s="22">
        <v>3960</v>
      </c>
      <c r="P2798" s="22">
        <v>3960</v>
      </c>
      <c r="Q2798" t="str" cm="1">
        <f t="array" ref="Q2798">_xlfn.TEXTJOIN("、",TRUE,IF('學員資料-三民高中'!$B$2:$B$454=$F2798,'學員資料-三民高中'!$G$2:$G$454,""))</f>
        <v>0933523597</v>
      </c>
      <c r="R2798" t="str" cm="1">
        <f t="array" ref="R2798">_xlfn.TEXTJOIN("、",TRUE,IF('學員資料-新北高中'!$B$2:$B$583=$F2798,'學員資料-新北高中'!$G$2:$G$583,""))</f>
        <v/>
      </c>
      <c r="S2798" t="str" cm="1">
        <f t="array" ref="S2798">_xlfn.TEXTJOIN("、",TRUE,IF('學員資料-三重商工'!$B$2:$B$472=$F2798,'學員資料-三重商工'!$G$2:$G$472,""))</f>
        <v/>
      </c>
      <c r="T2798">
        <f t="shared" si="43"/>
        <v>1</v>
      </c>
    </row>
    <row r="2799" spans="1:20" ht="14.25" hidden="1" customHeight="1">
      <c r="A2799" s="15">
        <v>2798</v>
      </c>
      <c r="B2799" s="16" t="s">
        <v>8603</v>
      </c>
      <c r="C2799" s="17">
        <v>45511</v>
      </c>
      <c r="D2799" s="15" t="s">
        <v>8604</v>
      </c>
      <c r="E2799" s="18" t="s">
        <v>954</v>
      </c>
      <c r="F2799" s="19" t="s">
        <v>5417</v>
      </c>
      <c r="G2799" s="18" t="s">
        <v>5418</v>
      </c>
      <c r="H2799" s="20" t="s">
        <v>5163</v>
      </c>
      <c r="I2799" s="15">
        <v>1</v>
      </c>
      <c r="J2799" s="15" t="s">
        <v>23</v>
      </c>
      <c r="K2799" s="15"/>
      <c r="L2799" s="21" t="s">
        <v>16</v>
      </c>
      <c r="M2799" s="22">
        <v>0</v>
      </c>
      <c r="N2799" s="22">
        <v>0</v>
      </c>
      <c r="O2799" s="22">
        <v>6600</v>
      </c>
      <c r="P2799" s="22">
        <v>6600</v>
      </c>
      <c r="Q2799" t="str" cm="1">
        <f t="array" ref="Q2799">_xlfn.TEXTJOIN("、",TRUE,IF('學員資料-三民高中'!$B$2:$B$454=$F2799,'學員資料-三民高中'!$G$2:$G$454,""))</f>
        <v/>
      </c>
      <c r="R2799" t="str" cm="1">
        <f t="array" ref="R2799">_xlfn.TEXTJOIN("、",TRUE,IF('學員資料-新北高中'!$B$2:$B$583=$F2799,'學員資料-新北高中'!$G$2:$G$583,""))</f>
        <v/>
      </c>
      <c r="S2799" t="str" cm="1">
        <f t="array" ref="S2799">_xlfn.TEXTJOIN("、",TRUE,IF('學員資料-三重商工'!$B$2:$B$472=$F2799,'學員資料-三重商工'!$G$2:$G$472,""))</f>
        <v>0921646760</v>
      </c>
      <c r="T2799">
        <f t="shared" si="43"/>
        <v>1</v>
      </c>
    </row>
    <row r="2800" spans="1:20" ht="14.25" hidden="1" customHeight="1">
      <c r="A2800" s="15">
        <v>2799</v>
      </c>
      <c r="B2800" s="16" t="s">
        <v>8605</v>
      </c>
      <c r="C2800" s="17">
        <v>45511</v>
      </c>
      <c r="D2800" s="15" t="s">
        <v>8606</v>
      </c>
      <c r="E2800" s="18" t="s">
        <v>954</v>
      </c>
      <c r="F2800" s="19" t="s">
        <v>1694</v>
      </c>
      <c r="G2800" s="18" t="s">
        <v>1695</v>
      </c>
      <c r="H2800" s="20" t="s">
        <v>5131</v>
      </c>
      <c r="I2800" s="15">
        <v>1</v>
      </c>
      <c r="J2800" s="15" t="s">
        <v>24</v>
      </c>
      <c r="K2800" s="15"/>
      <c r="L2800" s="21" t="s">
        <v>16</v>
      </c>
      <c r="M2800" s="22">
        <v>0</v>
      </c>
      <c r="N2800" s="22">
        <v>0</v>
      </c>
      <c r="O2800" s="22">
        <v>7200</v>
      </c>
      <c r="P2800" s="22">
        <v>7200</v>
      </c>
      <c r="Q2800" t="str" cm="1">
        <f t="array" ref="Q2800">_xlfn.TEXTJOIN("、",TRUE,IF('學員資料-三民高中'!$B$2:$B$454=$F2800,'學員資料-三民高中'!$G$2:$G$454,""))</f>
        <v/>
      </c>
      <c r="R2800" t="str" cm="1">
        <f t="array" ref="R2800">_xlfn.TEXTJOIN("、",TRUE,IF('學員資料-新北高中'!$B$2:$B$583=$F2800,'學員資料-新北高中'!$G$2:$G$583,""))</f>
        <v/>
      </c>
      <c r="S2800" t="str" cm="1">
        <f t="array" ref="S2800">_xlfn.TEXTJOIN("、",TRUE,IF('學員資料-三重商工'!$B$2:$B$472=$F2800,'學員資料-三重商工'!$G$2:$G$472,""))</f>
        <v>0928787516</v>
      </c>
      <c r="T2800">
        <f t="shared" si="43"/>
        <v>1</v>
      </c>
    </row>
    <row r="2801" spans="1:20" ht="72" hidden="1" customHeight="1">
      <c r="A2801" s="15">
        <v>2800</v>
      </c>
      <c r="B2801" s="16" t="s">
        <v>8607</v>
      </c>
      <c r="C2801" s="17">
        <v>45511</v>
      </c>
      <c r="D2801" s="15" t="s">
        <v>8608</v>
      </c>
      <c r="E2801" s="18" t="s">
        <v>954</v>
      </c>
      <c r="F2801" s="19" t="s">
        <v>412</v>
      </c>
      <c r="G2801" s="18" t="s">
        <v>413</v>
      </c>
      <c r="H2801" s="20" t="s">
        <v>6617</v>
      </c>
      <c r="I2801" s="15">
        <v>5</v>
      </c>
      <c r="J2801" s="15" t="s">
        <v>24</v>
      </c>
      <c r="K2801" s="15"/>
      <c r="L2801" s="21" t="s">
        <v>16</v>
      </c>
      <c r="M2801" s="22">
        <v>0</v>
      </c>
      <c r="N2801" s="22">
        <v>-4320</v>
      </c>
      <c r="O2801" s="22">
        <v>31680</v>
      </c>
      <c r="P2801" s="22">
        <v>31680</v>
      </c>
      <c r="Q2801" t="str" cm="1">
        <f t="array" ref="Q2801">_xlfn.TEXTJOIN("、",TRUE,IF('學員資料-三民高中'!$B$2:$B$454=$F2801,'學員資料-三民高中'!$G$2:$G$454,""))</f>
        <v>0930220021-1</v>
      </c>
      <c r="R2801" t="str" cm="1">
        <f t="array" ref="R2801">_xlfn.TEXTJOIN("、",TRUE,IF('學員資料-新北高中'!$B$2:$B$583=$F2801,'學員資料-新北高中'!$G$2:$G$583,""))</f>
        <v/>
      </c>
      <c r="S2801" t="str" cm="1">
        <f t="array" ref="S2801">_xlfn.TEXTJOIN("、",TRUE,IF('學員資料-三重商工'!$B$2:$B$472=$F2801,'學員資料-三重商工'!$G$2:$G$472,""))</f>
        <v/>
      </c>
      <c r="T2801">
        <f t="shared" si="43"/>
        <v>1</v>
      </c>
    </row>
    <row r="2802" spans="1:20" ht="14.25" hidden="1" customHeight="1">
      <c r="A2802" s="15">
        <v>2801</v>
      </c>
      <c r="B2802" s="16" t="s">
        <v>8609</v>
      </c>
      <c r="C2802" s="17">
        <v>45511</v>
      </c>
      <c r="D2802" s="15" t="s">
        <v>8610</v>
      </c>
      <c r="E2802" s="18" t="s">
        <v>954</v>
      </c>
      <c r="F2802" s="19" t="s">
        <v>412</v>
      </c>
      <c r="G2802" s="18" t="s">
        <v>413</v>
      </c>
      <c r="H2802" s="20" t="s">
        <v>5131</v>
      </c>
      <c r="I2802" s="15">
        <v>1</v>
      </c>
      <c r="J2802" s="15" t="s">
        <v>24</v>
      </c>
      <c r="K2802" s="15"/>
      <c r="L2802" s="21" t="s">
        <v>16</v>
      </c>
      <c r="M2802" s="22">
        <v>0</v>
      </c>
      <c r="N2802" s="22">
        <v>-720</v>
      </c>
      <c r="O2802" s="22">
        <v>6480</v>
      </c>
      <c r="P2802" s="22">
        <v>6480</v>
      </c>
      <c r="Q2802" t="str" cm="1">
        <f t="array" ref="Q2802">_xlfn.TEXTJOIN("、",TRUE,IF('學員資料-三民高中'!$B$2:$B$454=$F2802,'學員資料-三民高中'!$G$2:$G$454,""))</f>
        <v>0930220021-1</v>
      </c>
      <c r="R2802" t="str" cm="1">
        <f t="array" ref="R2802">_xlfn.TEXTJOIN("、",TRUE,IF('學員資料-新北高中'!$B$2:$B$583=$F2802,'學員資料-新北高中'!$G$2:$G$583,""))</f>
        <v/>
      </c>
      <c r="S2802" t="str" cm="1">
        <f t="array" ref="S2802">_xlfn.TEXTJOIN("、",TRUE,IF('學員資料-三重商工'!$B$2:$B$472=$F2802,'學員資料-三重商工'!$G$2:$G$472,""))</f>
        <v/>
      </c>
      <c r="T2802">
        <f t="shared" si="43"/>
        <v>1</v>
      </c>
    </row>
    <row r="2803" spans="1:20" ht="14.25" hidden="1" customHeight="1">
      <c r="A2803" s="15">
        <v>2802</v>
      </c>
      <c r="B2803" s="16" t="s">
        <v>8611</v>
      </c>
      <c r="C2803" s="17">
        <v>45511</v>
      </c>
      <c r="D2803" s="15" t="s">
        <v>8612</v>
      </c>
      <c r="E2803" s="18" t="s">
        <v>954</v>
      </c>
      <c r="F2803" s="19" t="s">
        <v>412</v>
      </c>
      <c r="G2803" s="18" t="s">
        <v>413</v>
      </c>
      <c r="H2803" s="20" t="s">
        <v>5131</v>
      </c>
      <c r="I2803" s="15">
        <v>1</v>
      </c>
      <c r="J2803" s="15" t="s">
        <v>24</v>
      </c>
      <c r="K2803" s="15"/>
      <c r="L2803" s="21" t="s">
        <v>16</v>
      </c>
      <c r="M2803" s="22">
        <v>0</v>
      </c>
      <c r="N2803" s="22">
        <v>-720</v>
      </c>
      <c r="O2803" s="22">
        <v>6480</v>
      </c>
      <c r="P2803" s="22">
        <v>6480</v>
      </c>
      <c r="Q2803" t="str" cm="1">
        <f t="array" ref="Q2803">_xlfn.TEXTJOIN("、",TRUE,IF('學員資料-三民高中'!$B$2:$B$454=$F2803,'學員資料-三民高中'!$G$2:$G$454,""))</f>
        <v>0930220021-1</v>
      </c>
      <c r="R2803" t="str" cm="1">
        <f t="array" ref="R2803">_xlfn.TEXTJOIN("、",TRUE,IF('學員資料-新北高中'!$B$2:$B$583=$F2803,'學員資料-新北高中'!$G$2:$G$583,""))</f>
        <v/>
      </c>
      <c r="S2803" t="str" cm="1">
        <f t="array" ref="S2803">_xlfn.TEXTJOIN("、",TRUE,IF('學員資料-三重商工'!$B$2:$B$472=$F2803,'學員資料-三重商工'!$G$2:$G$472,""))</f>
        <v/>
      </c>
      <c r="T2803">
        <f t="shared" si="43"/>
        <v>1</v>
      </c>
    </row>
    <row r="2804" spans="1:20" ht="87" hidden="1" customHeight="1">
      <c r="A2804" s="15">
        <v>2803</v>
      </c>
      <c r="B2804" s="16" t="s">
        <v>8613</v>
      </c>
      <c r="C2804" s="17">
        <v>45511</v>
      </c>
      <c r="D2804" s="15" t="s">
        <v>156</v>
      </c>
      <c r="E2804" s="18" t="s">
        <v>954</v>
      </c>
      <c r="F2804" s="19" t="s">
        <v>412</v>
      </c>
      <c r="G2804" s="18" t="s">
        <v>413</v>
      </c>
      <c r="H2804" s="20" t="s">
        <v>7183</v>
      </c>
      <c r="I2804" s="15">
        <v>6</v>
      </c>
      <c r="J2804" s="15" t="s">
        <v>24</v>
      </c>
      <c r="K2804" s="15"/>
      <c r="L2804" s="21" t="s">
        <v>16</v>
      </c>
      <c r="M2804" s="22">
        <v>0</v>
      </c>
      <c r="N2804" s="22">
        <v>-4320</v>
      </c>
      <c r="O2804" s="22">
        <v>38880</v>
      </c>
      <c r="P2804" s="22">
        <v>38880</v>
      </c>
      <c r="Q2804" t="str" cm="1">
        <f t="array" ref="Q2804">_xlfn.TEXTJOIN("、",TRUE,IF('學員資料-三民高中'!$B$2:$B$454=$F2804,'學員資料-三民高中'!$G$2:$G$454,""))</f>
        <v>0930220021-1</v>
      </c>
      <c r="R2804" t="str" cm="1">
        <f t="array" ref="R2804">_xlfn.TEXTJOIN("、",TRUE,IF('學員資料-新北高中'!$B$2:$B$583=$F2804,'學員資料-新北高中'!$G$2:$G$583,""))</f>
        <v/>
      </c>
      <c r="S2804" t="str" cm="1">
        <f t="array" ref="S2804">_xlfn.TEXTJOIN("、",TRUE,IF('學員資料-三重商工'!$B$2:$B$472=$F2804,'學員資料-三重商工'!$G$2:$G$472,""))</f>
        <v/>
      </c>
      <c r="T2804">
        <f t="shared" si="43"/>
        <v>1</v>
      </c>
    </row>
    <row r="2805" spans="1:20" ht="14.25" hidden="1" customHeight="1">
      <c r="A2805" s="15">
        <v>2804</v>
      </c>
      <c r="B2805" s="16" t="s">
        <v>8614</v>
      </c>
      <c r="C2805" s="17">
        <v>45511</v>
      </c>
      <c r="D2805" s="15" t="s">
        <v>8615</v>
      </c>
      <c r="E2805" s="18" t="s">
        <v>954</v>
      </c>
      <c r="F2805" s="19" t="s">
        <v>8616</v>
      </c>
      <c r="G2805" s="18" t="s">
        <v>8617</v>
      </c>
      <c r="H2805" s="20" t="s">
        <v>5163</v>
      </c>
      <c r="I2805" s="15">
        <v>1</v>
      </c>
      <c r="J2805" s="15" t="s">
        <v>23</v>
      </c>
      <c r="K2805" s="15"/>
      <c r="L2805" s="21" t="s">
        <v>16</v>
      </c>
      <c r="M2805" s="22">
        <v>0</v>
      </c>
      <c r="N2805" s="22">
        <v>0</v>
      </c>
      <c r="O2805" s="22">
        <v>6600</v>
      </c>
      <c r="P2805" s="22">
        <v>6600</v>
      </c>
      <c r="Q2805" t="str" cm="1">
        <f t="array" ref="Q2805">_xlfn.TEXTJOIN("、",TRUE,IF('學員資料-三民高中'!$B$2:$B$454=$F2805,'學員資料-三民高中'!$G$2:$G$454,""))</f>
        <v/>
      </c>
      <c r="R2805" t="str" cm="1">
        <f t="array" ref="R2805">_xlfn.TEXTJOIN("、",TRUE,IF('學員資料-新北高中'!$B$2:$B$583=$F2805,'學員資料-新北高中'!$G$2:$G$583,""))</f>
        <v>0922272517</v>
      </c>
      <c r="S2805" t="str" cm="1">
        <f t="array" ref="S2805">_xlfn.TEXTJOIN("、",TRUE,IF('學員資料-三重商工'!$B$2:$B$472=$F2805,'學員資料-三重商工'!$G$2:$G$472,""))</f>
        <v/>
      </c>
      <c r="T2805">
        <f t="shared" si="43"/>
        <v>1</v>
      </c>
    </row>
    <row r="2806" spans="1:20" ht="14.25" hidden="1" customHeight="1">
      <c r="A2806" s="15">
        <v>2805</v>
      </c>
      <c r="B2806" s="16" t="s">
        <v>8618</v>
      </c>
      <c r="C2806" s="17">
        <v>45511</v>
      </c>
      <c r="D2806" s="15" t="s">
        <v>8619</v>
      </c>
      <c r="E2806" s="18" t="s">
        <v>954</v>
      </c>
      <c r="F2806" s="19" t="s">
        <v>8620</v>
      </c>
      <c r="G2806" s="18" t="s">
        <v>8621</v>
      </c>
      <c r="H2806" s="20" t="s">
        <v>5131</v>
      </c>
      <c r="I2806" s="15">
        <v>1</v>
      </c>
      <c r="J2806" s="15" t="s">
        <v>24</v>
      </c>
      <c r="K2806" s="15"/>
      <c r="L2806" s="21" t="s">
        <v>16</v>
      </c>
      <c r="M2806" s="22">
        <v>0</v>
      </c>
      <c r="N2806" s="22">
        <v>0</v>
      </c>
      <c r="O2806" s="22">
        <v>7200</v>
      </c>
      <c r="P2806" s="22">
        <v>7200</v>
      </c>
      <c r="Q2806" t="str" cm="1">
        <f t="array" ref="Q2806">_xlfn.TEXTJOIN("、",TRUE,IF('學員資料-三民高中'!$B$2:$B$454=$F2806,'學員資料-三民高中'!$G$2:$G$454,""))</f>
        <v/>
      </c>
      <c r="R2806" t="str" cm="1">
        <f t="array" ref="R2806">_xlfn.TEXTJOIN("、",TRUE,IF('學員資料-新北高中'!$B$2:$B$583=$F2806,'學員資料-新北高中'!$G$2:$G$583,""))</f>
        <v>0968791009</v>
      </c>
      <c r="S2806" t="str" cm="1">
        <f t="array" ref="S2806">_xlfn.TEXTJOIN("、",TRUE,IF('學員資料-三重商工'!$B$2:$B$472=$F2806,'學員資料-三重商工'!$G$2:$G$472,""))</f>
        <v/>
      </c>
      <c r="T2806">
        <f t="shared" si="43"/>
        <v>1</v>
      </c>
    </row>
    <row r="2807" spans="1:20" ht="14.25" hidden="1" customHeight="1">
      <c r="A2807" s="15">
        <v>2806</v>
      </c>
      <c r="B2807" s="16" t="s">
        <v>8622</v>
      </c>
      <c r="C2807" s="17">
        <v>45511</v>
      </c>
      <c r="D2807" s="15" t="s">
        <v>8623</v>
      </c>
      <c r="E2807" s="18" t="s">
        <v>954</v>
      </c>
      <c r="F2807" s="19" t="s">
        <v>5748</v>
      </c>
      <c r="G2807" s="18" t="s">
        <v>5749</v>
      </c>
      <c r="H2807" s="20" t="s">
        <v>5163</v>
      </c>
      <c r="I2807" s="15">
        <v>1</v>
      </c>
      <c r="J2807" s="15" t="s">
        <v>23</v>
      </c>
      <c r="K2807" s="15"/>
      <c r="L2807" s="21" t="s">
        <v>16</v>
      </c>
      <c r="M2807" s="22">
        <v>0</v>
      </c>
      <c r="N2807" s="22">
        <v>0</v>
      </c>
      <c r="O2807" s="22">
        <v>6600</v>
      </c>
      <c r="P2807" s="22">
        <v>6600</v>
      </c>
      <c r="Q2807" t="str" cm="1">
        <f t="array" ref="Q2807">_xlfn.TEXTJOIN("、",TRUE,IF('學員資料-三民高中'!$B$2:$B$454=$F2807,'學員資料-三民高中'!$G$2:$G$454,""))</f>
        <v/>
      </c>
      <c r="R2807" t="str" cm="1">
        <f t="array" ref="R2807">_xlfn.TEXTJOIN("、",TRUE,IF('學員資料-新北高中'!$B$2:$B$583=$F2807,'學員資料-新北高中'!$G$2:$G$583,""))</f>
        <v>0909654903</v>
      </c>
      <c r="S2807" t="str" cm="1">
        <f t="array" ref="S2807">_xlfn.TEXTJOIN("、",TRUE,IF('學員資料-三重商工'!$B$2:$B$472=$F2807,'學員資料-三重商工'!$G$2:$G$472,""))</f>
        <v/>
      </c>
      <c r="T2807">
        <f t="shared" si="43"/>
        <v>1</v>
      </c>
    </row>
    <row r="2808" spans="1:20" ht="14.25" hidden="1" customHeight="1">
      <c r="A2808" s="15">
        <v>2807</v>
      </c>
      <c r="B2808" s="16" t="s">
        <v>8624</v>
      </c>
      <c r="C2808" s="17">
        <v>45511</v>
      </c>
      <c r="D2808" s="15" t="s">
        <v>8625</v>
      </c>
      <c r="E2808" s="18" t="s">
        <v>954</v>
      </c>
      <c r="F2808" s="19" t="s">
        <v>8626</v>
      </c>
      <c r="G2808" s="18" t="s">
        <v>8627</v>
      </c>
      <c r="H2808" s="20" t="s">
        <v>5148</v>
      </c>
      <c r="I2808" s="15">
        <v>1</v>
      </c>
      <c r="J2808" s="15" t="s">
        <v>25</v>
      </c>
      <c r="K2808" s="15"/>
      <c r="L2808" s="21" t="s">
        <v>16</v>
      </c>
      <c r="M2808" s="22">
        <v>0</v>
      </c>
      <c r="N2808" s="22">
        <v>0</v>
      </c>
      <c r="O2808" s="22">
        <v>9000</v>
      </c>
      <c r="P2808" s="22">
        <v>9000</v>
      </c>
      <c r="Q2808" t="str" cm="1">
        <f t="array" ref="Q2808">_xlfn.TEXTJOIN("、",TRUE,IF('學員資料-三民高中'!$B$2:$B$454=$F2808,'學員資料-三民高中'!$G$2:$G$454,""))</f>
        <v>0988539910</v>
      </c>
      <c r="R2808" t="str" cm="1">
        <f t="array" ref="R2808">_xlfn.TEXTJOIN("、",TRUE,IF('學員資料-新北高中'!$B$2:$B$583=$F2808,'學員資料-新北高中'!$G$2:$G$583,""))</f>
        <v/>
      </c>
      <c r="S2808" t="str" cm="1">
        <f t="array" ref="S2808">_xlfn.TEXTJOIN("、",TRUE,IF('學員資料-三重商工'!$B$2:$B$472=$F2808,'學員資料-三重商工'!$G$2:$G$472,""))</f>
        <v/>
      </c>
      <c r="T2808">
        <f t="shared" si="43"/>
        <v>1</v>
      </c>
    </row>
    <row r="2809" spans="1:20" ht="14.25" hidden="1" customHeight="1">
      <c r="A2809" s="15">
        <v>2808</v>
      </c>
      <c r="B2809" s="16" t="s">
        <v>8628</v>
      </c>
      <c r="C2809" s="17">
        <v>45511</v>
      </c>
      <c r="D2809" s="15" t="s">
        <v>8629</v>
      </c>
      <c r="E2809" s="18" t="s">
        <v>954</v>
      </c>
      <c r="F2809" s="19" t="s">
        <v>2581</v>
      </c>
      <c r="G2809" s="18" t="s">
        <v>2582</v>
      </c>
      <c r="H2809" s="20" t="s">
        <v>5131</v>
      </c>
      <c r="I2809" s="15">
        <v>1</v>
      </c>
      <c r="J2809" s="15" t="s">
        <v>24</v>
      </c>
      <c r="K2809" s="15"/>
      <c r="L2809" s="21" t="s">
        <v>16</v>
      </c>
      <c r="M2809" s="22">
        <v>0</v>
      </c>
      <c r="N2809" s="22">
        <v>0</v>
      </c>
      <c r="O2809" s="22">
        <v>7200</v>
      </c>
      <c r="P2809" s="22">
        <v>7200</v>
      </c>
      <c r="Q2809" t="str" cm="1">
        <f t="array" ref="Q2809">_xlfn.TEXTJOIN("、",TRUE,IF('學員資料-三民高中'!$B$2:$B$454=$F2809,'學員資料-三民高中'!$G$2:$G$454,""))</f>
        <v/>
      </c>
      <c r="R2809" t="str" cm="1">
        <f t="array" ref="R2809">_xlfn.TEXTJOIN("、",TRUE,IF('學員資料-新北高中'!$B$2:$B$583=$F2809,'學員資料-新北高中'!$G$2:$G$583,""))</f>
        <v>0937159190</v>
      </c>
      <c r="S2809" t="str" cm="1">
        <f t="array" ref="S2809">_xlfn.TEXTJOIN("、",TRUE,IF('學員資料-三重商工'!$B$2:$B$472=$F2809,'學員資料-三重商工'!$G$2:$G$472,""))</f>
        <v/>
      </c>
      <c r="T2809">
        <f t="shared" si="43"/>
        <v>1</v>
      </c>
    </row>
    <row r="2810" spans="1:20" ht="28.5" hidden="1" customHeight="1">
      <c r="A2810" s="15">
        <v>2809</v>
      </c>
      <c r="B2810" s="16" t="s">
        <v>8630</v>
      </c>
      <c r="C2810" s="17">
        <v>45511</v>
      </c>
      <c r="D2810" s="15" t="s">
        <v>8631</v>
      </c>
      <c r="E2810" s="18" t="s">
        <v>954</v>
      </c>
      <c r="F2810" s="19" t="s">
        <v>4946</v>
      </c>
      <c r="G2810" s="18" t="s">
        <v>4947</v>
      </c>
      <c r="H2810" s="20" t="s">
        <v>6631</v>
      </c>
      <c r="I2810" s="15">
        <v>2</v>
      </c>
      <c r="J2810" s="15" t="s">
        <v>24</v>
      </c>
      <c r="K2810" s="21" t="s">
        <v>116</v>
      </c>
      <c r="L2810" s="21" t="s">
        <v>16</v>
      </c>
      <c r="M2810" s="22">
        <v>0</v>
      </c>
      <c r="N2810" s="22">
        <v>0</v>
      </c>
      <c r="O2810" s="22">
        <v>1200</v>
      </c>
      <c r="P2810" s="22">
        <v>1200</v>
      </c>
      <c r="Q2810" t="str" cm="1">
        <f t="array" ref="Q2810">_xlfn.TEXTJOIN("、",TRUE,IF('學員資料-三民高中'!$B$2:$B$454=$F2810,'學員資料-三民高中'!$G$2:$G$454,""))</f>
        <v/>
      </c>
      <c r="R2810" t="str" cm="1">
        <f t="array" ref="R2810">_xlfn.TEXTJOIN("、",TRUE,IF('學員資料-新北高中'!$B$2:$B$583=$F2810,'學員資料-新北高中'!$G$2:$G$583,""))</f>
        <v>0922590258</v>
      </c>
      <c r="S2810" t="str" cm="1">
        <f t="array" ref="S2810">_xlfn.TEXTJOIN("、",TRUE,IF('學員資料-三重商工'!$B$2:$B$472=$F2810,'學員資料-三重商工'!$G$2:$G$472,""))</f>
        <v/>
      </c>
      <c r="T2810">
        <f t="shared" si="43"/>
        <v>1</v>
      </c>
    </row>
    <row r="2811" spans="1:20" ht="72" hidden="1" customHeight="1">
      <c r="A2811" s="15">
        <v>2810</v>
      </c>
      <c r="B2811" s="16" t="s">
        <v>8632</v>
      </c>
      <c r="C2811" s="17">
        <v>45511</v>
      </c>
      <c r="D2811" s="15" t="s">
        <v>8633</v>
      </c>
      <c r="E2811" s="18" t="s">
        <v>954</v>
      </c>
      <c r="F2811" s="19" t="s">
        <v>2776</v>
      </c>
      <c r="G2811" s="18" t="s">
        <v>2777</v>
      </c>
      <c r="H2811" s="20" t="s">
        <v>8634</v>
      </c>
      <c r="I2811" s="15">
        <v>5</v>
      </c>
      <c r="J2811" s="15" t="s">
        <v>23</v>
      </c>
      <c r="K2811" s="15"/>
      <c r="L2811" s="21" t="s">
        <v>16</v>
      </c>
      <c r="M2811" s="22">
        <v>0</v>
      </c>
      <c r="N2811" s="22">
        <v>-3960</v>
      </c>
      <c r="O2811" s="22">
        <v>29040</v>
      </c>
      <c r="P2811" s="22">
        <v>29040</v>
      </c>
      <c r="Q2811" t="str" cm="1">
        <f t="array" ref="Q2811">_xlfn.TEXTJOIN("、",TRUE,IF('學員資料-三民高中'!$B$2:$B$454=$F2811,'學員資料-三民高中'!$G$2:$G$454,""))</f>
        <v>0953305887</v>
      </c>
      <c r="R2811" t="str" cm="1">
        <f t="array" ref="R2811">_xlfn.TEXTJOIN("、",TRUE,IF('學員資料-新北高中'!$B$2:$B$583=$F2811,'學員資料-新北高中'!$G$2:$G$583,""))</f>
        <v/>
      </c>
      <c r="S2811" t="str" cm="1">
        <f t="array" ref="S2811">_xlfn.TEXTJOIN("、",TRUE,IF('學員資料-三重商工'!$B$2:$B$472=$F2811,'學員資料-三重商工'!$G$2:$G$472,""))</f>
        <v/>
      </c>
      <c r="T2811">
        <f t="shared" si="43"/>
        <v>1</v>
      </c>
    </row>
    <row r="2812" spans="1:20" ht="28.5" hidden="1" customHeight="1">
      <c r="A2812" s="15">
        <v>2811</v>
      </c>
      <c r="B2812" s="16" t="s">
        <v>8635</v>
      </c>
      <c r="C2812" s="17">
        <v>45511</v>
      </c>
      <c r="D2812" s="15" t="s">
        <v>8636</v>
      </c>
      <c r="E2812" s="18" t="s">
        <v>954</v>
      </c>
      <c r="F2812" s="19" t="s">
        <v>4257</v>
      </c>
      <c r="G2812" s="18" t="s">
        <v>4258</v>
      </c>
      <c r="H2812" s="20" t="s">
        <v>5138</v>
      </c>
      <c r="I2812" s="15">
        <v>2</v>
      </c>
      <c r="J2812" s="15" t="s">
        <v>23</v>
      </c>
      <c r="K2812" s="15"/>
      <c r="L2812" s="21" t="s">
        <v>16</v>
      </c>
      <c r="M2812" s="22">
        <v>0</v>
      </c>
      <c r="N2812" s="22">
        <v>-1728</v>
      </c>
      <c r="O2812" s="22">
        <v>12672</v>
      </c>
      <c r="P2812" s="22">
        <v>12672</v>
      </c>
      <c r="Q2812" t="str" cm="1">
        <f t="array" ref="Q2812">_xlfn.TEXTJOIN("、",TRUE,IF('學員資料-三民高中'!$B$2:$B$454=$F2812,'學員資料-三民高中'!$G$2:$G$454,""))</f>
        <v/>
      </c>
      <c r="R2812" t="str" cm="1">
        <f t="array" ref="R2812">_xlfn.TEXTJOIN("、",TRUE,IF('學員資料-新北高中'!$B$2:$B$583=$F2812,'學員資料-新北高中'!$G$2:$G$583,""))</f>
        <v/>
      </c>
      <c r="S2812" t="str" cm="1">
        <f t="array" ref="S2812">_xlfn.TEXTJOIN("、",TRUE,IF('學員資料-三重商工'!$B$2:$B$472=$F2812,'學員資料-三重商工'!$G$2:$G$472,""))</f>
        <v>0917151923</v>
      </c>
      <c r="T2812">
        <f t="shared" si="43"/>
        <v>1</v>
      </c>
    </row>
    <row r="2813" spans="1:20" ht="14.25" hidden="1" customHeight="1">
      <c r="A2813" s="15">
        <v>2812</v>
      </c>
      <c r="B2813" s="16" t="s">
        <v>8637</v>
      </c>
      <c r="C2813" s="17">
        <v>45511</v>
      </c>
      <c r="D2813" s="15" t="s">
        <v>8638</v>
      </c>
      <c r="E2813" s="18" t="s">
        <v>954</v>
      </c>
      <c r="F2813" s="19" t="s">
        <v>4257</v>
      </c>
      <c r="G2813" s="18" t="s">
        <v>4258</v>
      </c>
      <c r="H2813" s="20" t="s">
        <v>5246</v>
      </c>
      <c r="I2813" s="15">
        <v>1</v>
      </c>
      <c r="J2813" s="15" t="s">
        <v>23</v>
      </c>
      <c r="K2813" s="15"/>
      <c r="L2813" s="21" t="s">
        <v>16</v>
      </c>
      <c r="M2813" s="22">
        <v>0</v>
      </c>
      <c r="N2813" s="22">
        <v>-720</v>
      </c>
      <c r="O2813" s="22">
        <v>6480</v>
      </c>
      <c r="P2813" s="22">
        <v>6480</v>
      </c>
      <c r="Q2813" t="str" cm="1">
        <f t="array" ref="Q2813">_xlfn.TEXTJOIN("、",TRUE,IF('學員資料-三民高中'!$B$2:$B$454=$F2813,'學員資料-三民高中'!$G$2:$G$454,""))</f>
        <v/>
      </c>
      <c r="R2813" t="str" cm="1">
        <f t="array" ref="R2813">_xlfn.TEXTJOIN("、",TRUE,IF('學員資料-新北高中'!$B$2:$B$583=$F2813,'學員資料-新北高中'!$G$2:$G$583,""))</f>
        <v/>
      </c>
      <c r="S2813" t="str" cm="1">
        <f t="array" ref="S2813">_xlfn.TEXTJOIN("、",TRUE,IF('學員資料-三重商工'!$B$2:$B$472=$F2813,'學員資料-三重商工'!$G$2:$G$472,""))</f>
        <v>0917151923</v>
      </c>
      <c r="T2813">
        <f t="shared" si="43"/>
        <v>1</v>
      </c>
    </row>
    <row r="2814" spans="1:20" ht="14.25" hidden="1" customHeight="1">
      <c r="A2814" s="15">
        <v>2813</v>
      </c>
      <c r="B2814" s="16" t="s">
        <v>8639</v>
      </c>
      <c r="C2814" s="17">
        <v>45511</v>
      </c>
      <c r="D2814" s="15" t="s">
        <v>8640</v>
      </c>
      <c r="E2814" s="18" t="s">
        <v>954</v>
      </c>
      <c r="F2814" s="19" t="s">
        <v>8641</v>
      </c>
      <c r="G2814" s="18" t="s">
        <v>8642</v>
      </c>
      <c r="H2814" s="20" t="s">
        <v>5642</v>
      </c>
      <c r="I2814" s="15">
        <v>1</v>
      </c>
      <c r="J2814" s="15" t="s">
        <v>24</v>
      </c>
      <c r="K2814" s="21" t="s">
        <v>116</v>
      </c>
      <c r="L2814" s="21" t="s">
        <v>16</v>
      </c>
      <c r="M2814" s="22">
        <v>0</v>
      </c>
      <c r="N2814" s="22">
        <v>0</v>
      </c>
      <c r="O2814" s="22">
        <v>600</v>
      </c>
      <c r="P2814" s="22">
        <v>600</v>
      </c>
      <c r="Q2814" t="str" cm="1">
        <f t="array" ref="Q2814">_xlfn.TEXTJOIN("、",TRUE,IF('學員資料-三民高中'!$B$2:$B$454=$F2814,'學員資料-三民高中'!$G$2:$G$454,""))</f>
        <v/>
      </c>
      <c r="R2814" t="str" cm="1">
        <f t="array" ref="R2814">_xlfn.TEXTJOIN("、",TRUE,IF('學員資料-新北高中'!$B$2:$B$583=$F2814,'學員資料-新北高中'!$G$2:$G$583,""))</f>
        <v>0920326159</v>
      </c>
      <c r="S2814" t="str" cm="1">
        <f t="array" ref="S2814">_xlfn.TEXTJOIN("、",TRUE,IF('學員資料-三重商工'!$B$2:$B$472=$F2814,'學員資料-三重商工'!$G$2:$G$472,""))</f>
        <v/>
      </c>
      <c r="T2814">
        <f t="shared" si="43"/>
        <v>1</v>
      </c>
    </row>
    <row r="2815" spans="1:20" ht="14.25" hidden="1" customHeight="1">
      <c r="A2815" s="15">
        <v>2814</v>
      </c>
      <c r="B2815" s="16" t="s">
        <v>8643</v>
      </c>
      <c r="C2815" s="17">
        <v>45511</v>
      </c>
      <c r="D2815" s="15" t="s">
        <v>8644</v>
      </c>
      <c r="E2815" s="18" t="s">
        <v>954</v>
      </c>
      <c r="F2815" s="19" t="s">
        <v>4271</v>
      </c>
      <c r="G2815" s="18" t="s">
        <v>4272</v>
      </c>
      <c r="H2815" s="20" t="s">
        <v>5180</v>
      </c>
      <c r="I2815" s="15">
        <v>1</v>
      </c>
      <c r="J2815" s="15" t="s">
        <v>24</v>
      </c>
      <c r="K2815" s="15"/>
      <c r="L2815" s="21" t="s">
        <v>16</v>
      </c>
      <c r="M2815" s="22">
        <v>0</v>
      </c>
      <c r="N2815" s="22">
        <v>-864</v>
      </c>
      <c r="O2815" s="22">
        <v>7776</v>
      </c>
      <c r="P2815" s="22">
        <v>7776</v>
      </c>
      <c r="Q2815" t="str" cm="1">
        <f t="array" ref="Q2815">_xlfn.TEXTJOIN("、",TRUE,IF('學員資料-三民高中'!$B$2:$B$454=$F2815,'學員資料-三民高中'!$G$2:$G$454,""))</f>
        <v/>
      </c>
      <c r="R2815" t="str" cm="1">
        <f t="array" ref="R2815">_xlfn.TEXTJOIN("、",TRUE,IF('學員資料-新北高中'!$B$2:$B$583=$F2815,'學員資料-新北高中'!$G$2:$G$583,""))</f>
        <v/>
      </c>
      <c r="S2815" t="str" cm="1">
        <f t="array" ref="S2815">_xlfn.TEXTJOIN("、",TRUE,IF('學員資料-三重商工'!$B$2:$B$472=$F2815,'學員資料-三重商工'!$G$2:$G$472,""))</f>
        <v>0921604248</v>
      </c>
      <c r="T2815">
        <f t="shared" si="43"/>
        <v>1</v>
      </c>
    </row>
    <row r="2816" spans="1:20" ht="14.25" hidden="1" customHeight="1">
      <c r="A2816" s="15">
        <v>2815</v>
      </c>
      <c r="B2816" s="16" t="s">
        <v>8645</v>
      </c>
      <c r="C2816" s="17">
        <v>45511</v>
      </c>
      <c r="D2816" s="15" t="s">
        <v>8646</v>
      </c>
      <c r="E2816" s="18" t="s">
        <v>954</v>
      </c>
      <c r="F2816" s="19" t="s">
        <v>2720</v>
      </c>
      <c r="G2816" s="18" t="s">
        <v>2721</v>
      </c>
      <c r="H2816" s="20" t="s">
        <v>5246</v>
      </c>
      <c r="I2816" s="15">
        <v>1</v>
      </c>
      <c r="J2816" s="15" t="s">
        <v>23</v>
      </c>
      <c r="K2816" s="15"/>
      <c r="L2816" s="21" t="s">
        <v>16</v>
      </c>
      <c r="M2816" s="22">
        <v>0</v>
      </c>
      <c r="N2816" s="22">
        <v>-720</v>
      </c>
      <c r="O2816" s="22">
        <v>6480</v>
      </c>
      <c r="P2816" s="22">
        <v>6480</v>
      </c>
      <c r="Q2816" t="str" cm="1">
        <f t="array" ref="Q2816">_xlfn.TEXTJOIN("、",TRUE,IF('學員資料-三民高中'!$B$2:$B$454=$F2816,'學員資料-三民高中'!$G$2:$G$454,""))</f>
        <v/>
      </c>
      <c r="R2816" t="str" cm="1">
        <f t="array" ref="R2816">_xlfn.TEXTJOIN("、",TRUE,IF('學員資料-新北高中'!$B$2:$B$583=$F2816,'學員資料-新北高中'!$G$2:$G$583,""))</f>
        <v/>
      </c>
      <c r="S2816" t="str" cm="1">
        <f t="array" ref="S2816">_xlfn.TEXTJOIN("、",TRUE,IF('學員資料-三重商工'!$B$2:$B$472=$F2816,'學員資料-三重商工'!$G$2:$G$472,""))</f>
        <v>0955810184</v>
      </c>
      <c r="T2816">
        <f t="shared" si="43"/>
        <v>1</v>
      </c>
    </row>
    <row r="2817" spans="1:20" ht="57.75" hidden="1" customHeight="1">
      <c r="A2817" s="15">
        <v>2816</v>
      </c>
      <c r="B2817" s="16" t="s">
        <v>8647</v>
      </c>
      <c r="C2817" s="17">
        <v>45511</v>
      </c>
      <c r="D2817" s="15" t="s">
        <v>8648</v>
      </c>
      <c r="E2817" s="18" t="s">
        <v>954</v>
      </c>
      <c r="F2817" s="19" t="s">
        <v>2720</v>
      </c>
      <c r="G2817" s="18" t="s">
        <v>2721</v>
      </c>
      <c r="H2817" s="20" t="s">
        <v>5187</v>
      </c>
      <c r="I2817" s="15">
        <v>4</v>
      </c>
      <c r="J2817" s="15" t="s">
        <v>23</v>
      </c>
      <c r="K2817" s="15"/>
      <c r="L2817" s="21" t="s">
        <v>16</v>
      </c>
      <c r="M2817" s="22">
        <v>0</v>
      </c>
      <c r="N2817" s="22">
        <v>-2880</v>
      </c>
      <c r="O2817" s="22">
        <v>25920</v>
      </c>
      <c r="P2817" s="22">
        <v>25920</v>
      </c>
      <c r="Q2817" t="str" cm="1">
        <f t="array" ref="Q2817">_xlfn.TEXTJOIN("、",TRUE,IF('學員資料-三民高中'!$B$2:$B$454=$F2817,'學員資料-三民高中'!$G$2:$G$454,""))</f>
        <v/>
      </c>
      <c r="R2817" t="str" cm="1">
        <f t="array" ref="R2817">_xlfn.TEXTJOIN("、",TRUE,IF('學員資料-新北高中'!$B$2:$B$583=$F2817,'學員資料-新北高中'!$G$2:$G$583,""))</f>
        <v/>
      </c>
      <c r="S2817" t="str" cm="1">
        <f t="array" ref="S2817">_xlfn.TEXTJOIN("、",TRUE,IF('學員資料-三重商工'!$B$2:$B$472=$F2817,'學員資料-三重商工'!$G$2:$G$472,""))</f>
        <v>0955810184</v>
      </c>
      <c r="T2817">
        <f t="shared" si="43"/>
        <v>1</v>
      </c>
    </row>
    <row r="2818" spans="1:20" ht="14.25" hidden="1" customHeight="1">
      <c r="A2818" s="15">
        <v>2817</v>
      </c>
      <c r="B2818" s="16" t="s">
        <v>8649</v>
      </c>
      <c r="C2818" s="17">
        <v>45511</v>
      </c>
      <c r="D2818" s="15" t="s">
        <v>8650</v>
      </c>
      <c r="E2818" s="18" t="s">
        <v>954</v>
      </c>
      <c r="F2818" s="19" t="s">
        <v>8651</v>
      </c>
      <c r="G2818" s="18" t="s">
        <v>8652</v>
      </c>
      <c r="H2818" s="20" t="s">
        <v>5148</v>
      </c>
      <c r="I2818" s="15">
        <v>1</v>
      </c>
      <c r="J2818" s="15" t="s">
        <v>25</v>
      </c>
      <c r="K2818" s="15"/>
      <c r="L2818" s="21" t="s">
        <v>16</v>
      </c>
      <c r="M2818" s="22">
        <v>0</v>
      </c>
      <c r="N2818" s="22">
        <v>0</v>
      </c>
      <c r="O2818" s="22">
        <v>9000</v>
      </c>
      <c r="P2818" s="22">
        <v>9000</v>
      </c>
      <c r="Q2818" t="str" cm="1">
        <f t="array" ref="Q2818">_xlfn.TEXTJOIN("、",TRUE,IF('學員資料-三民高中'!$B$2:$B$454=$F2818,'學員資料-三民高中'!$G$2:$G$454,""))</f>
        <v>0919987217</v>
      </c>
      <c r="R2818" t="str" cm="1">
        <f t="array" ref="R2818">_xlfn.TEXTJOIN("、",TRUE,IF('學員資料-新北高中'!$B$2:$B$583=$F2818,'學員資料-新北高中'!$G$2:$G$583,""))</f>
        <v/>
      </c>
      <c r="S2818" t="str" cm="1">
        <f t="array" ref="S2818">_xlfn.TEXTJOIN("、",TRUE,IF('學員資料-三重商工'!$B$2:$B$472=$F2818,'學員資料-三重商工'!$G$2:$G$472,""))</f>
        <v/>
      </c>
      <c r="T2818">
        <f t="shared" si="43"/>
        <v>1</v>
      </c>
    </row>
    <row r="2819" spans="1:20" ht="14.25" hidden="1" customHeight="1">
      <c r="A2819" s="15">
        <v>2818</v>
      </c>
      <c r="B2819" s="16" t="s">
        <v>8653</v>
      </c>
      <c r="C2819" s="17">
        <v>45511</v>
      </c>
      <c r="D2819" s="15" t="s">
        <v>8654</v>
      </c>
      <c r="E2819" s="18" t="s">
        <v>954</v>
      </c>
      <c r="F2819" s="19" t="s">
        <v>4257</v>
      </c>
      <c r="G2819" s="18" t="s">
        <v>4258</v>
      </c>
      <c r="H2819" s="20" t="s">
        <v>5246</v>
      </c>
      <c r="I2819" s="15">
        <v>1</v>
      </c>
      <c r="J2819" s="15" t="s">
        <v>23</v>
      </c>
      <c r="K2819" s="15"/>
      <c r="L2819" s="21" t="s">
        <v>16</v>
      </c>
      <c r="M2819" s="22">
        <v>0</v>
      </c>
      <c r="N2819" s="22">
        <v>-864</v>
      </c>
      <c r="O2819" s="22">
        <v>6336</v>
      </c>
      <c r="P2819" s="22">
        <v>6336</v>
      </c>
      <c r="Q2819" t="str" cm="1">
        <f t="array" ref="Q2819">_xlfn.TEXTJOIN("、",TRUE,IF('學員資料-三民高中'!$B$2:$B$454=$F2819,'學員資料-三民高中'!$G$2:$G$454,""))</f>
        <v/>
      </c>
      <c r="R2819" t="str" cm="1">
        <f t="array" ref="R2819">_xlfn.TEXTJOIN("、",TRUE,IF('學員資料-新北高中'!$B$2:$B$583=$F2819,'學員資料-新北高中'!$G$2:$G$583,""))</f>
        <v/>
      </c>
      <c r="S2819" t="str" cm="1">
        <f t="array" ref="S2819">_xlfn.TEXTJOIN("、",TRUE,IF('學員資料-三重商工'!$B$2:$B$472=$F2819,'學員資料-三重商工'!$G$2:$G$472,""))</f>
        <v>0917151923</v>
      </c>
      <c r="T2819">
        <f t="shared" ref="T2819:T2882" si="44">3-COUNTBLANK(Q2819:S2819)</f>
        <v>1</v>
      </c>
    </row>
    <row r="2820" spans="1:20" ht="14.25" customHeight="1">
      <c r="A2820" s="15">
        <v>2819</v>
      </c>
      <c r="B2820" s="16" t="s">
        <v>8655</v>
      </c>
      <c r="C2820" s="17">
        <v>45511</v>
      </c>
      <c r="D2820" s="15" t="s">
        <v>8656</v>
      </c>
      <c r="E2820" s="18" t="s">
        <v>954</v>
      </c>
      <c r="F2820" s="19" t="s">
        <v>7993</v>
      </c>
      <c r="G2820" s="23"/>
      <c r="H2820" s="20" t="s">
        <v>5180</v>
      </c>
      <c r="I2820" s="15">
        <v>1</v>
      </c>
      <c r="J2820" s="15" t="s">
        <v>24</v>
      </c>
      <c r="K2820" s="15"/>
      <c r="L2820" s="21" t="s">
        <v>16</v>
      </c>
      <c r="M2820" s="22">
        <v>0</v>
      </c>
      <c r="N2820" s="22">
        <v>-864</v>
      </c>
      <c r="O2820" s="22">
        <v>7776</v>
      </c>
      <c r="P2820" s="22">
        <v>7776</v>
      </c>
      <c r="Q2820" t="str" cm="1">
        <f t="array" ref="Q2820">_xlfn.TEXTJOIN("、",TRUE,IF('學員資料-三民高中'!$B$2:$B$454=$F2820,'學員資料-三民高中'!$G$2:$G$454,""))</f>
        <v/>
      </c>
      <c r="R2820" t="str" cm="1">
        <f t="array" ref="R2820">_xlfn.TEXTJOIN("、",TRUE,IF('學員資料-新北高中'!$B$2:$B$583=$F2820,'學員資料-新北高中'!$G$2:$G$583,""))</f>
        <v/>
      </c>
      <c r="S2820" t="str" cm="1">
        <f t="array" ref="S2820">_xlfn.TEXTJOIN("、",TRUE,IF('學員資料-三重商工'!$B$2:$B$472=$F2820,'學員資料-三重商工'!$G$2:$G$472,""))</f>
        <v/>
      </c>
      <c r="T2820">
        <f t="shared" si="44"/>
        <v>0</v>
      </c>
    </row>
    <row r="2821" spans="1:20" ht="14.25" hidden="1" customHeight="1">
      <c r="A2821" s="15">
        <v>2820</v>
      </c>
      <c r="B2821" s="16" t="s">
        <v>8657</v>
      </c>
      <c r="C2821" s="17">
        <v>45511</v>
      </c>
      <c r="D2821" s="15" t="s">
        <v>8658</v>
      </c>
      <c r="E2821" s="18" t="s">
        <v>954</v>
      </c>
      <c r="F2821" s="19" t="s">
        <v>6386</v>
      </c>
      <c r="G2821" s="18" t="s">
        <v>6387</v>
      </c>
      <c r="H2821" s="20" t="s">
        <v>5131</v>
      </c>
      <c r="I2821" s="15">
        <v>1</v>
      </c>
      <c r="J2821" s="15" t="s">
        <v>24</v>
      </c>
      <c r="K2821" s="15"/>
      <c r="L2821" s="21" t="s">
        <v>16</v>
      </c>
      <c r="M2821" s="22">
        <v>0</v>
      </c>
      <c r="N2821" s="22">
        <v>0</v>
      </c>
      <c r="O2821" s="22">
        <v>7200</v>
      </c>
      <c r="P2821" s="22">
        <v>7200</v>
      </c>
      <c r="Q2821" t="str" cm="1">
        <f t="array" ref="Q2821">_xlfn.TEXTJOIN("、",TRUE,IF('學員資料-三民高中'!$B$2:$B$454=$F2821,'學員資料-三民高中'!$G$2:$G$454,""))</f>
        <v>0970212588</v>
      </c>
      <c r="R2821" t="str" cm="1">
        <f t="array" ref="R2821">_xlfn.TEXTJOIN("、",TRUE,IF('學員資料-新北高中'!$B$2:$B$583=$F2821,'學員資料-新北高中'!$G$2:$G$583,""))</f>
        <v/>
      </c>
      <c r="S2821" t="str" cm="1">
        <f t="array" ref="S2821">_xlfn.TEXTJOIN("、",TRUE,IF('學員資料-三重商工'!$B$2:$B$472=$F2821,'學員資料-三重商工'!$G$2:$G$472,""))</f>
        <v/>
      </c>
      <c r="T2821">
        <f t="shared" si="44"/>
        <v>1</v>
      </c>
    </row>
    <row r="2822" spans="1:20" ht="14.25" hidden="1" customHeight="1">
      <c r="A2822" s="15">
        <v>2821</v>
      </c>
      <c r="B2822" s="16" t="s">
        <v>8659</v>
      </c>
      <c r="C2822" s="17">
        <v>45511</v>
      </c>
      <c r="D2822" s="15" t="s">
        <v>8660</v>
      </c>
      <c r="E2822" s="18" t="s">
        <v>954</v>
      </c>
      <c r="F2822" s="19" t="s">
        <v>8661</v>
      </c>
      <c r="G2822" s="18" t="s">
        <v>8662</v>
      </c>
      <c r="H2822" s="20" t="s">
        <v>5163</v>
      </c>
      <c r="I2822" s="15">
        <v>1</v>
      </c>
      <c r="J2822" s="15" t="s">
        <v>23</v>
      </c>
      <c r="K2822" s="15"/>
      <c r="L2822" s="21" t="s">
        <v>16</v>
      </c>
      <c r="M2822" s="22">
        <v>0</v>
      </c>
      <c r="N2822" s="22">
        <v>0</v>
      </c>
      <c r="O2822" s="22">
        <v>6600</v>
      </c>
      <c r="P2822" s="22">
        <v>6600</v>
      </c>
      <c r="Q2822" t="str" cm="1">
        <f t="array" ref="Q2822">_xlfn.TEXTJOIN("、",TRUE,IF('學員資料-三民高中'!$B$2:$B$454=$F2822,'學員資料-三民高中'!$G$2:$G$454,""))</f>
        <v>0928607050</v>
      </c>
      <c r="R2822" t="str" cm="1">
        <f t="array" ref="R2822">_xlfn.TEXTJOIN("、",TRUE,IF('學員資料-新北高中'!$B$2:$B$583=$F2822,'學員資料-新北高中'!$G$2:$G$583,""))</f>
        <v/>
      </c>
      <c r="S2822" t="str" cm="1">
        <f t="array" ref="S2822">_xlfn.TEXTJOIN("、",TRUE,IF('學員資料-三重商工'!$B$2:$B$472=$F2822,'學員資料-三重商工'!$G$2:$G$472,""))</f>
        <v/>
      </c>
      <c r="T2822">
        <f t="shared" si="44"/>
        <v>1</v>
      </c>
    </row>
    <row r="2823" spans="1:20" ht="14.25" hidden="1" customHeight="1">
      <c r="A2823" s="15">
        <v>2822</v>
      </c>
      <c r="B2823" s="16" t="s">
        <v>8663</v>
      </c>
      <c r="C2823" s="17">
        <v>45511</v>
      </c>
      <c r="D2823" s="15" t="s">
        <v>1123</v>
      </c>
      <c r="E2823" s="18" t="s">
        <v>954</v>
      </c>
      <c r="F2823" s="19" t="s">
        <v>8664</v>
      </c>
      <c r="G2823" s="18" t="s">
        <v>8665</v>
      </c>
      <c r="H2823" s="20" t="s">
        <v>8470</v>
      </c>
      <c r="I2823" s="15">
        <v>1</v>
      </c>
      <c r="J2823" s="15" t="s">
        <v>26</v>
      </c>
      <c r="K2823" s="15"/>
      <c r="L2823" s="21" t="s">
        <v>16</v>
      </c>
      <c r="M2823" s="22">
        <v>0</v>
      </c>
      <c r="N2823" s="22">
        <v>-1556</v>
      </c>
      <c r="O2823" s="22">
        <v>11404</v>
      </c>
      <c r="P2823" s="22">
        <v>11404</v>
      </c>
      <c r="Q2823" t="str" cm="1">
        <f t="array" ref="Q2823">_xlfn.TEXTJOIN("、",TRUE,IF('學員資料-三民高中'!$B$2:$B$454=$F2823,'學員資料-三民高中'!$G$2:$G$454,""))</f>
        <v/>
      </c>
      <c r="R2823" t="str" cm="1">
        <f t="array" ref="R2823">_xlfn.TEXTJOIN("、",TRUE,IF('學員資料-新北高中'!$B$2:$B$583=$F2823,'學員資料-新北高中'!$G$2:$G$583,""))</f>
        <v/>
      </c>
      <c r="S2823" t="str" cm="1">
        <f t="array" ref="S2823">_xlfn.TEXTJOIN("、",TRUE,IF('學員資料-三重商工'!$B$2:$B$472=$F2823,'學員資料-三重商工'!$G$2:$G$472,""))</f>
        <v>0918309882</v>
      </c>
      <c r="T2823">
        <f t="shared" si="44"/>
        <v>1</v>
      </c>
    </row>
    <row r="2824" spans="1:20" ht="14.25" hidden="1" customHeight="1">
      <c r="A2824" s="15">
        <v>2823</v>
      </c>
      <c r="B2824" s="16" t="s">
        <v>8666</v>
      </c>
      <c r="C2824" s="17">
        <v>45511</v>
      </c>
      <c r="D2824" s="15" t="s">
        <v>8667</v>
      </c>
      <c r="E2824" s="18" t="s">
        <v>954</v>
      </c>
      <c r="F2824" s="19" t="s">
        <v>3712</v>
      </c>
      <c r="G2824" s="18" t="s">
        <v>3713</v>
      </c>
      <c r="H2824" s="20" t="s">
        <v>5131</v>
      </c>
      <c r="I2824" s="15">
        <v>1</v>
      </c>
      <c r="J2824" s="15" t="s">
        <v>24</v>
      </c>
      <c r="K2824" s="15"/>
      <c r="L2824" s="21" t="s">
        <v>16</v>
      </c>
      <c r="M2824" s="22">
        <v>0</v>
      </c>
      <c r="N2824" s="22">
        <v>0</v>
      </c>
      <c r="O2824" s="22">
        <v>7200</v>
      </c>
      <c r="P2824" s="22">
        <v>7200</v>
      </c>
      <c r="Q2824" t="str" cm="1">
        <f t="array" ref="Q2824">_xlfn.TEXTJOIN("、",TRUE,IF('學員資料-三民高中'!$B$2:$B$454=$F2824,'學員資料-三民高中'!$G$2:$G$454,""))</f>
        <v/>
      </c>
      <c r="R2824" t="str" cm="1">
        <f t="array" ref="R2824">_xlfn.TEXTJOIN("、",TRUE,IF('學員資料-新北高中'!$B$2:$B$583=$F2824,'學員資料-新北高中'!$G$2:$G$583,""))</f>
        <v>0919823051</v>
      </c>
      <c r="S2824" t="str" cm="1">
        <f t="array" ref="S2824">_xlfn.TEXTJOIN("、",TRUE,IF('學員資料-三重商工'!$B$2:$B$472=$F2824,'學員資料-三重商工'!$G$2:$G$472,""))</f>
        <v/>
      </c>
      <c r="T2824">
        <f t="shared" si="44"/>
        <v>1</v>
      </c>
    </row>
    <row r="2825" spans="1:20" ht="14.25" hidden="1" customHeight="1">
      <c r="A2825" s="15">
        <v>2824</v>
      </c>
      <c r="B2825" s="16" t="s">
        <v>8668</v>
      </c>
      <c r="C2825" s="17">
        <v>45511</v>
      </c>
      <c r="D2825" s="15" t="s">
        <v>8669</v>
      </c>
      <c r="E2825" s="18" t="s">
        <v>954</v>
      </c>
      <c r="F2825" s="19" t="s">
        <v>6390</v>
      </c>
      <c r="G2825" s="18" t="s">
        <v>6391</v>
      </c>
      <c r="H2825" s="20" t="s">
        <v>5340</v>
      </c>
      <c r="I2825" s="15">
        <v>1</v>
      </c>
      <c r="J2825" s="15" t="s">
        <v>27</v>
      </c>
      <c r="K2825" s="15"/>
      <c r="L2825" s="21" t="s">
        <v>16</v>
      </c>
      <c r="M2825" s="22">
        <v>0</v>
      </c>
      <c r="N2825" s="22">
        <v>0</v>
      </c>
      <c r="O2825" s="22">
        <v>13500</v>
      </c>
      <c r="P2825" s="22">
        <v>13500</v>
      </c>
      <c r="Q2825" t="str" cm="1">
        <f t="array" ref="Q2825">_xlfn.TEXTJOIN("、",TRUE,IF('學員資料-三民高中'!$B$2:$B$454=$F2825,'學員資料-三民高中'!$G$2:$G$454,""))</f>
        <v>0955055565</v>
      </c>
      <c r="R2825" t="str" cm="1">
        <f t="array" ref="R2825">_xlfn.TEXTJOIN("、",TRUE,IF('學員資料-新北高中'!$B$2:$B$583=$F2825,'學員資料-新北高中'!$G$2:$G$583,""))</f>
        <v/>
      </c>
      <c r="S2825" t="str" cm="1">
        <f t="array" ref="S2825">_xlfn.TEXTJOIN("、",TRUE,IF('學員資料-三重商工'!$B$2:$B$472=$F2825,'學員資料-三重商工'!$G$2:$G$472,""))</f>
        <v/>
      </c>
      <c r="T2825">
        <f t="shared" si="44"/>
        <v>1</v>
      </c>
    </row>
    <row r="2826" spans="1:20" ht="14.25" hidden="1" customHeight="1">
      <c r="A2826" s="15">
        <v>2825</v>
      </c>
      <c r="B2826" s="16" t="s">
        <v>8670</v>
      </c>
      <c r="C2826" s="17">
        <v>45511</v>
      </c>
      <c r="D2826" s="15" t="s">
        <v>8671</v>
      </c>
      <c r="E2826" s="18" t="s">
        <v>954</v>
      </c>
      <c r="F2826" s="19" t="s">
        <v>8672</v>
      </c>
      <c r="G2826" s="18" t="s">
        <v>8673</v>
      </c>
      <c r="H2826" s="20" t="s">
        <v>5361</v>
      </c>
      <c r="I2826" s="15">
        <v>1</v>
      </c>
      <c r="J2826" s="15" t="s">
        <v>23</v>
      </c>
      <c r="K2826" s="21" t="s">
        <v>116</v>
      </c>
      <c r="L2826" s="21" t="s">
        <v>16</v>
      </c>
      <c r="M2826" s="22">
        <v>0</v>
      </c>
      <c r="N2826" s="22">
        <v>0</v>
      </c>
      <c r="O2826" s="22">
        <v>1100</v>
      </c>
      <c r="P2826" s="22">
        <v>1100</v>
      </c>
      <c r="Q2826" t="str" cm="1">
        <f t="array" ref="Q2826">_xlfn.TEXTJOIN("、",TRUE,IF('學員資料-三民高中'!$B$2:$B$454=$F2826,'學員資料-三民高中'!$G$2:$G$454,""))</f>
        <v/>
      </c>
      <c r="R2826" t="str" cm="1">
        <f t="array" ref="R2826">_xlfn.TEXTJOIN("、",TRUE,IF('學員資料-新北高中'!$B$2:$B$583=$F2826,'學員資料-新北高中'!$G$2:$G$583,""))</f>
        <v>0912790580</v>
      </c>
      <c r="S2826" t="str" cm="1">
        <f t="array" ref="S2826">_xlfn.TEXTJOIN("、",TRUE,IF('學員資料-三重商工'!$B$2:$B$472=$F2826,'學員資料-三重商工'!$G$2:$G$472,""))</f>
        <v/>
      </c>
      <c r="T2826">
        <f t="shared" si="44"/>
        <v>1</v>
      </c>
    </row>
    <row r="2827" spans="1:20" ht="14.25" hidden="1" customHeight="1">
      <c r="A2827" s="15">
        <v>2826</v>
      </c>
      <c r="B2827" s="16" t="s">
        <v>8674</v>
      </c>
      <c r="C2827" s="17">
        <v>45511</v>
      </c>
      <c r="D2827" s="15" t="s">
        <v>2460</v>
      </c>
      <c r="E2827" s="18" t="s">
        <v>954</v>
      </c>
      <c r="F2827" s="19" t="s">
        <v>8675</v>
      </c>
      <c r="G2827" s="18" t="s">
        <v>8676</v>
      </c>
      <c r="H2827" s="20" t="s">
        <v>5131</v>
      </c>
      <c r="I2827" s="15">
        <v>1</v>
      </c>
      <c r="J2827" s="15" t="s">
        <v>24</v>
      </c>
      <c r="K2827" s="15"/>
      <c r="L2827" s="21" t="s">
        <v>16</v>
      </c>
      <c r="M2827" s="22">
        <v>0</v>
      </c>
      <c r="N2827" s="22">
        <v>0</v>
      </c>
      <c r="O2827" s="22">
        <v>7200</v>
      </c>
      <c r="P2827" s="22">
        <v>7200</v>
      </c>
      <c r="Q2827" t="str" cm="1">
        <f t="array" ref="Q2827">_xlfn.TEXTJOIN("、",TRUE,IF('學員資料-三民高中'!$B$2:$B$454=$F2827,'學員資料-三民高中'!$G$2:$G$454,""))</f>
        <v/>
      </c>
      <c r="R2827" t="str" cm="1">
        <f t="array" ref="R2827">_xlfn.TEXTJOIN("、",TRUE,IF('學員資料-新北高中'!$B$2:$B$583=$F2827,'學員資料-新北高中'!$G$2:$G$583,""))</f>
        <v>0908959328</v>
      </c>
      <c r="S2827" t="str" cm="1">
        <f t="array" ref="S2827">_xlfn.TEXTJOIN("、",TRUE,IF('學員資料-三重商工'!$B$2:$B$472=$F2827,'學員資料-三重商工'!$G$2:$G$472,""))</f>
        <v/>
      </c>
      <c r="T2827">
        <f t="shared" si="44"/>
        <v>1</v>
      </c>
    </row>
    <row r="2828" spans="1:20" ht="14.25" hidden="1" customHeight="1">
      <c r="A2828" s="15">
        <v>2827</v>
      </c>
      <c r="B2828" s="16" t="s">
        <v>8677</v>
      </c>
      <c r="C2828" s="17">
        <v>45511</v>
      </c>
      <c r="D2828" s="15" t="s">
        <v>8678</v>
      </c>
      <c r="E2828" s="18" t="s">
        <v>954</v>
      </c>
      <c r="F2828" s="19" t="s">
        <v>3673</v>
      </c>
      <c r="G2828" s="18" t="s">
        <v>3674</v>
      </c>
      <c r="H2828" s="20" t="s">
        <v>5163</v>
      </c>
      <c r="I2828" s="15">
        <v>1</v>
      </c>
      <c r="J2828" s="15" t="s">
        <v>23</v>
      </c>
      <c r="K2828" s="15"/>
      <c r="L2828" s="21" t="s">
        <v>16</v>
      </c>
      <c r="M2828" s="22">
        <v>0</v>
      </c>
      <c r="N2828" s="22">
        <v>0</v>
      </c>
      <c r="O2828" s="22">
        <v>6600</v>
      </c>
      <c r="P2828" s="22">
        <v>6600</v>
      </c>
      <c r="Q2828" t="str" cm="1">
        <f t="array" ref="Q2828">_xlfn.TEXTJOIN("、",TRUE,IF('學員資料-三民高中'!$B$2:$B$454=$F2828,'學員資料-三民高中'!$G$2:$G$454,""))</f>
        <v/>
      </c>
      <c r="R2828" t="str" cm="1">
        <f t="array" ref="R2828">_xlfn.TEXTJOIN("、",TRUE,IF('學員資料-新北高中'!$B$2:$B$583=$F2828,'學員資料-新北高中'!$G$2:$G$583,""))</f>
        <v>0926264668</v>
      </c>
      <c r="S2828" t="str" cm="1">
        <f t="array" ref="S2828">_xlfn.TEXTJOIN("、",TRUE,IF('學員資料-三重商工'!$B$2:$B$472=$F2828,'學員資料-三重商工'!$G$2:$G$472,""))</f>
        <v/>
      </c>
      <c r="T2828">
        <f t="shared" si="44"/>
        <v>1</v>
      </c>
    </row>
    <row r="2829" spans="1:20" ht="14.25" hidden="1" customHeight="1">
      <c r="A2829" s="15">
        <v>2828</v>
      </c>
      <c r="B2829" s="16" t="s">
        <v>8679</v>
      </c>
      <c r="C2829" s="17">
        <v>45511</v>
      </c>
      <c r="D2829" s="15" t="s">
        <v>8680</v>
      </c>
      <c r="E2829" s="18" t="s">
        <v>954</v>
      </c>
      <c r="F2829" s="19" t="s">
        <v>675</v>
      </c>
      <c r="G2829" s="18" t="s">
        <v>676</v>
      </c>
      <c r="H2829" s="20" t="s">
        <v>5163</v>
      </c>
      <c r="I2829" s="15">
        <v>1</v>
      </c>
      <c r="J2829" s="15" t="s">
        <v>23</v>
      </c>
      <c r="K2829" s="15"/>
      <c r="L2829" s="21" t="s">
        <v>16</v>
      </c>
      <c r="M2829" s="22">
        <v>0</v>
      </c>
      <c r="N2829" s="22">
        <v>0</v>
      </c>
      <c r="O2829" s="22">
        <v>6600</v>
      </c>
      <c r="P2829" s="22">
        <v>6600</v>
      </c>
      <c r="Q2829" t="str" cm="1">
        <f t="array" ref="Q2829">_xlfn.TEXTJOIN("、",TRUE,IF('學員資料-三民高中'!$B$2:$B$454=$F2829,'學員資料-三民高中'!$G$2:$G$454,""))</f>
        <v/>
      </c>
      <c r="R2829" t="str" cm="1">
        <f t="array" ref="R2829">_xlfn.TEXTJOIN("、",TRUE,IF('學員資料-新北高中'!$B$2:$B$583=$F2829,'學員資料-新北高中'!$G$2:$G$583,""))</f>
        <v>0953272736</v>
      </c>
      <c r="S2829" t="str" cm="1">
        <f t="array" ref="S2829">_xlfn.TEXTJOIN("、",TRUE,IF('學員資料-三重商工'!$B$2:$B$472=$F2829,'學員資料-三重商工'!$G$2:$G$472,""))</f>
        <v/>
      </c>
      <c r="T2829">
        <f t="shared" si="44"/>
        <v>1</v>
      </c>
    </row>
    <row r="2830" spans="1:20" ht="14.25" hidden="1" customHeight="1">
      <c r="A2830" s="15">
        <v>2829</v>
      </c>
      <c r="B2830" s="16" t="s">
        <v>8681</v>
      </c>
      <c r="C2830" s="17">
        <v>45511</v>
      </c>
      <c r="D2830" s="15" t="s">
        <v>8682</v>
      </c>
      <c r="E2830" s="18" t="s">
        <v>954</v>
      </c>
      <c r="F2830" s="19" t="s">
        <v>3309</v>
      </c>
      <c r="G2830" s="18" t="s">
        <v>3310</v>
      </c>
      <c r="H2830" s="20" t="s">
        <v>5131</v>
      </c>
      <c r="I2830" s="15">
        <v>1</v>
      </c>
      <c r="J2830" s="15" t="s">
        <v>24</v>
      </c>
      <c r="K2830" s="15"/>
      <c r="L2830" s="21" t="s">
        <v>16</v>
      </c>
      <c r="M2830" s="22">
        <v>0</v>
      </c>
      <c r="N2830" s="22">
        <v>0</v>
      </c>
      <c r="O2830" s="22">
        <v>7200</v>
      </c>
      <c r="P2830" s="22">
        <v>7200</v>
      </c>
      <c r="Q2830" t="str" cm="1">
        <f t="array" ref="Q2830">_xlfn.TEXTJOIN("、",TRUE,IF('學員資料-三民高中'!$B$2:$B$454=$F2830,'學員資料-三民高中'!$G$2:$G$454,""))</f>
        <v>0988523082</v>
      </c>
      <c r="R2830" t="str" cm="1">
        <f t="array" ref="R2830">_xlfn.TEXTJOIN("、",TRUE,IF('學員資料-新北高中'!$B$2:$B$583=$F2830,'學員資料-新北高中'!$G$2:$G$583,""))</f>
        <v/>
      </c>
      <c r="S2830" t="str" cm="1">
        <f t="array" ref="S2830">_xlfn.TEXTJOIN("、",TRUE,IF('學員資料-三重商工'!$B$2:$B$472=$F2830,'學員資料-三重商工'!$G$2:$G$472,""))</f>
        <v/>
      </c>
      <c r="T2830">
        <f t="shared" si="44"/>
        <v>1</v>
      </c>
    </row>
    <row r="2831" spans="1:20" ht="14.25" hidden="1" customHeight="1">
      <c r="A2831" s="15">
        <v>2830</v>
      </c>
      <c r="B2831" s="16" t="s">
        <v>8683</v>
      </c>
      <c r="C2831" s="17">
        <v>45511</v>
      </c>
      <c r="D2831" s="15" t="s">
        <v>8684</v>
      </c>
      <c r="E2831" s="18" t="s">
        <v>954</v>
      </c>
      <c r="F2831" s="19" t="s">
        <v>8685</v>
      </c>
      <c r="G2831" s="18" t="s">
        <v>8686</v>
      </c>
      <c r="H2831" s="20" t="s">
        <v>5131</v>
      </c>
      <c r="I2831" s="15">
        <v>1</v>
      </c>
      <c r="J2831" s="15" t="s">
        <v>24</v>
      </c>
      <c r="K2831" s="15"/>
      <c r="L2831" s="21" t="s">
        <v>16</v>
      </c>
      <c r="M2831" s="22">
        <v>0</v>
      </c>
      <c r="N2831" s="22">
        <v>0</v>
      </c>
      <c r="O2831" s="22">
        <v>7200</v>
      </c>
      <c r="P2831" s="22">
        <v>7200</v>
      </c>
      <c r="Q2831" t="str" cm="1">
        <f t="array" ref="Q2831">_xlfn.TEXTJOIN("、",TRUE,IF('學員資料-三民高中'!$B$2:$B$454=$F2831,'學員資料-三民高中'!$G$2:$G$454,""))</f>
        <v/>
      </c>
      <c r="R2831" t="str" cm="1">
        <f t="array" ref="R2831">_xlfn.TEXTJOIN("、",TRUE,IF('學員資料-新北高中'!$B$2:$B$583=$F2831,'學員資料-新北高中'!$G$2:$G$583,""))</f>
        <v>0929701122</v>
      </c>
      <c r="S2831" t="str" cm="1">
        <f t="array" ref="S2831">_xlfn.TEXTJOIN("、",TRUE,IF('學員資料-三重商工'!$B$2:$B$472=$F2831,'學員資料-三重商工'!$G$2:$G$472,""))</f>
        <v/>
      </c>
      <c r="T2831">
        <f t="shared" si="44"/>
        <v>1</v>
      </c>
    </row>
    <row r="2832" spans="1:20" ht="14.25" hidden="1" customHeight="1">
      <c r="A2832" s="15">
        <v>2831</v>
      </c>
      <c r="B2832" s="16" t="s">
        <v>8687</v>
      </c>
      <c r="C2832" s="17">
        <v>45511</v>
      </c>
      <c r="D2832" s="15" t="s">
        <v>4684</v>
      </c>
      <c r="E2832" s="18" t="s">
        <v>954</v>
      </c>
      <c r="F2832" s="19" t="s">
        <v>8688</v>
      </c>
      <c r="G2832" s="18" t="s">
        <v>8689</v>
      </c>
      <c r="H2832" s="20" t="s">
        <v>5131</v>
      </c>
      <c r="I2832" s="15">
        <v>1</v>
      </c>
      <c r="J2832" s="15" t="s">
        <v>24</v>
      </c>
      <c r="K2832" s="15"/>
      <c r="L2832" s="21" t="s">
        <v>16</v>
      </c>
      <c r="M2832" s="22">
        <v>0</v>
      </c>
      <c r="N2832" s="22">
        <v>0</v>
      </c>
      <c r="O2832" s="22">
        <v>7200</v>
      </c>
      <c r="P2832" s="22">
        <v>7200</v>
      </c>
      <c r="Q2832" t="str" cm="1">
        <f t="array" ref="Q2832">_xlfn.TEXTJOIN("、",TRUE,IF('學員資料-三民高中'!$B$2:$B$454=$F2832,'學員資料-三民高中'!$G$2:$G$454,""))</f>
        <v>0965024943</v>
      </c>
      <c r="R2832" t="str" cm="1">
        <f t="array" ref="R2832">_xlfn.TEXTJOIN("、",TRUE,IF('學員資料-新北高中'!$B$2:$B$583=$F2832,'學員資料-新北高中'!$G$2:$G$583,""))</f>
        <v/>
      </c>
      <c r="S2832" t="str" cm="1">
        <f t="array" ref="S2832">_xlfn.TEXTJOIN("、",TRUE,IF('學員資料-三重商工'!$B$2:$B$472=$F2832,'學員資料-三重商工'!$G$2:$G$472,""))</f>
        <v/>
      </c>
      <c r="T2832">
        <f t="shared" si="44"/>
        <v>1</v>
      </c>
    </row>
    <row r="2833" spans="1:20" ht="14.25" hidden="1" customHeight="1">
      <c r="A2833" s="15">
        <v>2832</v>
      </c>
      <c r="B2833" s="16" t="s">
        <v>8690</v>
      </c>
      <c r="C2833" s="17">
        <v>45511</v>
      </c>
      <c r="D2833" s="15" t="s">
        <v>8691</v>
      </c>
      <c r="E2833" s="18" t="s">
        <v>954</v>
      </c>
      <c r="F2833" s="19" t="s">
        <v>770</v>
      </c>
      <c r="G2833" s="18" t="s">
        <v>771</v>
      </c>
      <c r="H2833" s="20" t="s">
        <v>5148</v>
      </c>
      <c r="I2833" s="15">
        <v>1</v>
      </c>
      <c r="J2833" s="15" t="s">
        <v>25</v>
      </c>
      <c r="K2833" s="15"/>
      <c r="L2833" s="21" t="s">
        <v>16</v>
      </c>
      <c r="M2833" s="22">
        <v>0</v>
      </c>
      <c r="N2833" s="22">
        <v>0</v>
      </c>
      <c r="O2833" s="22">
        <v>9000</v>
      </c>
      <c r="P2833" s="22">
        <v>9000</v>
      </c>
      <c r="Q2833" t="str" cm="1">
        <f t="array" ref="Q2833">_xlfn.TEXTJOIN("、",TRUE,IF('學員資料-三民高中'!$B$2:$B$454=$F2833,'學員資料-三民高中'!$G$2:$G$454,""))</f>
        <v/>
      </c>
      <c r="R2833" t="str" cm="1">
        <f t="array" ref="R2833">_xlfn.TEXTJOIN("、",TRUE,IF('學員資料-新北高中'!$B$2:$B$583=$F2833,'學員資料-新北高中'!$G$2:$G$583,""))</f>
        <v>0918884177</v>
      </c>
      <c r="S2833" t="str" cm="1">
        <f t="array" ref="S2833">_xlfn.TEXTJOIN("、",TRUE,IF('學員資料-三重商工'!$B$2:$B$472=$F2833,'學員資料-三重商工'!$G$2:$G$472,""))</f>
        <v/>
      </c>
      <c r="T2833">
        <f t="shared" si="44"/>
        <v>1</v>
      </c>
    </row>
    <row r="2834" spans="1:20" ht="14.25" hidden="1" customHeight="1">
      <c r="A2834" s="15">
        <v>2833</v>
      </c>
      <c r="B2834" s="16" t="s">
        <v>8692</v>
      </c>
      <c r="C2834" s="17">
        <v>45511</v>
      </c>
      <c r="D2834" s="15" t="s">
        <v>8693</v>
      </c>
      <c r="E2834" s="18" t="s">
        <v>954</v>
      </c>
      <c r="F2834" s="19" t="s">
        <v>8694</v>
      </c>
      <c r="G2834" s="18" t="s">
        <v>8695</v>
      </c>
      <c r="H2834" s="20" t="s">
        <v>5163</v>
      </c>
      <c r="I2834" s="15">
        <v>1</v>
      </c>
      <c r="J2834" s="15" t="s">
        <v>23</v>
      </c>
      <c r="K2834" s="15"/>
      <c r="L2834" s="21" t="s">
        <v>16</v>
      </c>
      <c r="M2834" s="22">
        <v>0</v>
      </c>
      <c r="N2834" s="22">
        <v>-2640</v>
      </c>
      <c r="O2834" s="22">
        <v>3960</v>
      </c>
      <c r="P2834" s="22">
        <v>3960</v>
      </c>
      <c r="Q2834" t="str" cm="1">
        <f t="array" ref="Q2834">_xlfn.TEXTJOIN("、",TRUE,IF('學員資料-三民高中'!$B$2:$B$454=$F2834,'學員資料-三民高中'!$G$2:$G$454,""))</f>
        <v/>
      </c>
      <c r="R2834" t="str" cm="1">
        <f t="array" ref="R2834">_xlfn.TEXTJOIN("、",TRUE,IF('學員資料-新北高中'!$B$2:$B$583=$F2834,'學員資料-新北高中'!$G$2:$G$583,""))</f>
        <v>0928227629</v>
      </c>
      <c r="S2834" t="str" cm="1">
        <f t="array" ref="S2834">_xlfn.TEXTJOIN("、",TRUE,IF('學員資料-三重商工'!$B$2:$B$472=$F2834,'學員資料-三重商工'!$G$2:$G$472,""))</f>
        <v/>
      </c>
      <c r="T2834">
        <f t="shared" si="44"/>
        <v>1</v>
      </c>
    </row>
    <row r="2835" spans="1:20" ht="14.25" hidden="1" customHeight="1">
      <c r="A2835" s="15">
        <v>2834</v>
      </c>
      <c r="B2835" s="16" t="s">
        <v>8696</v>
      </c>
      <c r="C2835" s="17">
        <v>45511</v>
      </c>
      <c r="D2835" s="15" t="s">
        <v>8697</v>
      </c>
      <c r="E2835" s="18" t="s">
        <v>954</v>
      </c>
      <c r="F2835" s="19" t="s">
        <v>8391</v>
      </c>
      <c r="G2835" s="18" t="s">
        <v>748</v>
      </c>
      <c r="H2835" s="20" t="s">
        <v>5131</v>
      </c>
      <c r="I2835" s="15">
        <v>1</v>
      </c>
      <c r="J2835" s="15" t="s">
        <v>24</v>
      </c>
      <c r="K2835" s="15"/>
      <c r="L2835" s="21" t="s">
        <v>16</v>
      </c>
      <c r="M2835" s="22">
        <v>0</v>
      </c>
      <c r="N2835" s="22">
        <v>0</v>
      </c>
      <c r="O2835" s="22">
        <v>7200</v>
      </c>
      <c r="P2835" s="22">
        <v>7200</v>
      </c>
      <c r="Q2835" t="str" cm="1">
        <f t="array" ref="Q2835">_xlfn.TEXTJOIN("、",TRUE,IF('學員資料-三民高中'!$B$2:$B$454=$F2835,'學員資料-三民高中'!$G$2:$G$454,""))</f>
        <v/>
      </c>
      <c r="R2835" t="str" cm="1">
        <f t="array" ref="R2835">_xlfn.TEXTJOIN("、",TRUE,IF('學員資料-新北高中'!$B$2:$B$583=$F2835,'學員資料-新北高中'!$G$2:$G$583,""))</f>
        <v>0926366288-2</v>
      </c>
      <c r="S2835" t="str" cm="1">
        <f t="array" ref="S2835">_xlfn.TEXTJOIN("、",TRUE,IF('學員資料-三重商工'!$B$2:$B$472=$F2835,'學員資料-三重商工'!$G$2:$G$472,""))</f>
        <v/>
      </c>
      <c r="T2835">
        <f t="shared" si="44"/>
        <v>1</v>
      </c>
    </row>
    <row r="2836" spans="1:20" ht="14.25" hidden="1" customHeight="1">
      <c r="A2836" s="15">
        <v>2835</v>
      </c>
      <c r="B2836" s="16" t="s">
        <v>8698</v>
      </c>
      <c r="C2836" s="17">
        <v>45511</v>
      </c>
      <c r="D2836" s="15" t="s">
        <v>8699</v>
      </c>
      <c r="E2836" s="18" t="s">
        <v>954</v>
      </c>
      <c r="F2836" s="19" t="s">
        <v>5261</v>
      </c>
      <c r="G2836" s="18" t="s">
        <v>5262</v>
      </c>
      <c r="H2836" s="20" t="s">
        <v>5148</v>
      </c>
      <c r="I2836" s="15">
        <v>1</v>
      </c>
      <c r="J2836" s="15" t="s">
        <v>25</v>
      </c>
      <c r="K2836" s="15"/>
      <c r="L2836" s="21" t="s">
        <v>16</v>
      </c>
      <c r="M2836" s="22">
        <v>0</v>
      </c>
      <c r="N2836" s="22">
        <v>0</v>
      </c>
      <c r="O2836" s="22">
        <v>9000</v>
      </c>
      <c r="P2836" s="22">
        <v>9000</v>
      </c>
      <c r="Q2836" t="str" cm="1">
        <f t="array" ref="Q2836">_xlfn.TEXTJOIN("、",TRUE,IF('學員資料-三民高中'!$B$2:$B$454=$F2836,'學員資料-三民高中'!$G$2:$G$454,""))</f>
        <v/>
      </c>
      <c r="R2836" t="str" cm="1">
        <f t="array" ref="R2836">_xlfn.TEXTJOIN("、",TRUE,IF('學員資料-新北高中'!$B$2:$B$583=$F2836,'學員資料-新北高中'!$G$2:$G$583,""))</f>
        <v>0912818552</v>
      </c>
      <c r="S2836" t="str" cm="1">
        <f t="array" ref="S2836">_xlfn.TEXTJOIN("、",TRUE,IF('學員資料-三重商工'!$B$2:$B$472=$F2836,'學員資料-三重商工'!$G$2:$G$472,""))</f>
        <v/>
      </c>
      <c r="T2836">
        <f t="shared" si="44"/>
        <v>1</v>
      </c>
    </row>
    <row r="2837" spans="1:20" ht="14.25" hidden="1" customHeight="1">
      <c r="A2837" s="15">
        <v>2836</v>
      </c>
      <c r="B2837" s="16" t="s">
        <v>8700</v>
      </c>
      <c r="C2837" s="17">
        <v>45511</v>
      </c>
      <c r="D2837" s="15" t="s">
        <v>8701</v>
      </c>
      <c r="E2837" s="18" t="s">
        <v>954</v>
      </c>
      <c r="F2837" s="19" t="s">
        <v>8672</v>
      </c>
      <c r="G2837" s="18" t="s">
        <v>8673</v>
      </c>
      <c r="H2837" s="20" t="s">
        <v>5361</v>
      </c>
      <c r="I2837" s="15">
        <v>1</v>
      </c>
      <c r="J2837" s="15" t="s">
        <v>23</v>
      </c>
      <c r="K2837" s="21" t="s">
        <v>116</v>
      </c>
      <c r="L2837" s="21" t="s">
        <v>16</v>
      </c>
      <c r="M2837" s="22">
        <v>0</v>
      </c>
      <c r="N2837" s="22">
        <v>0</v>
      </c>
      <c r="O2837" s="22">
        <v>1100</v>
      </c>
      <c r="P2837" s="22">
        <v>1100</v>
      </c>
      <c r="Q2837" t="str" cm="1">
        <f t="array" ref="Q2837">_xlfn.TEXTJOIN("、",TRUE,IF('學員資料-三民高中'!$B$2:$B$454=$F2837,'學員資料-三民高中'!$G$2:$G$454,""))</f>
        <v/>
      </c>
      <c r="R2837" t="str" cm="1">
        <f t="array" ref="R2837">_xlfn.TEXTJOIN("、",TRUE,IF('學員資料-新北高中'!$B$2:$B$583=$F2837,'學員資料-新北高中'!$G$2:$G$583,""))</f>
        <v>0912790580</v>
      </c>
      <c r="S2837" t="str" cm="1">
        <f t="array" ref="S2837">_xlfn.TEXTJOIN("、",TRUE,IF('學員資料-三重商工'!$B$2:$B$472=$F2837,'學員資料-三重商工'!$G$2:$G$472,""))</f>
        <v/>
      </c>
      <c r="T2837">
        <f t="shared" si="44"/>
        <v>1</v>
      </c>
    </row>
    <row r="2838" spans="1:20" ht="14.25" hidden="1" customHeight="1">
      <c r="A2838" s="15">
        <v>2837</v>
      </c>
      <c r="B2838" s="16" t="s">
        <v>8702</v>
      </c>
      <c r="C2838" s="17">
        <v>45511</v>
      </c>
      <c r="D2838" s="15" t="s">
        <v>8703</v>
      </c>
      <c r="E2838" s="18" t="s">
        <v>954</v>
      </c>
      <c r="F2838" s="19" t="s">
        <v>8704</v>
      </c>
      <c r="G2838" s="18" t="s">
        <v>8705</v>
      </c>
      <c r="H2838" s="20" t="s">
        <v>5131</v>
      </c>
      <c r="I2838" s="15">
        <v>1</v>
      </c>
      <c r="J2838" s="15" t="s">
        <v>24</v>
      </c>
      <c r="K2838" s="15"/>
      <c r="L2838" s="21" t="s">
        <v>16</v>
      </c>
      <c r="M2838" s="22">
        <v>0</v>
      </c>
      <c r="N2838" s="22">
        <v>0</v>
      </c>
      <c r="O2838" s="22">
        <v>7200</v>
      </c>
      <c r="P2838" s="22">
        <v>7200</v>
      </c>
      <c r="Q2838" t="str" cm="1">
        <f t="array" ref="Q2838">_xlfn.TEXTJOIN("、",TRUE,IF('學員資料-三民高中'!$B$2:$B$454=$F2838,'學員資料-三民高中'!$G$2:$G$454,""))</f>
        <v>0978157660</v>
      </c>
      <c r="R2838" t="str" cm="1">
        <f t="array" ref="R2838">_xlfn.TEXTJOIN("、",TRUE,IF('學員資料-新北高中'!$B$2:$B$583=$F2838,'學員資料-新北高中'!$G$2:$G$583,""))</f>
        <v/>
      </c>
      <c r="S2838" t="str" cm="1">
        <f t="array" ref="S2838">_xlfn.TEXTJOIN("、",TRUE,IF('學員資料-三重商工'!$B$2:$B$472=$F2838,'學員資料-三重商工'!$G$2:$G$472,""))</f>
        <v/>
      </c>
      <c r="T2838">
        <f t="shared" si="44"/>
        <v>1</v>
      </c>
    </row>
    <row r="2839" spans="1:20" ht="14.25" hidden="1" customHeight="1">
      <c r="A2839" s="15">
        <v>2838</v>
      </c>
      <c r="B2839" s="16" t="s">
        <v>8706</v>
      </c>
      <c r="C2839" s="17">
        <v>45511</v>
      </c>
      <c r="D2839" s="15" t="s">
        <v>8707</v>
      </c>
      <c r="E2839" s="18" t="s">
        <v>954</v>
      </c>
      <c r="F2839" s="19" t="s">
        <v>6579</v>
      </c>
      <c r="G2839" s="18" t="s">
        <v>6580</v>
      </c>
      <c r="H2839" s="20" t="s">
        <v>5148</v>
      </c>
      <c r="I2839" s="15">
        <v>1</v>
      </c>
      <c r="J2839" s="15" t="s">
        <v>25</v>
      </c>
      <c r="K2839" s="15"/>
      <c r="L2839" s="21" t="s">
        <v>16</v>
      </c>
      <c r="M2839" s="22">
        <v>0</v>
      </c>
      <c r="N2839" s="22">
        <v>0</v>
      </c>
      <c r="O2839" s="22">
        <v>9000</v>
      </c>
      <c r="P2839" s="22">
        <v>9000</v>
      </c>
      <c r="Q2839" t="str" cm="1">
        <f t="array" ref="Q2839">_xlfn.TEXTJOIN("、",TRUE,IF('學員資料-三民高中'!$B$2:$B$454=$F2839,'學員資料-三民高中'!$G$2:$G$454,""))</f>
        <v/>
      </c>
      <c r="R2839" t="str" cm="1">
        <f t="array" ref="R2839">_xlfn.TEXTJOIN("、",TRUE,IF('學員資料-新北高中'!$B$2:$B$583=$F2839,'學員資料-新北高中'!$G$2:$G$583,""))</f>
        <v>0921580921</v>
      </c>
      <c r="S2839" t="str" cm="1">
        <f t="array" ref="S2839">_xlfn.TEXTJOIN("、",TRUE,IF('學員資料-三重商工'!$B$2:$B$472=$F2839,'學員資料-三重商工'!$G$2:$G$472,""))</f>
        <v/>
      </c>
      <c r="T2839">
        <f t="shared" si="44"/>
        <v>1</v>
      </c>
    </row>
    <row r="2840" spans="1:20" ht="144.75" hidden="1" customHeight="1">
      <c r="A2840" s="15">
        <v>2839</v>
      </c>
      <c r="B2840" s="16" t="s">
        <v>8708</v>
      </c>
      <c r="C2840" s="17">
        <v>45511</v>
      </c>
      <c r="D2840" s="15" t="s">
        <v>8709</v>
      </c>
      <c r="E2840" s="18" t="s">
        <v>954</v>
      </c>
      <c r="F2840" s="19" t="s">
        <v>8710</v>
      </c>
      <c r="G2840" s="18" t="s">
        <v>8711</v>
      </c>
      <c r="H2840" s="20" t="s">
        <v>8712</v>
      </c>
      <c r="I2840" s="15">
        <v>10</v>
      </c>
      <c r="J2840" s="15" t="s">
        <v>24</v>
      </c>
      <c r="K2840" s="15"/>
      <c r="L2840" s="21" t="s">
        <v>16</v>
      </c>
      <c r="M2840" s="22">
        <v>0</v>
      </c>
      <c r="N2840" s="22">
        <v>-8640</v>
      </c>
      <c r="O2840" s="22">
        <v>63360</v>
      </c>
      <c r="P2840" s="22">
        <v>63360</v>
      </c>
      <c r="Q2840" t="str" cm="1">
        <f t="array" ref="Q2840">_xlfn.TEXTJOIN("、",TRUE,IF('學員資料-三民高中'!$B$2:$B$454=$F2840,'學員資料-三民高中'!$G$2:$G$454,""))</f>
        <v>0931303530</v>
      </c>
      <c r="R2840" t="str" cm="1">
        <f t="array" ref="R2840">_xlfn.TEXTJOIN("、",TRUE,IF('學員資料-新北高中'!$B$2:$B$583=$F2840,'學員資料-新北高中'!$G$2:$G$583,""))</f>
        <v/>
      </c>
      <c r="S2840" t="str" cm="1">
        <f t="array" ref="S2840">_xlfn.TEXTJOIN("、",TRUE,IF('學員資料-三重商工'!$B$2:$B$472=$F2840,'學員資料-三重商工'!$G$2:$G$472,""))</f>
        <v/>
      </c>
      <c r="T2840">
        <f t="shared" si="44"/>
        <v>1</v>
      </c>
    </row>
    <row r="2841" spans="1:20" ht="28.5" hidden="1" customHeight="1">
      <c r="A2841" s="15">
        <v>2840</v>
      </c>
      <c r="B2841" s="16" t="s">
        <v>8713</v>
      </c>
      <c r="C2841" s="17">
        <v>45511</v>
      </c>
      <c r="D2841" s="15" t="s">
        <v>8714</v>
      </c>
      <c r="E2841" s="18" t="s">
        <v>954</v>
      </c>
      <c r="F2841" s="19" t="s">
        <v>8715</v>
      </c>
      <c r="G2841" s="18" t="s">
        <v>8716</v>
      </c>
      <c r="H2841" s="20" t="s">
        <v>5206</v>
      </c>
      <c r="I2841" s="15">
        <v>2</v>
      </c>
      <c r="J2841" s="15" t="s">
        <v>23</v>
      </c>
      <c r="K2841" s="15"/>
      <c r="L2841" s="21" t="s">
        <v>16</v>
      </c>
      <c r="M2841" s="22">
        <v>0</v>
      </c>
      <c r="N2841" s="22">
        <v>-1584</v>
      </c>
      <c r="O2841" s="22">
        <v>11616</v>
      </c>
      <c r="P2841" s="22">
        <v>11616</v>
      </c>
      <c r="Q2841" t="str" cm="1">
        <f t="array" ref="Q2841">_xlfn.TEXTJOIN("、",TRUE,IF('學員資料-三民高中'!$B$2:$B$454=$F2841,'學員資料-三民高中'!$G$2:$G$454,""))</f>
        <v>0937399561</v>
      </c>
      <c r="R2841" t="str" cm="1">
        <f t="array" ref="R2841">_xlfn.TEXTJOIN("、",TRUE,IF('學員資料-新北高中'!$B$2:$B$583=$F2841,'學員資料-新北高中'!$G$2:$G$583,""))</f>
        <v/>
      </c>
      <c r="S2841" t="str" cm="1">
        <f t="array" ref="S2841">_xlfn.TEXTJOIN("、",TRUE,IF('學員資料-三重商工'!$B$2:$B$472=$F2841,'學員資料-三重商工'!$G$2:$G$472,""))</f>
        <v/>
      </c>
      <c r="T2841">
        <f t="shared" si="44"/>
        <v>1</v>
      </c>
    </row>
    <row r="2842" spans="1:20" ht="28.5" hidden="1" customHeight="1">
      <c r="A2842" s="15">
        <v>2841</v>
      </c>
      <c r="B2842" s="16" t="s">
        <v>8717</v>
      </c>
      <c r="C2842" s="17">
        <v>45511</v>
      </c>
      <c r="D2842" s="15" t="s">
        <v>8718</v>
      </c>
      <c r="E2842" s="18" t="s">
        <v>954</v>
      </c>
      <c r="F2842" s="19" t="s">
        <v>4904</v>
      </c>
      <c r="G2842" s="18" t="s">
        <v>4905</v>
      </c>
      <c r="H2842" s="20" t="s">
        <v>5729</v>
      </c>
      <c r="I2842" s="15">
        <v>2</v>
      </c>
      <c r="J2842" s="15" t="s">
        <v>26</v>
      </c>
      <c r="K2842" s="15"/>
      <c r="L2842" s="21" t="s">
        <v>16</v>
      </c>
      <c r="M2842" s="22">
        <v>0</v>
      </c>
      <c r="N2842" s="22">
        <v>-2592</v>
      </c>
      <c r="O2842" s="22">
        <v>19008</v>
      </c>
      <c r="P2842" s="22">
        <v>19008</v>
      </c>
      <c r="Q2842" t="str" cm="1">
        <f t="array" ref="Q2842">_xlfn.TEXTJOIN("、",TRUE,IF('學員資料-三民高中'!$B$2:$B$454=$F2842,'學員資料-三民高中'!$G$2:$G$454,""))</f>
        <v>0988423486</v>
      </c>
      <c r="R2842" t="str" cm="1">
        <f t="array" ref="R2842">_xlfn.TEXTJOIN("、",TRUE,IF('學員資料-新北高中'!$B$2:$B$583=$F2842,'學員資料-新北高中'!$G$2:$G$583,""))</f>
        <v/>
      </c>
      <c r="S2842" t="str" cm="1">
        <f t="array" ref="S2842">_xlfn.TEXTJOIN("、",TRUE,IF('學員資料-三重商工'!$B$2:$B$472=$F2842,'學員資料-三重商工'!$G$2:$G$472,""))</f>
        <v/>
      </c>
      <c r="T2842">
        <f t="shared" si="44"/>
        <v>1</v>
      </c>
    </row>
    <row r="2843" spans="1:20" ht="28.5" hidden="1" customHeight="1">
      <c r="A2843" s="15">
        <v>2842</v>
      </c>
      <c r="B2843" s="16" t="s">
        <v>8719</v>
      </c>
      <c r="C2843" s="17">
        <v>45511</v>
      </c>
      <c r="D2843" s="15" t="s">
        <v>8720</v>
      </c>
      <c r="E2843" s="18" t="s">
        <v>954</v>
      </c>
      <c r="F2843" s="19" t="s">
        <v>7879</v>
      </c>
      <c r="G2843" s="18" t="s">
        <v>7880</v>
      </c>
      <c r="H2843" s="20" t="s">
        <v>1985</v>
      </c>
      <c r="I2843" s="15">
        <v>2</v>
      </c>
      <c r="J2843" s="15" t="s">
        <v>23</v>
      </c>
      <c r="K2843" s="15"/>
      <c r="L2843" s="21" t="s">
        <v>16</v>
      </c>
      <c r="M2843" s="22">
        <v>0</v>
      </c>
      <c r="N2843" s="22">
        <v>-2160</v>
      </c>
      <c r="O2843" s="22">
        <v>15840</v>
      </c>
      <c r="P2843" s="22">
        <v>15840</v>
      </c>
      <c r="Q2843" t="str" cm="1">
        <f t="array" ref="Q2843">_xlfn.TEXTJOIN("、",TRUE,IF('學員資料-三民高中'!$B$2:$B$454=$F2843,'學員資料-三民高中'!$G$2:$G$454,""))</f>
        <v/>
      </c>
      <c r="R2843" t="str" cm="1">
        <f t="array" ref="R2843">_xlfn.TEXTJOIN("、",TRUE,IF('學員資料-新北高中'!$B$2:$B$583=$F2843,'學員資料-新北高中'!$G$2:$G$583,""))</f>
        <v>0913530325</v>
      </c>
      <c r="S2843" t="str" cm="1">
        <f t="array" ref="S2843">_xlfn.TEXTJOIN("、",TRUE,IF('學員資料-三重商工'!$B$2:$B$472=$F2843,'學員資料-三重商工'!$G$2:$G$472,""))</f>
        <v/>
      </c>
      <c r="T2843">
        <f t="shared" si="44"/>
        <v>1</v>
      </c>
    </row>
    <row r="2844" spans="1:20" ht="43.5" hidden="1" customHeight="1">
      <c r="A2844" s="15">
        <v>2843</v>
      </c>
      <c r="B2844" s="16" t="s">
        <v>8721</v>
      </c>
      <c r="C2844" s="17">
        <v>45511</v>
      </c>
      <c r="D2844" s="15" t="s">
        <v>8722</v>
      </c>
      <c r="E2844" s="18" t="s">
        <v>954</v>
      </c>
      <c r="F2844" s="19" t="s">
        <v>4880</v>
      </c>
      <c r="G2844" s="18" t="s">
        <v>4881</v>
      </c>
      <c r="H2844" s="20" t="s">
        <v>5436</v>
      </c>
      <c r="I2844" s="15">
        <v>3</v>
      </c>
      <c r="J2844" s="15" t="s">
        <v>24</v>
      </c>
      <c r="K2844" s="15"/>
      <c r="L2844" s="21" t="s">
        <v>16</v>
      </c>
      <c r="M2844" s="22">
        <v>0</v>
      </c>
      <c r="N2844" s="22">
        <v>-2592</v>
      </c>
      <c r="O2844" s="22">
        <v>19008</v>
      </c>
      <c r="P2844" s="22">
        <v>19008</v>
      </c>
      <c r="Q2844" t="str" cm="1">
        <f t="array" ref="Q2844">_xlfn.TEXTJOIN("、",TRUE,IF('學員資料-三民高中'!$B$2:$B$454=$F2844,'學員資料-三民高中'!$G$2:$G$454,""))</f>
        <v>0972285171</v>
      </c>
      <c r="R2844" t="str" cm="1">
        <f t="array" ref="R2844">_xlfn.TEXTJOIN("、",TRUE,IF('學員資料-新北高中'!$B$2:$B$583=$F2844,'學員資料-新北高中'!$G$2:$G$583,""))</f>
        <v/>
      </c>
      <c r="S2844" t="str" cm="1">
        <f t="array" ref="S2844">_xlfn.TEXTJOIN("、",TRUE,IF('學員資料-三重商工'!$B$2:$B$472=$F2844,'學員資料-三重商工'!$G$2:$G$472,""))</f>
        <v/>
      </c>
      <c r="T2844">
        <f t="shared" si="44"/>
        <v>1</v>
      </c>
    </row>
    <row r="2845" spans="1:20" ht="28.5" hidden="1" customHeight="1">
      <c r="A2845" s="15">
        <v>2844</v>
      </c>
      <c r="B2845" s="16" t="s">
        <v>8723</v>
      </c>
      <c r="C2845" s="17">
        <v>45511</v>
      </c>
      <c r="D2845" s="15" t="s">
        <v>8724</v>
      </c>
      <c r="E2845" s="18" t="s">
        <v>954</v>
      </c>
      <c r="F2845" s="19" t="s">
        <v>6735</v>
      </c>
      <c r="G2845" s="18" t="s">
        <v>6736</v>
      </c>
      <c r="H2845" s="20" t="s">
        <v>5206</v>
      </c>
      <c r="I2845" s="15">
        <v>2</v>
      </c>
      <c r="J2845" s="15" t="s">
        <v>23</v>
      </c>
      <c r="K2845" s="15"/>
      <c r="L2845" s="21" t="s">
        <v>16</v>
      </c>
      <c r="M2845" s="22">
        <v>0</v>
      </c>
      <c r="N2845" s="22">
        <v>0</v>
      </c>
      <c r="O2845" s="22">
        <v>13200</v>
      </c>
      <c r="P2845" s="22">
        <v>13200</v>
      </c>
      <c r="Q2845" t="str" cm="1">
        <f t="array" ref="Q2845">_xlfn.TEXTJOIN("、",TRUE,IF('學員資料-三民高中'!$B$2:$B$454=$F2845,'學員資料-三民高中'!$G$2:$G$454,""))</f>
        <v>0928493538</v>
      </c>
      <c r="R2845" t="str" cm="1">
        <f t="array" ref="R2845">_xlfn.TEXTJOIN("、",TRUE,IF('學員資料-新北高中'!$B$2:$B$583=$F2845,'學員資料-新北高中'!$G$2:$G$583,""))</f>
        <v/>
      </c>
      <c r="S2845" t="str" cm="1">
        <f t="array" ref="S2845">_xlfn.TEXTJOIN("、",TRUE,IF('學員資料-三重商工'!$B$2:$B$472=$F2845,'學員資料-三重商工'!$G$2:$G$472,""))</f>
        <v/>
      </c>
      <c r="T2845">
        <f t="shared" si="44"/>
        <v>1</v>
      </c>
    </row>
    <row r="2846" spans="1:20" ht="14.25" hidden="1" customHeight="1">
      <c r="A2846" s="15">
        <v>2845</v>
      </c>
      <c r="B2846" s="16" t="s">
        <v>8725</v>
      </c>
      <c r="C2846" s="17">
        <v>45511</v>
      </c>
      <c r="D2846" s="15" t="s">
        <v>8726</v>
      </c>
      <c r="E2846" s="18" t="s">
        <v>954</v>
      </c>
      <c r="F2846" s="19" t="s">
        <v>7891</v>
      </c>
      <c r="G2846" s="18" t="s">
        <v>7892</v>
      </c>
      <c r="H2846" s="20" t="s">
        <v>5246</v>
      </c>
      <c r="I2846" s="15">
        <v>1</v>
      </c>
      <c r="J2846" s="15" t="s">
        <v>23</v>
      </c>
      <c r="K2846" s="15"/>
      <c r="L2846" s="21" t="s">
        <v>16</v>
      </c>
      <c r="M2846" s="22">
        <v>0</v>
      </c>
      <c r="N2846" s="22">
        <v>0</v>
      </c>
      <c r="O2846" s="22">
        <v>7200</v>
      </c>
      <c r="P2846" s="22">
        <v>7200</v>
      </c>
      <c r="Q2846" t="str" cm="1">
        <f t="array" ref="Q2846">_xlfn.TEXTJOIN("、",TRUE,IF('學員資料-三民高中'!$B$2:$B$454=$F2846,'學員資料-三民高中'!$G$2:$G$454,""))</f>
        <v/>
      </c>
      <c r="R2846" t="str" cm="1">
        <f t="array" ref="R2846">_xlfn.TEXTJOIN("、",TRUE,IF('學員資料-新北高中'!$B$2:$B$583=$F2846,'學員資料-新北高中'!$G$2:$G$583,""))</f>
        <v>0933136491</v>
      </c>
      <c r="S2846" t="str" cm="1">
        <f t="array" ref="S2846">_xlfn.TEXTJOIN("、",TRUE,IF('學員資料-三重商工'!$B$2:$B$472=$F2846,'學員資料-三重商工'!$G$2:$G$472,""))</f>
        <v/>
      </c>
      <c r="T2846">
        <f t="shared" si="44"/>
        <v>1</v>
      </c>
    </row>
    <row r="2847" spans="1:20" ht="57.75" hidden="1" customHeight="1">
      <c r="A2847" s="15">
        <v>2846</v>
      </c>
      <c r="B2847" s="16" t="s">
        <v>8727</v>
      </c>
      <c r="C2847" s="17">
        <v>45511</v>
      </c>
      <c r="D2847" s="15" t="s">
        <v>8728</v>
      </c>
      <c r="E2847" s="18" t="s">
        <v>954</v>
      </c>
      <c r="F2847" s="19" t="s">
        <v>8360</v>
      </c>
      <c r="G2847" s="18" t="s">
        <v>8361</v>
      </c>
      <c r="H2847" s="20" t="s">
        <v>6074</v>
      </c>
      <c r="I2847" s="15">
        <v>4</v>
      </c>
      <c r="J2847" s="15" t="s">
        <v>23</v>
      </c>
      <c r="K2847" s="15"/>
      <c r="L2847" s="21" t="s">
        <v>16</v>
      </c>
      <c r="M2847" s="22">
        <v>0</v>
      </c>
      <c r="N2847" s="22">
        <v>-4320</v>
      </c>
      <c r="O2847" s="22">
        <v>31680</v>
      </c>
      <c r="P2847" s="22">
        <v>31680</v>
      </c>
      <c r="Q2847" t="str" cm="1">
        <f t="array" ref="Q2847">_xlfn.TEXTJOIN("、",TRUE,IF('學員資料-三民高中'!$B$2:$B$454=$F2847,'學員資料-三民高中'!$G$2:$G$454,""))</f>
        <v/>
      </c>
      <c r="R2847" t="str" cm="1">
        <f t="array" ref="R2847">_xlfn.TEXTJOIN("、",TRUE,IF('學員資料-新北高中'!$B$2:$B$583=$F2847,'學員資料-新北高中'!$G$2:$G$583,""))</f>
        <v>0953554707-1</v>
      </c>
      <c r="S2847" t="str" cm="1">
        <f t="array" ref="S2847">_xlfn.TEXTJOIN("、",TRUE,IF('學員資料-三重商工'!$B$2:$B$472=$F2847,'學員資料-三重商工'!$G$2:$G$472,""))</f>
        <v/>
      </c>
      <c r="T2847">
        <f t="shared" si="44"/>
        <v>1</v>
      </c>
    </row>
    <row r="2848" spans="1:20" ht="14.25" hidden="1" customHeight="1">
      <c r="A2848" s="15">
        <v>2847</v>
      </c>
      <c r="B2848" s="16" t="s">
        <v>8729</v>
      </c>
      <c r="C2848" s="17">
        <v>45511</v>
      </c>
      <c r="D2848" s="15" t="s">
        <v>8730</v>
      </c>
      <c r="E2848" s="18" t="s">
        <v>954</v>
      </c>
      <c r="F2848" s="19" t="s">
        <v>7086</v>
      </c>
      <c r="G2848" s="18" t="s">
        <v>7087</v>
      </c>
      <c r="H2848" s="20" t="s">
        <v>5148</v>
      </c>
      <c r="I2848" s="15">
        <v>1</v>
      </c>
      <c r="J2848" s="15" t="s">
        <v>25</v>
      </c>
      <c r="K2848" s="15"/>
      <c r="L2848" s="21" t="s">
        <v>16</v>
      </c>
      <c r="M2848" s="22">
        <v>0</v>
      </c>
      <c r="N2848" s="22">
        <v>0</v>
      </c>
      <c r="O2848" s="22">
        <v>9000</v>
      </c>
      <c r="P2848" s="22">
        <v>9000</v>
      </c>
      <c r="Q2848" t="str" cm="1">
        <f t="array" ref="Q2848">_xlfn.TEXTJOIN("、",TRUE,IF('學員資料-三民高中'!$B$2:$B$454=$F2848,'學員資料-三民高中'!$G$2:$G$454,""))</f>
        <v/>
      </c>
      <c r="R2848" t="str" cm="1">
        <f t="array" ref="R2848">_xlfn.TEXTJOIN("、",TRUE,IF('學員資料-新北高中'!$B$2:$B$583=$F2848,'學員資料-新北高中'!$G$2:$G$583,""))</f>
        <v>0972803807</v>
      </c>
      <c r="S2848" t="str" cm="1">
        <f t="array" ref="S2848">_xlfn.TEXTJOIN("、",TRUE,IF('學員資料-三重商工'!$B$2:$B$472=$F2848,'學員資料-三重商工'!$G$2:$G$472,""))</f>
        <v/>
      </c>
      <c r="T2848">
        <f t="shared" si="44"/>
        <v>1</v>
      </c>
    </row>
    <row r="2849" spans="1:20" ht="28.5" hidden="1" customHeight="1">
      <c r="A2849" s="15">
        <v>2848</v>
      </c>
      <c r="B2849" s="16" t="s">
        <v>8731</v>
      </c>
      <c r="C2849" s="17">
        <v>45511</v>
      </c>
      <c r="D2849" s="15" t="s">
        <v>8732</v>
      </c>
      <c r="E2849" s="18" t="s">
        <v>954</v>
      </c>
      <c r="F2849" s="19" t="s">
        <v>8733</v>
      </c>
      <c r="G2849" s="18" t="s">
        <v>8734</v>
      </c>
      <c r="H2849" s="20" t="s">
        <v>6631</v>
      </c>
      <c r="I2849" s="15">
        <v>2</v>
      </c>
      <c r="J2849" s="15" t="s">
        <v>24</v>
      </c>
      <c r="K2849" s="21" t="s">
        <v>116</v>
      </c>
      <c r="L2849" s="21" t="s">
        <v>16</v>
      </c>
      <c r="M2849" s="22">
        <v>0</v>
      </c>
      <c r="N2849" s="22">
        <v>0</v>
      </c>
      <c r="O2849" s="22">
        <v>1200</v>
      </c>
      <c r="P2849" s="22">
        <v>1200</v>
      </c>
      <c r="Q2849" t="str" cm="1">
        <f t="array" ref="Q2849">_xlfn.TEXTJOIN("、",TRUE,IF('學員資料-三民高中'!$B$2:$B$454=$F2849,'學員資料-三民高中'!$G$2:$G$454,""))</f>
        <v/>
      </c>
      <c r="R2849" t="str" cm="1">
        <f t="array" ref="R2849">_xlfn.TEXTJOIN("、",TRUE,IF('學員資料-新北高中'!$B$2:$B$583=$F2849,'學員資料-新北高中'!$G$2:$G$583,""))</f>
        <v>0921817509</v>
      </c>
      <c r="S2849" t="str" cm="1">
        <f t="array" ref="S2849">_xlfn.TEXTJOIN("、",TRUE,IF('學員資料-三重商工'!$B$2:$B$472=$F2849,'學員資料-三重商工'!$G$2:$G$472,""))</f>
        <v/>
      </c>
      <c r="T2849">
        <f t="shared" si="44"/>
        <v>1</v>
      </c>
    </row>
    <row r="2850" spans="1:20" ht="14.25" hidden="1" customHeight="1">
      <c r="A2850" s="15">
        <v>2849</v>
      </c>
      <c r="B2850" s="16" t="s">
        <v>8735</v>
      </c>
      <c r="C2850" s="17">
        <v>45511</v>
      </c>
      <c r="D2850" s="15" t="s">
        <v>8736</v>
      </c>
      <c r="E2850" s="18" t="s">
        <v>954</v>
      </c>
      <c r="F2850" s="19" t="s">
        <v>8737</v>
      </c>
      <c r="G2850" s="18" t="s">
        <v>8738</v>
      </c>
      <c r="H2850" s="20" t="s">
        <v>5163</v>
      </c>
      <c r="I2850" s="15">
        <v>1</v>
      </c>
      <c r="J2850" s="15" t="s">
        <v>23</v>
      </c>
      <c r="K2850" s="15"/>
      <c r="L2850" s="21" t="s">
        <v>16</v>
      </c>
      <c r="M2850" s="22">
        <v>0</v>
      </c>
      <c r="N2850" s="22">
        <v>0</v>
      </c>
      <c r="O2850" s="22">
        <v>6600</v>
      </c>
      <c r="P2850" s="22">
        <v>6600</v>
      </c>
      <c r="Q2850" t="str" cm="1">
        <f t="array" ref="Q2850">_xlfn.TEXTJOIN("、",TRUE,IF('學員資料-三民高中'!$B$2:$B$454=$F2850,'學員資料-三民高中'!$G$2:$G$454,""))</f>
        <v/>
      </c>
      <c r="R2850" t="str" cm="1">
        <f t="array" ref="R2850">_xlfn.TEXTJOIN("、",TRUE,IF('學員資料-新北高中'!$B$2:$B$583=$F2850,'學員資料-新北高中'!$G$2:$G$583,""))</f>
        <v>0988835316</v>
      </c>
      <c r="S2850" t="str" cm="1">
        <f t="array" ref="S2850">_xlfn.TEXTJOIN("、",TRUE,IF('學員資料-三重商工'!$B$2:$B$472=$F2850,'學員資料-三重商工'!$G$2:$G$472,""))</f>
        <v/>
      </c>
      <c r="T2850">
        <f t="shared" si="44"/>
        <v>1</v>
      </c>
    </row>
    <row r="2851" spans="1:20" ht="14.25" hidden="1" customHeight="1">
      <c r="A2851" s="15">
        <v>2850</v>
      </c>
      <c r="B2851" s="16" t="s">
        <v>8739</v>
      </c>
      <c r="C2851" s="17">
        <v>45511</v>
      </c>
      <c r="D2851" s="15" t="s">
        <v>8517</v>
      </c>
      <c r="E2851" s="18" t="s">
        <v>954</v>
      </c>
      <c r="F2851" s="19" t="s">
        <v>8740</v>
      </c>
      <c r="G2851" s="18" t="s">
        <v>8741</v>
      </c>
      <c r="H2851" s="20" t="s">
        <v>266</v>
      </c>
      <c r="I2851" s="15">
        <v>1</v>
      </c>
      <c r="J2851" s="15" t="s">
        <v>24</v>
      </c>
      <c r="K2851" s="15"/>
      <c r="L2851" s="21" t="s">
        <v>16</v>
      </c>
      <c r="M2851" s="22">
        <v>0</v>
      </c>
      <c r="N2851" s="22">
        <v>0</v>
      </c>
      <c r="O2851" s="22">
        <v>10800</v>
      </c>
      <c r="P2851" s="22">
        <v>10800</v>
      </c>
      <c r="Q2851" t="str" cm="1">
        <f t="array" ref="Q2851">_xlfn.TEXTJOIN("、",TRUE,IF('學員資料-三民高中'!$B$2:$B$454=$F2851,'學員資料-三民高中'!$G$2:$G$454,""))</f>
        <v/>
      </c>
      <c r="R2851" t="str" cm="1">
        <f t="array" ref="R2851">_xlfn.TEXTJOIN("、",TRUE,IF('學員資料-新北高中'!$B$2:$B$583=$F2851,'學員資料-新北高中'!$G$2:$G$583,""))</f>
        <v>0933025041-1</v>
      </c>
      <c r="S2851" t="str" cm="1">
        <f t="array" ref="S2851">_xlfn.TEXTJOIN("、",TRUE,IF('學員資料-三重商工'!$B$2:$B$472=$F2851,'學員資料-三重商工'!$G$2:$G$472,""))</f>
        <v/>
      </c>
      <c r="T2851">
        <f t="shared" si="44"/>
        <v>1</v>
      </c>
    </row>
    <row r="2852" spans="1:20" ht="14.25" hidden="1" customHeight="1">
      <c r="A2852" s="15">
        <v>2851</v>
      </c>
      <c r="B2852" s="16" t="s">
        <v>8742</v>
      </c>
      <c r="C2852" s="17">
        <v>45511</v>
      </c>
      <c r="D2852" s="15" t="s">
        <v>8743</v>
      </c>
      <c r="E2852" s="18" t="s">
        <v>954</v>
      </c>
      <c r="F2852" s="19" t="s">
        <v>8744</v>
      </c>
      <c r="G2852" s="18" t="s">
        <v>8745</v>
      </c>
      <c r="H2852" s="20" t="s">
        <v>683</v>
      </c>
      <c r="I2852" s="15">
        <v>1</v>
      </c>
      <c r="J2852" s="15" t="s">
        <v>23</v>
      </c>
      <c r="K2852" s="15"/>
      <c r="L2852" s="21" t="s">
        <v>16</v>
      </c>
      <c r="M2852" s="22">
        <v>0</v>
      </c>
      <c r="N2852" s="22">
        <v>0</v>
      </c>
      <c r="O2852" s="22">
        <v>9000</v>
      </c>
      <c r="P2852" s="22">
        <v>9000</v>
      </c>
      <c r="Q2852" t="str" cm="1">
        <f t="array" ref="Q2852">_xlfn.TEXTJOIN("、",TRUE,IF('學員資料-三民高中'!$B$2:$B$454=$F2852,'學員資料-三民高中'!$G$2:$G$454,""))</f>
        <v/>
      </c>
      <c r="R2852" t="str" cm="1">
        <f t="array" ref="R2852">_xlfn.TEXTJOIN("、",TRUE,IF('學員資料-新北高中'!$B$2:$B$583=$F2852,'學員資料-新北高中'!$G$2:$G$583,""))</f>
        <v>0934130880</v>
      </c>
      <c r="S2852" t="str" cm="1">
        <f t="array" ref="S2852">_xlfn.TEXTJOIN("、",TRUE,IF('學員資料-三重商工'!$B$2:$B$472=$F2852,'學員資料-三重商工'!$G$2:$G$472,""))</f>
        <v/>
      </c>
      <c r="T2852">
        <f t="shared" si="44"/>
        <v>1</v>
      </c>
    </row>
    <row r="2853" spans="1:20" ht="28.5" hidden="1" customHeight="1">
      <c r="A2853" s="15">
        <v>2852</v>
      </c>
      <c r="B2853" s="16" t="s">
        <v>8746</v>
      </c>
      <c r="C2853" s="17">
        <v>45511</v>
      </c>
      <c r="D2853" s="15" t="s">
        <v>8747</v>
      </c>
      <c r="E2853" s="18" t="s">
        <v>954</v>
      </c>
      <c r="F2853" s="19" t="s">
        <v>5072</v>
      </c>
      <c r="G2853" s="18" t="s">
        <v>5073</v>
      </c>
      <c r="H2853" s="20" t="s">
        <v>5263</v>
      </c>
      <c r="I2853" s="15">
        <v>2</v>
      </c>
      <c r="J2853" s="15" t="s">
        <v>25</v>
      </c>
      <c r="K2853" s="15"/>
      <c r="L2853" s="21" t="s">
        <v>16</v>
      </c>
      <c r="M2853" s="22">
        <v>0</v>
      </c>
      <c r="N2853" s="22">
        <v>-2160</v>
      </c>
      <c r="O2853" s="22">
        <v>15840</v>
      </c>
      <c r="P2853" s="22">
        <v>15840</v>
      </c>
      <c r="Q2853" t="str" cm="1">
        <f t="array" ref="Q2853">_xlfn.TEXTJOIN("、",TRUE,IF('學員資料-三民高中'!$B$2:$B$454=$F2853,'學員資料-三民高中'!$G$2:$G$454,""))</f>
        <v>0939237152</v>
      </c>
      <c r="R2853" t="str" cm="1">
        <f t="array" ref="R2853">_xlfn.TEXTJOIN("、",TRUE,IF('學員資料-新北高中'!$B$2:$B$583=$F2853,'學員資料-新北高中'!$G$2:$G$583,""))</f>
        <v/>
      </c>
      <c r="S2853" t="str" cm="1">
        <f t="array" ref="S2853">_xlfn.TEXTJOIN("、",TRUE,IF('學員資料-三重商工'!$B$2:$B$472=$F2853,'學員資料-三重商工'!$G$2:$G$472,""))</f>
        <v/>
      </c>
      <c r="T2853">
        <f t="shared" si="44"/>
        <v>1</v>
      </c>
    </row>
    <row r="2854" spans="1:20" ht="14.25" hidden="1" customHeight="1">
      <c r="A2854" s="15">
        <v>2853</v>
      </c>
      <c r="B2854" s="16" t="s">
        <v>8748</v>
      </c>
      <c r="C2854" s="17">
        <v>45511</v>
      </c>
      <c r="D2854" s="15" t="s">
        <v>8749</v>
      </c>
      <c r="E2854" s="18" t="s">
        <v>954</v>
      </c>
      <c r="F2854" s="19" t="s">
        <v>8750</v>
      </c>
      <c r="G2854" s="18" t="s">
        <v>8751</v>
      </c>
      <c r="H2854" s="20" t="s">
        <v>5163</v>
      </c>
      <c r="I2854" s="15">
        <v>1</v>
      </c>
      <c r="J2854" s="15" t="s">
        <v>23</v>
      </c>
      <c r="K2854" s="15"/>
      <c r="L2854" s="21" t="s">
        <v>16</v>
      </c>
      <c r="M2854" s="22">
        <v>0</v>
      </c>
      <c r="N2854" s="22">
        <v>0</v>
      </c>
      <c r="O2854" s="22">
        <v>6600</v>
      </c>
      <c r="P2854" s="22">
        <v>6600</v>
      </c>
      <c r="Q2854" t="str" cm="1">
        <f t="array" ref="Q2854">_xlfn.TEXTJOIN("、",TRUE,IF('學員資料-三民高中'!$B$2:$B$454=$F2854,'學員資料-三民高中'!$G$2:$G$454,""))</f>
        <v/>
      </c>
      <c r="R2854" t="str" cm="1">
        <f t="array" ref="R2854">_xlfn.TEXTJOIN("、",TRUE,IF('學員資料-新北高中'!$B$2:$B$583=$F2854,'學員資料-新北高中'!$G$2:$G$583,""))</f>
        <v>0922117266</v>
      </c>
      <c r="S2854" t="str" cm="1">
        <f t="array" ref="S2854">_xlfn.TEXTJOIN("、",TRUE,IF('學員資料-三重商工'!$B$2:$B$472=$F2854,'學員資料-三重商工'!$G$2:$G$472,""))</f>
        <v/>
      </c>
      <c r="T2854">
        <f t="shared" si="44"/>
        <v>1</v>
      </c>
    </row>
    <row r="2855" spans="1:20" ht="28.5" hidden="1" customHeight="1">
      <c r="A2855" s="15">
        <v>2854</v>
      </c>
      <c r="B2855" s="16" t="s">
        <v>8752</v>
      </c>
      <c r="C2855" s="17">
        <v>45511</v>
      </c>
      <c r="D2855" s="15" t="s">
        <v>8753</v>
      </c>
      <c r="E2855" s="18" t="s">
        <v>954</v>
      </c>
      <c r="F2855" s="19" t="s">
        <v>417</v>
      </c>
      <c r="G2855" s="18" t="s">
        <v>418</v>
      </c>
      <c r="H2855" s="20" t="s">
        <v>5206</v>
      </c>
      <c r="I2855" s="15">
        <v>2</v>
      </c>
      <c r="J2855" s="15" t="s">
        <v>23</v>
      </c>
      <c r="K2855" s="15"/>
      <c r="L2855" s="21" t="s">
        <v>16</v>
      </c>
      <c r="M2855" s="22">
        <v>0</v>
      </c>
      <c r="N2855" s="22">
        <v>-1320</v>
      </c>
      <c r="O2855" s="22">
        <v>11880</v>
      </c>
      <c r="P2855" s="22">
        <v>11880</v>
      </c>
      <c r="Q2855" t="str" cm="1">
        <f t="array" ref="Q2855">_xlfn.TEXTJOIN("、",TRUE,IF('學員資料-三民高中'!$B$2:$B$454=$F2855,'學員資料-三民高中'!$G$2:$G$454,""))</f>
        <v>0930220021</v>
      </c>
      <c r="R2855" t="str" cm="1">
        <f t="array" ref="R2855">_xlfn.TEXTJOIN("、",TRUE,IF('學員資料-新北高中'!$B$2:$B$583=$F2855,'學員資料-新北高中'!$G$2:$G$583,""))</f>
        <v/>
      </c>
      <c r="S2855" t="str" cm="1">
        <f t="array" ref="S2855">_xlfn.TEXTJOIN("、",TRUE,IF('學員資料-三重商工'!$B$2:$B$472=$F2855,'學員資料-三重商工'!$G$2:$G$472,""))</f>
        <v/>
      </c>
      <c r="T2855">
        <f t="shared" si="44"/>
        <v>1</v>
      </c>
    </row>
    <row r="2856" spans="1:20" ht="14.25" hidden="1" customHeight="1">
      <c r="A2856" s="15">
        <v>2855</v>
      </c>
      <c r="B2856" s="16" t="s">
        <v>8754</v>
      </c>
      <c r="C2856" s="17">
        <v>45511</v>
      </c>
      <c r="D2856" s="15" t="s">
        <v>8755</v>
      </c>
      <c r="E2856" s="18" t="s">
        <v>954</v>
      </c>
      <c r="F2856" s="19" t="s">
        <v>8756</v>
      </c>
      <c r="G2856" s="18" t="s">
        <v>8757</v>
      </c>
      <c r="H2856" s="20" t="s">
        <v>5246</v>
      </c>
      <c r="I2856" s="15">
        <v>1</v>
      </c>
      <c r="J2856" s="15" t="s">
        <v>23</v>
      </c>
      <c r="K2856" s="15"/>
      <c r="L2856" s="21" t="s">
        <v>16</v>
      </c>
      <c r="M2856" s="22">
        <v>0</v>
      </c>
      <c r="N2856" s="22">
        <v>0</v>
      </c>
      <c r="O2856" s="22">
        <v>7200</v>
      </c>
      <c r="P2856" s="22">
        <v>7200</v>
      </c>
      <c r="Q2856" t="str" cm="1">
        <f t="array" ref="Q2856">_xlfn.TEXTJOIN("、",TRUE,IF('學員資料-三民高中'!$B$2:$B$454=$F2856,'學員資料-三民高中'!$G$2:$G$454,""))</f>
        <v/>
      </c>
      <c r="R2856" t="str" cm="1">
        <f t="array" ref="R2856">_xlfn.TEXTJOIN("、",TRUE,IF('學員資料-新北高中'!$B$2:$B$583=$F2856,'學員資料-新北高中'!$G$2:$G$583,""))</f>
        <v>0987048924</v>
      </c>
      <c r="S2856" t="str" cm="1">
        <f t="array" ref="S2856">_xlfn.TEXTJOIN("、",TRUE,IF('學員資料-三重商工'!$B$2:$B$472=$F2856,'學員資料-三重商工'!$G$2:$G$472,""))</f>
        <v/>
      </c>
      <c r="T2856">
        <f t="shared" si="44"/>
        <v>1</v>
      </c>
    </row>
    <row r="2857" spans="1:20" ht="72" hidden="1" customHeight="1">
      <c r="A2857" s="15">
        <v>2856</v>
      </c>
      <c r="B2857" s="16" t="s">
        <v>8758</v>
      </c>
      <c r="C2857" s="17">
        <v>45511</v>
      </c>
      <c r="D2857" s="15" t="s">
        <v>8759</v>
      </c>
      <c r="E2857" s="18" t="s">
        <v>954</v>
      </c>
      <c r="F2857" s="19" t="s">
        <v>2776</v>
      </c>
      <c r="G2857" s="18" t="s">
        <v>2777</v>
      </c>
      <c r="H2857" s="20" t="s">
        <v>8634</v>
      </c>
      <c r="I2857" s="15">
        <v>5</v>
      </c>
      <c r="J2857" s="15" t="s">
        <v>23</v>
      </c>
      <c r="K2857" s="15"/>
      <c r="L2857" s="21" t="s">
        <v>16</v>
      </c>
      <c r="M2857" s="22">
        <v>0</v>
      </c>
      <c r="N2857" s="22">
        <v>-3300</v>
      </c>
      <c r="O2857" s="22">
        <v>29700</v>
      </c>
      <c r="P2857" s="22">
        <v>29700</v>
      </c>
      <c r="Q2857" t="str" cm="1">
        <f t="array" ref="Q2857">_xlfn.TEXTJOIN("、",TRUE,IF('學員資料-三民高中'!$B$2:$B$454=$F2857,'學員資料-三民高中'!$G$2:$G$454,""))</f>
        <v>0953305887</v>
      </c>
      <c r="R2857" t="str" cm="1">
        <f t="array" ref="R2857">_xlfn.TEXTJOIN("、",TRUE,IF('學員資料-新北高中'!$B$2:$B$583=$F2857,'學員資料-新北高中'!$G$2:$G$583,""))</f>
        <v/>
      </c>
      <c r="S2857" t="str" cm="1">
        <f t="array" ref="S2857">_xlfn.TEXTJOIN("、",TRUE,IF('學員資料-三重商工'!$B$2:$B$472=$F2857,'學員資料-三重商工'!$G$2:$G$472,""))</f>
        <v/>
      </c>
      <c r="T2857">
        <f t="shared" si="44"/>
        <v>1</v>
      </c>
    </row>
    <row r="2858" spans="1:20" ht="14.25" hidden="1" customHeight="1">
      <c r="A2858" s="15">
        <v>2857</v>
      </c>
      <c r="B2858" s="16" t="s">
        <v>8760</v>
      </c>
      <c r="C2858" s="17">
        <v>45511</v>
      </c>
      <c r="D2858" s="15" t="s">
        <v>8761</v>
      </c>
      <c r="E2858" s="18" t="s">
        <v>954</v>
      </c>
      <c r="F2858" s="19" t="s">
        <v>8762</v>
      </c>
      <c r="G2858" s="18" t="s">
        <v>8763</v>
      </c>
      <c r="H2858" s="20" t="s">
        <v>5361</v>
      </c>
      <c r="I2858" s="15">
        <v>1</v>
      </c>
      <c r="J2858" s="15" t="s">
        <v>23</v>
      </c>
      <c r="K2858" s="21" t="s">
        <v>116</v>
      </c>
      <c r="L2858" s="21" t="s">
        <v>16</v>
      </c>
      <c r="M2858" s="22">
        <v>0</v>
      </c>
      <c r="N2858" s="22">
        <v>0</v>
      </c>
      <c r="O2858" s="22">
        <v>1100</v>
      </c>
      <c r="P2858" s="22">
        <v>1100</v>
      </c>
      <c r="Q2858" t="str" cm="1">
        <f t="array" ref="Q2858">_xlfn.TEXTJOIN("、",TRUE,IF('學員資料-三民高中'!$B$2:$B$454=$F2858,'學員資料-三民高中'!$G$2:$G$454,""))</f>
        <v/>
      </c>
      <c r="R2858" t="str" cm="1">
        <f t="array" ref="R2858">_xlfn.TEXTJOIN("、",TRUE,IF('學員資料-新北高中'!$B$2:$B$583=$F2858,'學員資料-新北高中'!$G$2:$G$583,""))</f>
        <v>0926164023</v>
      </c>
      <c r="S2858" t="str" cm="1">
        <f t="array" ref="S2858">_xlfn.TEXTJOIN("、",TRUE,IF('學員資料-三重商工'!$B$2:$B$472=$F2858,'學員資料-三重商工'!$G$2:$G$472,""))</f>
        <v/>
      </c>
      <c r="T2858">
        <f t="shared" si="44"/>
        <v>1</v>
      </c>
    </row>
    <row r="2859" spans="1:20" ht="14.25" hidden="1" customHeight="1">
      <c r="A2859" s="15">
        <v>2858</v>
      </c>
      <c r="B2859" s="16" t="s">
        <v>8764</v>
      </c>
      <c r="C2859" s="17">
        <v>45511</v>
      </c>
      <c r="D2859" s="15" t="s">
        <v>8765</v>
      </c>
      <c r="E2859" s="18" t="s">
        <v>954</v>
      </c>
      <c r="F2859" s="19" t="s">
        <v>6206</v>
      </c>
      <c r="G2859" s="18" t="s">
        <v>6207</v>
      </c>
      <c r="H2859" s="20" t="s">
        <v>5131</v>
      </c>
      <c r="I2859" s="15">
        <v>1</v>
      </c>
      <c r="J2859" s="15" t="s">
        <v>24</v>
      </c>
      <c r="K2859" s="15"/>
      <c r="L2859" s="21" t="s">
        <v>16</v>
      </c>
      <c r="M2859" s="22">
        <v>0</v>
      </c>
      <c r="N2859" s="22">
        <v>0</v>
      </c>
      <c r="O2859" s="22">
        <v>7200</v>
      </c>
      <c r="P2859" s="22">
        <v>7200</v>
      </c>
      <c r="Q2859" t="str" cm="1">
        <f t="array" ref="Q2859">_xlfn.TEXTJOIN("、",TRUE,IF('學員資料-三民高中'!$B$2:$B$454=$F2859,'學員資料-三民高中'!$G$2:$G$454,""))</f>
        <v/>
      </c>
      <c r="R2859" t="str" cm="1">
        <f t="array" ref="R2859">_xlfn.TEXTJOIN("、",TRUE,IF('學員資料-新北高中'!$B$2:$B$583=$F2859,'學員資料-新北高中'!$G$2:$G$583,""))</f>
        <v>0952104288</v>
      </c>
      <c r="S2859" t="str" cm="1">
        <f t="array" ref="S2859">_xlfn.TEXTJOIN("、",TRUE,IF('學員資料-三重商工'!$B$2:$B$472=$F2859,'學員資料-三重商工'!$G$2:$G$472,""))</f>
        <v/>
      </c>
      <c r="T2859">
        <f t="shared" si="44"/>
        <v>1</v>
      </c>
    </row>
    <row r="2860" spans="1:20" ht="14.25" hidden="1" customHeight="1">
      <c r="A2860" s="15">
        <v>2859</v>
      </c>
      <c r="B2860" s="16" t="s">
        <v>8766</v>
      </c>
      <c r="C2860" s="17">
        <v>45511</v>
      </c>
      <c r="D2860" s="15" t="s">
        <v>8767</v>
      </c>
      <c r="E2860" s="18" t="s">
        <v>954</v>
      </c>
      <c r="F2860" s="19" t="s">
        <v>1450</v>
      </c>
      <c r="G2860" s="18" t="s">
        <v>1451</v>
      </c>
      <c r="H2860" s="20" t="s">
        <v>5163</v>
      </c>
      <c r="I2860" s="15">
        <v>1</v>
      </c>
      <c r="J2860" s="15" t="s">
        <v>23</v>
      </c>
      <c r="K2860" s="15"/>
      <c r="L2860" s="21" t="s">
        <v>16</v>
      </c>
      <c r="M2860" s="22">
        <v>0</v>
      </c>
      <c r="N2860" s="22">
        <v>0</v>
      </c>
      <c r="O2860" s="22">
        <v>6600</v>
      </c>
      <c r="P2860" s="22">
        <v>6600</v>
      </c>
      <c r="Q2860" t="str" cm="1">
        <f t="array" ref="Q2860">_xlfn.TEXTJOIN("、",TRUE,IF('學員資料-三民高中'!$B$2:$B$454=$F2860,'學員資料-三民高中'!$G$2:$G$454,""))</f>
        <v>0930941302</v>
      </c>
      <c r="R2860" t="str" cm="1">
        <f t="array" ref="R2860">_xlfn.TEXTJOIN("、",TRUE,IF('學員資料-新北高中'!$B$2:$B$583=$F2860,'學員資料-新北高中'!$G$2:$G$583,""))</f>
        <v/>
      </c>
      <c r="S2860" t="str" cm="1">
        <f t="array" ref="S2860">_xlfn.TEXTJOIN("、",TRUE,IF('學員資料-三重商工'!$B$2:$B$472=$F2860,'學員資料-三重商工'!$G$2:$G$472,""))</f>
        <v/>
      </c>
      <c r="T2860">
        <f t="shared" si="44"/>
        <v>1</v>
      </c>
    </row>
    <row r="2861" spans="1:20" ht="28.5" hidden="1" customHeight="1">
      <c r="A2861" s="15">
        <v>2860</v>
      </c>
      <c r="B2861" s="16" t="s">
        <v>8768</v>
      </c>
      <c r="C2861" s="17">
        <v>45511</v>
      </c>
      <c r="D2861" s="15" t="s">
        <v>8769</v>
      </c>
      <c r="E2861" s="18" t="s">
        <v>954</v>
      </c>
      <c r="F2861" s="19" t="s">
        <v>3161</v>
      </c>
      <c r="G2861" s="18" t="s">
        <v>3162</v>
      </c>
      <c r="H2861" s="20" t="s">
        <v>5154</v>
      </c>
      <c r="I2861" s="15">
        <v>2</v>
      </c>
      <c r="J2861" s="15" t="s">
        <v>24</v>
      </c>
      <c r="K2861" s="15"/>
      <c r="L2861" s="21" t="s">
        <v>16</v>
      </c>
      <c r="M2861" s="22">
        <v>0</v>
      </c>
      <c r="N2861" s="22">
        <v>0</v>
      </c>
      <c r="O2861" s="22">
        <v>14400</v>
      </c>
      <c r="P2861" s="22">
        <v>14400</v>
      </c>
      <c r="Q2861" t="str" cm="1">
        <f t="array" ref="Q2861">_xlfn.TEXTJOIN("、",TRUE,IF('學員資料-三民高中'!$B$2:$B$454=$F2861,'學員資料-三民高中'!$G$2:$G$454,""))</f>
        <v>0911283587</v>
      </c>
      <c r="R2861" t="str" cm="1">
        <f t="array" ref="R2861">_xlfn.TEXTJOIN("、",TRUE,IF('學員資料-新北高中'!$B$2:$B$583=$F2861,'學員資料-新北高中'!$G$2:$G$583,""))</f>
        <v/>
      </c>
      <c r="S2861" t="str" cm="1">
        <f t="array" ref="S2861">_xlfn.TEXTJOIN("、",TRUE,IF('學員資料-三重商工'!$B$2:$B$472=$F2861,'學員資料-三重商工'!$G$2:$G$472,""))</f>
        <v/>
      </c>
      <c r="T2861">
        <f t="shared" si="44"/>
        <v>1</v>
      </c>
    </row>
    <row r="2862" spans="1:20" ht="14.25" hidden="1" customHeight="1">
      <c r="A2862" s="15">
        <v>2861</v>
      </c>
      <c r="B2862" s="16" t="s">
        <v>8770</v>
      </c>
      <c r="C2862" s="17">
        <v>45511</v>
      </c>
      <c r="D2862" s="15" t="s">
        <v>8771</v>
      </c>
      <c r="E2862" s="18" t="s">
        <v>954</v>
      </c>
      <c r="F2862" s="19" t="s">
        <v>1373</v>
      </c>
      <c r="G2862" s="18" t="s">
        <v>1374</v>
      </c>
      <c r="H2862" s="20" t="s">
        <v>5148</v>
      </c>
      <c r="I2862" s="15">
        <v>1</v>
      </c>
      <c r="J2862" s="15" t="s">
        <v>25</v>
      </c>
      <c r="K2862" s="15"/>
      <c r="L2862" s="21" t="s">
        <v>16</v>
      </c>
      <c r="M2862" s="22">
        <v>0</v>
      </c>
      <c r="N2862" s="22">
        <v>0</v>
      </c>
      <c r="O2862" s="22">
        <v>9000</v>
      </c>
      <c r="P2862" s="22">
        <v>9000</v>
      </c>
      <c r="Q2862" t="str" cm="1">
        <f t="array" ref="Q2862">_xlfn.TEXTJOIN("、",TRUE,IF('學員資料-三民高中'!$B$2:$B$454=$F2862,'學員資料-三民高中'!$G$2:$G$454,""))</f>
        <v/>
      </c>
      <c r="R2862" t="str" cm="1">
        <f t="array" ref="R2862">_xlfn.TEXTJOIN("、",TRUE,IF('學員資料-新北高中'!$B$2:$B$583=$F2862,'學員資料-新北高中'!$G$2:$G$583,""))</f>
        <v>0973665687</v>
      </c>
      <c r="S2862" t="str" cm="1">
        <f t="array" ref="S2862">_xlfn.TEXTJOIN("、",TRUE,IF('學員資料-三重商工'!$B$2:$B$472=$F2862,'學員資料-三重商工'!$G$2:$G$472,""))</f>
        <v/>
      </c>
      <c r="T2862">
        <f t="shared" si="44"/>
        <v>1</v>
      </c>
    </row>
    <row r="2863" spans="1:20" ht="14.25" hidden="1" customHeight="1">
      <c r="A2863" s="15">
        <v>2862</v>
      </c>
      <c r="B2863" s="16" t="s">
        <v>8772</v>
      </c>
      <c r="C2863" s="17">
        <v>45511</v>
      </c>
      <c r="D2863" s="15" t="s">
        <v>8773</v>
      </c>
      <c r="E2863" s="18" t="s">
        <v>954</v>
      </c>
      <c r="F2863" s="19" t="s">
        <v>1001</v>
      </c>
      <c r="G2863" s="18" t="s">
        <v>1002</v>
      </c>
      <c r="H2863" s="20" t="s">
        <v>5131</v>
      </c>
      <c r="I2863" s="15">
        <v>1</v>
      </c>
      <c r="J2863" s="15" t="s">
        <v>24</v>
      </c>
      <c r="K2863" s="15"/>
      <c r="L2863" s="21" t="s">
        <v>16</v>
      </c>
      <c r="M2863" s="22">
        <v>0</v>
      </c>
      <c r="N2863" s="22">
        <v>-864</v>
      </c>
      <c r="O2863" s="22">
        <v>6336</v>
      </c>
      <c r="P2863" s="22">
        <v>6336</v>
      </c>
      <c r="Q2863" t="str" cm="1">
        <f t="array" ref="Q2863">_xlfn.TEXTJOIN("、",TRUE,IF('學員資料-三民高中'!$B$2:$B$454=$F2863,'學員資料-三民高中'!$G$2:$G$454,""))</f>
        <v>0955554989</v>
      </c>
      <c r="R2863" t="str" cm="1">
        <f t="array" ref="R2863">_xlfn.TEXTJOIN("、",TRUE,IF('學員資料-新北高中'!$B$2:$B$583=$F2863,'學員資料-新北高中'!$G$2:$G$583,""))</f>
        <v/>
      </c>
      <c r="S2863" t="str" cm="1">
        <f t="array" ref="S2863">_xlfn.TEXTJOIN("、",TRUE,IF('學員資料-三重商工'!$B$2:$B$472=$F2863,'學員資料-三重商工'!$G$2:$G$472,""))</f>
        <v/>
      </c>
      <c r="T2863">
        <f t="shared" si="44"/>
        <v>1</v>
      </c>
    </row>
    <row r="2864" spans="1:20" ht="14.25" hidden="1" customHeight="1">
      <c r="A2864" s="15">
        <v>2863</v>
      </c>
      <c r="B2864" s="16" t="s">
        <v>8774</v>
      </c>
      <c r="C2864" s="17">
        <v>45511</v>
      </c>
      <c r="D2864" s="15" t="s">
        <v>3994</v>
      </c>
      <c r="E2864" s="18" t="s">
        <v>954</v>
      </c>
      <c r="F2864" s="19" t="s">
        <v>3949</v>
      </c>
      <c r="G2864" s="18" t="s">
        <v>3950</v>
      </c>
      <c r="H2864" s="20" t="s">
        <v>266</v>
      </c>
      <c r="I2864" s="15">
        <v>1</v>
      </c>
      <c r="J2864" s="15" t="s">
        <v>24</v>
      </c>
      <c r="K2864" s="15"/>
      <c r="L2864" s="21" t="s">
        <v>16</v>
      </c>
      <c r="M2864" s="22">
        <v>0</v>
      </c>
      <c r="N2864" s="22">
        <v>0</v>
      </c>
      <c r="O2864" s="22">
        <v>10800</v>
      </c>
      <c r="P2864" s="22">
        <v>10800</v>
      </c>
      <c r="Q2864" t="str" cm="1">
        <f t="array" ref="Q2864">_xlfn.TEXTJOIN("、",TRUE,IF('學員資料-三民高中'!$B$2:$B$454=$F2864,'學員資料-三民高中'!$G$2:$G$454,""))</f>
        <v/>
      </c>
      <c r="R2864" t="str" cm="1">
        <f t="array" ref="R2864">_xlfn.TEXTJOIN("、",TRUE,IF('學員資料-新北高中'!$B$2:$B$583=$F2864,'學員資料-新北高中'!$G$2:$G$583,""))</f>
        <v>0917979298</v>
      </c>
      <c r="S2864" t="str" cm="1">
        <f t="array" ref="S2864">_xlfn.TEXTJOIN("、",TRUE,IF('學員資料-三重商工'!$B$2:$B$472=$F2864,'學員資料-三重商工'!$G$2:$G$472,""))</f>
        <v/>
      </c>
      <c r="T2864">
        <f t="shared" si="44"/>
        <v>1</v>
      </c>
    </row>
    <row r="2865" spans="1:20" ht="43.5" hidden="1" customHeight="1">
      <c r="A2865" s="15">
        <v>2864</v>
      </c>
      <c r="B2865" s="16" t="s">
        <v>8775</v>
      </c>
      <c r="C2865" s="17">
        <v>45511</v>
      </c>
      <c r="D2865" s="15" t="s">
        <v>8776</v>
      </c>
      <c r="E2865" s="18" t="s">
        <v>954</v>
      </c>
      <c r="F2865" s="19" t="s">
        <v>6662</v>
      </c>
      <c r="G2865" s="18" t="s">
        <v>6663</v>
      </c>
      <c r="H2865" s="20" t="s">
        <v>5436</v>
      </c>
      <c r="I2865" s="15">
        <v>3</v>
      </c>
      <c r="J2865" s="15" t="s">
        <v>24</v>
      </c>
      <c r="K2865" s="15"/>
      <c r="L2865" s="21" t="s">
        <v>16</v>
      </c>
      <c r="M2865" s="22">
        <v>0</v>
      </c>
      <c r="N2865" s="22">
        <v>-2160</v>
      </c>
      <c r="O2865" s="22">
        <v>19440</v>
      </c>
      <c r="P2865" s="22">
        <v>19440</v>
      </c>
      <c r="Q2865" t="str" cm="1">
        <f t="array" ref="Q2865">_xlfn.TEXTJOIN("、",TRUE,IF('學員資料-三民高中'!$B$2:$B$454=$F2865,'學員資料-三民高中'!$G$2:$G$454,""))</f>
        <v>0920552751</v>
      </c>
      <c r="R2865" t="str" cm="1">
        <f t="array" ref="R2865">_xlfn.TEXTJOIN("、",TRUE,IF('學員資料-新北高中'!$B$2:$B$583=$F2865,'學員資料-新北高中'!$G$2:$G$583,""))</f>
        <v/>
      </c>
      <c r="S2865" t="str" cm="1">
        <f t="array" ref="S2865">_xlfn.TEXTJOIN("、",TRUE,IF('學員資料-三重商工'!$B$2:$B$472=$F2865,'學員資料-三重商工'!$G$2:$G$472,""))</f>
        <v/>
      </c>
      <c r="T2865">
        <f t="shared" si="44"/>
        <v>1</v>
      </c>
    </row>
    <row r="2866" spans="1:20" ht="14.25" hidden="1" customHeight="1">
      <c r="A2866" s="15">
        <v>2865</v>
      </c>
      <c r="B2866" s="16" t="s">
        <v>8777</v>
      </c>
      <c r="C2866" s="17">
        <v>45511</v>
      </c>
      <c r="D2866" s="15" t="s">
        <v>8778</v>
      </c>
      <c r="E2866" s="18" t="s">
        <v>954</v>
      </c>
      <c r="F2866" s="19" t="s">
        <v>8779</v>
      </c>
      <c r="G2866" s="18" t="s">
        <v>8780</v>
      </c>
      <c r="H2866" s="20" t="s">
        <v>5211</v>
      </c>
      <c r="I2866" s="15">
        <v>1</v>
      </c>
      <c r="J2866" s="15" t="s">
        <v>26</v>
      </c>
      <c r="K2866" s="15"/>
      <c r="L2866" s="21" t="s">
        <v>16</v>
      </c>
      <c r="M2866" s="22">
        <v>0</v>
      </c>
      <c r="N2866" s="22">
        <v>0</v>
      </c>
      <c r="O2866" s="22">
        <v>10800</v>
      </c>
      <c r="P2866" s="22">
        <v>10800</v>
      </c>
      <c r="Q2866" t="str" cm="1">
        <f t="array" ref="Q2866">_xlfn.TEXTJOIN("、",TRUE,IF('學員資料-三民高中'!$B$2:$B$454=$F2866,'學員資料-三民高中'!$G$2:$G$454,""))</f>
        <v/>
      </c>
      <c r="R2866" t="str" cm="1">
        <f t="array" ref="R2866">_xlfn.TEXTJOIN("、",TRUE,IF('學員資料-新北高中'!$B$2:$B$583=$F2866,'學員資料-新北高中'!$G$2:$G$583,""))</f>
        <v>0921919517</v>
      </c>
      <c r="S2866" t="str" cm="1">
        <f t="array" ref="S2866">_xlfn.TEXTJOIN("、",TRUE,IF('學員資料-三重商工'!$B$2:$B$472=$F2866,'學員資料-三重商工'!$G$2:$G$472,""))</f>
        <v/>
      </c>
      <c r="T2866">
        <f t="shared" si="44"/>
        <v>1</v>
      </c>
    </row>
    <row r="2867" spans="1:20" ht="28.5" hidden="1" customHeight="1">
      <c r="A2867" s="15">
        <v>2866</v>
      </c>
      <c r="B2867" s="16" t="s">
        <v>8781</v>
      </c>
      <c r="C2867" s="17">
        <v>45511</v>
      </c>
      <c r="D2867" s="15" t="s">
        <v>8782</v>
      </c>
      <c r="E2867" s="18" t="s">
        <v>954</v>
      </c>
      <c r="F2867" s="19" t="s">
        <v>1891</v>
      </c>
      <c r="G2867" s="18" t="s">
        <v>1892</v>
      </c>
      <c r="H2867" s="20" t="s">
        <v>5154</v>
      </c>
      <c r="I2867" s="15">
        <v>2</v>
      </c>
      <c r="J2867" s="15" t="s">
        <v>24</v>
      </c>
      <c r="K2867" s="15"/>
      <c r="L2867" s="21" t="s">
        <v>16</v>
      </c>
      <c r="M2867" s="22">
        <v>0</v>
      </c>
      <c r="N2867" s="22">
        <v>-1440</v>
      </c>
      <c r="O2867" s="22">
        <v>12960</v>
      </c>
      <c r="P2867" s="22">
        <v>12960</v>
      </c>
      <c r="Q2867" t="str" cm="1">
        <f t="array" ref="Q2867">_xlfn.TEXTJOIN("、",TRUE,IF('學員資料-三民高中'!$B$2:$B$454=$F2867,'學員資料-三民高中'!$G$2:$G$454,""))</f>
        <v>0921856822</v>
      </c>
      <c r="R2867" t="str" cm="1">
        <f t="array" ref="R2867">_xlfn.TEXTJOIN("、",TRUE,IF('學員資料-新北高中'!$B$2:$B$583=$F2867,'學員資料-新北高中'!$G$2:$G$583,""))</f>
        <v/>
      </c>
      <c r="S2867" t="str" cm="1">
        <f t="array" ref="S2867">_xlfn.TEXTJOIN("、",TRUE,IF('學員資料-三重商工'!$B$2:$B$472=$F2867,'學員資料-三重商工'!$G$2:$G$472,""))</f>
        <v/>
      </c>
      <c r="T2867">
        <f t="shared" si="44"/>
        <v>1</v>
      </c>
    </row>
    <row r="2868" spans="1:20" ht="14.25" hidden="1" customHeight="1">
      <c r="A2868" s="15">
        <v>2867</v>
      </c>
      <c r="B2868" s="16" t="s">
        <v>8783</v>
      </c>
      <c r="C2868" s="17">
        <v>45511</v>
      </c>
      <c r="D2868" s="15" t="s">
        <v>8784</v>
      </c>
      <c r="E2868" s="18" t="s">
        <v>954</v>
      </c>
      <c r="F2868" s="19" t="s">
        <v>8785</v>
      </c>
      <c r="G2868" s="18" t="s">
        <v>8786</v>
      </c>
      <c r="H2868" s="20" t="s">
        <v>6210</v>
      </c>
      <c r="I2868" s="15">
        <v>1</v>
      </c>
      <c r="J2868" s="15" t="s">
        <v>25</v>
      </c>
      <c r="K2868" s="15"/>
      <c r="L2868" s="21" t="s">
        <v>16</v>
      </c>
      <c r="M2868" s="22">
        <v>0</v>
      </c>
      <c r="N2868" s="22">
        <v>-2430</v>
      </c>
      <c r="O2868" s="22">
        <v>9720</v>
      </c>
      <c r="P2868" s="22">
        <v>9720</v>
      </c>
      <c r="Q2868" t="str" cm="1">
        <f t="array" ref="Q2868">_xlfn.TEXTJOIN("、",TRUE,IF('學員資料-三民高中'!$B$2:$B$454=$F2868,'學員資料-三民高中'!$G$2:$G$454,""))</f>
        <v/>
      </c>
      <c r="R2868" t="str" cm="1">
        <f t="array" ref="R2868">_xlfn.TEXTJOIN("、",TRUE,IF('學員資料-新北高中'!$B$2:$B$583=$F2868,'學員資料-新北高中'!$G$2:$G$583,""))</f>
        <v>AQ0003</v>
      </c>
      <c r="S2868" t="str" cm="1">
        <f t="array" ref="S2868">_xlfn.TEXTJOIN("、",TRUE,IF('學員資料-三重商工'!$B$2:$B$472=$F2868,'學員資料-三重商工'!$G$2:$G$472,""))</f>
        <v/>
      </c>
      <c r="T2868">
        <f t="shared" si="44"/>
        <v>1</v>
      </c>
    </row>
    <row r="2869" spans="1:20" ht="28.5" hidden="1" customHeight="1">
      <c r="A2869" s="15">
        <v>2868</v>
      </c>
      <c r="B2869" s="16" t="s">
        <v>8787</v>
      </c>
      <c r="C2869" s="17">
        <v>45511</v>
      </c>
      <c r="D2869" s="15" t="s">
        <v>8788</v>
      </c>
      <c r="E2869" s="18" t="s">
        <v>954</v>
      </c>
      <c r="F2869" s="19" t="s">
        <v>1887</v>
      </c>
      <c r="G2869" s="18" t="s">
        <v>1888</v>
      </c>
      <c r="H2869" s="20" t="s">
        <v>5206</v>
      </c>
      <c r="I2869" s="15">
        <v>2</v>
      </c>
      <c r="J2869" s="15" t="s">
        <v>23</v>
      </c>
      <c r="K2869" s="15"/>
      <c r="L2869" s="21" t="s">
        <v>16</v>
      </c>
      <c r="M2869" s="22">
        <v>0</v>
      </c>
      <c r="N2869" s="22">
        <v>-1320</v>
      </c>
      <c r="O2869" s="22">
        <v>11880</v>
      </c>
      <c r="P2869" s="22">
        <v>11880</v>
      </c>
      <c r="Q2869" t="str" cm="1">
        <f t="array" ref="Q2869">_xlfn.TEXTJOIN("、",TRUE,IF('學員資料-三民高中'!$B$2:$B$454=$F2869,'學員資料-三民高中'!$G$2:$G$454,""))</f>
        <v>0935716123</v>
      </c>
      <c r="R2869" t="str" cm="1">
        <f t="array" ref="R2869">_xlfn.TEXTJOIN("、",TRUE,IF('學員資料-新北高中'!$B$2:$B$583=$F2869,'學員資料-新北高中'!$G$2:$G$583,""))</f>
        <v/>
      </c>
      <c r="S2869" t="str" cm="1">
        <f t="array" ref="S2869">_xlfn.TEXTJOIN("、",TRUE,IF('學員資料-三重商工'!$B$2:$B$472=$F2869,'學員資料-三重商工'!$G$2:$G$472,""))</f>
        <v/>
      </c>
      <c r="T2869">
        <f t="shared" si="44"/>
        <v>1</v>
      </c>
    </row>
    <row r="2870" spans="1:20" ht="14.25" hidden="1" customHeight="1">
      <c r="A2870" s="15">
        <v>2869</v>
      </c>
      <c r="B2870" s="16" t="s">
        <v>8789</v>
      </c>
      <c r="C2870" s="17">
        <v>45511</v>
      </c>
      <c r="D2870" s="15" t="s">
        <v>8790</v>
      </c>
      <c r="E2870" s="18" t="s">
        <v>954</v>
      </c>
      <c r="F2870" s="19" t="s">
        <v>8413</v>
      </c>
      <c r="G2870" s="18" t="s">
        <v>8414</v>
      </c>
      <c r="H2870" s="20" t="s">
        <v>5163</v>
      </c>
      <c r="I2870" s="15">
        <v>1</v>
      </c>
      <c r="J2870" s="15" t="s">
        <v>23</v>
      </c>
      <c r="K2870" s="15"/>
      <c r="L2870" s="21" t="s">
        <v>16</v>
      </c>
      <c r="M2870" s="22">
        <v>0</v>
      </c>
      <c r="N2870" s="22">
        <v>0</v>
      </c>
      <c r="O2870" s="22">
        <v>6600</v>
      </c>
      <c r="P2870" s="22">
        <v>6600</v>
      </c>
      <c r="Q2870" t="str" cm="1">
        <f t="array" ref="Q2870">_xlfn.TEXTJOIN("、",TRUE,IF('學員資料-三民高中'!$B$2:$B$454=$F2870,'學員資料-三民高中'!$G$2:$G$454,""))</f>
        <v>0937089640</v>
      </c>
      <c r="R2870" t="str" cm="1">
        <f t="array" ref="R2870">_xlfn.TEXTJOIN("、",TRUE,IF('學員資料-新北高中'!$B$2:$B$583=$F2870,'學員資料-新北高中'!$G$2:$G$583,""))</f>
        <v/>
      </c>
      <c r="S2870" t="str" cm="1">
        <f t="array" ref="S2870">_xlfn.TEXTJOIN("、",TRUE,IF('學員資料-三重商工'!$B$2:$B$472=$F2870,'學員資料-三重商工'!$G$2:$G$472,""))</f>
        <v/>
      </c>
      <c r="T2870">
        <f t="shared" si="44"/>
        <v>1</v>
      </c>
    </row>
    <row r="2871" spans="1:20" ht="14.25" hidden="1" customHeight="1">
      <c r="A2871" s="15">
        <v>2870</v>
      </c>
      <c r="B2871" s="16" t="s">
        <v>8791</v>
      </c>
      <c r="C2871" s="17">
        <v>45511</v>
      </c>
      <c r="D2871" s="15" t="s">
        <v>8792</v>
      </c>
      <c r="E2871" s="18" t="s">
        <v>954</v>
      </c>
      <c r="F2871" s="19" t="s">
        <v>7627</v>
      </c>
      <c r="G2871" s="18" t="s">
        <v>7628</v>
      </c>
      <c r="H2871" s="20" t="s">
        <v>5361</v>
      </c>
      <c r="I2871" s="15">
        <v>1</v>
      </c>
      <c r="J2871" s="15" t="s">
        <v>23</v>
      </c>
      <c r="K2871" s="21" t="s">
        <v>116</v>
      </c>
      <c r="L2871" s="21" t="s">
        <v>16</v>
      </c>
      <c r="M2871" s="22">
        <v>0</v>
      </c>
      <c r="N2871" s="22">
        <v>0</v>
      </c>
      <c r="O2871" s="22">
        <v>1100</v>
      </c>
      <c r="P2871" s="22">
        <v>1100</v>
      </c>
      <c r="Q2871" t="str" cm="1">
        <f t="array" ref="Q2871">_xlfn.TEXTJOIN("、",TRUE,IF('學員資料-三民高中'!$B$2:$B$454=$F2871,'學員資料-三民高中'!$G$2:$G$454,""))</f>
        <v/>
      </c>
      <c r="R2871" t="str" cm="1">
        <f t="array" ref="R2871">_xlfn.TEXTJOIN("、",TRUE,IF('學員資料-新北高中'!$B$2:$B$583=$F2871,'學員資料-新北高中'!$G$2:$G$583,""))</f>
        <v>0936590062</v>
      </c>
      <c r="S2871" t="str" cm="1">
        <f t="array" ref="S2871">_xlfn.TEXTJOIN("、",TRUE,IF('學員資料-三重商工'!$B$2:$B$472=$F2871,'學員資料-三重商工'!$G$2:$G$472,""))</f>
        <v/>
      </c>
      <c r="T2871">
        <f t="shared" si="44"/>
        <v>1</v>
      </c>
    </row>
    <row r="2872" spans="1:20" ht="14.25" hidden="1" customHeight="1">
      <c r="A2872" s="15">
        <v>2871</v>
      </c>
      <c r="B2872" s="16" t="s">
        <v>8793</v>
      </c>
      <c r="C2872" s="17">
        <v>45511</v>
      </c>
      <c r="D2872" s="15" t="s">
        <v>8794</v>
      </c>
      <c r="E2872" s="18" t="s">
        <v>954</v>
      </c>
      <c r="F2872" s="19" t="s">
        <v>3424</v>
      </c>
      <c r="G2872" s="18" t="s">
        <v>3425</v>
      </c>
      <c r="H2872" s="20" t="s">
        <v>5163</v>
      </c>
      <c r="I2872" s="15">
        <v>1</v>
      </c>
      <c r="J2872" s="15" t="s">
        <v>23</v>
      </c>
      <c r="K2872" s="15"/>
      <c r="L2872" s="21" t="s">
        <v>16</v>
      </c>
      <c r="M2872" s="22">
        <v>0</v>
      </c>
      <c r="N2872" s="22">
        <v>-2640</v>
      </c>
      <c r="O2872" s="22">
        <v>3960</v>
      </c>
      <c r="P2872" s="22">
        <v>3960</v>
      </c>
      <c r="Q2872" t="str" cm="1">
        <f t="array" ref="Q2872">_xlfn.TEXTJOIN("、",TRUE,IF('學員資料-三民高中'!$B$2:$B$454=$F2872,'學員資料-三民高中'!$G$2:$G$454,""))</f>
        <v/>
      </c>
      <c r="R2872" t="str" cm="1">
        <f t="array" ref="R2872">_xlfn.TEXTJOIN("、",TRUE,IF('學員資料-新北高中'!$B$2:$B$583=$F2872,'學員資料-新北高中'!$G$2:$G$583,""))</f>
        <v/>
      </c>
      <c r="S2872" t="str" cm="1">
        <f t="array" ref="S2872">_xlfn.TEXTJOIN("、",TRUE,IF('學員資料-三重商工'!$B$2:$B$472=$F2872,'學員資料-三重商工'!$G$2:$G$472,""))</f>
        <v>0926238656-1</v>
      </c>
      <c r="T2872">
        <f t="shared" si="44"/>
        <v>1</v>
      </c>
    </row>
    <row r="2873" spans="1:20" ht="14.25" hidden="1" customHeight="1">
      <c r="A2873" s="15">
        <v>2872</v>
      </c>
      <c r="B2873" s="16" t="s">
        <v>8795</v>
      </c>
      <c r="C2873" s="17">
        <v>45511</v>
      </c>
      <c r="D2873" s="15" t="s">
        <v>8796</v>
      </c>
      <c r="E2873" s="18" t="s">
        <v>954</v>
      </c>
      <c r="F2873" s="19" t="s">
        <v>8797</v>
      </c>
      <c r="G2873" s="18" t="s">
        <v>8798</v>
      </c>
      <c r="H2873" s="20" t="s">
        <v>5163</v>
      </c>
      <c r="I2873" s="15">
        <v>1</v>
      </c>
      <c r="J2873" s="15" t="s">
        <v>23</v>
      </c>
      <c r="K2873" s="15"/>
      <c r="L2873" s="21" t="s">
        <v>16</v>
      </c>
      <c r="M2873" s="22">
        <v>0</v>
      </c>
      <c r="N2873" s="22">
        <v>0</v>
      </c>
      <c r="O2873" s="22">
        <v>6600</v>
      </c>
      <c r="P2873" s="22">
        <v>6600</v>
      </c>
      <c r="Q2873" t="str" cm="1">
        <f t="array" ref="Q2873">_xlfn.TEXTJOIN("、",TRUE,IF('學員資料-三民高中'!$B$2:$B$454=$F2873,'學員資料-三民高中'!$G$2:$G$454,""))</f>
        <v/>
      </c>
      <c r="R2873" t="str" cm="1">
        <f t="array" ref="R2873">_xlfn.TEXTJOIN("、",TRUE,IF('學員資料-新北高中'!$B$2:$B$583=$F2873,'學員資料-新北高中'!$G$2:$G$583,""))</f>
        <v>0984296589</v>
      </c>
      <c r="S2873" t="str" cm="1">
        <f t="array" ref="S2873">_xlfn.TEXTJOIN("、",TRUE,IF('學員資料-三重商工'!$B$2:$B$472=$F2873,'學員資料-三重商工'!$G$2:$G$472,""))</f>
        <v/>
      </c>
      <c r="T2873">
        <f t="shared" si="44"/>
        <v>1</v>
      </c>
    </row>
    <row r="2874" spans="1:20" ht="14.25" hidden="1" customHeight="1">
      <c r="A2874" s="15">
        <v>2873</v>
      </c>
      <c r="B2874" s="16" t="s">
        <v>8799</v>
      </c>
      <c r="C2874" s="17">
        <v>45511</v>
      </c>
      <c r="D2874" s="15" t="s">
        <v>8800</v>
      </c>
      <c r="E2874" s="18" t="s">
        <v>954</v>
      </c>
      <c r="F2874" s="19" t="s">
        <v>8264</v>
      </c>
      <c r="G2874" s="18" t="s">
        <v>8265</v>
      </c>
      <c r="H2874" s="20" t="s">
        <v>5148</v>
      </c>
      <c r="I2874" s="15">
        <v>1</v>
      </c>
      <c r="J2874" s="15" t="s">
        <v>25</v>
      </c>
      <c r="K2874" s="15"/>
      <c r="L2874" s="21" t="s">
        <v>16</v>
      </c>
      <c r="M2874" s="22">
        <v>0</v>
      </c>
      <c r="N2874" s="22">
        <v>-900</v>
      </c>
      <c r="O2874" s="22">
        <v>8100</v>
      </c>
      <c r="P2874" s="22">
        <v>8100</v>
      </c>
      <c r="Q2874" t="str" cm="1">
        <f t="array" ref="Q2874">_xlfn.TEXTJOIN("、",TRUE,IF('學員資料-三民高中'!$B$2:$B$454=$F2874,'學員資料-三民高中'!$G$2:$G$454,""))</f>
        <v/>
      </c>
      <c r="R2874" t="str" cm="1">
        <f t="array" ref="R2874">_xlfn.TEXTJOIN("、",TRUE,IF('學員資料-新北高中'!$B$2:$B$583=$F2874,'學員資料-新北高中'!$G$2:$G$583,""))</f>
        <v>0955680421</v>
      </c>
      <c r="S2874" t="str" cm="1">
        <f t="array" ref="S2874">_xlfn.TEXTJOIN("、",TRUE,IF('學員資料-三重商工'!$B$2:$B$472=$F2874,'學員資料-三重商工'!$G$2:$G$472,""))</f>
        <v/>
      </c>
      <c r="T2874">
        <f t="shared" si="44"/>
        <v>1</v>
      </c>
    </row>
    <row r="2875" spans="1:20" ht="14.25" hidden="1" customHeight="1">
      <c r="A2875" s="15">
        <v>2874</v>
      </c>
      <c r="B2875" s="16" t="s">
        <v>8801</v>
      </c>
      <c r="C2875" s="17">
        <v>45511</v>
      </c>
      <c r="D2875" s="15" t="s">
        <v>8802</v>
      </c>
      <c r="E2875" s="18" t="s">
        <v>954</v>
      </c>
      <c r="F2875" s="19" t="s">
        <v>681</v>
      </c>
      <c r="G2875" s="18" t="s">
        <v>682</v>
      </c>
      <c r="H2875" s="20" t="s">
        <v>683</v>
      </c>
      <c r="I2875" s="15">
        <v>1</v>
      </c>
      <c r="J2875" s="15" t="s">
        <v>23</v>
      </c>
      <c r="K2875" s="15"/>
      <c r="L2875" s="21" t="s">
        <v>16</v>
      </c>
      <c r="M2875" s="22">
        <v>0</v>
      </c>
      <c r="N2875" s="22">
        <v>-3600</v>
      </c>
      <c r="O2875" s="22">
        <v>5400</v>
      </c>
      <c r="P2875" s="22">
        <v>5400</v>
      </c>
      <c r="Q2875" t="str" cm="1">
        <f t="array" ref="Q2875">_xlfn.TEXTJOIN("、",TRUE,IF('學員資料-三民高中'!$B$2:$B$454=$F2875,'學員資料-三民高中'!$G$2:$G$454,""))</f>
        <v/>
      </c>
      <c r="R2875" t="str" cm="1">
        <f t="array" ref="R2875">_xlfn.TEXTJOIN("、",TRUE,IF('學員資料-新北高中'!$B$2:$B$583=$F2875,'學員資料-新北高中'!$G$2:$G$583,""))</f>
        <v>0956888791</v>
      </c>
      <c r="S2875" t="str" cm="1">
        <f t="array" ref="S2875">_xlfn.TEXTJOIN("、",TRUE,IF('學員資料-三重商工'!$B$2:$B$472=$F2875,'學員資料-三重商工'!$G$2:$G$472,""))</f>
        <v/>
      </c>
      <c r="T2875">
        <f t="shared" si="44"/>
        <v>1</v>
      </c>
    </row>
    <row r="2876" spans="1:20" ht="14.25" hidden="1" customHeight="1">
      <c r="A2876" s="15">
        <v>2875</v>
      </c>
      <c r="B2876" s="16" t="s">
        <v>8803</v>
      </c>
      <c r="C2876" s="17">
        <v>45511</v>
      </c>
      <c r="D2876" s="15" t="s">
        <v>8804</v>
      </c>
      <c r="E2876" s="18" t="s">
        <v>954</v>
      </c>
      <c r="F2876" s="19" t="s">
        <v>8805</v>
      </c>
      <c r="G2876" s="18" t="s">
        <v>8806</v>
      </c>
      <c r="H2876" s="20" t="s">
        <v>5163</v>
      </c>
      <c r="I2876" s="15">
        <v>1</v>
      </c>
      <c r="J2876" s="15" t="s">
        <v>23</v>
      </c>
      <c r="K2876" s="15"/>
      <c r="L2876" s="21" t="s">
        <v>16</v>
      </c>
      <c r="M2876" s="22">
        <v>0</v>
      </c>
      <c r="N2876" s="22">
        <v>0</v>
      </c>
      <c r="O2876" s="22">
        <v>6600</v>
      </c>
      <c r="P2876" s="22">
        <v>6600</v>
      </c>
      <c r="Q2876" t="str" cm="1">
        <f t="array" ref="Q2876">_xlfn.TEXTJOIN("、",TRUE,IF('學員資料-三民高中'!$B$2:$B$454=$F2876,'學員資料-三民高中'!$G$2:$G$454,""))</f>
        <v/>
      </c>
      <c r="R2876" t="str" cm="1">
        <f t="array" ref="R2876">_xlfn.TEXTJOIN("、",TRUE,IF('學員資料-新北高中'!$B$2:$B$583=$F2876,'學員資料-新北高中'!$G$2:$G$583,""))</f>
        <v>0920007000</v>
      </c>
      <c r="S2876" t="str" cm="1">
        <f t="array" ref="S2876">_xlfn.TEXTJOIN("、",TRUE,IF('學員資料-三重商工'!$B$2:$B$472=$F2876,'學員資料-三重商工'!$G$2:$G$472,""))</f>
        <v/>
      </c>
      <c r="T2876">
        <f t="shared" si="44"/>
        <v>1</v>
      </c>
    </row>
    <row r="2877" spans="1:20" ht="14.25" customHeight="1">
      <c r="A2877" s="15">
        <v>2876</v>
      </c>
      <c r="B2877" s="16" t="s">
        <v>8807</v>
      </c>
      <c r="C2877" s="17">
        <v>45511</v>
      </c>
      <c r="D2877" s="15" t="s">
        <v>8808</v>
      </c>
      <c r="E2877" s="18" t="s">
        <v>954</v>
      </c>
      <c r="F2877" s="19" t="s">
        <v>8809</v>
      </c>
      <c r="G2877" s="23"/>
      <c r="H2877" s="20" t="s">
        <v>5211</v>
      </c>
      <c r="I2877" s="15">
        <v>1</v>
      </c>
      <c r="J2877" s="15" t="s">
        <v>26</v>
      </c>
      <c r="K2877" s="15"/>
      <c r="L2877" s="21" t="s">
        <v>16</v>
      </c>
      <c r="M2877" s="22">
        <v>0</v>
      </c>
      <c r="N2877" s="22">
        <v>-1296</v>
      </c>
      <c r="O2877" s="22">
        <v>9504</v>
      </c>
      <c r="P2877" s="22">
        <v>9504</v>
      </c>
      <c r="Q2877" t="str" cm="1">
        <f t="array" ref="Q2877">_xlfn.TEXTJOIN("、",TRUE,IF('學員資料-三民高中'!$B$2:$B$454=$F2877,'學員資料-三民高中'!$G$2:$G$454,""))</f>
        <v/>
      </c>
      <c r="R2877" t="str" cm="1">
        <f t="array" ref="R2877">_xlfn.TEXTJOIN("、",TRUE,IF('學員資料-新北高中'!$B$2:$B$583=$F2877,'學員資料-新北高中'!$G$2:$G$583,""))</f>
        <v/>
      </c>
      <c r="S2877" t="str" cm="1">
        <f t="array" ref="S2877">_xlfn.TEXTJOIN("、",TRUE,IF('學員資料-三重商工'!$B$2:$B$472=$F2877,'學員資料-三重商工'!$G$2:$G$472,""))</f>
        <v/>
      </c>
      <c r="T2877">
        <f t="shared" si="44"/>
        <v>0</v>
      </c>
    </row>
    <row r="2878" spans="1:20" ht="28.5" hidden="1" customHeight="1">
      <c r="A2878" s="15">
        <v>2877</v>
      </c>
      <c r="B2878" s="16" t="s">
        <v>8810</v>
      </c>
      <c r="C2878" s="17">
        <v>45511</v>
      </c>
      <c r="D2878" s="15" t="s">
        <v>8811</v>
      </c>
      <c r="E2878" s="18" t="s">
        <v>954</v>
      </c>
      <c r="F2878" s="19" t="s">
        <v>8812</v>
      </c>
      <c r="G2878" s="18" t="s">
        <v>8813</v>
      </c>
      <c r="H2878" s="20" t="s">
        <v>5206</v>
      </c>
      <c r="I2878" s="15">
        <v>2</v>
      </c>
      <c r="J2878" s="15" t="s">
        <v>23</v>
      </c>
      <c r="K2878" s="15"/>
      <c r="L2878" s="21" t="s">
        <v>16</v>
      </c>
      <c r="M2878" s="22">
        <v>0</v>
      </c>
      <c r="N2878" s="22">
        <v>0</v>
      </c>
      <c r="O2878" s="22">
        <v>13200</v>
      </c>
      <c r="P2878" s="22">
        <v>13200</v>
      </c>
      <c r="Q2878" t="str" cm="1">
        <f t="array" ref="Q2878">_xlfn.TEXTJOIN("、",TRUE,IF('學員資料-三民高中'!$B$2:$B$454=$F2878,'學員資料-三民高中'!$G$2:$G$454,""))</f>
        <v/>
      </c>
      <c r="R2878" t="str" cm="1">
        <f t="array" ref="R2878">_xlfn.TEXTJOIN("、",TRUE,IF('學員資料-新北高中'!$B$2:$B$583=$F2878,'學員資料-新北高中'!$G$2:$G$583,""))</f>
        <v>0916722198</v>
      </c>
      <c r="S2878" t="str" cm="1">
        <f t="array" ref="S2878">_xlfn.TEXTJOIN("、",TRUE,IF('學員資料-三重商工'!$B$2:$B$472=$F2878,'學員資料-三重商工'!$G$2:$G$472,""))</f>
        <v/>
      </c>
      <c r="T2878">
        <f t="shared" si="44"/>
        <v>1</v>
      </c>
    </row>
    <row r="2879" spans="1:20" ht="14.25" hidden="1" customHeight="1">
      <c r="A2879" s="15">
        <v>2878</v>
      </c>
      <c r="B2879" s="16" t="s">
        <v>8814</v>
      </c>
      <c r="C2879" s="17">
        <v>45511</v>
      </c>
      <c r="D2879" s="15" t="s">
        <v>8815</v>
      </c>
      <c r="E2879" s="18" t="s">
        <v>954</v>
      </c>
      <c r="F2879" s="19" t="s">
        <v>8816</v>
      </c>
      <c r="G2879" s="18" t="s">
        <v>8817</v>
      </c>
      <c r="H2879" s="20" t="s">
        <v>5131</v>
      </c>
      <c r="I2879" s="15">
        <v>1</v>
      </c>
      <c r="J2879" s="15" t="s">
        <v>24</v>
      </c>
      <c r="K2879" s="15"/>
      <c r="L2879" s="21" t="s">
        <v>16</v>
      </c>
      <c r="M2879" s="22">
        <v>0</v>
      </c>
      <c r="N2879" s="22">
        <v>0</v>
      </c>
      <c r="O2879" s="22">
        <v>7200</v>
      </c>
      <c r="P2879" s="22">
        <v>7200</v>
      </c>
      <c r="Q2879" t="str" cm="1">
        <f t="array" ref="Q2879">_xlfn.TEXTJOIN("、",TRUE,IF('學員資料-三民高中'!$B$2:$B$454=$F2879,'學員資料-三民高中'!$G$2:$G$454,""))</f>
        <v/>
      </c>
      <c r="R2879" t="str" cm="1">
        <f t="array" ref="R2879">_xlfn.TEXTJOIN("、",TRUE,IF('學員資料-新北高中'!$B$2:$B$583=$F2879,'學員資料-新北高中'!$G$2:$G$583,""))</f>
        <v>0921107905</v>
      </c>
      <c r="S2879" t="str" cm="1">
        <f t="array" ref="S2879">_xlfn.TEXTJOIN("、",TRUE,IF('學員資料-三重商工'!$B$2:$B$472=$F2879,'學員資料-三重商工'!$G$2:$G$472,""))</f>
        <v/>
      </c>
      <c r="T2879">
        <f t="shared" si="44"/>
        <v>1</v>
      </c>
    </row>
    <row r="2880" spans="1:20" ht="57.75" hidden="1" customHeight="1">
      <c r="A2880" s="15">
        <v>2879</v>
      </c>
      <c r="B2880" s="16" t="s">
        <v>8818</v>
      </c>
      <c r="C2880" s="17">
        <v>45511</v>
      </c>
      <c r="D2880" s="15" t="s">
        <v>8819</v>
      </c>
      <c r="E2880" s="18" t="s">
        <v>954</v>
      </c>
      <c r="F2880" s="19" t="s">
        <v>8820</v>
      </c>
      <c r="G2880" s="18" t="s">
        <v>8821</v>
      </c>
      <c r="H2880" s="20" t="s">
        <v>5457</v>
      </c>
      <c r="I2880" s="15">
        <v>4</v>
      </c>
      <c r="J2880" s="15" t="s">
        <v>24</v>
      </c>
      <c r="K2880" s="15"/>
      <c r="L2880" s="21" t="s">
        <v>16</v>
      </c>
      <c r="M2880" s="22">
        <v>0</v>
      </c>
      <c r="N2880" s="22">
        <v>-3456</v>
      </c>
      <c r="O2880" s="22">
        <v>25344</v>
      </c>
      <c r="P2880" s="22">
        <v>25344</v>
      </c>
      <c r="Q2880" t="str" cm="1">
        <f t="array" ref="Q2880">_xlfn.TEXTJOIN("、",TRUE,IF('學員資料-三民高中'!$B$2:$B$454=$F2880,'學員資料-三民高中'!$G$2:$G$454,""))</f>
        <v/>
      </c>
      <c r="R2880" t="str" cm="1">
        <f t="array" ref="R2880">_xlfn.TEXTJOIN("、",TRUE,IF('學員資料-新北高中'!$B$2:$B$583=$F2880,'學員資料-新北高中'!$G$2:$G$583,""))</f>
        <v>091275514</v>
      </c>
      <c r="S2880" t="str" cm="1">
        <f t="array" ref="S2880">_xlfn.TEXTJOIN("、",TRUE,IF('學員資料-三重商工'!$B$2:$B$472=$F2880,'學員資料-三重商工'!$G$2:$G$472,""))</f>
        <v/>
      </c>
      <c r="T2880">
        <f t="shared" si="44"/>
        <v>1</v>
      </c>
    </row>
    <row r="2881" spans="1:20" ht="14.25" hidden="1" customHeight="1">
      <c r="A2881" s="15">
        <v>2880</v>
      </c>
      <c r="B2881" s="16" t="s">
        <v>8822</v>
      </c>
      <c r="C2881" s="17">
        <v>45511</v>
      </c>
      <c r="D2881" s="15" t="s">
        <v>8823</v>
      </c>
      <c r="E2881" s="18" t="s">
        <v>954</v>
      </c>
      <c r="F2881" s="19" t="s">
        <v>8824</v>
      </c>
      <c r="G2881" s="18" t="s">
        <v>8825</v>
      </c>
      <c r="H2881" s="20" t="s">
        <v>5131</v>
      </c>
      <c r="I2881" s="15">
        <v>1</v>
      </c>
      <c r="J2881" s="15" t="s">
        <v>24</v>
      </c>
      <c r="K2881" s="15"/>
      <c r="L2881" s="21" t="s">
        <v>16</v>
      </c>
      <c r="M2881" s="22">
        <v>0</v>
      </c>
      <c r="N2881" s="22">
        <v>-864</v>
      </c>
      <c r="O2881" s="22">
        <v>6336</v>
      </c>
      <c r="P2881" s="22">
        <v>6336</v>
      </c>
      <c r="Q2881" t="str" cm="1">
        <f t="array" ref="Q2881">_xlfn.TEXTJOIN("、",TRUE,IF('學員資料-三民高中'!$B$2:$B$454=$F2881,'學員資料-三民高中'!$G$2:$G$454,""))</f>
        <v/>
      </c>
      <c r="R2881" t="str" cm="1">
        <f t="array" ref="R2881">_xlfn.TEXTJOIN("、",TRUE,IF('學員資料-新北高中'!$B$2:$B$583=$F2881,'學員資料-新北高中'!$G$2:$G$583,""))</f>
        <v>0927520682</v>
      </c>
      <c r="S2881" t="str" cm="1">
        <f t="array" ref="S2881">_xlfn.TEXTJOIN("、",TRUE,IF('學員資料-三重商工'!$B$2:$B$472=$F2881,'學員資料-三重商工'!$G$2:$G$472,""))</f>
        <v/>
      </c>
      <c r="T2881">
        <f t="shared" si="44"/>
        <v>1</v>
      </c>
    </row>
    <row r="2882" spans="1:20" ht="14.25" hidden="1" customHeight="1">
      <c r="A2882" s="15">
        <v>2881</v>
      </c>
      <c r="B2882" s="16" t="s">
        <v>8826</v>
      </c>
      <c r="C2882" s="17">
        <v>45510</v>
      </c>
      <c r="D2882" s="15" t="s">
        <v>8827</v>
      </c>
      <c r="E2882" s="18" t="s">
        <v>954</v>
      </c>
      <c r="F2882" s="19" t="s">
        <v>8539</v>
      </c>
      <c r="G2882" s="18" t="s">
        <v>8540</v>
      </c>
      <c r="H2882" s="20" t="s">
        <v>5163</v>
      </c>
      <c r="I2882" s="15">
        <v>1</v>
      </c>
      <c r="J2882" s="15" t="s">
        <v>23</v>
      </c>
      <c r="K2882" s="15"/>
      <c r="L2882" s="21" t="s">
        <v>16</v>
      </c>
      <c r="M2882" s="22">
        <v>0</v>
      </c>
      <c r="N2882" s="22">
        <v>0</v>
      </c>
      <c r="O2882" s="22">
        <v>6600</v>
      </c>
      <c r="P2882" s="22">
        <v>6600</v>
      </c>
      <c r="Q2882" t="str" cm="1">
        <f t="array" ref="Q2882">_xlfn.TEXTJOIN("、",TRUE,IF('學員資料-三民高中'!$B$2:$B$454=$F2882,'學員資料-三民高中'!$G$2:$G$454,""))</f>
        <v/>
      </c>
      <c r="R2882" t="str" cm="1">
        <f t="array" ref="R2882">_xlfn.TEXTJOIN("、",TRUE,IF('學員資料-新北高中'!$B$2:$B$583=$F2882,'學員資料-新北高中'!$G$2:$G$583,""))</f>
        <v>0933217417-2</v>
      </c>
      <c r="S2882" t="str" cm="1">
        <f t="array" ref="S2882">_xlfn.TEXTJOIN("、",TRUE,IF('學員資料-三重商工'!$B$2:$B$472=$F2882,'學員資料-三重商工'!$G$2:$G$472,""))</f>
        <v/>
      </c>
      <c r="T2882">
        <f t="shared" si="44"/>
        <v>1</v>
      </c>
    </row>
    <row r="2883" spans="1:20" ht="14.25" hidden="1" customHeight="1">
      <c r="A2883" s="15">
        <v>2882</v>
      </c>
      <c r="B2883" s="16" t="s">
        <v>8828</v>
      </c>
      <c r="C2883" s="17">
        <v>45510</v>
      </c>
      <c r="D2883" s="15" t="s">
        <v>8829</v>
      </c>
      <c r="E2883" s="18" t="s">
        <v>954</v>
      </c>
      <c r="F2883" s="19" t="s">
        <v>8830</v>
      </c>
      <c r="G2883" s="18" t="s">
        <v>8831</v>
      </c>
      <c r="H2883" s="20" t="s">
        <v>5180</v>
      </c>
      <c r="I2883" s="15">
        <v>1</v>
      </c>
      <c r="J2883" s="15" t="s">
        <v>24</v>
      </c>
      <c r="K2883" s="15"/>
      <c r="L2883" s="21" t="s">
        <v>16</v>
      </c>
      <c r="M2883" s="22">
        <v>0</v>
      </c>
      <c r="N2883" s="22">
        <v>0</v>
      </c>
      <c r="O2883" s="22">
        <v>8640</v>
      </c>
      <c r="P2883" s="22">
        <v>8640</v>
      </c>
      <c r="Q2883" t="str" cm="1">
        <f t="array" ref="Q2883">_xlfn.TEXTJOIN("、",TRUE,IF('學員資料-三民高中'!$B$2:$B$454=$F2883,'學員資料-三民高中'!$G$2:$G$454,""))</f>
        <v/>
      </c>
      <c r="R2883" t="str" cm="1">
        <f t="array" ref="R2883">_xlfn.TEXTJOIN("、",TRUE,IF('學員資料-新北高中'!$B$2:$B$583=$F2883,'學員資料-新北高中'!$G$2:$G$583,""))</f>
        <v>0988163997</v>
      </c>
      <c r="S2883" t="str" cm="1">
        <f t="array" ref="S2883">_xlfn.TEXTJOIN("、",TRUE,IF('學員資料-三重商工'!$B$2:$B$472=$F2883,'學員資料-三重商工'!$G$2:$G$472,""))</f>
        <v/>
      </c>
      <c r="T2883">
        <f t="shared" ref="T2883:T2946" si="45">3-COUNTBLANK(Q2883:S2883)</f>
        <v>1</v>
      </c>
    </row>
    <row r="2884" spans="1:20" ht="14.25" hidden="1" customHeight="1">
      <c r="A2884" s="15">
        <v>2883</v>
      </c>
      <c r="B2884" s="16" t="s">
        <v>8832</v>
      </c>
      <c r="C2884" s="17">
        <v>45510</v>
      </c>
      <c r="D2884" s="15" t="s">
        <v>8833</v>
      </c>
      <c r="E2884" s="18" t="s">
        <v>954</v>
      </c>
      <c r="F2884" s="19" t="s">
        <v>3712</v>
      </c>
      <c r="G2884" s="18" t="s">
        <v>3713</v>
      </c>
      <c r="H2884" s="20" t="s">
        <v>5131</v>
      </c>
      <c r="I2884" s="15">
        <v>1</v>
      </c>
      <c r="J2884" s="15" t="s">
        <v>24</v>
      </c>
      <c r="K2884" s="15"/>
      <c r="L2884" s="21" t="s">
        <v>16</v>
      </c>
      <c r="M2884" s="22">
        <v>0</v>
      </c>
      <c r="N2884" s="22">
        <v>0</v>
      </c>
      <c r="O2884" s="22">
        <v>7200</v>
      </c>
      <c r="P2884" s="22">
        <v>7200</v>
      </c>
      <c r="Q2884" t="str" cm="1">
        <f t="array" ref="Q2884">_xlfn.TEXTJOIN("、",TRUE,IF('學員資料-三民高中'!$B$2:$B$454=$F2884,'學員資料-三民高中'!$G$2:$G$454,""))</f>
        <v/>
      </c>
      <c r="R2884" t="str" cm="1">
        <f t="array" ref="R2884">_xlfn.TEXTJOIN("、",TRUE,IF('學員資料-新北高中'!$B$2:$B$583=$F2884,'學員資料-新北高中'!$G$2:$G$583,""))</f>
        <v>0919823051</v>
      </c>
      <c r="S2884" t="str" cm="1">
        <f t="array" ref="S2884">_xlfn.TEXTJOIN("、",TRUE,IF('學員資料-三重商工'!$B$2:$B$472=$F2884,'學員資料-三重商工'!$G$2:$G$472,""))</f>
        <v/>
      </c>
      <c r="T2884">
        <f t="shared" si="45"/>
        <v>1</v>
      </c>
    </row>
    <row r="2885" spans="1:20" ht="14.25" hidden="1" customHeight="1">
      <c r="A2885" s="15">
        <v>2884</v>
      </c>
      <c r="B2885" s="16" t="s">
        <v>8834</v>
      </c>
      <c r="C2885" s="17">
        <v>45510</v>
      </c>
      <c r="D2885" s="15" t="s">
        <v>8835</v>
      </c>
      <c r="E2885" s="18" t="s">
        <v>954</v>
      </c>
      <c r="F2885" s="19" t="s">
        <v>3673</v>
      </c>
      <c r="G2885" s="18" t="s">
        <v>3674</v>
      </c>
      <c r="H2885" s="20" t="s">
        <v>5163</v>
      </c>
      <c r="I2885" s="15">
        <v>1</v>
      </c>
      <c r="J2885" s="15" t="s">
        <v>23</v>
      </c>
      <c r="K2885" s="15"/>
      <c r="L2885" s="21" t="s">
        <v>16</v>
      </c>
      <c r="M2885" s="22">
        <v>0</v>
      </c>
      <c r="N2885" s="22">
        <v>-3300</v>
      </c>
      <c r="O2885" s="22">
        <v>3300</v>
      </c>
      <c r="P2885" s="22">
        <v>3300</v>
      </c>
      <c r="Q2885" t="str" cm="1">
        <f t="array" ref="Q2885">_xlfn.TEXTJOIN("、",TRUE,IF('學員資料-三民高中'!$B$2:$B$454=$F2885,'學員資料-三民高中'!$G$2:$G$454,""))</f>
        <v/>
      </c>
      <c r="R2885" t="str" cm="1">
        <f t="array" ref="R2885">_xlfn.TEXTJOIN("、",TRUE,IF('學員資料-新北高中'!$B$2:$B$583=$F2885,'學員資料-新北高中'!$G$2:$G$583,""))</f>
        <v>0926264668</v>
      </c>
      <c r="S2885" t="str" cm="1">
        <f t="array" ref="S2885">_xlfn.TEXTJOIN("、",TRUE,IF('學員資料-三重商工'!$B$2:$B$472=$F2885,'學員資料-三重商工'!$G$2:$G$472,""))</f>
        <v/>
      </c>
      <c r="T2885">
        <f t="shared" si="45"/>
        <v>1</v>
      </c>
    </row>
    <row r="2886" spans="1:20" ht="14.25" hidden="1" customHeight="1">
      <c r="A2886" s="15">
        <v>2885</v>
      </c>
      <c r="B2886" s="16" t="s">
        <v>8836</v>
      </c>
      <c r="C2886" s="17">
        <v>45510</v>
      </c>
      <c r="D2886" s="15" t="s">
        <v>2584</v>
      </c>
      <c r="E2886" s="18" t="s">
        <v>954</v>
      </c>
      <c r="F2886" s="19" t="s">
        <v>1149</v>
      </c>
      <c r="G2886" s="18" t="s">
        <v>1150</v>
      </c>
      <c r="H2886" s="20" t="s">
        <v>5163</v>
      </c>
      <c r="I2886" s="15">
        <v>1</v>
      </c>
      <c r="J2886" s="15" t="s">
        <v>23</v>
      </c>
      <c r="K2886" s="15"/>
      <c r="L2886" s="21" t="s">
        <v>16</v>
      </c>
      <c r="M2886" s="22">
        <v>0</v>
      </c>
      <c r="N2886" s="22">
        <v>0</v>
      </c>
      <c r="O2886" s="22">
        <v>6600</v>
      </c>
      <c r="P2886" s="22">
        <v>6600</v>
      </c>
      <c r="Q2886" t="str" cm="1">
        <f t="array" ref="Q2886">_xlfn.TEXTJOIN("、",TRUE,IF('學員資料-三民高中'!$B$2:$B$454=$F2886,'學員資料-三民高中'!$G$2:$G$454,""))</f>
        <v/>
      </c>
      <c r="R2886" t="str" cm="1">
        <f t="array" ref="R2886">_xlfn.TEXTJOIN("、",TRUE,IF('學員資料-新北高中'!$B$2:$B$583=$F2886,'學員資料-新北高中'!$G$2:$G$583,""))</f>
        <v>0921812164</v>
      </c>
      <c r="S2886" t="str" cm="1">
        <f t="array" ref="S2886">_xlfn.TEXTJOIN("、",TRUE,IF('學員資料-三重商工'!$B$2:$B$472=$F2886,'學員資料-三重商工'!$G$2:$G$472,""))</f>
        <v/>
      </c>
      <c r="T2886">
        <f t="shared" si="45"/>
        <v>1</v>
      </c>
    </row>
    <row r="2887" spans="1:20" ht="14.25" hidden="1" customHeight="1">
      <c r="A2887" s="15">
        <v>2886</v>
      </c>
      <c r="B2887" s="16" t="s">
        <v>8837</v>
      </c>
      <c r="C2887" s="17">
        <v>45510</v>
      </c>
      <c r="D2887" s="15" t="s">
        <v>960</v>
      </c>
      <c r="E2887" s="18" t="s">
        <v>954</v>
      </c>
      <c r="F2887" s="19" t="s">
        <v>8838</v>
      </c>
      <c r="G2887" s="18" t="s">
        <v>8839</v>
      </c>
      <c r="H2887" s="20" t="s">
        <v>5131</v>
      </c>
      <c r="I2887" s="15">
        <v>1</v>
      </c>
      <c r="J2887" s="15" t="s">
        <v>24</v>
      </c>
      <c r="K2887" s="15"/>
      <c r="L2887" s="21" t="s">
        <v>16</v>
      </c>
      <c r="M2887" s="22">
        <v>0</v>
      </c>
      <c r="N2887" s="22">
        <v>0</v>
      </c>
      <c r="O2887" s="22">
        <v>7200</v>
      </c>
      <c r="P2887" s="22">
        <v>7200</v>
      </c>
      <c r="Q2887" t="str" cm="1">
        <f t="array" ref="Q2887">_xlfn.TEXTJOIN("、",TRUE,IF('學員資料-三民高中'!$B$2:$B$454=$F2887,'學員資料-三民高中'!$G$2:$G$454,""))</f>
        <v/>
      </c>
      <c r="R2887" t="str" cm="1">
        <f t="array" ref="R2887">_xlfn.TEXTJOIN("、",TRUE,IF('學員資料-新北高中'!$B$2:$B$583=$F2887,'學員資料-新北高中'!$G$2:$G$583,""))</f>
        <v>0932907705</v>
      </c>
      <c r="S2887" t="str" cm="1">
        <f t="array" ref="S2887">_xlfn.TEXTJOIN("、",TRUE,IF('學員資料-三重商工'!$B$2:$B$472=$F2887,'學員資料-三重商工'!$G$2:$G$472,""))</f>
        <v/>
      </c>
      <c r="T2887">
        <f t="shared" si="45"/>
        <v>1</v>
      </c>
    </row>
    <row r="2888" spans="1:20" ht="14.25" hidden="1" customHeight="1">
      <c r="A2888" s="15">
        <v>2887</v>
      </c>
      <c r="B2888" s="16" t="s">
        <v>8840</v>
      </c>
      <c r="C2888" s="17">
        <v>45510</v>
      </c>
      <c r="D2888" s="15" t="s">
        <v>8841</v>
      </c>
      <c r="E2888" s="18" t="s">
        <v>954</v>
      </c>
      <c r="F2888" s="19" t="s">
        <v>5748</v>
      </c>
      <c r="G2888" s="18" t="s">
        <v>5749</v>
      </c>
      <c r="H2888" s="20" t="s">
        <v>5163</v>
      </c>
      <c r="I2888" s="15">
        <v>1</v>
      </c>
      <c r="J2888" s="15" t="s">
        <v>23</v>
      </c>
      <c r="K2888" s="15"/>
      <c r="L2888" s="21" t="s">
        <v>16</v>
      </c>
      <c r="M2888" s="22">
        <v>0</v>
      </c>
      <c r="N2888" s="22">
        <v>0</v>
      </c>
      <c r="O2888" s="22">
        <v>6600</v>
      </c>
      <c r="P2888" s="22">
        <v>6600</v>
      </c>
      <c r="Q2888" t="str" cm="1">
        <f t="array" ref="Q2888">_xlfn.TEXTJOIN("、",TRUE,IF('學員資料-三民高中'!$B$2:$B$454=$F2888,'學員資料-三民高中'!$G$2:$G$454,""))</f>
        <v/>
      </c>
      <c r="R2888" t="str" cm="1">
        <f t="array" ref="R2888">_xlfn.TEXTJOIN("、",TRUE,IF('學員資料-新北高中'!$B$2:$B$583=$F2888,'學員資料-新北高中'!$G$2:$G$583,""))</f>
        <v>0909654903</v>
      </c>
      <c r="S2888" t="str" cm="1">
        <f t="array" ref="S2888">_xlfn.TEXTJOIN("、",TRUE,IF('學員資料-三重商工'!$B$2:$B$472=$F2888,'學員資料-三重商工'!$G$2:$G$472,""))</f>
        <v/>
      </c>
      <c r="T2888">
        <f t="shared" si="45"/>
        <v>1</v>
      </c>
    </row>
    <row r="2889" spans="1:20" ht="14.25" hidden="1" customHeight="1">
      <c r="A2889" s="15">
        <v>2888</v>
      </c>
      <c r="B2889" s="16" t="s">
        <v>8842</v>
      </c>
      <c r="C2889" s="17">
        <v>45510</v>
      </c>
      <c r="D2889" s="15" t="s">
        <v>8843</v>
      </c>
      <c r="E2889" s="18" t="s">
        <v>954</v>
      </c>
      <c r="F2889" s="19" t="s">
        <v>5915</v>
      </c>
      <c r="G2889" s="18" t="s">
        <v>5916</v>
      </c>
      <c r="H2889" s="20" t="s">
        <v>5131</v>
      </c>
      <c r="I2889" s="15">
        <v>1</v>
      </c>
      <c r="J2889" s="15" t="s">
        <v>24</v>
      </c>
      <c r="K2889" s="15"/>
      <c r="L2889" s="21" t="s">
        <v>16</v>
      </c>
      <c r="M2889" s="22">
        <v>0</v>
      </c>
      <c r="N2889" s="22">
        <v>0</v>
      </c>
      <c r="O2889" s="22">
        <v>7200</v>
      </c>
      <c r="P2889" s="22">
        <v>7200</v>
      </c>
      <c r="Q2889" t="str" cm="1">
        <f t="array" ref="Q2889">_xlfn.TEXTJOIN("、",TRUE,IF('學員資料-三民高中'!$B$2:$B$454=$F2889,'學員資料-三民高中'!$G$2:$G$454,""))</f>
        <v/>
      </c>
      <c r="R2889" t="str" cm="1">
        <f t="array" ref="R2889">_xlfn.TEXTJOIN("、",TRUE,IF('學員資料-新北高中'!$B$2:$B$583=$F2889,'學員資料-新北高中'!$G$2:$G$583,""))</f>
        <v>0954026182</v>
      </c>
      <c r="S2889" t="str" cm="1">
        <f t="array" ref="S2889">_xlfn.TEXTJOIN("、",TRUE,IF('學員資料-三重商工'!$B$2:$B$472=$F2889,'學員資料-三重商工'!$G$2:$G$472,""))</f>
        <v/>
      </c>
      <c r="T2889">
        <f t="shared" si="45"/>
        <v>1</v>
      </c>
    </row>
    <row r="2890" spans="1:20" ht="14.25" hidden="1" customHeight="1">
      <c r="A2890" s="15">
        <v>2889</v>
      </c>
      <c r="B2890" s="16" t="s">
        <v>8844</v>
      </c>
      <c r="C2890" s="17">
        <v>45510</v>
      </c>
      <c r="D2890" s="15" t="s">
        <v>8845</v>
      </c>
      <c r="E2890" s="18" t="s">
        <v>954</v>
      </c>
      <c r="F2890" s="19" t="s">
        <v>5951</v>
      </c>
      <c r="G2890" s="18" t="s">
        <v>5952</v>
      </c>
      <c r="H2890" s="20" t="s">
        <v>5163</v>
      </c>
      <c r="I2890" s="15">
        <v>1</v>
      </c>
      <c r="J2890" s="15" t="s">
        <v>23</v>
      </c>
      <c r="K2890" s="15"/>
      <c r="L2890" s="21" t="s">
        <v>16</v>
      </c>
      <c r="M2890" s="22">
        <v>0</v>
      </c>
      <c r="N2890" s="22">
        <v>-2640</v>
      </c>
      <c r="O2890" s="22">
        <v>3960</v>
      </c>
      <c r="P2890" s="22">
        <v>3960</v>
      </c>
      <c r="Q2890" t="str" cm="1">
        <f t="array" ref="Q2890">_xlfn.TEXTJOIN("、",TRUE,IF('學員資料-三民高中'!$B$2:$B$454=$F2890,'學員資料-三民高中'!$G$2:$G$454,""))</f>
        <v/>
      </c>
      <c r="R2890" t="str" cm="1">
        <f t="array" ref="R2890">_xlfn.TEXTJOIN("、",TRUE,IF('學員資料-新北高中'!$B$2:$B$583=$F2890,'學員資料-新北高中'!$G$2:$G$583,""))</f>
        <v>0938201890</v>
      </c>
      <c r="S2890" t="str" cm="1">
        <f t="array" ref="S2890">_xlfn.TEXTJOIN("、",TRUE,IF('學員資料-三重商工'!$B$2:$B$472=$F2890,'學員資料-三重商工'!$G$2:$G$472,""))</f>
        <v/>
      </c>
      <c r="T2890">
        <f t="shared" si="45"/>
        <v>1</v>
      </c>
    </row>
    <row r="2891" spans="1:20" ht="28.5" hidden="1" customHeight="1">
      <c r="A2891" s="15">
        <v>2890</v>
      </c>
      <c r="B2891" s="16" t="s">
        <v>8846</v>
      </c>
      <c r="C2891" s="17">
        <v>45510</v>
      </c>
      <c r="D2891" s="15" t="s">
        <v>8847</v>
      </c>
      <c r="E2891" s="18" t="s">
        <v>954</v>
      </c>
      <c r="F2891" s="19" t="s">
        <v>5146</v>
      </c>
      <c r="G2891" s="18" t="s">
        <v>5147</v>
      </c>
      <c r="H2891" s="20" t="s">
        <v>6631</v>
      </c>
      <c r="I2891" s="15">
        <v>2</v>
      </c>
      <c r="J2891" s="15" t="s">
        <v>24</v>
      </c>
      <c r="K2891" s="21" t="s">
        <v>116</v>
      </c>
      <c r="L2891" s="21" t="s">
        <v>16</v>
      </c>
      <c r="M2891" s="22">
        <v>0</v>
      </c>
      <c r="N2891" s="22">
        <v>0</v>
      </c>
      <c r="O2891" s="22">
        <v>1200</v>
      </c>
      <c r="P2891" s="22">
        <v>1200</v>
      </c>
      <c r="Q2891" t="str" cm="1">
        <f t="array" ref="Q2891">_xlfn.TEXTJOIN("、",TRUE,IF('學員資料-三民高中'!$B$2:$B$454=$F2891,'學員資料-三民高中'!$G$2:$G$454,""))</f>
        <v/>
      </c>
      <c r="R2891" t="str" cm="1">
        <f t="array" ref="R2891">_xlfn.TEXTJOIN("、",TRUE,IF('學員資料-新北高中'!$B$2:$B$583=$F2891,'學員資料-新北高中'!$G$2:$G$583,""))</f>
        <v/>
      </c>
      <c r="S2891" t="str" cm="1">
        <f t="array" ref="S2891">_xlfn.TEXTJOIN("、",TRUE,IF('學員資料-三重商工'!$B$2:$B$472=$F2891,'學員資料-三重商工'!$G$2:$G$472,""))</f>
        <v>0910882858</v>
      </c>
      <c r="T2891">
        <f t="shared" si="45"/>
        <v>1</v>
      </c>
    </row>
    <row r="2892" spans="1:20" ht="28.5" hidden="1" customHeight="1">
      <c r="A2892" s="15">
        <v>2891</v>
      </c>
      <c r="B2892" s="16" t="s">
        <v>8848</v>
      </c>
      <c r="C2892" s="17">
        <v>45510</v>
      </c>
      <c r="D2892" s="15" t="s">
        <v>8849</v>
      </c>
      <c r="E2892" s="18" t="s">
        <v>954</v>
      </c>
      <c r="F2892" s="19" t="s">
        <v>1140</v>
      </c>
      <c r="G2892" s="18" t="s">
        <v>1141</v>
      </c>
      <c r="H2892" s="20" t="s">
        <v>8850</v>
      </c>
      <c r="I2892" s="15">
        <v>2</v>
      </c>
      <c r="J2892" s="15" t="s">
        <v>25</v>
      </c>
      <c r="K2892" s="15"/>
      <c r="L2892" s="21" t="s">
        <v>16</v>
      </c>
      <c r="M2892" s="22">
        <v>0</v>
      </c>
      <c r="N2892" s="22">
        <v>-10800</v>
      </c>
      <c r="O2892" s="22">
        <v>10800</v>
      </c>
      <c r="P2892" s="22">
        <v>10800</v>
      </c>
      <c r="Q2892" t="str" cm="1">
        <f t="array" ref="Q2892">_xlfn.TEXTJOIN("、",TRUE,IF('學員資料-三民高中'!$B$2:$B$454=$F2892,'學員資料-三民高中'!$G$2:$G$454,""))</f>
        <v/>
      </c>
      <c r="R2892" t="str" cm="1">
        <f t="array" ref="R2892">_xlfn.TEXTJOIN("、",TRUE,IF('學員資料-新北高中'!$B$2:$B$583=$F2892,'學員資料-新北高中'!$G$2:$G$583,""))</f>
        <v/>
      </c>
      <c r="S2892" t="str" cm="1">
        <f t="array" ref="S2892">_xlfn.TEXTJOIN("、",TRUE,IF('學員資料-三重商工'!$B$2:$B$472=$F2892,'學員資料-三重商工'!$G$2:$G$472,""))</f>
        <v>0912094878</v>
      </c>
      <c r="T2892">
        <f t="shared" si="45"/>
        <v>1</v>
      </c>
    </row>
    <row r="2893" spans="1:20" ht="14.25" hidden="1" customHeight="1">
      <c r="A2893" s="15">
        <v>2892</v>
      </c>
      <c r="B2893" s="16" t="s">
        <v>8851</v>
      </c>
      <c r="C2893" s="17">
        <v>45510</v>
      </c>
      <c r="D2893" s="15" t="s">
        <v>8852</v>
      </c>
      <c r="E2893" s="18" t="s">
        <v>954</v>
      </c>
      <c r="F2893" s="19" t="s">
        <v>2026</v>
      </c>
      <c r="G2893" s="18" t="s">
        <v>2027</v>
      </c>
      <c r="H2893" s="20" t="s">
        <v>266</v>
      </c>
      <c r="I2893" s="15">
        <v>1</v>
      </c>
      <c r="J2893" s="15" t="s">
        <v>24</v>
      </c>
      <c r="K2893" s="15"/>
      <c r="L2893" s="21" t="s">
        <v>16</v>
      </c>
      <c r="M2893" s="22">
        <v>0</v>
      </c>
      <c r="N2893" s="22">
        <v>0</v>
      </c>
      <c r="O2893" s="22">
        <v>10800</v>
      </c>
      <c r="P2893" s="22">
        <v>10800</v>
      </c>
      <c r="Q2893" t="str" cm="1">
        <f t="array" ref="Q2893">_xlfn.TEXTJOIN("、",TRUE,IF('學員資料-三民高中'!$B$2:$B$454=$F2893,'學員資料-三民高中'!$G$2:$G$454,""))</f>
        <v/>
      </c>
      <c r="R2893" t="str" cm="1">
        <f t="array" ref="R2893">_xlfn.TEXTJOIN("、",TRUE,IF('學員資料-新北高中'!$B$2:$B$583=$F2893,'學員資料-新北高中'!$G$2:$G$583,""))</f>
        <v>0953554707</v>
      </c>
      <c r="S2893" t="str" cm="1">
        <f t="array" ref="S2893">_xlfn.TEXTJOIN("、",TRUE,IF('學員資料-三重商工'!$B$2:$B$472=$F2893,'學員資料-三重商工'!$G$2:$G$472,""))</f>
        <v/>
      </c>
      <c r="T2893">
        <f t="shared" si="45"/>
        <v>1</v>
      </c>
    </row>
    <row r="2894" spans="1:20" ht="14.25" hidden="1" customHeight="1">
      <c r="A2894" s="15">
        <v>2893</v>
      </c>
      <c r="B2894" s="16" t="s">
        <v>8853</v>
      </c>
      <c r="C2894" s="17">
        <v>45510</v>
      </c>
      <c r="D2894" s="15" t="s">
        <v>8854</v>
      </c>
      <c r="E2894" s="18" t="s">
        <v>954</v>
      </c>
      <c r="F2894" s="19" t="s">
        <v>7686</v>
      </c>
      <c r="G2894" s="18" t="s">
        <v>7687</v>
      </c>
      <c r="H2894" s="20" t="s">
        <v>5163</v>
      </c>
      <c r="I2894" s="15">
        <v>1</v>
      </c>
      <c r="J2894" s="15" t="s">
        <v>23</v>
      </c>
      <c r="K2894" s="15"/>
      <c r="L2894" s="21" t="s">
        <v>16</v>
      </c>
      <c r="M2894" s="22">
        <v>0</v>
      </c>
      <c r="N2894" s="22">
        <v>0</v>
      </c>
      <c r="O2894" s="22">
        <v>6600</v>
      </c>
      <c r="P2894" s="22">
        <v>6600</v>
      </c>
      <c r="Q2894" t="str" cm="1">
        <f t="array" ref="Q2894">_xlfn.TEXTJOIN("、",TRUE,IF('學員資料-三民高中'!$B$2:$B$454=$F2894,'學員資料-三民高中'!$G$2:$G$454,""))</f>
        <v/>
      </c>
      <c r="R2894" t="str" cm="1">
        <f t="array" ref="R2894">_xlfn.TEXTJOIN("、",TRUE,IF('學員資料-新北高中'!$B$2:$B$583=$F2894,'學員資料-新北高中'!$G$2:$G$583,""))</f>
        <v>0921932568</v>
      </c>
      <c r="S2894" t="str" cm="1">
        <f t="array" ref="S2894">_xlfn.TEXTJOIN("、",TRUE,IF('學員資料-三重商工'!$B$2:$B$472=$F2894,'學員資料-三重商工'!$G$2:$G$472,""))</f>
        <v/>
      </c>
      <c r="T2894">
        <f t="shared" si="45"/>
        <v>1</v>
      </c>
    </row>
    <row r="2895" spans="1:20" ht="14.25" hidden="1" customHeight="1">
      <c r="A2895" s="15">
        <v>2894</v>
      </c>
      <c r="B2895" s="16" t="s">
        <v>8855</v>
      </c>
      <c r="C2895" s="17">
        <v>45510</v>
      </c>
      <c r="D2895" s="15" t="s">
        <v>8856</v>
      </c>
      <c r="E2895" s="18" t="s">
        <v>954</v>
      </c>
      <c r="F2895" s="19" t="s">
        <v>394</v>
      </c>
      <c r="G2895" s="18" t="s">
        <v>395</v>
      </c>
      <c r="H2895" s="20" t="s">
        <v>5246</v>
      </c>
      <c r="I2895" s="15">
        <v>1</v>
      </c>
      <c r="J2895" s="15" t="s">
        <v>23</v>
      </c>
      <c r="K2895" s="15"/>
      <c r="L2895" s="21" t="s">
        <v>16</v>
      </c>
      <c r="M2895" s="22">
        <v>0</v>
      </c>
      <c r="N2895" s="22">
        <v>0</v>
      </c>
      <c r="O2895" s="22">
        <v>7200</v>
      </c>
      <c r="P2895" s="22">
        <v>7200</v>
      </c>
      <c r="Q2895" t="str" cm="1">
        <f t="array" ref="Q2895">_xlfn.TEXTJOIN("、",TRUE,IF('學員資料-三民高中'!$B$2:$B$454=$F2895,'學員資料-三民高中'!$G$2:$G$454,""))</f>
        <v/>
      </c>
      <c r="R2895" t="str" cm="1">
        <f t="array" ref="R2895">_xlfn.TEXTJOIN("、",TRUE,IF('學員資料-新北高中'!$B$2:$B$583=$F2895,'學員資料-新北高中'!$G$2:$G$583,""))</f>
        <v/>
      </c>
      <c r="S2895" t="str" cm="1">
        <f t="array" ref="S2895">_xlfn.TEXTJOIN("、",TRUE,IF('學員資料-三重商工'!$B$2:$B$472=$F2895,'學員資料-三重商工'!$G$2:$G$472,""))</f>
        <v>0920215407</v>
      </c>
      <c r="T2895">
        <f t="shared" si="45"/>
        <v>1</v>
      </c>
    </row>
    <row r="2896" spans="1:20" ht="14.25" hidden="1" customHeight="1">
      <c r="A2896" s="15">
        <v>2895</v>
      </c>
      <c r="B2896" s="16" t="s">
        <v>8857</v>
      </c>
      <c r="C2896" s="17">
        <v>45510</v>
      </c>
      <c r="D2896" s="15" t="s">
        <v>8858</v>
      </c>
      <c r="E2896" s="18" t="s">
        <v>954</v>
      </c>
      <c r="F2896" s="19" t="s">
        <v>8859</v>
      </c>
      <c r="G2896" s="18" t="s">
        <v>8860</v>
      </c>
      <c r="H2896" s="20" t="s">
        <v>5131</v>
      </c>
      <c r="I2896" s="15">
        <v>1</v>
      </c>
      <c r="J2896" s="15" t="s">
        <v>24</v>
      </c>
      <c r="K2896" s="15"/>
      <c r="L2896" s="21" t="s">
        <v>16</v>
      </c>
      <c r="M2896" s="22">
        <v>0</v>
      </c>
      <c r="N2896" s="22">
        <v>-2880</v>
      </c>
      <c r="O2896" s="22">
        <v>4320</v>
      </c>
      <c r="P2896" s="22">
        <v>4320</v>
      </c>
      <c r="Q2896" t="str" cm="1">
        <f t="array" ref="Q2896">_xlfn.TEXTJOIN("、",TRUE,IF('學員資料-三民高中'!$B$2:$B$454=$F2896,'學員資料-三民高中'!$G$2:$G$454,""))</f>
        <v/>
      </c>
      <c r="R2896" t="str" cm="1">
        <f t="array" ref="R2896">_xlfn.TEXTJOIN("、",TRUE,IF('學員資料-新北高中'!$B$2:$B$583=$F2896,'學員資料-新北高中'!$G$2:$G$583,""))</f>
        <v/>
      </c>
      <c r="S2896" t="str" cm="1">
        <f t="array" ref="S2896">_xlfn.TEXTJOIN("、",TRUE,IF('學員資料-三重商工'!$B$2:$B$472=$F2896,'學員資料-三重商工'!$G$2:$G$472,""))</f>
        <v>0912570671</v>
      </c>
      <c r="T2896">
        <f t="shared" si="45"/>
        <v>1</v>
      </c>
    </row>
    <row r="2897" spans="1:20" ht="14.25" hidden="1" customHeight="1">
      <c r="A2897" s="15">
        <v>2896</v>
      </c>
      <c r="B2897" s="16" t="s">
        <v>8861</v>
      </c>
      <c r="C2897" s="17">
        <v>45510</v>
      </c>
      <c r="D2897" s="15" t="s">
        <v>8862</v>
      </c>
      <c r="E2897" s="18" t="s">
        <v>954</v>
      </c>
      <c r="F2897" s="19" t="s">
        <v>8863</v>
      </c>
      <c r="G2897" s="18" t="s">
        <v>8864</v>
      </c>
      <c r="H2897" s="20" t="s">
        <v>5163</v>
      </c>
      <c r="I2897" s="15">
        <v>1</v>
      </c>
      <c r="J2897" s="15" t="s">
        <v>23</v>
      </c>
      <c r="K2897" s="15"/>
      <c r="L2897" s="21" t="s">
        <v>16</v>
      </c>
      <c r="M2897" s="22">
        <v>0</v>
      </c>
      <c r="N2897" s="22">
        <v>0</v>
      </c>
      <c r="O2897" s="22">
        <v>6600</v>
      </c>
      <c r="P2897" s="22">
        <v>6600</v>
      </c>
      <c r="Q2897" t="str" cm="1">
        <f t="array" ref="Q2897">_xlfn.TEXTJOIN("、",TRUE,IF('學員資料-三民高中'!$B$2:$B$454=$F2897,'學員資料-三民高中'!$G$2:$G$454,""))</f>
        <v/>
      </c>
      <c r="R2897" t="str" cm="1">
        <f t="array" ref="R2897">_xlfn.TEXTJOIN("、",TRUE,IF('學員資料-新北高中'!$B$2:$B$583=$F2897,'學員資料-新北高中'!$G$2:$G$583,""))</f>
        <v>0939731473</v>
      </c>
      <c r="S2897" t="str" cm="1">
        <f t="array" ref="S2897">_xlfn.TEXTJOIN("、",TRUE,IF('學員資料-三重商工'!$B$2:$B$472=$F2897,'學員資料-三重商工'!$G$2:$G$472,""))</f>
        <v/>
      </c>
      <c r="T2897">
        <f t="shared" si="45"/>
        <v>1</v>
      </c>
    </row>
    <row r="2898" spans="1:20" ht="14.25" hidden="1" customHeight="1">
      <c r="A2898" s="15">
        <v>2897</v>
      </c>
      <c r="B2898" s="16" t="s">
        <v>8865</v>
      </c>
      <c r="C2898" s="17">
        <v>45510</v>
      </c>
      <c r="D2898" s="15" t="s">
        <v>8866</v>
      </c>
      <c r="E2898" s="18" t="s">
        <v>3862</v>
      </c>
      <c r="F2898" s="19" t="s">
        <v>4868</v>
      </c>
      <c r="G2898" s="18" t="s">
        <v>4869</v>
      </c>
      <c r="H2898" s="20" t="s">
        <v>5131</v>
      </c>
      <c r="I2898" s="15">
        <v>1</v>
      </c>
      <c r="J2898" s="15" t="s">
        <v>24</v>
      </c>
      <c r="K2898" s="15"/>
      <c r="L2898" s="21" t="s">
        <v>16</v>
      </c>
      <c r="M2898" s="22">
        <v>0</v>
      </c>
      <c r="N2898" s="22">
        <v>0</v>
      </c>
      <c r="O2898" s="22">
        <v>7200</v>
      </c>
      <c r="P2898" s="22">
        <v>7200</v>
      </c>
      <c r="Q2898" t="str" cm="1">
        <f t="array" ref="Q2898">_xlfn.TEXTJOIN("、",TRUE,IF('學員資料-三民高中'!$B$2:$B$454=$F2898,'學員資料-三民高中'!$G$2:$G$454,""))</f>
        <v/>
      </c>
      <c r="R2898" t="str" cm="1">
        <f t="array" ref="R2898">_xlfn.TEXTJOIN("、",TRUE,IF('學員資料-新北高中'!$B$2:$B$583=$F2898,'學員資料-新北高中'!$G$2:$G$583,""))</f>
        <v>0955621258</v>
      </c>
      <c r="S2898" t="str" cm="1">
        <f t="array" ref="S2898">_xlfn.TEXTJOIN("、",TRUE,IF('學員資料-三重商工'!$B$2:$B$472=$F2898,'學員資料-三重商工'!$G$2:$G$472,""))</f>
        <v/>
      </c>
      <c r="T2898">
        <f t="shared" si="45"/>
        <v>1</v>
      </c>
    </row>
    <row r="2899" spans="1:20" ht="28.5" hidden="1" customHeight="1">
      <c r="A2899" s="15">
        <v>2898</v>
      </c>
      <c r="B2899" s="16" t="s">
        <v>8867</v>
      </c>
      <c r="C2899" s="17">
        <v>45510</v>
      </c>
      <c r="D2899" s="15" t="s">
        <v>8868</v>
      </c>
      <c r="E2899" s="18" t="s">
        <v>954</v>
      </c>
      <c r="F2899" s="19" t="s">
        <v>590</v>
      </c>
      <c r="G2899" s="18" t="s">
        <v>591</v>
      </c>
      <c r="H2899" s="20" t="s">
        <v>5154</v>
      </c>
      <c r="I2899" s="15">
        <v>2</v>
      </c>
      <c r="J2899" s="15" t="s">
        <v>24</v>
      </c>
      <c r="K2899" s="15"/>
      <c r="L2899" s="21" t="s">
        <v>16</v>
      </c>
      <c r="M2899" s="22">
        <v>0</v>
      </c>
      <c r="N2899" s="22">
        <v>0</v>
      </c>
      <c r="O2899" s="22">
        <v>14400</v>
      </c>
      <c r="P2899" s="22">
        <v>14400</v>
      </c>
      <c r="Q2899" t="str" cm="1">
        <f t="array" ref="Q2899">_xlfn.TEXTJOIN("、",TRUE,IF('學員資料-三民高中'!$B$2:$B$454=$F2899,'學員資料-三民高中'!$G$2:$G$454,""))</f>
        <v/>
      </c>
      <c r="R2899" t="str" cm="1">
        <f t="array" ref="R2899">_xlfn.TEXTJOIN("、",TRUE,IF('學員資料-新北高中'!$B$2:$B$583=$F2899,'學員資料-新北高中'!$G$2:$G$583,""))</f>
        <v>0912231255</v>
      </c>
      <c r="S2899" t="str" cm="1">
        <f t="array" ref="S2899">_xlfn.TEXTJOIN("、",TRUE,IF('學員資料-三重商工'!$B$2:$B$472=$F2899,'學員資料-三重商工'!$G$2:$G$472,""))</f>
        <v/>
      </c>
      <c r="T2899">
        <f t="shared" si="45"/>
        <v>1</v>
      </c>
    </row>
    <row r="2900" spans="1:20" ht="14.25" hidden="1" customHeight="1">
      <c r="A2900" s="15">
        <v>2899</v>
      </c>
      <c r="B2900" s="16" t="s">
        <v>8869</v>
      </c>
      <c r="C2900" s="17">
        <v>45510</v>
      </c>
      <c r="D2900" s="15" t="s">
        <v>4099</v>
      </c>
      <c r="E2900" s="18" t="s">
        <v>954</v>
      </c>
      <c r="F2900" s="19" t="s">
        <v>8859</v>
      </c>
      <c r="G2900" s="18" t="s">
        <v>8860</v>
      </c>
      <c r="H2900" s="20" t="s">
        <v>5131</v>
      </c>
      <c r="I2900" s="15">
        <v>1</v>
      </c>
      <c r="J2900" s="15" t="s">
        <v>24</v>
      </c>
      <c r="K2900" s="15"/>
      <c r="L2900" s="21" t="s">
        <v>16</v>
      </c>
      <c r="M2900" s="22">
        <v>0</v>
      </c>
      <c r="N2900" s="22">
        <v>-2880</v>
      </c>
      <c r="O2900" s="22">
        <v>4320</v>
      </c>
      <c r="P2900" s="22">
        <v>4320</v>
      </c>
      <c r="Q2900" t="str" cm="1">
        <f t="array" ref="Q2900">_xlfn.TEXTJOIN("、",TRUE,IF('學員資料-三民高中'!$B$2:$B$454=$F2900,'學員資料-三民高中'!$G$2:$G$454,""))</f>
        <v/>
      </c>
      <c r="R2900" t="str" cm="1">
        <f t="array" ref="R2900">_xlfn.TEXTJOIN("、",TRUE,IF('學員資料-新北高中'!$B$2:$B$583=$F2900,'學員資料-新北高中'!$G$2:$G$583,""))</f>
        <v/>
      </c>
      <c r="S2900" t="str" cm="1">
        <f t="array" ref="S2900">_xlfn.TEXTJOIN("、",TRUE,IF('學員資料-三重商工'!$B$2:$B$472=$F2900,'學員資料-三重商工'!$G$2:$G$472,""))</f>
        <v>0912570671</v>
      </c>
      <c r="T2900">
        <f t="shared" si="45"/>
        <v>1</v>
      </c>
    </row>
    <row r="2901" spans="1:20" ht="14.25" hidden="1" customHeight="1">
      <c r="A2901" s="15">
        <v>2900</v>
      </c>
      <c r="B2901" s="16" t="s">
        <v>8870</v>
      </c>
      <c r="C2901" s="17">
        <v>45510</v>
      </c>
      <c r="D2901" s="15" t="s">
        <v>8871</v>
      </c>
      <c r="E2901" s="18" t="s">
        <v>954</v>
      </c>
      <c r="F2901" s="19" t="s">
        <v>8872</v>
      </c>
      <c r="G2901" s="18" t="s">
        <v>8873</v>
      </c>
      <c r="H2901" s="20" t="s">
        <v>5163</v>
      </c>
      <c r="I2901" s="15">
        <v>1</v>
      </c>
      <c r="J2901" s="15" t="s">
        <v>23</v>
      </c>
      <c r="K2901" s="15"/>
      <c r="L2901" s="21" t="s">
        <v>16</v>
      </c>
      <c r="M2901" s="22">
        <v>0</v>
      </c>
      <c r="N2901" s="22">
        <v>0</v>
      </c>
      <c r="O2901" s="22">
        <v>6600</v>
      </c>
      <c r="P2901" s="22">
        <v>6600</v>
      </c>
      <c r="Q2901" t="str" cm="1">
        <f t="array" ref="Q2901">_xlfn.TEXTJOIN("、",TRUE,IF('學員資料-三民高中'!$B$2:$B$454=$F2901,'學員資料-三民高中'!$G$2:$G$454,""))</f>
        <v/>
      </c>
      <c r="R2901" t="str" cm="1">
        <f t="array" ref="R2901">_xlfn.TEXTJOIN("、",TRUE,IF('學員資料-新北高中'!$B$2:$B$583=$F2901,'學員資料-新北高中'!$G$2:$G$583,""))</f>
        <v>0937688888</v>
      </c>
      <c r="S2901" t="str" cm="1">
        <f t="array" ref="S2901">_xlfn.TEXTJOIN("、",TRUE,IF('學員資料-三重商工'!$B$2:$B$472=$F2901,'學員資料-三重商工'!$G$2:$G$472,""))</f>
        <v/>
      </c>
      <c r="T2901">
        <f t="shared" si="45"/>
        <v>1</v>
      </c>
    </row>
    <row r="2902" spans="1:20" ht="14.25" hidden="1" customHeight="1">
      <c r="A2902" s="15">
        <v>2901</v>
      </c>
      <c r="B2902" s="16" t="s">
        <v>8874</v>
      </c>
      <c r="C2902" s="17">
        <v>45510</v>
      </c>
      <c r="D2902" s="15" t="s">
        <v>8875</v>
      </c>
      <c r="E2902" s="18" t="s">
        <v>954</v>
      </c>
      <c r="F2902" s="19" t="s">
        <v>4864</v>
      </c>
      <c r="G2902" s="18" t="s">
        <v>4865</v>
      </c>
      <c r="H2902" s="20" t="s">
        <v>5163</v>
      </c>
      <c r="I2902" s="15">
        <v>1</v>
      </c>
      <c r="J2902" s="15" t="s">
        <v>23</v>
      </c>
      <c r="K2902" s="15"/>
      <c r="L2902" s="21" t="s">
        <v>16</v>
      </c>
      <c r="M2902" s="22">
        <v>0</v>
      </c>
      <c r="N2902" s="22">
        <v>0</v>
      </c>
      <c r="O2902" s="22">
        <v>6600</v>
      </c>
      <c r="P2902" s="22">
        <v>6600</v>
      </c>
      <c r="Q2902" t="str" cm="1">
        <f t="array" ref="Q2902">_xlfn.TEXTJOIN("、",TRUE,IF('學員資料-三民高中'!$B$2:$B$454=$F2902,'學員資料-三民高中'!$G$2:$G$454,""))</f>
        <v/>
      </c>
      <c r="R2902" t="str" cm="1">
        <f t="array" ref="R2902">_xlfn.TEXTJOIN("、",TRUE,IF('學員資料-新北高中'!$B$2:$B$583=$F2902,'學員資料-新北高中'!$G$2:$G$583,""))</f>
        <v>0987308814</v>
      </c>
      <c r="S2902" t="str" cm="1">
        <f t="array" ref="S2902">_xlfn.TEXTJOIN("、",TRUE,IF('學員資料-三重商工'!$B$2:$B$472=$F2902,'學員資料-三重商工'!$G$2:$G$472,""))</f>
        <v/>
      </c>
      <c r="T2902">
        <f t="shared" si="45"/>
        <v>1</v>
      </c>
    </row>
    <row r="2903" spans="1:20" ht="14.25" hidden="1" customHeight="1">
      <c r="A2903" s="15">
        <v>2902</v>
      </c>
      <c r="B2903" s="16" t="s">
        <v>8876</v>
      </c>
      <c r="C2903" s="17">
        <v>45510</v>
      </c>
      <c r="D2903" s="15" t="s">
        <v>4541</v>
      </c>
      <c r="E2903" s="18" t="s">
        <v>954</v>
      </c>
      <c r="F2903" s="19" t="s">
        <v>8877</v>
      </c>
      <c r="G2903" s="18" t="s">
        <v>543</v>
      </c>
      <c r="H2903" s="20" t="s">
        <v>5361</v>
      </c>
      <c r="I2903" s="15">
        <v>1</v>
      </c>
      <c r="J2903" s="15" t="s">
        <v>23</v>
      </c>
      <c r="K2903" s="21" t="s">
        <v>116</v>
      </c>
      <c r="L2903" s="21" t="s">
        <v>16</v>
      </c>
      <c r="M2903" s="22">
        <v>0</v>
      </c>
      <c r="N2903" s="22">
        <v>0</v>
      </c>
      <c r="O2903" s="22">
        <v>1100</v>
      </c>
      <c r="P2903" s="22">
        <v>1100</v>
      </c>
      <c r="Q2903" t="str" cm="1">
        <f t="array" ref="Q2903">_xlfn.TEXTJOIN("、",TRUE,IF('學員資料-三民高中'!$B$2:$B$454=$F2903,'學員資料-三民高中'!$G$2:$G$454,""))</f>
        <v/>
      </c>
      <c r="R2903" t="str" cm="1">
        <f t="array" ref="R2903">_xlfn.TEXTJOIN("、",TRUE,IF('學員資料-新北高中'!$B$2:$B$583=$F2903,'學員資料-新北高中'!$G$2:$G$583,""))</f>
        <v>091806864</v>
      </c>
      <c r="S2903" t="str" cm="1">
        <f t="array" ref="S2903">_xlfn.TEXTJOIN("、",TRUE,IF('學員資料-三重商工'!$B$2:$B$472=$F2903,'學員資料-三重商工'!$G$2:$G$472,""))</f>
        <v/>
      </c>
      <c r="T2903">
        <f t="shared" si="45"/>
        <v>1</v>
      </c>
    </row>
    <row r="2904" spans="1:20" ht="14.25" hidden="1" customHeight="1">
      <c r="A2904" s="15">
        <v>2903</v>
      </c>
      <c r="B2904" s="16" t="s">
        <v>8878</v>
      </c>
      <c r="C2904" s="17">
        <v>45510</v>
      </c>
      <c r="D2904" s="15" t="s">
        <v>8879</v>
      </c>
      <c r="E2904" s="18" t="s">
        <v>954</v>
      </c>
      <c r="F2904" s="19" t="s">
        <v>3931</v>
      </c>
      <c r="G2904" s="18" t="s">
        <v>3932</v>
      </c>
      <c r="H2904" s="20" t="s">
        <v>5163</v>
      </c>
      <c r="I2904" s="15">
        <v>1</v>
      </c>
      <c r="J2904" s="15" t="s">
        <v>23</v>
      </c>
      <c r="K2904" s="15"/>
      <c r="L2904" s="21" t="s">
        <v>16</v>
      </c>
      <c r="M2904" s="22">
        <v>0</v>
      </c>
      <c r="N2904" s="22">
        <v>-2640</v>
      </c>
      <c r="O2904" s="22">
        <v>3960</v>
      </c>
      <c r="P2904" s="22">
        <v>3960</v>
      </c>
      <c r="Q2904" t="str" cm="1">
        <f t="array" ref="Q2904">_xlfn.TEXTJOIN("、",TRUE,IF('學員資料-三民高中'!$B$2:$B$454=$F2904,'學員資料-三民高中'!$G$2:$G$454,""))</f>
        <v/>
      </c>
      <c r="R2904" t="str" cm="1">
        <f t="array" ref="R2904">_xlfn.TEXTJOIN("、",TRUE,IF('學員資料-新北高中'!$B$2:$B$583=$F2904,'學員資料-新北高中'!$G$2:$G$583,""))</f>
        <v>0930712206</v>
      </c>
      <c r="S2904" t="str" cm="1">
        <f t="array" ref="S2904">_xlfn.TEXTJOIN("、",TRUE,IF('學員資料-三重商工'!$B$2:$B$472=$F2904,'學員資料-三重商工'!$G$2:$G$472,""))</f>
        <v/>
      </c>
      <c r="T2904">
        <f t="shared" si="45"/>
        <v>1</v>
      </c>
    </row>
    <row r="2905" spans="1:20" ht="43.5" hidden="1" customHeight="1">
      <c r="A2905" s="15">
        <v>2904</v>
      </c>
      <c r="B2905" s="16" t="s">
        <v>8880</v>
      </c>
      <c r="C2905" s="17">
        <v>45510</v>
      </c>
      <c r="D2905" s="15" t="s">
        <v>8881</v>
      </c>
      <c r="E2905" s="18" t="s">
        <v>954</v>
      </c>
      <c r="F2905" s="19" t="s">
        <v>149</v>
      </c>
      <c r="G2905" s="18" t="s">
        <v>150</v>
      </c>
      <c r="H2905" s="20" t="s">
        <v>5436</v>
      </c>
      <c r="I2905" s="15">
        <v>3</v>
      </c>
      <c r="J2905" s="15" t="s">
        <v>24</v>
      </c>
      <c r="K2905" s="15"/>
      <c r="L2905" s="21" t="s">
        <v>16</v>
      </c>
      <c r="M2905" s="22">
        <v>0</v>
      </c>
      <c r="N2905" s="22">
        <v>-8640</v>
      </c>
      <c r="O2905" s="22">
        <v>12960</v>
      </c>
      <c r="P2905" s="22">
        <v>12960</v>
      </c>
      <c r="Q2905" t="str" cm="1">
        <f t="array" ref="Q2905">_xlfn.TEXTJOIN("、",TRUE,IF('學員資料-三民高中'!$B$2:$B$454=$F2905,'學員資料-三民高中'!$G$2:$G$454,""))</f>
        <v/>
      </c>
      <c r="R2905" t="str" cm="1">
        <f t="array" ref="R2905">_xlfn.TEXTJOIN("、",TRUE,IF('學員資料-新北高中'!$B$2:$B$583=$F2905,'學員資料-新北高中'!$G$2:$G$583,""))</f>
        <v>0955977624</v>
      </c>
      <c r="S2905" t="str" cm="1">
        <f t="array" ref="S2905">_xlfn.TEXTJOIN("、",TRUE,IF('學員資料-三重商工'!$B$2:$B$472=$F2905,'學員資料-三重商工'!$G$2:$G$472,""))</f>
        <v/>
      </c>
      <c r="T2905">
        <f t="shared" si="45"/>
        <v>1</v>
      </c>
    </row>
    <row r="2906" spans="1:20" ht="14.25" hidden="1" customHeight="1">
      <c r="A2906" s="15">
        <v>2905</v>
      </c>
      <c r="B2906" s="16" t="s">
        <v>8882</v>
      </c>
      <c r="C2906" s="17">
        <v>45510</v>
      </c>
      <c r="D2906" s="15" t="s">
        <v>7093</v>
      </c>
      <c r="E2906" s="18" t="s">
        <v>954</v>
      </c>
      <c r="F2906" s="19" t="s">
        <v>1694</v>
      </c>
      <c r="G2906" s="18" t="s">
        <v>1695</v>
      </c>
      <c r="H2906" s="20" t="s">
        <v>5131</v>
      </c>
      <c r="I2906" s="15">
        <v>1</v>
      </c>
      <c r="J2906" s="15" t="s">
        <v>24</v>
      </c>
      <c r="K2906" s="15"/>
      <c r="L2906" s="21" t="s">
        <v>16</v>
      </c>
      <c r="M2906" s="22">
        <v>0</v>
      </c>
      <c r="N2906" s="22">
        <v>0</v>
      </c>
      <c r="O2906" s="22">
        <v>7200</v>
      </c>
      <c r="P2906" s="22">
        <v>7200</v>
      </c>
      <c r="Q2906" t="str" cm="1">
        <f t="array" ref="Q2906">_xlfn.TEXTJOIN("、",TRUE,IF('學員資料-三民高中'!$B$2:$B$454=$F2906,'學員資料-三民高中'!$G$2:$G$454,""))</f>
        <v/>
      </c>
      <c r="R2906" t="str" cm="1">
        <f t="array" ref="R2906">_xlfn.TEXTJOIN("、",TRUE,IF('學員資料-新北高中'!$B$2:$B$583=$F2906,'學員資料-新北高中'!$G$2:$G$583,""))</f>
        <v/>
      </c>
      <c r="S2906" t="str" cm="1">
        <f t="array" ref="S2906">_xlfn.TEXTJOIN("、",TRUE,IF('學員資料-三重商工'!$B$2:$B$472=$F2906,'學員資料-三重商工'!$G$2:$G$472,""))</f>
        <v>0928787516</v>
      </c>
      <c r="T2906">
        <f t="shared" si="45"/>
        <v>1</v>
      </c>
    </row>
    <row r="2907" spans="1:20" ht="28.5" hidden="1" customHeight="1">
      <c r="A2907" s="15">
        <v>2906</v>
      </c>
      <c r="B2907" s="16" t="s">
        <v>8883</v>
      </c>
      <c r="C2907" s="17">
        <v>45510</v>
      </c>
      <c r="D2907" s="15" t="s">
        <v>8884</v>
      </c>
      <c r="E2907" s="18" t="s">
        <v>954</v>
      </c>
      <c r="F2907" s="19" t="s">
        <v>8885</v>
      </c>
      <c r="G2907" s="18" t="s">
        <v>8886</v>
      </c>
      <c r="H2907" s="20" t="s">
        <v>5206</v>
      </c>
      <c r="I2907" s="15">
        <v>2</v>
      </c>
      <c r="J2907" s="15" t="s">
        <v>23</v>
      </c>
      <c r="K2907" s="15"/>
      <c r="L2907" s="21" t="s">
        <v>16</v>
      </c>
      <c r="M2907" s="22">
        <v>0</v>
      </c>
      <c r="N2907" s="22">
        <v>0</v>
      </c>
      <c r="O2907" s="22">
        <v>13200</v>
      </c>
      <c r="P2907" s="22">
        <v>13200</v>
      </c>
      <c r="Q2907" t="str" cm="1">
        <f t="array" ref="Q2907">_xlfn.TEXTJOIN("、",TRUE,IF('學員資料-三民高中'!$B$2:$B$454=$F2907,'學員資料-三民高中'!$G$2:$G$454,""))</f>
        <v/>
      </c>
      <c r="R2907" t="str" cm="1">
        <f t="array" ref="R2907">_xlfn.TEXTJOIN("、",TRUE,IF('學員資料-新北高中'!$B$2:$B$583=$F2907,'學員資料-新北高中'!$G$2:$G$583,""))</f>
        <v>0908655831</v>
      </c>
      <c r="S2907" t="str" cm="1">
        <f t="array" ref="S2907">_xlfn.TEXTJOIN("、",TRUE,IF('學員資料-三重商工'!$B$2:$B$472=$F2907,'學員資料-三重商工'!$G$2:$G$472,""))</f>
        <v/>
      </c>
      <c r="T2907">
        <f t="shared" si="45"/>
        <v>1</v>
      </c>
    </row>
    <row r="2908" spans="1:20" ht="14.25" hidden="1" customHeight="1">
      <c r="A2908" s="15">
        <v>2907</v>
      </c>
      <c r="B2908" s="16" t="s">
        <v>8887</v>
      </c>
      <c r="C2908" s="17">
        <v>45510</v>
      </c>
      <c r="D2908" s="15" t="s">
        <v>8888</v>
      </c>
      <c r="E2908" s="18" t="s">
        <v>954</v>
      </c>
      <c r="F2908" s="19" t="s">
        <v>8889</v>
      </c>
      <c r="G2908" s="18" t="s">
        <v>8890</v>
      </c>
      <c r="H2908" s="20" t="s">
        <v>5211</v>
      </c>
      <c r="I2908" s="15">
        <v>1</v>
      </c>
      <c r="J2908" s="15" t="s">
        <v>26</v>
      </c>
      <c r="K2908" s="15"/>
      <c r="L2908" s="21" t="s">
        <v>16</v>
      </c>
      <c r="M2908" s="22">
        <v>0</v>
      </c>
      <c r="N2908" s="22">
        <v>0</v>
      </c>
      <c r="O2908" s="22">
        <v>10800</v>
      </c>
      <c r="P2908" s="22">
        <v>10800</v>
      </c>
      <c r="Q2908" t="str" cm="1">
        <f t="array" ref="Q2908">_xlfn.TEXTJOIN("、",TRUE,IF('學員資料-三民高中'!$B$2:$B$454=$F2908,'學員資料-三民高中'!$G$2:$G$454,""))</f>
        <v/>
      </c>
      <c r="R2908" t="str" cm="1">
        <f t="array" ref="R2908">_xlfn.TEXTJOIN("、",TRUE,IF('學員資料-新北高中'!$B$2:$B$583=$F2908,'學員資料-新北高中'!$G$2:$G$583,""))</f>
        <v>0912920563</v>
      </c>
      <c r="S2908" t="str" cm="1">
        <f t="array" ref="S2908">_xlfn.TEXTJOIN("、",TRUE,IF('學員資料-三重商工'!$B$2:$B$472=$F2908,'學員資料-三重商工'!$G$2:$G$472,""))</f>
        <v/>
      </c>
      <c r="T2908">
        <f t="shared" si="45"/>
        <v>1</v>
      </c>
    </row>
    <row r="2909" spans="1:20" ht="14.25" hidden="1" customHeight="1">
      <c r="A2909" s="15">
        <v>2908</v>
      </c>
      <c r="B2909" s="16" t="s">
        <v>8891</v>
      </c>
      <c r="C2909" s="17">
        <v>45510</v>
      </c>
      <c r="D2909" s="15" t="s">
        <v>8892</v>
      </c>
      <c r="E2909" s="18" t="s">
        <v>954</v>
      </c>
      <c r="F2909" s="19" t="s">
        <v>8641</v>
      </c>
      <c r="G2909" s="18" t="s">
        <v>8642</v>
      </c>
      <c r="H2909" s="20" t="s">
        <v>5131</v>
      </c>
      <c r="I2909" s="15">
        <v>1</v>
      </c>
      <c r="J2909" s="15" t="s">
        <v>24</v>
      </c>
      <c r="K2909" s="15"/>
      <c r="L2909" s="21" t="s">
        <v>16</v>
      </c>
      <c r="M2909" s="22">
        <v>0</v>
      </c>
      <c r="N2909" s="22">
        <v>0</v>
      </c>
      <c r="O2909" s="22">
        <v>7200</v>
      </c>
      <c r="P2909" s="22">
        <v>7200</v>
      </c>
      <c r="Q2909" t="str" cm="1">
        <f t="array" ref="Q2909">_xlfn.TEXTJOIN("、",TRUE,IF('學員資料-三民高中'!$B$2:$B$454=$F2909,'學員資料-三民高中'!$G$2:$G$454,""))</f>
        <v/>
      </c>
      <c r="R2909" t="str" cm="1">
        <f t="array" ref="R2909">_xlfn.TEXTJOIN("、",TRUE,IF('學員資料-新北高中'!$B$2:$B$583=$F2909,'學員資料-新北高中'!$G$2:$G$583,""))</f>
        <v>0920326159</v>
      </c>
      <c r="S2909" t="str" cm="1">
        <f t="array" ref="S2909">_xlfn.TEXTJOIN("、",TRUE,IF('學員資料-三重商工'!$B$2:$B$472=$F2909,'學員資料-三重商工'!$G$2:$G$472,""))</f>
        <v/>
      </c>
      <c r="T2909">
        <f t="shared" si="45"/>
        <v>1</v>
      </c>
    </row>
    <row r="2910" spans="1:20" ht="14.25" hidden="1" customHeight="1">
      <c r="A2910" s="15">
        <v>2909</v>
      </c>
      <c r="B2910" s="16" t="s">
        <v>8893</v>
      </c>
      <c r="C2910" s="17">
        <v>45510</v>
      </c>
      <c r="D2910" s="15" t="s">
        <v>8894</v>
      </c>
      <c r="E2910" s="18" t="s">
        <v>954</v>
      </c>
      <c r="F2910" s="19" t="s">
        <v>3110</v>
      </c>
      <c r="G2910" s="18" t="s">
        <v>3111</v>
      </c>
      <c r="H2910" s="20" t="s">
        <v>5148</v>
      </c>
      <c r="I2910" s="15">
        <v>1</v>
      </c>
      <c r="J2910" s="15" t="s">
        <v>25</v>
      </c>
      <c r="K2910" s="15"/>
      <c r="L2910" s="21" t="s">
        <v>16</v>
      </c>
      <c r="M2910" s="22">
        <v>0</v>
      </c>
      <c r="N2910" s="22">
        <v>-3600</v>
      </c>
      <c r="O2910" s="22">
        <v>5400</v>
      </c>
      <c r="P2910" s="22">
        <v>5400</v>
      </c>
      <c r="Q2910" t="str" cm="1">
        <f t="array" ref="Q2910">_xlfn.TEXTJOIN("、",TRUE,IF('學員資料-三民高中'!$B$2:$B$454=$F2910,'學員資料-三民高中'!$G$2:$G$454,""))</f>
        <v/>
      </c>
      <c r="R2910" t="str" cm="1">
        <f t="array" ref="R2910">_xlfn.TEXTJOIN("、",TRUE,IF('學員資料-新北高中'!$B$2:$B$583=$F2910,'學員資料-新北高中'!$G$2:$G$583,""))</f>
        <v>0920627698</v>
      </c>
      <c r="S2910" t="str" cm="1">
        <f t="array" ref="S2910">_xlfn.TEXTJOIN("、",TRUE,IF('學員資料-三重商工'!$B$2:$B$472=$F2910,'學員資料-三重商工'!$G$2:$G$472,""))</f>
        <v/>
      </c>
      <c r="T2910">
        <f t="shared" si="45"/>
        <v>1</v>
      </c>
    </row>
    <row r="2911" spans="1:20" ht="14.25" hidden="1" customHeight="1">
      <c r="A2911" s="15">
        <v>2910</v>
      </c>
      <c r="B2911" s="16" t="s">
        <v>8895</v>
      </c>
      <c r="C2911" s="17">
        <v>45510</v>
      </c>
      <c r="D2911" s="15" t="s">
        <v>8896</v>
      </c>
      <c r="E2911" s="18" t="s">
        <v>954</v>
      </c>
      <c r="F2911" s="19" t="s">
        <v>8897</v>
      </c>
      <c r="G2911" s="18" t="s">
        <v>8898</v>
      </c>
      <c r="H2911" s="20" t="s">
        <v>5131</v>
      </c>
      <c r="I2911" s="15">
        <v>1</v>
      </c>
      <c r="J2911" s="15" t="s">
        <v>24</v>
      </c>
      <c r="K2911" s="15"/>
      <c r="L2911" s="21" t="s">
        <v>16</v>
      </c>
      <c r="M2911" s="22">
        <v>0</v>
      </c>
      <c r="N2911" s="22">
        <v>0</v>
      </c>
      <c r="O2911" s="22">
        <v>7200</v>
      </c>
      <c r="P2911" s="22">
        <v>7200</v>
      </c>
      <c r="Q2911" t="str" cm="1">
        <f t="array" ref="Q2911">_xlfn.TEXTJOIN("、",TRUE,IF('學員資料-三民高中'!$B$2:$B$454=$F2911,'學員資料-三民高中'!$G$2:$G$454,""))</f>
        <v/>
      </c>
      <c r="R2911" t="str" cm="1">
        <f t="array" ref="R2911">_xlfn.TEXTJOIN("、",TRUE,IF('學員資料-新北高中'!$B$2:$B$583=$F2911,'學員資料-新北高中'!$G$2:$G$583,""))</f>
        <v>0963093398</v>
      </c>
      <c r="S2911" t="str" cm="1">
        <f t="array" ref="S2911">_xlfn.TEXTJOIN("、",TRUE,IF('學員資料-三重商工'!$B$2:$B$472=$F2911,'學員資料-三重商工'!$G$2:$G$472,""))</f>
        <v/>
      </c>
      <c r="T2911">
        <f t="shared" si="45"/>
        <v>1</v>
      </c>
    </row>
    <row r="2912" spans="1:20" ht="14.25" hidden="1" customHeight="1">
      <c r="A2912" s="15">
        <v>2911</v>
      </c>
      <c r="B2912" s="16" t="s">
        <v>8899</v>
      </c>
      <c r="C2912" s="17">
        <v>45510</v>
      </c>
      <c r="D2912" s="15" t="s">
        <v>8900</v>
      </c>
      <c r="E2912" s="18" t="s">
        <v>954</v>
      </c>
      <c r="F2912" s="19" t="s">
        <v>1516</v>
      </c>
      <c r="G2912" s="18" t="s">
        <v>1517</v>
      </c>
      <c r="H2912" s="20" t="s">
        <v>5131</v>
      </c>
      <c r="I2912" s="15">
        <v>1</v>
      </c>
      <c r="J2912" s="15" t="s">
        <v>24</v>
      </c>
      <c r="K2912" s="15"/>
      <c r="L2912" s="21" t="s">
        <v>16</v>
      </c>
      <c r="M2912" s="22">
        <v>0</v>
      </c>
      <c r="N2912" s="22">
        <v>0</v>
      </c>
      <c r="O2912" s="22">
        <v>7200</v>
      </c>
      <c r="P2912" s="22">
        <v>7200</v>
      </c>
      <c r="Q2912" t="str" cm="1">
        <f t="array" ref="Q2912">_xlfn.TEXTJOIN("、",TRUE,IF('學員資料-三民高中'!$B$2:$B$454=$F2912,'學員資料-三民高中'!$G$2:$G$454,""))</f>
        <v/>
      </c>
      <c r="R2912" t="str" cm="1">
        <f t="array" ref="R2912">_xlfn.TEXTJOIN("、",TRUE,IF('學員資料-新北高中'!$B$2:$B$583=$F2912,'學員資料-新北高中'!$G$2:$G$583,""))</f>
        <v/>
      </c>
      <c r="S2912" t="str" cm="1">
        <f t="array" ref="S2912">_xlfn.TEXTJOIN("、",TRUE,IF('學員資料-三重商工'!$B$2:$B$472=$F2912,'學員資料-三重商工'!$G$2:$G$472,""))</f>
        <v>0933701726</v>
      </c>
      <c r="T2912">
        <f t="shared" si="45"/>
        <v>1</v>
      </c>
    </row>
    <row r="2913" spans="1:20" ht="14.25" hidden="1" customHeight="1">
      <c r="A2913" s="15">
        <v>2912</v>
      </c>
      <c r="B2913" s="16" t="s">
        <v>8901</v>
      </c>
      <c r="C2913" s="17">
        <v>45510</v>
      </c>
      <c r="D2913" s="15" t="s">
        <v>8902</v>
      </c>
      <c r="E2913" s="18" t="s">
        <v>954</v>
      </c>
      <c r="F2913" s="19" t="s">
        <v>6314</v>
      </c>
      <c r="G2913" s="18" t="s">
        <v>6315</v>
      </c>
      <c r="H2913" s="20" t="s">
        <v>5163</v>
      </c>
      <c r="I2913" s="15">
        <v>1</v>
      </c>
      <c r="J2913" s="15" t="s">
        <v>23</v>
      </c>
      <c r="K2913" s="15"/>
      <c r="L2913" s="21" t="s">
        <v>16</v>
      </c>
      <c r="M2913" s="22">
        <v>0</v>
      </c>
      <c r="N2913" s="22">
        <v>0</v>
      </c>
      <c r="O2913" s="22">
        <v>6600</v>
      </c>
      <c r="P2913" s="22">
        <v>6600</v>
      </c>
      <c r="Q2913" t="str" cm="1">
        <f t="array" ref="Q2913">_xlfn.TEXTJOIN("、",TRUE,IF('學員資料-三民高中'!$B$2:$B$454=$F2913,'學員資料-三民高中'!$G$2:$G$454,""))</f>
        <v/>
      </c>
      <c r="R2913" t="str" cm="1">
        <f t="array" ref="R2913">_xlfn.TEXTJOIN("、",TRUE,IF('學員資料-新北高中'!$B$2:$B$583=$F2913,'學員資料-新北高中'!$G$2:$G$583,""))</f>
        <v>0953713335</v>
      </c>
      <c r="S2913" t="str" cm="1">
        <f t="array" ref="S2913">_xlfn.TEXTJOIN("、",TRUE,IF('學員資料-三重商工'!$B$2:$B$472=$F2913,'學員資料-三重商工'!$G$2:$G$472,""))</f>
        <v/>
      </c>
      <c r="T2913">
        <f t="shared" si="45"/>
        <v>1</v>
      </c>
    </row>
    <row r="2914" spans="1:20" ht="14.25" hidden="1" customHeight="1">
      <c r="A2914" s="15">
        <v>2913</v>
      </c>
      <c r="B2914" s="16" t="s">
        <v>8903</v>
      </c>
      <c r="C2914" s="17">
        <v>45510</v>
      </c>
      <c r="D2914" s="15" t="s">
        <v>8904</v>
      </c>
      <c r="E2914" s="18" t="s">
        <v>954</v>
      </c>
      <c r="F2914" s="19" t="s">
        <v>1335</v>
      </c>
      <c r="G2914" s="18" t="s">
        <v>1336</v>
      </c>
      <c r="H2914" s="20" t="s">
        <v>5163</v>
      </c>
      <c r="I2914" s="15">
        <v>1</v>
      </c>
      <c r="J2914" s="15" t="s">
        <v>23</v>
      </c>
      <c r="K2914" s="15"/>
      <c r="L2914" s="21" t="s">
        <v>16</v>
      </c>
      <c r="M2914" s="22">
        <v>0</v>
      </c>
      <c r="N2914" s="22">
        <v>0</v>
      </c>
      <c r="O2914" s="22">
        <v>6600</v>
      </c>
      <c r="P2914" s="22">
        <v>6600</v>
      </c>
      <c r="Q2914" t="str" cm="1">
        <f t="array" ref="Q2914">_xlfn.TEXTJOIN("、",TRUE,IF('學員資料-三民高中'!$B$2:$B$454=$F2914,'學員資料-三民高中'!$G$2:$G$454,""))</f>
        <v/>
      </c>
      <c r="R2914" t="str" cm="1">
        <f t="array" ref="R2914">_xlfn.TEXTJOIN("、",TRUE,IF('學員資料-新北高中'!$B$2:$B$583=$F2914,'學員資料-新北高中'!$G$2:$G$583,""))</f>
        <v/>
      </c>
      <c r="S2914" t="str" cm="1">
        <f t="array" ref="S2914">_xlfn.TEXTJOIN("、",TRUE,IF('學員資料-三重商工'!$B$2:$B$472=$F2914,'學員資料-三重商工'!$G$2:$G$472,""))</f>
        <v>0932625033</v>
      </c>
      <c r="T2914">
        <f t="shared" si="45"/>
        <v>1</v>
      </c>
    </row>
    <row r="2915" spans="1:20" ht="14.25" hidden="1" customHeight="1">
      <c r="A2915" s="15">
        <v>2914</v>
      </c>
      <c r="B2915" s="16" t="s">
        <v>8905</v>
      </c>
      <c r="C2915" s="17">
        <v>45510</v>
      </c>
      <c r="D2915" s="15" t="s">
        <v>8906</v>
      </c>
      <c r="E2915" s="18" t="s">
        <v>954</v>
      </c>
      <c r="F2915" s="19" t="s">
        <v>8907</v>
      </c>
      <c r="G2915" s="18" t="s">
        <v>8908</v>
      </c>
      <c r="H2915" s="20" t="s">
        <v>5148</v>
      </c>
      <c r="I2915" s="15">
        <v>1</v>
      </c>
      <c r="J2915" s="15" t="s">
        <v>25</v>
      </c>
      <c r="K2915" s="15"/>
      <c r="L2915" s="21" t="s">
        <v>16</v>
      </c>
      <c r="M2915" s="22">
        <v>0</v>
      </c>
      <c r="N2915" s="22">
        <v>0</v>
      </c>
      <c r="O2915" s="22">
        <v>9000</v>
      </c>
      <c r="P2915" s="22">
        <v>9000</v>
      </c>
      <c r="Q2915" t="str" cm="1">
        <f t="array" ref="Q2915">_xlfn.TEXTJOIN("、",TRUE,IF('學員資料-三民高中'!$B$2:$B$454=$F2915,'學員資料-三民高中'!$G$2:$G$454,""))</f>
        <v/>
      </c>
      <c r="R2915" t="str" cm="1">
        <f t="array" ref="R2915">_xlfn.TEXTJOIN("、",TRUE,IF('學員資料-新北高中'!$B$2:$B$583=$F2915,'學員資料-新北高中'!$G$2:$G$583,""))</f>
        <v/>
      </c>
      <c r="S2915" t="str" cm="1">
        <f t="array" ref="S2915">_xlfn.TEXTJOIN("、",TRUE,IF('學員資料-三重商工'!$B$2:$B$472=$F2915,'學員資料-三重商工'!$G$2:$G$472,""))</f>
        <v>0985101642</v>
      </c>
      <c r="T2915">
        <f t="shared" si="45"/>
        <v>1</v>
      </c>
    </row>
    <row r="2916" spans="1:20" ht="14.25" hidden="1" customHeight="1">
      <c r="A2916" s="15">
        <v>2915</v>
      </c>
      <c r="B2916" s="16" t="s">
        <v>8909</v>
      </c>
      <c r="C2916" s="17">
        <v>45510</v>
      </c>
      <c r="D2916" s="15" t="s">
        <v>8910</v>
      </c>
      <c r="E2916" s="18" t="s">
        <v>954</v>
      </c>
      <c r="F2916" s="19" t="s">
        <v>8911</v>
      </c>
      <c r="G2916" s="18" t="s">
        <v>8912</v>
      </c>
      <c r="H2916" s="20" t="s">
        <v>5163</v>
      </c>
      <c r="I2916" s="15">
        <v>1</v>
      </c>
      <c r="J2916" s="15" t="s">
        <v>23</v>
      </c>
      <c r="K2916" s="15"/>
      <c r="L2916" s="21" t="s">
        <v>16</v>
      </c>
      <c r="M2916" s="22">
        <v>0</v>
      </c>
      <c r="N2916" s="22">
        <v>0</v>
      </c>
      <c r="O2916" s="22">
        <v>6600</v>
      </c>
      <c r="P2916" s="22">
        <v>6600</v>
      </c>
      <c r="Q2916" t="str" cm="1">
        <f t="array" ref="Q2916">_xlfn.TEXTJOIN("、",TRUE,IF('學員資料-三民高中'!$B$2:$B$454=$F2916,'學員資料-三民高中'!$G$2:$G$454,""))</f>
        <v/>
      </c>
      <c r="R2916" t="str" cm="1">
        <f t="array" ref="R2916">_xlfn.TEXTJOIN("、",TRUE,IF('學員資料-新北高中'!$B$2:$B$583=$F2916,'學員資料-新北高中'!$G$2:$G$583,""))</f>
        <v>0952313083</v>
      </c>
      <c r="S2916" t="str" cm="1">
        <f t="array" ref="S2916">_xlfn.TEXTJOIN("、",TRUE,IF('學員資料-三重商工'!$B$2:$B$472=$F2916,'學員資料-三重商工'!$G$2:$G$472,""))</f>
        <v/>
      </c>
      <c r="T2916">
        <f t="shared" si="45"/>
        <v>1</v>
      </c>
    </row>
    <row r="2917" spans="1:20" ht="14.25" hidden="1" customHeight="1">
      <c r="A2917" s="15">
        <v>2916</v>
      </c>
      <c r="B2917" s="16" t="s">
        <v>8913</v>
      </c>
      <c r="C2917" s="17">
        <v>45510</v>
      </c>
      <c r="D2917" s="15" t="s">
        <v>8914</v>
      </c>
      <c r="E2917" s="18" t="s">
        <v>954</v>
      </c>
      <c r="F2917" s="19" t="s">
        <v>8915</v>
      </c>
      <c r="G2917" s="18" t="s">
        <v>8916</v>
      </c>
      <c r="H2917" s="20" t="s">
        <v>5131</v>
      </c>
      <c r="I2917" s="15">
        <v>1</v>
      </c>
      <c r="J2917" s="15" t="s">
        <v>24</v>
      </c>
      <c r="K2917" s="15"/>
      <c r="L2917" s="21" t="s">
        <v>16</v>
      </c>
      <c r="M2917" s="22">
        <v>0</v>
      </c>
      <c r="N2917" s="22">
        <v>0</v>
      </c>
      <c r="O2917" s="22">
        <v>7200</v>
      </c>
      <c r="P2917" s="22">
        <v>7200</v>
      </c>
      <c r="Q2917" t="str" cm="1">
        <f t="array" ref="Q2917">_xlfn.TEXTJOIN("、",TRUE,IF('學員資料-三民高中'!$B$2:$B$454=$F2917,'學員資料-三民高中'!$G$2:$G$454,""))</f>
        <v/>
      </c>
      <c r="R2917" t="str" cm="1">
        <f t="array" ref="R2917">_xlfn.TEXTJOIN("、",TRUE,IF('學員資料-新北高中'!$B$2:$B$583=$F2917,'學員資料-新北高中'!$G$2:$G$583,""))</f>
        <v>0922200632</v>
      </c>
      <c r="S2917" t="str" cm="1">
        <f t="array" ref="S2917">_xlfn.TEXTJOIN("、",TRUE,IF('學員資料-三重商工'!$B$2:$B$472=$F2917,'學員資料-三重商工'!$G$2:$G$472,""))</f>
        <v/>
      </c>
      <c r="T2917">
        <f t="shared" si="45"/>
        <v>1</v>
      </c>
    </row>
    <row r="2918" spans="1:20" ht="14.25" hidden="1" customHeight="1">
      <c r="A2918" s="15">
        <v>2917</v>
      </c>
      <c r="B2918" s="16" t="s">
        <v>8917</v>
      </c>
      <c r="C2918" s="17">
        <v>45510</v>
      </c>
      <c r="D2918" s="15" t="s">
        <v>8918</v>
      </c>
      <c r="E2918" s="18" t="s">
        <v>954</v>
      </c>
      <c r="F2918" s="19" t="s">
        <v>6429</v>
      </c>
      <c r="G2918" s="18" t="s">
        <v>6430</v>
      </c>
      <c r="H2918" s="20" t="s">
        <v>5163</v>
      </c>
      <c r="I2918" s="15">
        <v>1</v>
      </c>
      <c r="J2918" s="15" t="s">
        <v>23</v>
      </c>
      <c r="K2918" s="15"/>
      <c r="L2918" s="21" t="s">
        <v>16</v>
      </c>
      <c r="M2918" s="22">
        <v>0</v>
      </c>
      <c r="N2918" s="22">
        <v>0</v>
      </c>
      <c r="O2918" s="22">
        <v>6600</v>
      </c>
      <c r="P2918" s="22">
        <v>6600</v>
      </c>
      <c r="Q2918" t="str" cm="1">
        <f t="array" ref="Q2918">_xlfn.TEXTJOIN("、",TRUE,IF('學員資料-三民高中'!$B$2:$B$454=$F2918,'學員資料-三民高中'!$G$2:$G$454,""))</f>
        <v/>
      </c>
      <c r="R2918" t="str" cm="1">
        <f t="array" ref="R2918">_xlfn.TEXTJOIN("、",TRUE,IF('學員資料-新北高中'!$B$2:$B$583=$F2918,'學員資料-新北高中'!$G$2:$G$583,""))</f>
        <v/>
      </c>
      <c r="S2918" t="str" cm="1">
        <f t="array" ref="S2918">_xlfn.TEXTJOIN("、",TRUE,IF('學員資料-三重商工'!$B$2:$B$472=$F2918,'學員資料-三重商工'!$G$2:$G$472,""))</f>
        <v>0928576279</v>
      </c>
      <c r="T2918">
        <f t="shared" si="45"/>
        <v>1</v>
      </c>
    </row>
    <row r="2919" spans="1:20" ht="14.25" hidden="1" customHeight="1">
      <c r="A2919" s="15">
        <v>2918</v>
      </c>
      <c r="B2919" s="16" t="s">
        <v>8919</v>
      </c>
      <c r="C2919" s="17">
        <v>45510</v>
      </c>
      <c r="D2919" s="15" t="s">
        <v>8920</v>
      </c>
      <c r="E2919" s="18" t="s">
        <v>954</v>
      </c>
      <c r="F2919" s="19" t="s">
        <v>3740</v>
      </c>
      <c r="G2919" s="18" t="s">
        <v>3741</v>
      </c>
      <c r="H2919" s="20" t="s">
        <v>5148</v>
      </c>
      <c r="I2919" s="15">
        <v>1</v>
      </c>
      <c r="J2919" s="15" t="s">
        <v>25</v>
      </c>
      <c r="K2919" s="15"/>
      <c r="L2919" s="21" t="s">
        <v>16</v>
      </c>
      <c r="M2919" s="22">
        <v>0</v>
      </c>
      <c r="N2919" s="22">
        <v>-3600</v>
      </c>
      <c r="O2919" s="22">
        <v>5400</v>
      </c>
      <c r="P2919" s="22">
        <v>5400</v>
      </c>
      <c r="Q2919" t="str" cm="1">
        <f t="array" ref="Q2919">_xlfn.TEXTJOIN("、",TRUE,IF('學員資料-三民高中'!$B$2:$B$454=$F2919,'學員資料-三民高中'!$G$2:$G$454,""))</f>
        <v>0955285845</v>
      </c>
      <c r="R2919" t="str" cm="1">
        <f t="array" ref="R2919">_xlfn.TEXTJOIN("、",TRUE,IF('學員資料-新北高中'!$B$2:$B$583=$F2919,'學員資料-新北高中'!$G$2:$G$583,""))</f>
        <v/>
      </c>
      <c r="S2919" t="str" cm="1">
        <f t="array" ref="S2919">_xlfn.TEXTJOIN("、",TRUE,IF('學員資料-三重商工'!$B$2:$B$472=$F2919,'學員資料-三重商工'!$G$2:$G$472,""))</f>
        <v/>
      </c>
      <c r="T2919">
        <f t="shared" si="45"/>
        <v>1</v>
      </c>
    </row>
    <row r="2920" spans="1:20" ht="14.25" hidden="1" customHeight="1">
      <c r="A2920" s="15">
        <v>2919</v>
      </c>
      <c r="B2920" s="16" t="s">
        <v>8921</v>
      </c>
      <c r="C2920" s="17">
        <v>45510</v>
      </c>
      <c r="D2920" s="15" t="s">
        <v>8922</v>
      </c>
      <c r="E2920" s="18" t="s">
        <v>3862</v>
      </c>
      <c r="F2920" s="19" t="s">
        <v>5037</v>
      </c>
      <c r="G2920" s="18" t="s">
        <v>8923</v>
      </c>
      <c r="H2920" s="20" t="s">
        <v>5131</v>
      </c>
      <c r="I2920" s="15">
        <v>1</v>
      </c>
      <c r="J2920" s="15" t="s">
        <v>24</v>
      </c>
      <c r="K2920" s="15"/>
      <c r="L2920" s="21" t="s">
        <v>16</v>
      </c>
      <c r="M2920" s="22">
        <v>0</v>
      </c>
      <c r="N2920" s="22">
        <v>0</v>
      </c>
      <c r="O2920" s="22">
        <v>7200</v>
      </c>
      <c r="P2920" s="22">
        <v>7200</v>
      </c>
      <c r="Q2920" t="str" cm="1">
        <f t="array" ref="Q2920">_xlfn.TEXTJOIN("、",TRUE,IF('學員資料-三民高中'!$B$2:$B$454=$F2920,'學員資料-三民高中'!$G$2:$G$454,""))</f>
        <v/>
      </c>
      <c r="R2920" t="str" cm="1">
        <f t="array" ref="R2920">_xlfn.TEXTJOIN("、",TRUE,IF('學員資料-新北高中'!$B$2:$B$583=$F2920,'學員資料-新北高中'!$G$2:$G$583,""))</f>
        <v>0910369779</v>
      </c>
      <c r="S2920" t="str" cm="1">
        <f t="array" ref="S2920">_xlfn.TEXTJOIN("、",TRUE,IF('學員資料-三重商工'!$B$2:$B$472=$F2920,'學員資料-三重商工'!$G$2:$G$472,""))</f>
        <v/>
      </c>
      <c r="T2920">
        <f t="shared" si="45"/>
        <v>1</v>
      </c>
    </row>
    <row r="2921" spans="1:20" ht="14.25" hidden="1" customHeight="1">
      <c r="A2921" s="15">
        <v>2920</v>
      </c>
      <c r="B2921" s="16" t="s">
        <v>8924</v>
      </c>
      <c r="C2921" s="17">
        <v>45510</v>
      </c>
      <c r="D2921" s="15" t="s">
        <v>8925</v>
      </c>
      <c r="E2921" s="18" t="s">
        <v>954</v>
      </c>
      <c r="F2921" s="19" t="s">
        <v>5066</v>
      </c>
      <c r="G2921" s="18" t="s">
        <v>5067</v>
      </c>
      <c r="H2921" s="20" t="s">
        <v>5131</v>
      </c>
      <c r="I2921" s="15">
        <v>1</v>
      </c>
      <c r="J2921" s="15" t="s">
        <v>24</v>
      </c>
      <c r="K2921" s="15"/>
      <c r="L2921" s="21" t="s">
        <v>16</v>
      </c>
      <c r="M2921" s="22">
        <v>0</v>
      </c>
      <c r="N2921" s="22">
        <v>0</v>
      </c>
      <c r="O2921" s="22">
        <v>7200</v>
      </c>
      <c r="P2921" s="22">
        <v>7200</v>
      </c>
      <c r="Q2921" t="str" cm="1">
        <f t="array" ref="Q2921">_xlfn.TEXTJOIN("、",TRUE,IF('學員資料-三民高中'!$B$2:$B$454=$F2921,'學員資料-三民高中'!$G$2:$G$454,""))</f>
        <v/>
      </c>
      <c r="R2921" t="str" cm="1">
        <f t="array" ref="R2921">_xlfn.TEXTJOIN("、",TRUE,IF('學員資料-新北高中'!$B$2:$B$583=$F2921,'學員資料-新北高中'!$G$2:$G$583,""))</f>
        <v>0933872983</v>
      </c>
      <c r="S2921" t="str" cm="1">
        <f t="array" ref="S2921">_xlfn.TEXTJOIN("、",TRUE,IF('學員資料-三重商工'!$B$2:$B$472=$F2921,'學員資料-三重商工'!$G$2:$G$472,""))</f>
        <v/>
      </c>
      <c r="T2921">
        <f t="shared" si="45"/>
        <v>1</v>
      </c>
    </row>
    <row r="2922" spans="1:20" ht="14.25" hidden="1" customHeight="1">
      <c r="A2922" s="15">
        <v>2921</v>
      </c>
      <c r="B2922" s="16" t="s">
        <v>8926</v>
      </c>
      <c r="C2922" s="17">
        <v>45510</v>
      </c>
      <c r="D2922" s="15" t="s">
        <v>8927</v>
      </c>
      <c r="E2922" s="18" t="s">
        <v>954</v>
      </c>
      <c r="F2922" s="19" t="s">
        <v>5037</v>
      </c>
      <c r="G2922" s="18" t="s">
        <v>5038</v>
      </c>
      <c r="H2922" s="20" t="s">
        <v>5131</v>
      </c>
      <c r="I2922" s="15">
        <v>1</v>
      </c>
      <c r="J2922" s="15" t="s">
        <v>24</v>
      </c>
      <c r="K2922" s="15"/>
      <c r="L2922" s="21" t="s">
        <v>16</v>
      </c>
      <c r="M2922" s="22">
        <v>0</v>
      </c>
      <c r="N2922" s="22">
        <v>0</v>
      </c>
      <c r="O2922" s="22">
        <v>7200</v>
      </c>
      <c r="P2922" s="22">
        <v>7200</v>
      </c>
      <c r="Q2922" t="str" cm="1">
        <f t="array" ref="Q2922">_xlfn.TEXTJOIN("、",TRUE,IF('學員資料-三民高中'!$B$2:$B$454=$F2922,'學員資料-三民高中'!$G$2:$G$454,""))</f>
        <v/>
      </c>
      <c r="R2922" t="str" cm="1">
        <f t="array" ref="R2922">_xlfn.TEXTJOIN("、",TRUE,IF('學員資料-新北高中'!$B$2:$B$583=$F2922,'學員資料-新北高中'!$G$2:$G$583,""))</f>
        <v>0910369779</v>
      </c>
      <c r="S2922" t="str" cm="1">
        <f t="array" ref="S2922">_xlfn.TEXTJOIN("、",TRUE,IF('學員資料-三重商工'!$B$2:$B$472=$F2922,'學員資料-三重商工'!$G$2:$G$472,""))</f>
        <v/>
      </c>
      <c r="T2922">
        <f t="shared" si="45"/>
        <v>1</v>
      </c>
    </row>
    <row r="2923" spans="1:20" ht="14.25" hidden="1" customHeight="1">
      <c r="A2923" s="15">
        <v>2922</v>
      </c>
      <c r="B2923" s="16" t="s">
        <v>8928</v>
      </c>
      <c r="C2923" s="17">
        <v>45510</v>
      </c>
      <c r="D2923" s="15" t="s">
        <v>4720</v>
      </c>
      <c r="E2923" s="18" t="s">
        <v>954</v>
      </c>
      <c r="F2923" s="19" t="s">
        <v>8929</v>
      </c>
      <c r="G2923" s="18" t="s">
        <v>8930</v>
      </c>
      <c r="H2923" s="20" t="s">
        <v>5361</v>
      </c>
      <c r="I2923" s="15">
        <v>1</v>
      </c>
      <c r="J2923" s="15" t="s">
        <v>23</v>
      </c>
      <c r="K2923" s="21" t="s">
        <v>116</v>
      </c>
      <c r="L2923" s="21" t="s">
        <v>16</v>
      </c>
      <c r="M2923" s="22">
        <v>0</v>
      </c>
      <c r="N2923" s="22">
        <v>0</v>
      </c>
      <c r="O2923" s="22">
        <v>1100</v>
      </c>
      <c r="P2923" s="22">
        <v>1100</v>
      </c>
      <c r="Q2923" t="str" cm="1">
        <f t="array" ref="Q2923">_xlfn.TEXTJOIN("、",TRUE,IF('學員資料-三民高中'!$B$2:$B$454=$F2923,'學員資料-三民高中'!$G$2:$G$454,""))</f>
        <v/>
      </c>
      <c r="R2923" t="str" cm="1">
        <f t="array" ref="R2923">_xlfn.TEXTJOIN("、",TRUE,IF('學員資料-新北高中'!$B$2:$B$583=$F2923,'學員資料-新北高中'!$G$2:$G$583,""))</f>
        <v>0972912533</v>
      </c>
      <c r="S2923" t="str" cm="1">
        <f t="array" ref="S2923">_xlfn.TEXTJOIN("、",TRUE,IF('學員資料-三重商工'!$B$2:$B$472=$F2923,'學員資料-三重商工'!$G$2:$G$472,""))</f>
        <v/>
      </c>
      <c r="T2923">
        <f t="shared" si="45"/>
        <v>1</v>
      </c>
    </row>
    <row r="2924" spans="1:20" ht="14.25" hidden="1" customHeight="1">
      <c r="A2924" s="15">
        <v>2923</v>
      </c>
      <c r="B2924" s="16" t="s">
        <v>8931</v>
      </c>
      <c r="C2924" s="17">
        <v>45510</v>
      </c>
      <c r="D2924" s="15" t="s">
        <v>8932</v>
      </c>
      <c r="E2924" s="18" t="s">
        <v>954</v>
      </c>
      <c r="F2924" s="19" t="s">
        <v>5178</v>
      </c>
      <c r="G2924" s="18" t="s">
        <v>5179</v>
      </c>
      <c r="H2924" s="20" t="s">
        <v>5180</v>
      </c>
      <c r="I2924" s="15">
        <v>1</v>
      </c>
      <c r="J2924" s="15" t="s">
        <v>24</v>
      </c>
      <c r="K2924" s="15"/>
      <c r="L2924" s="21" t="s">
        <v>16</v>
      </c>
      <c r="M2924" s="22">
        <v>0</v>
      </c>
      <c r="N2924" s="22">
        <v>0</v>
      </c>
      <c r="O2924" s="22">
        <v>8640</v>
      </c>
      <c r="P2924" s="22">
        <v>8640</v>
      </c>
      <c r="Q2924" t="str" cm="1">
        <f t="array" ref="Q2924">_xlfn.TEXTJOIN("、",TRUE,IF('學員資料-三民高中'!$B$2:$B$454=$F2924,'學員資料-三民高中'!$G$2:$G$454,""))</f>
        <v/>
      </c>
      <c r="R2924" t="str" cm="1">
        <f t="array" ref="R2924">_xlfn.TEXTJOIN("、",TRUE,IF('學員資料-新北高中'!$B$2:$B$583=$F2924,'學員資料-新北高中'!$G$2:$G$583,""))</f>
        <v/>
      </c>
      <c r="S2924" t="str" cm="1">
        <f t="array" ref="S2924">_xlfn.TEXTJOIN("、",TRUE,IF('學員資料-三重商工'!$B$2:$B$472=$F2924,'學員資料-三重商工'!$G$2:$G$472,""))</f>
        <v>0983628635</v>
      </c>
      <c r="T2924">
        <f t="shared" si="45"/>
        <v>1</v>
      </c>
    </row>
    <row r="2925" spans="1:20" ht="14.25" hidden="1" customHeight="1">
      <c r="A2925" s="15">
        <v>2924</v>
      </c>
      <c r="B2925" s="16" t="s">
        <v>8933</v>
      </c>
      <c r="C2925" s="17">
        <v>45510</v>
      </c>
      <c r="D2925" s="15" t="s">
        <v>8934</v>
      </c>
      <c r="E2925" s="18" t="s">
        <v>954</v>
      </c>
      <c r="F2925" s="19" t="s">
        <v>671</v>
      </c>
      <c r="G2925" s="18" t="s">
        <v>672</v>
      </c>
      <c r="H2925" s="20" t="s">
        <v>5163</v>
      </c>
      <c r="I2925" s="15">
        <v>1</v>
      </c>
      <c r="J2925" s="15" t="s">
        <v>23</v>
      </c>
      <c r="K2925" s="15"/>
      <c r="L2925" s="21" t="s">
        <v>16</v>
      </c>
      <c r="M2925" s="22">
        <v>0</v>
      </c>
      <c r="N2925" s="22">
        <v>0</v>
      </c>
      <c r="O2925" s="22">
        <v>6600</v>
      </c>
      <c r="P2925" s="22">
        <v>6600</v>
      </c>
      <c r="Q2925" t="str" cm="1">
        <f t="array" ref="Q2925">_xlfn.TEXTJOIN("、",TRUE,IF('學員資料-三民高中'!$B$2:$B$454=$F2925,'學員資料-三民高中'!$G$2:$G$454,""))</f>
        <v/>
      </c>
      <c r="R2925" t="str" cm="1">
        <f t="array" ref="R2925">_xlfn.TEXTJOIN("、",TRUE,IF('學員資料-新北高中'!$B$2:$B$583=$F2925,'學員資料-新北高中'!$G$2:$G$583,""))</f>
        <v>0953037197</v>
      </c>
      <c r="S2925" t="str" cm="1">
        <f t="array" ref="S2925">_xlfn.TEXTJOIN("、",TRUE,IF('學員資料-三重商工'!$B$2:$B$472=$F2925,'學員資料-三重商工'!$G$2:$G$472,""))</f>
        <v/>
      </c>
      <c r="T2925">
        <f t="shared" si="45"/>
        <v>1</v>
      </c>
    </row>
    <row r="2926" spans="1:20" ht="14.25" hidden="1" customHeight="1">
      <c r="A2926" s="15">
        <v>2925</v>
      </c>
      <c r="B2926" s="16" t="s">
        <v>8935</v>
      </c>
      <c r="C2926" s="17">
        <v>45510</v>
      </c>
      <c r="D2926" s="15" t="s">
        <v>8936</v>
      </c>
      <c r="E2926" s="18" t="s">
        <v>954</v>
      </c>
      <c r="F2926" s="19" t="s">
        <v>8937</v>
      </c>
      <c r="G2926" s="18" t="s">
        <v>8938</v>
      </c>
      <c r="H2926" s="20" t="s">
        <v>5361</v>
      </c>
      <c r="I2926" s="15">
        <v>1</v>
      </c>
      <c r="J2926" s="15" t="s">
        <v>23</v>
      </c>
      <c r="K2926" s="21" t="s">
        <v>116</v>
      </c>
      <c r="L2926" s="21" t="s">
        <v>16</v>
      </c>
      <c r="M2926" s="22">
        <v>0</v>
      </c>
      <c r="N2926" s="22">
        <v>0</v>
      </c>
      <c r="O2926" s="22">
        <v>1100</v>
      </c>
      <c r="P2926" s="22">
        <v>1100</v>
      </c>
      <c r="Q2926" t="str" cm="1">
        <f t="array" ref="Q2926">_xlfn.TEXTJOIN("、",TRUE,IF('學員資料-三民高中'!$B$2:$B$454=$F2926,'學員資料-三民高中'!$G$2:$G$454,""))</f>
        <v/>
      </c>
      <c r="R2926" t="str" cm="1">
        <f t="array" ref="R2926">_xlfn.TEXTJOIN("、",TRUE,IF('學員資料-新北高中'!$B$2:$B$583=$F2926,'學員資料-新北高中'!$G$2:$G$583,""))</f>
        <v>0928827113</v>
      </c>
      <c r="S2926" t="str" cm="1">
        <f t="array" ref="S2926">_xlfn.TEXTJOIN("、",TRUE,IF('學員資料-三重商工'!$B$2:$B$472=$F2926,'學員資料-三重商工'!$G$2:$G$472,""))</f>
        <v/>
      </c>
      <c r="T2926">
        <f t="shared" si="45"/>
        <v>1</v>
      </c>
    </row>
    <row r="2927" spans="1:20" ht="14.25" hidden="1" customHeight="1">
      <c r="A2927" s="15">
        <v>2926</v>
      </c>
      <c r="B2927" s="16" t="s">
        <v>8939</v>
      </c>
      <c r="C2927" s="17">
        <v>45510</v>
      </c>
      <c r="D2927" s="15" t="s">
        <v>8940</v>
      </c>
      <c r="E2927" s="18" t="s">
        <v>954</v>
      </c>
      <c r="F2927" s="19" t="s">
        <v>8941</v>
      </c>
      <c r="G2927" s="18" t="s">
        <v>8942</v>
      </c>
      <c r="H2927" s="20" t="s">
        <v>5131</v>
      </c>
      <c r="I2927" s="15">
        <v>1</v>
      </c>
      <c r="J2927" s="15" t="s">
        <v>24</v>
      </c>
      <c r="K2927" s="15"/>
      <c r="L2927" s="21" t="s">
        <v>16</v>
      </c>
      <c r="M2927" s="22">
        <v>0</v>
      </c>
      <c r="N2927" s="22">
        <v>0</v>
      </c>
      <c r="O2927" s="22">
        <v>7200</v>
      </c>
      <c r="P2927" s="22">
        <v>7200</v>
      </c>
      <c r="Q2927" t="str" cm="1">
        <f t="array" ref="Q2927">_xlfn.TEXTJOIN("、",TRUE,IF('學員資料-三民高中'!$B$2:$B$454=$F2927,'學員資料-三民高中'!$G$2:$G$454,""))</f>
        <v/>
      </c>
      <c r="R2927" t="str" cm="1">
        <f t="array" ref="R2927">_xlfn.TEXTJOIN("、",TRUE,IF('學員資料-新北高中'!$B$2:$B$583=$F2927,'學員資料-新北高中'!$G$2:$G$583,""))</f>
        <v>0910871023</v>
      </c>
      <c r="S2927" t="str" cm="1">
        <f t="array" ref="S2927">_xlfn.TEXTJOIN("、",TRUE,IF('學員資料-三重商工'!$B$2:$B$472=$F2927,'學員資料-三重商工'!$G$2:$G$472,""))</f>
        <v/>
      </c>
      <c r="T2927">
        <f t="shared" si="45"/>
        <v>1</v>
      </c>
    </row>
    <row r="2928" spans="1:20" ht="14.25" hidden="1" customHeight="1">
      <c r="A2928" s="15">
        <v>2927</v>
      </c>
      <c r="B2928" s="16" t="s">
        <v>8943</v>
      </c>
      <c r="C2928" s="17">
        <v>45510</v>
      </c>
      <c r="D2928" s="15" t="s">
        <v>8944</v>
      </c>
      <c r="E2928" s="18" t="s">
        <v>954</v>
      </c>
      <c r="F2928" s="19" t="s">
        <v>4805</v>
      </c>
      <c r="G2928" s="18" t="s">
        <v>4806</v>
      </c>
      <c r="H2928" s="20" t="s">
        <v>5163</v>
      </c>
      <c r="I2928" s="15">
        <v>1</v>
      </c>
      <c r="J2928" s="15" t="s">
        <v>23</v>
      </c>
      <c r="K2928" s="15"/>
      <c r="L2928" s="21" t="s">
        <v>16</v>
      </c>
      <c r="M2928" s="22">
        <v>0</v>
      </c>
      <c r="N2928" s="22">
        <v>0</v>
      </c>
      <c r="O2928" s="22">
        <v>6600</v>
      </c>
      <c r="P2928" s="22">
        <v>6600</v>
      </c>
      <c r="Q2928" t="str" cm="1">
        <f t="array" ref="Q2928">_xlfn.TEXTJOIN("、",TRUE,IF('學員資料-三民高中'!$B$2:$B$454=$F2928,'學員資料-三民高中'!$G$2:$G$454,""))</f>
        <v/>
      </c>
      <c r="R2928" t="str" cm="1">
        <f t="array" ref="R2928">_xlfn.TEXTJOIN("、",TRUE,IF('學員資料-新北高中'!$B$2:$B$583=$F2928,'學員資料-新北高中'!$G$2:$G$583,""))</f>
        <v>0939985581</v>
      </c>
      <c r="S2928" t="str" cm="1">
        <f t="array" ref="S2928">_xlfn.TEXTJOIN("、",TRUE,IF('學員資料-三重商工'!$B$2:$B$472=$F2928,'學員資料-三重商工'!$G$2:$G$472,""))</f>
        <v/>
      </c>
      <c r="T2928">
        <f t="shared" si="45"/>
        <v>1</v>
      </c>
    </row>
    <row r="2929" spans="1:20" ht="14.25" hidden="1" customHeight="1">
      <c r="A2929" s="15">
        <v>2928</v>
      </c>
      <c r="B2929" s="16" t="s">
        <v>8945</v>
      </c>
      <c r="C2929" s="17">
        <v>45510</v>
      </c>
      <c r="D2929" s="15" t="s">
        <v>8946</v>
      </c>
      <c r="E2929" s="18" t="s">
        <v>954</v>
      </c>
      <c r="F2929" s="19" t="s">
        <v>8947</v>
      </c>
      <c r="G2929" s="18" t="s">
        <v>8948</v>
      </c>
      <c r="H2929" s="20" t="s">
        <v>5180</v>
      </c>
      <c r="I2929" s="15">
        <v>1</v>
      </c>
      <c r="J2929" s="15" t="s">
        <v>24</v>
      </c>
      <c r="K2929" s="15"/>
      <c r="L2929" s="21" t="s">
        <v>16</v>
      </c>
      <c r="M2929" s="22">
        <v>0</v>
      </c>
      <c r="N2929" s="22">
        <v>0</v>
      </c>
      <c r="O2929" s="22">
        <v>8640</v>
      </c>
      <c r="P2929" s="22">
        <v>8640</v>
      </c>
      <c r="Q2929" t="str" cm="1">
        <f t="array" ref="Q2929">_xlfn.TEXTJOIN("、",TRUE,IF('學員資料-三民高中'!$B$2:$B$454=$F2929,'學員資料-三民高中'!$G$2:$G$454,""))</f>
        <v/>
      </c>
      <c r="R2929" t="str" cm="1">
        <f t="array" ref="R2929">_xlfn.TEXTJOIN("、",TRUE,IF('學員資料-新北高中'!$B$2:$B$583=$F2929,'學員資料-新北高中'!$G$2:$G$583,""))</f>
        <v/>
      </c>
      <c r="S2929" t="str" cm="1">
        <f t="array" ref="S2929">_xlfn.TEXTJOIN("、",TRUE,IF('學員資料-三重商工'!$B$2:$B$472=$F2929,'學員資料-三重商工'!$G$2:$G$472,""))</f>
        <v>0933858662</v>
      </c>
      <c r="T2929">
        <f t="shared" si="45"/>
        <v>1</v>
      </c>
    </row>
    <row r="2930" spans="1:20" ht="14.25" hidden="1" customHeight="1">
      <c r="A2930" s="15">
        <v>2929</v>
      </c>
      <c r="B2930" s="16" t="s">
        <v>8949</v>
      </c>
      <c r="C2930" s="17">
        <v>45510</v>
      </c>
      <c r="D2930" s="15" t="s">
        <v>8950</v>
      </c>
      <c r="E2930" s="18" t="s">
        <v>954</v>
      </c>
      <c r="F2930" s="19" t="s">
        <v>6813</v>
      </c>
      <c r="G2930" s="18" t="s">
        <v>6814</v>
      </c>
      <c r="H2930" s="20" t="s">
        <v>5163</v>
      </c>
      <c r="I2930" s="15">
        <v>1</v>
      </c>
      <c r="J2930" s="15" t="s">
        <v>23</v>
      </c>
      <c r="K2930" s="15"/>
      <c r="L2930" s="21" t="s">
        <v>16</v>
      </c>
      <c r="M2930" s="22">
        <v>0</v>
      </c>
      <c r="N2930" s="22">
        <v>0</v>
      </c>
      <c r="O2930" s="22">
        <v>6600</v>
      </c>
      <c r="P2930" s="22">
        <v>6600</v>
      </c>
      <c r="Q2930" t="str" cm="1">
        <f t="array" ref="Q2930">_xlfn.TEXTJOIN("、",TRUE,IF('學員資料-三民高中'!$B$2:$B$454=$F2930,'學員資料-三民高中'!$G$2:$G$454,""))</f>
        <v/>
      </c>
      <c r="R2930" t="str" cm="1">
        <f t="array" ref="R2930">_xlfn.TEXTJOIN("、",TRUE,IF('學員資料-新北高中'!$B$2:$B$583=$F2930,'學員資料-新北高中'!$G$2:$G$583,""))</f>
        <v/>
      </c>
      <c r="S2930" t="str" cm="1">
        <f t="array" ref="S2930">_xlfn.TEXTJOIN("、",TRUE,IF('學員資料-三重商工'!$B$2:$B$472=$F2930,'學員資料-三重商工'!$G$2:$G$472,""))</f>
        <v>0926340528</v>
      </c>
      <c r="T2930">
        <f t="shared" si="45"/>
        <v>1</v>
      </c>
    </row>
    <row r="2931" spans="1:20" ht="14.25" hidden="1" customHeight="1">
      <c r="A2931" s="15">
        <v>2930</v>
      </c>
      <c r="B2931" s="16" t="s">
        <v>8951</v>
      </c>
      <c r="C2931" s="17">
        <v>45510</v>
      </c>
      <c r="D2931" s="15" t="s">
        <v>8952</v>
      </c>
      <c r="E2931" s="18" t="s">
        <v>954</v>
      </c>
      <c r="F2931" s="19" t="s">
        <v>8953</v>
      </c>
      <c r="G2931" s="18" t="s">
        <v>8954</v>
      </c>
      <c r="H2931" s="20" t="s">
        <v>5163</v>
      </c>
      <c r="I2931" s="15">
        <v>1</v>
      </c>
      <c r="J2931" s="15" t="s">
        <v>23</v>
      </c>
      <c r="K2931" s="15"/>
      <c r="L2931" s="21" t="s">
        <v>16</v>
      </c>
      <c r="M2931" s="22">
        <v>0</v>
      </c>
      <c r="N2931" s="22">
        <v>0</v>
      </c>
      <c r="O2931" s="22">
        <v>6600</v>
      </c>
      <c r="P2931" s="22">
        <v>6600</v>
      </c>
      <c r="Q2931" t="str" cm="1">
        <f t="array" ref="Q2931">_xlfn.TEXTJOIN("、",TRUE,IF('學員資料-三民高中'!$B$2:$B$454=$F2931,'學員資料-三民高中'!$G$2:$G$454,""))</f>
        <v/>
      </c>
      <c r="R2931" t="str" cm="1">
        <f t="array" ref="R2931">_xlfn.TEXTJOIN("、",TRUE,IF('學員資料-新北高中'!$B$2:$B$583=$F2931,'學員資料-新北高中'!$G$2:$G$583,""))</f>
        <v>0933217417</v>
      </c>
      <c r="S2931" t="str" cm="1">
        <f t="array" ref="S2931">_xlfn.TEXTJOIN("、",TRUE,IF('學員資料-三重商工'!$B$2:$B$472=$F2931,'學員資料-三重商工'!$G$2:$G$472,""))</f>
        <v/>
      </c>
      <c r="T2931">
        <f t="shared" si="45"/>
        <v>1</v>
      </c>
    </row>
    <row r="2932" spans="1:20" ht="14.25" hidden="1" customHeight="1">
      <c r="A2932" s="15">
        <v>2931</v>
      </c>
      <c r="B2932" s="16" t="s">
        <v>8955</v>
      </c>
      <c r="C2932" s="17">
        <v>45510</v>
      </c>
      <c r="D2932" s="15" t="s">
        <v>8045</v>
      </c>
      <c r="E2932" s="18" t="s">
        <v>954</v>
      </c>
      <c r="F2932" s="19" t="s">
        <v>3632</v>
      </c>
      <c r="G2932" s="18" t="s">
        <v>3633</v>
      </c>
      <c r="H2932" s="20" t="s">
        <v>5131</v>
      </c>
      <c r="I2932" s="15">
        <v>1</v>
      </c>
      <c r="J2932" s="15" t="s">
        <v>24</v>
      </c>
      <c r="K2932" s="15"/>
      <c r="L2932" s="21" t="s">
        <v>16</v>
      </c>
      <c r="M2932" s="22">
        <v>0</v>
      </c>
      <c r="N2932" s="22">
        <v>0</v>
      </c>
      <c r="O2932" s="22">
        <v>7200</v>
      </c>
      <c r="P2932" s="22">
        <v>7200</v>
      </c>
      <c r="Q2932" t="str" cm="1">
        <f t="array" ref="Q2932">_xlfn.TEXTJOIN("、",TRUE,IF('學員資料-三民高中'!$B$2:$B$454=$F2932,'學員資料-三民高中'!$G$2:$G$454,""))</f>
        <v>0953112110</v>
      </c>
      <c r="R2932" t="str" cm="1">
        <f t="array" ref="R2932">_xlfn.TEXTJOIN("、",TRUE,IF('學員資料-新北高中'!$B$2:$B$583=$F2932,'學員資料-新北高中'!$G$2:$G$583,""))</f>
        <v/>
      </c>
      <c r="S2932" t="str" cm="1">
        <f t="array" ref="S2932">_xlfn.TEXTJOIN("、",TRUE,IF('學員資料-三重商工'!$B$2:$B$472=$F2932,'學員資料-三重商工'!$G$2:$G$472,""))</f>
        <v/>
      </c>
      <c r="T2932">
        <f t="shared" si="45"/>
        <v>1</v>
      </c>
    </row>
    <row r="2933" spans="1:20" ht="14.25" hidden="1" customHeight="1">
      <c r="A2933" s="15">
        <v>2932</v>
      </c>
      <c r="B2933" s="16" t="s">
        <v>8956</v>
      </c>
      <c r="C2933" s="17">
        <v>45510</v>
      </c>
      <c r="D2933" s="15" t="s">
        <v>8957</v>
      </c>
      <c r="E2933" s="18" t="s">
        <v>954</v>
      </c>
      <c r="F2933" s="19" t="s">
        <v>8564</v>
      </c>
      <c r="G2933" s="18" t="s">
        <v>8565</v>
      </c>
      <c r="H2933" s="20" t="s">
        <v>5163</v>
      </c>
      <c r="I2933" s="15">
        <v>1</v>
      </c>
      <c r="J2933" s="15" t="s">
        <v>23</v>
      </c>
      <c r="K2933" s="15"/>
      <c r="L2933" s="21" t="s">
        <v>16</v>
      </c>
      <c r="M2933" s="22">
        <v>0</v>
      </c>
      <c r="N2933" s="22">
        <v>0</v>
      </c>
      <c r="O2933" s="22">
        <v>6600</v>
      </c>
      <c r="P2933" s="22">
        <v>6600</v>
      </c>
      <c r="Q2933" t="str" cm="1">
        <f t="array" ref="Q2933">_xlfn.TEXTJOIN("、",TRUE,IF('學員資料-三民高中'!$B$2:$B$454=$F2933,'學員資料-三民高中'!$G$2:$G$454,""))</f>
        <v/>
      </c>
      <c r="R2933" t="str" cm="1">
        <f t="array" ref="R2933">_xlfn.TEXTJOIN("、",TRUE,IF('學員資料-新北高中'!$B$2:$B$583=$F2933,'學員資料-新北高中'!$G$2:$G$583,""))</f>
        <v>0933018549</v>
      </c>
      <c r="S2933" t="str" cm="1">
        <f t="array" ref="S2933">_xlfn.TEXTJOIN("、",TRUE,IF('學員資料-三重商工'!$B$2:$B$472=$F2933,'學員資料-三重商工'!$G$2:$G$472,""))</f>
        <v/>
      </c>
      <c r="T2933">
        <f t="shared" si="45"/>
        <v>1</v>
      </c>
    </row>
    <row r="2934" spans="1:20" ht="14.25" hidden="1" customHeight="1">
      <c r="A2934" s="15">
        <v>2933</v>
      </c>
      <c r="B2934" s="16" t="s">
        <v>8958</v>
      </c>
      <c r="C2934" s="17">
        <v>45510</v>
      </c>
      <c r="D2934" s="15" t="s">
        <v>8959</v>
      </c>
      <c r="E2934" s="18" t="s">
        <v>954</v>
      </c>
      <c r="F2934" s="19" t="s">
        <v>8960</v>
      </c>
      <c r="G2934" s="18" t="s">
        <v>8961</v>
      </c>
      <c r="H2934" s="20" t="s">
        <v>5163</v>
      </c>
      <c r="I2934" s="15">
        <v>1</v>
      </c>
      <c r="J2934" s="15" t="s">
        <v>23</v>
      </c>
      <c r="K2934" s="15"/>
      <c r="L2934" s="21" t="s">
        <v>16</v>
      </c>
      <c r="M2934" s="22">
        <v>0</v>
      </c>
      <c r="N2934" s="22">
        <v>0</v>
      </c>
      <c r="O2934" s="22">
        <v>6600</v>
      </c>
      <c r="P2934" s="22">
        <v>6600</v>
      </c>
      <c r="Q2934" t="str" cm="1">
        <f t="array" ref="Q2934">_xlfn.TEXTJOIN("、",TRUE,IF('學員資料-三民高中'!$B$2:$B$454=$F2934,'學員資料-三民高中'!$G$2:$G$454,""))</f>
        <v/>
      </c>
      <c r="R2934" t="str" cm="1">
        <f t="array" ref="R2934">_xlfn.TEXTJOIN("、",TRUE,IF('學員資料-新北高中'!$B$2:$B$583=$F2934,'學員資料-新北高中'!$G$2:$G$583,""))</f>
        <v>0987046086</v>
      </c>
      <c r="S2934" t="str" cm="1">
        <f t="array" ref="S2934">_xlfn.TEXTJOIN("、",TRUE,IF('學員資料-三重商工'!$B$2:$B$472=$F2934,'學員資料-三重商工'!$G$2:$G$472,""))</f>
        <v/>
      </c>
      <c r="T2934">
        <f t="shared" si="45"/>
        <v>1</v>
      </c>
    </row>
    <row r="2935" spans="1:20" ht="14.25" hidden="1" customHeight="1">
      <c r="A2935" s="15">
        <v>2934</v>
      </c>
      <c r="B2935" s="16" t="s">
        <v>8962</v>
      </c>
      <c r="C2935" s="17">
        <v>45510</v>
      </c>
      <c r="D2935" s="15" t="s">
        <v>8963</v>
      </c>
      <c r="E2935" s="18" t="s">
        <v>954</v>
      </c>
      <c r="F2935" s="19" t="s">
        <v>5397</v>
      </c>
      <c r="G2935" s="18" t="s">
        <v>5398</v>
      </c>
      <c r="H2935" s="20" t="s">
        <v>5131</v>
      </c>
      <c r="I2935" s="15">
        <v>1</v>
      </c>
      <c r="J2935" s="15" t="s">
        <v>24</v>
      </c>
      <c r="K2935" s="15"/>
      <c r="L2935" s="21" t="s">
        <v>16</v>
      </c>
      <c r="M2935" s="22">
        <v>0</v>
      </c>
      <c r="N2935" s="22">
        <v>0</v>
      </c>
      <c r="O2935" s="22">
        <v>7200</v>
      </c>
      <c r="P2935" s="22">
        <v>7200</v>
      </c>
      <c r="Q2935" t="str" cm="1">
        <f t="array" ref="Q2935">_xlfn.TEXTJOIN("、",TRUE,IF('學員資料-三民高中'!$B$2:$B$454=$F2935,'學員資料-三民高中'!$G$2:$G$454,""))</f>
        <v>0986610666</v>
      </c>
      <c r="R2935" t="str" cm="1">
        <f t="array" ref="R2935">_xlfn.TEXTJOIN("、",TRUE,IF('學員資料-新北高中'!$B$2:$B$583=$F2935,'學員資料-新北高中'!$G$2:$G$583,""))</f>
        <v/>
      </c>
      <c r="S2935" t="str" cm="1">
        <f t="array" ref="S2935">_xlfn.TEXTJOIN("、",TRUE,IF('學員資料-三重商工'!$B$2:$B$472=$F2935,'學員資料-三重商工'!$G$2:$G$472,""))</f>
        <v/>
      </c>
      <c r="T2935">
        <f t="shared" si="45"/>
        <v>1</v>
      </c>
    </row>
    <row r="2936" spans="1:20" ht="14.25" hidden="1" customHeight="1">
      <c r="A2936" s="15">
        <v>2935</v>
      </c>
      <c r="B2936" s="16" t="s">
        <v>8964</v>
      </c>
      <c r="C2936" s="17">
        <v>45510</v>
      </c>
      <c r="D2936" s="15" t="s">
        <v>8965</v>
      </c>
      <c r="E2936" s="18" t="s">
        <v>954</v>
      </c>
      <c r="F2936" s="19" t="s">
        <v>1140</v>
      </c>
      <c r="G2936" s="18" t="s">
        <v>1141</v>
      </c>
      <c r="H2936" s="20" t="s">
        <v>5148</v>
      </c>
      <c r="I2936" s="15">
        <v>1</v>
      </c>
      <c r="J2936" s="15" t="s">
        <v>25</v>
      </c>
      <c r="K2936" s="15"/>
      <c r="L2936" s="21" t="s">
        <v>16</v>
      </c>
      <c r="M2936" s="22">
        <v>0</v>
      </c>
      <c r="N2936" s="22">
        <v>-3600</v>
      </c>
      <c r="O2936" s="22">
        <v>5400</v>
      </c>
      <c r="P2936" s="22">
        <v>5400</v>
      </c>
      <c r="Q2936" t="str" cm="1">
        <f t="array" ref="Q2936">_xlfn.TEXTJOIN("、",TRUE,IF('學員資料-三民高中'!$B$2:$B$454=$F2936,'學員資料-三民高中'!$G$2:$G$454,""))</f>
        <v/>
      </c>
      <c r="R2936" t="str" cm="1">
        <f t="array" ref="R2936">_xlfn.TEXTJOIN("、",TRUE,IF('學員資料-新北高中'!$B$2:$B$583=$F2936,'學員資料-新北高中'!$G$2:$G$583,""))</f>
        <v/>
      </c>
      <c r="S2936" t="str" cm="1">
        <f t="array" ref="S2936">_xlfn.TEXTJOIN("、",TRUE,IF('學員資料-三重商工'!$B$2:$B$472=$F2936,'學員資料-三重商工'!$G$2:$G$472,""))</f>
        <v>0912094878</v>
      </c>
      <c r="T2936">
        <f t="shared" si="45"/>
        <v>1</v>
      </c>
    </row>
    <row r="2937" spans="1:20" ht="14.25" hidden="1" customHeight="1">
      <c r="A2937" s="15">
        <v>2936</v>
      </c>
      <c r="B2937" s="16" t="s">
        <v>8966</v>
      </c>
      <c r="C2937" s="17">
        <v>45510</v>
      </c>
      <c r="D2937" s="15" t="s">
        <v>5020</v>
      </c>
      <c r="E2937" s="18" t="s">
        <v>954</v>
      </c>
      <c r="F2937" s="19" t="s">
        <v>2618</v>
      </c>
      <c r="G2937" s="18" t="s">
        <v>2619</v>
      </c>
      <c r="H2937" s="20" t="s">
        <v>5148</v>
      </c>
      <c r="I2937" s="15">
        <v>1</v>
      </c>
      <c r="J2937" s="15" t="s">
        <v>25</v>
      </c>
      <c r="K2937" s="15"/>
      <c r="L2937" s="21" t="s">
        <v>16</v>
      </c>
      <c r="M2937" s="22">
        <v>0</v>
      </c>
      <c r="N2937" s="22">
        <v>0</v>
      </c>
      <c r="O2937" s="22">
        <v>9000</v>
      </c>
      <c r="P2937" s="22">
        <v>9000</v>
      </c>
      <c r="Q2937" t="str" cm="1">
        <f t="array" ref="Q2937">_xlfn.TEXTJOIN("、",TRUE,IF('學員資料-三民高中'!$B$2:$B$454=$F2937,'學員資料-三民高中'!$G$2:$G$454,""))</f>
        <v>0920016260</v>
      </c>
      <c r="R2937" t="str" cm="1">
        <f t="array" ref="R2937">_xlfn.TEXTJOIN("、",TRUE,IF('學員資料-新北高中'!$B$2:$B$583=$F2937,'學員資料-新北高中'!$G$2:$G$583,""))</f>
        <v/>
      </c>
      <c r="S2937" t="str" cm="1">
        <f t="array" ref="S2937">_xlfn.TEXTJOIN("、",TRUE,IF('學員資料-三重商工'!$B$2:$B$472=$F2937,'學員資料-三重商工'!$G$2:$G$472,""))</f>
        <v/>
      </c>
      <c r="T2937">
        <f t="shared" si="45"/>
        <v>1</v>
      </c>
    </row>
    <row r="2938" spans="1:20" ht="14.25" hidden="1" customHeight="1">
      <c r="A2938" s="15">
        <v>2937</v>
      </c>
      <c r="B2938" s="16" t="s">
        <v>8967</v>
      </c>
      <c r="C2938" s="17">
        <v>45510</v>
      </c>
      <c r="D2938" s="15" t="s">
        <v>8968</v>
      </c>
      <c r="E2938" s="18" t="s">
        <v>954</v>
      </c>
      <c r="F2938" s="19" t="s">
        <v>5261</v>
      </c>
      <c r="G2938" s="18" t="s">
        <v>5262</v>
      </c>
      <c r="H2938" s="20" t="s">
        <v>5148</v>
      </c>
      <c r="I2938" s="15">
        <v>1</v>
      </c>
      <c r="J2938" s="15" t="s">
        <v>25</v>
      </c>
      <c r="K2938" s="15"/>
      <c r="L2938" s="21" t="s">
        <v>16</v>
      </c>
      <c r="M2938" s="22">
        <v>0</v>
      </c>
      <c r="N2938" s="22">
        <v>0</v>
      </c>
      <c r="O2938" s="22">
        <v>9000</v>
      </c>
      <c r="P2938" s="22">
        <v>9000</v>
      </c>
      <c r="Q2938" t="str" cm="1">
        <f t="array" ref="Q2938">_xlfn.TEXTJOIN("、",TRUE,IF('學員資料-三民高中'!$B$2:$B$454=$F2938,'學員資料-三民高中'!$G$2:$G$454,""))</f>
        <v/>
      </c>
      <c r="R2938" t="str" cm="1">
        <f t="array" ref="R2938">_xlfn.TEXTJOIN("、",TRUE,IF('學員資料-新北高中'!$B$2:$B$583=$F2938,'學員資料-新北高中'!$G$2:$G$583,""))</f>
        <v>0912818552</v>
      </c>
      <c r="S2938" t="str" cm="1">
        <f t="array" ref="S2938">_xlfn.TEXTJOIN("、",TRUE,IF('學員資料-三重商工'!$B$2:$B$472=$F2938,'學員資料-三重商工'!$G$2:$G$472,""))</f>
        <v/>
      </c>
      <c r="T2938">
        <f t="shared" si="45"/>
        <v>1</v>
      </c>
    </row>
    <row r="2939" spans="1:20" ht="28.5" hidden="1" customHeight="1">
      <c r="A2939" s="15">
        <v>2938</v>
      </c>
      <c r="B2939" s="16" t="s">
        <v>8969</v>
      </c>
      <c r="C2939" s="17">
        <v>45510</v>
      </c>
      <c r="D2939" s="15" t="s">
        <v>4242</v>
      </c>
      <c r="E2939" s="18" t="s">
        <v>954</v>
      </c>
      <c r="F2939" s="19" t="s">
        <v>8970</v>
      </c>
      <c r="G2939" s="18" t="s">
        <v>8971</v>
      </c>
      <c r="H2939" s="20" t="s">
        <v>5154</v>
      </c>
      <c r="I2939" s="15">
        <v>2</v>
      </c>
      <c r="J2939" s="15" t="s">
        <v>24</v>
      </c>
      <c r="K2939" s="15"/>
      <c r="L2939" s="21" t="s">
        <v>16</v>
      </c>
      <c r="M2939" s="22">
        <v>0</v>
      </c>
      <c r="N2939" s="22">
        <v>-1440</v>
      </c>
      <c r="O2939" s="22">
        <v>12960</v>
      </c>
      <c r="P2939" s="22">
        <v>12960</v>
      </c>
      <c r="Q2939" t="str" cm="1">
        <f t="array" ref="Q2939">_xlfn.TEXTJOIN("、",TRUE,IF('學員資料-三民高中'!$B$2:$B$454=$F2939,'學員資料-三民高中'!$G$2:$G$454,""))</f>
        <v>0917974820</v>
      </c>
      <c r="R2939" t="str" cm="1">
        <f t="array" ref="R2939">_xlfn.TEXTJOIN("、",TRUE,IF('學員資料-新北高中'!$B$2:$B$583=$F2939,'學員資料-新北高中'!$G$2:$G$583,""))</f>
        <v/>
      </c>
      <c r="S2939" t="str" cm="1">
        <f t="array" ref="S2939">_xlfn.TEXTJOIN("、",TRUE,IF('學員資料-三重商工'!$B$2:$B$472=$F2939,'學員資料-三重商工'!$G$2:$G$472,""))</f>
        <v/>
      </c>
      <c r="T2939">
        <f t="shared" si="45"/>
        <v>1</v>
      </c>
    </row>
    <row r="2940" spans="1:20" ht="14.25" hidden="1" customHeight="1">
      <c r="A2940" s="15">
        <v>2939</v>
      </c>
      <c r="B2940" s="16" t="s">
        <v>8972</v>
      </c>
      <c r="C2940" s="17">
        <v>45510</v>
      </c>
      <c r="D2940" s="15" t="s">
        <v>8973</v>
      </c>
      <c r="E2940" s="18" t="s">
        <v>954</v>
      </c>
      <c r="F2940" s="19" t="s">
        <v>6441</v>
      </c>
      <c r="G2940" s="18" t="s">
        <v>6442</v>
      </c>
      <c r="H2940" s="20" t="s">
        <v>5340</v>
      </c>
      <c r="I2940" s="15">
        <v>1</v>
      </c>
      <c r="J2940" s="15" t="s">
        <v>27</v>
      </c>
      <c r="K2940" s="15"/>
      <c r="L2940" s="21" t="s">
        <v>16</v>
      </c>
      <c r="M2940" s="22">
        <v>0</v>
      </c>
      <c r="N2940" s="22">
        <v>0</v>
      </c>
      <c r="O2940" s="22">
        <v>13500</v>
      </c>
      <c r="P2940" s="22">
        <v>13500</v>
      </c>
      <c r="Q2940" t="str" cm="1">
        <f t="array" ref="Q2940">_xlfn.TEXTJOIN("、",TRUE,IF('學員資料-三民高中'!$B$2:$B$454=$F2940,'學員資料-三民高中'!$G$2:$G$454,""))</f>
        <v>0972239268</v>
      </c>
      <c r="R2940" t="str" cm="1">
        <f t="array" ref="R2940">_xlfn.TEXTJOIN("、",TRUE,IF('學員資料-新北高中'!$B$2:$B$583=$F2940,'學員資料-新北高中'!$G$2:$G$583,""))</f>
        <v/>
      </c>
      <c r="S2940" t="str" cm="1">
        <f t="array" ref="S2940">_xlfn.TEXTJOIN("、",TRUE,IF('學員資料-三重商工'!$B$2:$B$472=$F2940,'學員資料-三重商工'!$G$2:$G$472,""))</f>
        <v/>
      </c>
      <c r="T2940">
        <f t="shared" si="45"/>
        <v>1</v>
      </c>
    </row>
    <row r="2941" spans="1:20" ht="14.25" hidden="1" customHeight="1">
      <c r="A2941" s="15">
        <v>2940</v>
      </c>
      <c r="B2941" s="16" t="s">
        <v>8974</v>
      </c>
      <c r="C2941" s="17">
        <v>45510</v>
      </c>
      <c r="D2941" s="15" t="s">
        <v>8975</v>
      </c>
      <c r="E2941" s="18" t="s">
        <v>954</v>
      </c>
      <c r="F2941" s="19" t="s">
        <v>8976</v>
      </c>
      <c r="G2941" s="18" t="s">
        <v>8977</v>
      </c>
      <c r="H2941" s="20" t="s">
        <v>5131</v>
      </c>
      <c r="I2941" s="15">
        <v>1</v>
      </c>
      <c r="J2941" s="15" t="s">
        <v>24</v>
      </c>
      <c r="K2941" s="15"/>
      <c r="L2941" s="21" t="s">
        <v>16</v>
      </c>
      <c r="M2941" s="22">
        <v>0</v>
      </c>
      <c r="N2941" s="22">
        <v>-864</v>
      </c>
      <c r="O2941" s="22">
        <v>6336</v>
      </c>
      <c r="P2941" s="22">
        <v>6336</v>
      </c>
      <c r="Q2941" t="str" cm="1">
        <f t="array" ref="Q2941">_xlfn.TEXTJOIN("、",TRUE,IF('學員資料-三民高中'!$B$2:$B$454=$F2941,'學員資料-三民高中'!$G$2:$G$454,""))</f>
        <v>0922713627</v>
      </c>
      <c r="R2941" t="str" cm="1">
        <f t="array" ref="R2941">_xlfn.TEXTJOIN("、",TRUE,IF('學員資料-新北高中'!$B$2:$B$583=$F2941,'學員資料-新北高中'!$G$2:$G$583,""))</f>
        <v/>
      </c>
      <c r="S2941" t="str" cm="1">
        <f t="array" ref="S2941">_xlfn.TEXTJOIN("、",TRUE,IF('學員資料-三重商工'!$B$2:$B$472=$F2941,'學員資料-三重商工'!$G$2:$G$472,""))</f>
        <v/>
      </c>
      <c r="T2941">
        <f t="shared" si="45"/>
        <v>1</v>
      </c>
    </row>
    <row r="2942" spans="1:20" ht="14.25" customHeight="1">
      <c r="A2942" s="15">
        <v>2941</v>
      </c>
      <c r="B2942" s="16" t="s">
        <v>8978</v>
      </c>
      <c r="C2942" s="17">
        <v>45510</v>
      </c>
      <c r="D2942" s="15" t="s">
        <v>8979</v>
      </c>
      <c r="E2942" s="18" t="s">
        <v>954</v>
      </c>
      <c r="F2942" s="19" t="s">
        <v>6012</v>
      </c>
      <c r="G2942" s="23"/>
      <c r="H2942" s="20" t="s">
        <v>5163</v>
      </c>
      <c r="I2942" s="15">
        <v>1</v>
      </c>
      <c r="J2942" s="15" t="s">
        <v>23</v>
      </c>
      <c r="K2942" s="15"/>
      <c r="L2942" s="21" t="s">
        <v>16</v>
      </c>
      <c r="M2942" s="22">
        <v>0</v>
      </c>
      <c r="N2942" s="22">
        <v>0</v>
      </c>
      <c r="O2942" s="22">
        <v>6600</v>
      </c>
      <c r="P2942" s="22">
        <v>6600</v>
      </c>
      <c r="Q2942" t="str" cm="1">
        <f t="array" ref="Q2942">_xlfn.TEXTJOIN("、",TRUE,IF('學員資料-三民高中'!$B$2:$B$454=$F2942,'學員資料-三民高中'!$G$2:$G$454,""))</f>
        <v/>
      </c>
      <c r="R2942" t="str" cm="1">
        <f t="array" ref="R2942">_xlfn.TEXTJOIN("、",TRUE,IF('學員資料-新北高中'!$B$2:$B$583=$F2942,'學員資料-新北高中'!$G$2:$G$583,""))</f>
        <v/>
      </c>
      <c r="S2942" t="str" cm="1">
        <f t="array" ref="S2942">_xlfn.TEXTJOIN("、",TRUE,IF('學員資料-三重商工'!$B$2:$B$472=$F2942,'學員資料-三重商工'!$G$2:$G$472,""))</f>
        <v/>
      </c>
      <c r="T2942">
        <f t="shared" si="45"/>
        <v>0</v>
      </c>
    </row>
    <row r="2943" spans="1:20" ht="14.25" hidden="1" customHeight="1">
      <c r="A2943" s="15">
        <v>2942</v>
      </c>
      <c r="B2943" s="16" t="s">
        <v>8980</v>
      </c>
      <c r="C2943" s="17">
        <v>45510</v>
      </c>
      <c r="D2943" s="15" t="s">
        <v>8981</v>
      </c>
      <c r="E2943" s="18" t="s">
        <v>954</v>
      </c>
      <c r="F2943" s="19" t="s">
        <v>542</v>
      </c>
      <c r="G2943" s="18" t="s">
        <v>543</v>
      </c>
      <c r="H2943" s="20" t="s">
        <v>5163</v>
      </c>
      <c r="I2943" s="15">
        <v>1</v>
      </c>
      <c r="J2943" s="15" t="s">
        <v>23</v>
      </c>
      <c r="K2943" s="15"/>
      <c r="L2943" s="21" t="s">
        <v>16</v>
      </c>
      <c r="M2943" s="22">
        <v>0</v>
      </c>
      <c r="N2943" s="22">
        <v>0</v>
      </c>
      <c r="O2943" s="22">
        <v>6600</v>
      </c>
      <c r="P2943" s="22">
        <v>6600</v>
      </c>
      <c r="Q2943" t="str" cm="1">
        <f t="array" ref="Q2943">_xlfn.TEXTJOIN("、",TRUE,IF('學員資料-三民高中'!$B$2:$B$454=$F2943,'學員資料-三民高中'!$G$2:$G$454,""))</f>
        <v/>
      </c>
      <c r="R2943" t="str" cm="1">
        <f t="array" ref="R2943">_xlfn.TEXTJOIN("、",TRUE,IF('學員資料-新北高中'!$B$2:$B$583=$F2943,'學員資料-新北高中'!$G$2:$G$583,""))</f>
        <v>0918068640</v>
      </c>
      <c r="S2943" t="str" cm="1">
        <f t="array" ref="S2943">_xlfn.TEXTJOIN("、",TRUE,IF('學員資料-三重商工'!$B$2:$B$472=$F2943,'學員資料-三重商工'!$G$2:$G$472,""))</f>
        <v/>
      </c>
      <c r="T2943">
        <f t="shared" si="45"/>
        <v>1</v>
      </c>
    </row>
    <row r="2944" spans="1:20" ht="14.25" hidden="1" customHeight="1">
      <c r="A2944" s="15">
        <v>2943</v>
      </c>
      <c r="B2944" s="16" t="s">
        <v>8982</v>
      </c>
      <c r="C2944" s="17">
        <v>45510</v>
      </c>
      <c r="D2944" s="15" t="s">
        <v>8983</v>
      </c>
      <c r="E2944" s="18" t="s">
        <v>954</v>
      </c>
      <c r="F2944" s="19" t="s">
        <v>4952</v>
      </c>
      <c r="G2944" s="18" t="s">
        <v>4953</v>
      </c>
      <c r="H2944" s="20" t="s">
        <v>5131</v>
      </c>
      <c r="I2944" s="15">
        <v>1</v>
      </c>
      <c r="J2944" s="15" t="s">
        <v>24</v>
      </c>
      <c r="K2944" s="15"/>
      <c r="L2944" s="21" t="s">
        <v>16</v>
      </c>
      <c r="M2944" s="22">
        <v>0</v>
      </c>
      <c r="N2944" s="22">
        <v>0</v>
      </c>
      <c r="O2944" s="22">
        <v>7200</v>
      </c>
      <c r="P2944" s="22">
        <v>7200</v>
      </c>
      <c r="Q2944" t="str" cm="1">
        <f t="array" ref="Q2944">_xlfn.TEXTJOIN("、",TRUE,IF('學員資料-三民高中'!$B$2:$B$454=$F2944,'學員資料-三民高中'!$G$2:$G$454,""))</f>
        <v/>
      </c>
      <c r="R2944" t="str" cm="1">
        <f t="array" ref="R2944">_xlfn.TEXTJOIN("、",TRUE,IF('學員資料-新北高中'!$B$2:$B$583=$F2944,'學員資料-新北高中'!$G$2:$G$583,""))</f>
        <v>0978071701</v>
      </c>
      <c r="S2944" t="str" cm="1">
        <f t="array" ref="S2944">_xlfn.TEXTJOIN("、",TRUE,IF('學員資料-三重商工'!$B$2:$B$472=$F2944,'學員資料-三重商工'!$G$2:$G$472,""))</f>
        <v/>
      </c>
      <c r="T2944">
        <f t="shared" si="45"/>
        <v>1</v>
      </c>
    </row>
    <row r="2945" spans="1:20" ht="14.25" hidden="1" customHeight="1">
      <c r="A2945" s="15">
        <v>2944</v>
      </c>
      <c r="B2945" s="16" t="s">
        <v>8984</v>
      </c>
      <c r="C2945" s="17">
        <v>45510</v>
      </c>
      <c r="D2945" s="15" t="s">
        <v>8985</v>
      </c>
      <c r="E2945" s="18" t="s">
        <v>954</v>
      </c>
      <c r="F2945" s="19" t="s">
        <v>8986</v>
      </c>
      <c r="G2945" s="18" t="s">
        <v>8987</v>
      </c>
      <c r="H2945" s="20" t="s">
        <v>5131</v>
      </c>
      <c r="I2945" s="15">
        <v>1</v>
      </c>
      <c r="J2945" s="15" t="s">
        <v>24</v>
      </c>
      <c r="K2945" s="15"/>
      <c r="L2945" s="21" t="s">
        <v>16</v>
      </c>
      <c r="M2945" s="22">
        <v>0</v>
      </c>
      <c r="N2945" s="22">
        <v>0</v>
      </c>
      <c r="O2945" s="22">
        <v>7200</v>
      </c>
      <c r="P2945" s="22">
        <v>7200</v>
      </c>
      <c r="Q2945" t="str" cm="1">
        <f t="array" ref="Q2945">_xlfn.TEXTJOIN("、",TRUE,IF('學員資料-三民高中'!$B$2:$B$454=$F2945,'學員資料-三民高中'!$G$2:$G$454,""))</f>
        <v/>
      </c>
      <c r="R2945" t="str" cm="1">
        <f t="array" ref="R2945">_xlfn.TEXTJOIN("、",TRUE,IF('學員資料-新北高中'!$B$2:$B$583=$F2945,'學員資料-新北高中'!$G$2:$G$583,""))</f>
        <v>0920052474</v>
      </c>
      <c r="S2945" t="str" cm="1">
        <f t="array" ref="S2945">_xlfn.TEXTJOIN("、",TRUE,IF('學員資料-三重商工'!$B$2:$B$472=$F2945,'學員資料-三重商工'!$G$2:$G$472,""))</f>
        <v/>
      </c>
      <c r="T2945">
        <f t="shared" si="45"/>
        <v>1</v>
      </c>
    </row>
    <row r="2946" spans="1:20" ht="14.25" hidden="1" customHeight="1">
      <c r="A2946" s="15">
        <v>2945</v>
      </c>
      <c r="B2946" s="16" t="s">
        <v>8988</v>
      </c>
      <c r="C2946" s="17">
        <v>45510</v>
      </c>
      <c r="D2946" s="15" t="s">
        <v>8989</v>
      </c>
      <c r="E2946" s="18" t="s">
        <v>954</v>
      </c>
      <c r="F2946" s="19" t="s">
        <v>7891</v>
      </c>
      <c r="G2946" s="18" t="s">
        <v>7892</v>
      </c>
      <c r="H2946" s="20" t="s">
        <v>5180</v>
      </c>
      <c r="I2946" s="15">
        <v>1</v>
      </c>
      <c r="J2946" s="15" t="s">
        <v>24</v>
      </c>
      <c r="K2946" s="15"/>
      <c r="L2946" s="21" t="s">
        <v>16</v>
      </c>
      <c r="M2946" s="22">
        <v>0</v>
      </c>
      <c r="N2946" s="22">
        <v>0</v>
      </c>
      <c r="O2946" s="22">
        <v>8640</v>
      </c>
      <c r="P2946" s="22">
        <v>8640</v>
      </c>
      <c r="Q2946" t="str" cm="1">
        <f t="array" ref="Q2946">_xlfn.TEXTJOIN("、",TRUE,IF('學員資料-三民高中'!$B$2:$B$454=$F2946,'學員資料-三民高中'!$G$2:$G$454,""))</f>
        <v/>
      </c>
      <c r="R2946" t="str" cm="1">
        <f t="array" ref="R2946">_xlfn.TEXTJOIN("、",TRUE,IF('學員資料-新北高中'!$B$2:$B$583=$F2946,'學員資料-新北高中'!$G$2:$G$583,""))</f>
        <v>0933136491</v>
      </c>
      <c r="S2946" t="str" cm="1">
        <f t="array" ref="S2946">_xlfn.TEXTJOIN("、",TRUE,IF('學員資料-三重商工'!$B$2:$B$472=$F2946,'學員資料-三重商工'!$G$2:$G$472,""))</f>
        <v/>
      </c>
      <c r="T2946">
        <f t="shared" si="45"/>
        <v>1</v>
      </c>
    </row>
    <row r="2947" spans="1:20" ht="14.25" hidden="1" customHeight="1">
      <c r="A2947" s="15">
        <v>2946</v>
      </c>
      <c r="B2947" s="16" t="s">
        <v>8990</v>
      </c>
      <c r="C2947" s="17">
        <v>45510</v>
      </c>
      <c r="D2947" s="15" t="s">
        <v>8991</v>
      </c>
      <c r="E2947" s="18" t="s">
        <v>954</v>
      </c>
      <c r="F2947" s="19" t="s">
        <v>7161</v>
      </c>
      <c r="G2947" s="18" t="s">
        <v>7162</v>
      </c>
      <c r="H2947" s="20" t="s">
        <v>5163</v>
      </c>
      <c r="I2947" s="15">
        <v>1</v>
      </c>
      <c r="J2947" s="15" t="s">
        <v>23</v>
      </c>
      <c r="K2947" s="15"/>
      <c r="L2947" s="21" t="s">
        <v>16</v>
      </c>
      <c r="M2947" s="22">
        <v>0</v>
      </c>
      <c r="N2947" s="22">
        <v>0</v>
      </c>
      <c r="O2947" s="22">
        <v>6600</v>
      </c>
      <c r="P2947" s="22">
        <v>6600</v>
      </c>
      <c r="Q2947" t="str" cm="1">
        <f t="array" ref="Q2947">_xlfn.TEXTJOIN("、",TRUE,IF('學員資料-三民高中'!$B$2:$B$454=$F2947,'學員資料-三民高中'!$G$2:$G$454,""))</f>
        <v>0936992197</v>
      </c>
      <c r="R2947" t="str" cm="1">
        <f t="array" ref="R2947">_xlfn.TEXTJOIN("、",TRUE,IF('學員資料-新北高中'!$B$2:$B$583=$F2947,'學員資料-新北高中'!$G$2:$G$583,""))</f>
        <v/>
      </c>
      <c r="S2947" t="str" cm="1">
        <f t="array" ref="S2947">_xlfn.TEXTJOIN("、",TRUE,IF('學員資料-三重商工'!$B$2:$B$472=$F2947,'學員資料-三重商工'!$G$2:$G$472,""))</f>
        <v/>
      </c>
      <c r="T2947">
        <f t="shared" ref="T2947:T3010" si="46">3-COUNTBLANK(Q2947:S2947)</f>
        <v>1</v>
      </c>
    </row>
    <row r="2948" spans="1:20" ht="14.25" hidden="1" customHeight="1">
      <c r="A2948" s="15">
        <v>2947</v>
      </c>
      <c r="B2948" s="16" t="s">
        <v>8992</v>
      </c>
      <c r="C2948" s="17">
        <v>45510</v>
      </c>
      <c r="D2948" s="15" t="s">
        <v>8993</v>
      </c>
      <c r="E2948" s="18" t="s">
        <v>954</v>
      </c>
      <c r="F2948" s="19" t="s">
        <v>6697</v>
      </c>
      <c r="G2948" s="18" t="s">
        <v>6698</v>
      </c>
      <c r="H2948" s="20" t="s">
        <v>5131</v>
      </c>
      <c r="I2948" s="15">
        <v>1</v>
      </c>
      <c r="J2948" s="15" t="s">
        <v>24</v>
      </c>
      <c r="K2948" s="15"/>
      <c r="L2948" s="21" t="s">
        <v>16</v>
      </c>
      <c r="M2948" s="22">
        <v>0</v>
      </c>
      <c r="N2948" s="22">
        <v>0</v>
      </c>
      <c r="O2948" s="22">
        <v>7200</v>
      </c>
      <c r="P2948" s="22">
        <v>7200</v>
      </c>
      <c r="Q2948" t="str" cm="1">
        <f t="array" ref="Q2948">_xlfn.TEXTJOIN("、",TRUE,IF('學員資料-三民高中'!$B$2:$B$454=$F2948,'學員資料-三民高中'!$G$2:$G$454,""))</f>
        <v/>
      </c>
      <c r="R2948" t="str" cm="1">
        <f t="array" ref="R2948">_xlfn.TEXTJOIN("、",TRUE,IF('學員資料-新北高中'!$B$2:$B$583=$F2948,'學員資料-新北高中'!$G$2:$G$583,""))</f>
        <v>0910368991</v>
      </c>
      <c r="S2948" t="str" cm="1">
        <f t="array" ref="S2948">_xlfn.TEXTJOIN("、",TRUE,IF('學員資料-三重商工'!$B$2:$B$472=$F2948,'學員資料-三重商工'!$G$2:$G$472,""))</f>
        <v/>
      </c>
      <c r="T2948">
        <f t="shared" si="46"/>
        <v>1</v>
      </c>
    </row>
    <row r="2949" spans="1:20" ht="14.25" hidden="1" customHeight="1">
      <c r="A2949" s="15">
        <v>2948</v>
      </c>
      <c r="B2949" s="16" t="s">
        <v>8994</v>
      </c>
      <c r="C2949" s="17">
        <v>45510</v>
      </c>
      <c r="D2949" s="15" t="s">
        <v>8995</v>
      </c>
      <c r="E2949" s="18" t="s">
        <v>954</v>
      </c>
      <c r="F2949" s="19" t="s">
        <v>3365</v>
      </c>
      <c r="G2949" s="18" t="s">
        <v>3366</v>
      </c>
      <c r="H2949" s="20" t="s">
        <v>5148</v>
      </c>
      <c r="I2949" s="15">
        <v>1</v>
      </c>
      <c r="J2949" s="15" t="s">
        <v>25</v>
      </c>
      <c r="K2949" s="15"/>
      <c r="L2949" s="21" t="s">
        <v>16</v>
      </c>
      <c r="M2949" s="22">
        <v>0</v>
      </c>
      <c r="N2949" s="22">
        <v>0</v>
      </c>
      <c r="O2949" s="22">
        <v>9000</v>
      </c>
      <c r="P2949" s="22">
        <v>9000</v>
      </c>
      <c r="Q2949" t="str" cm="1">
        <f t="array" ref="Q2949">_xlfn.TEXTJOIN("、",TRUE,IF('學員資料-三民高中'!$B$2:$B$454=$F2949,'學員資料-三民高中'!$G$2:$G$454,""))</f>
        <v/>
      </c>
      <c r="R2949" t="str" cm="1">
        <f t="array" ref="R2949">_xlfn.TEXTJOIN("、",TRUE,IF('學員資料-新北高中'!$B$2:$B$583=$F2949,'學員資料-新北高中'!$G$2:$G$583,""))</f>
        <v/>
      </c>
      <c r="S2949" t="str" cm="1">
        <f t="array" ref="S2949">_xlfn.TEXTJOIN("、",TRUE,IF('學員資料-三重商工'!$B$2:$B$472=$F2949,'學員資料-三重商工'!$G$2:$G$472,""))</f>
        <v>0952663043-1</v>
      </c>
      <c r="T2949">
        <f t="shared" si="46"/>
        <v>1</v>
      </c>
    </row>
    <row r="2950" spans="1:20" ht="14.25" hidden="1" customHeight="1">
      <c r="A2950" s="15">
        <v>2949</v>
      </c>
      <c r="B2950" s="16" t="s">
        <v>8996</v>
      </c>
      <c r="C2950" s="17">
        <v>45510</v>
      </c>
      <c r="D2950" s="15" t="s">
        <v>8997</v>
      </c>
      <c r="E2950" s="18" t="s">
        <v>954</v>
      </c>
      <c r="F2950" s="19" t="s">
        <v>6646</v>
      </c>
      <c r="G2950" s="18" t="s">
        <v>6647</v>
      </c>
      <c r="H2950" s="20" t="s">
        <v>5163</v>
      </c>
      <c r="I2950" s="15">
        <v>1</v>
      </c>
      <c r="J2950" s="15" t="s">
        <v>23</v>
      </c>
      <c r="K2950" s="15"/>
      <c r="L2950" s="21" t="s">
        <v>16</v>
      </c>
      <c r="M2950" s="22">
        <v>0</v>
      </c>
      <c r="N2950" s="22">
        <v>0</v>
      </c>
      <c r="O2950" s="22">
        <v>6600</v>
      </c>
      <c r="P2950" s="22">
        <v>6600</v>
      </c>
      <c r="Q2950" t="str" cm="1">
        <f t="array" ref="Q2950">_xlfn.TEXTJOIN("、",TRUE,IF('學員資料-三民高中'!$B$2:$B$454=$F2950,'學員資料-三民高中'!$G$2:$G$454,""))</f>
        <v/>
      </c>
      <c r="R2950" t="str" cm="1">
        <f t="array" ref="R2950">_xlfn.TEXTJOIN("、",TRUE,IF('學員資料-新北高中'!$B$2:$B$583=$F2950,'學員資料-新北高中'!$G$2:$G$583,""))</f>
        <v>0973533288</v>
      </c>
      <c r="S2950" t="str" cm="1">
        <f t="array" ref="S2950">_xlfn.TEXTJOIN("、",TRUE,IF('學員資料-三重商工'!$B$2:$B$472=$F2950,'學員資料-三重商工'!$G$2:$G$472,""))</f>
        <v/>
      </c>
      <c r="T2950">
        <f t="shared" si="46"/>
        <v>1</v>
      </c>
    </row>
    <row r="2951" spans="1:20" ht="14.25" hidden="1" customHeight="1">
      <c r="A2951" s="15">
        <v>2950</v>
      </c>
      <c r="B2951" s="16" t="s">
        <v>8998</v>
      </c>
      <c r="C2951" s="17">
        <v>45510</v>
      </c>
      <c r="D2951" s="15" t="s">
        <v>8999</v>
      </c>
      <c r="E2951" s="18" t="s">
        <v>954</v>
      </c>
      <c r="F2951" s="19" t="s">
        <v>4037</v>
      </c>
      <c r="G2951" s="18" t="s">
        <v>4038</v>
      </c>
      <c r="H2951" s="20" t="s">
        <v>5131</v>
      </c>
      <c r="I2951" s="15">
        <v>1</v>
      </c>
      <c r="J2951" s="15" t="s">
        <v>24</v>
      </c>
      <c r="K2951" s="15"/>
      <c r="L2951" s="21" t="s">
        <v>16</v>
      </c>
      <c r="M2951" s="22">
        <v>0</v>
      </c>
      <c r="N2951" s="22">
        <v>0</v>
      </c>
      <c r="O2951" s="22">
        <v>7200</v>
      </c>
      <c r="P2951" s="22">
        <v>7200</v>
      </c>
      <c r="Q2951" t="str" cm="1">
        <f t="array" ref="Q2951">_xlfn.TEXTJOIN("、",TRUE,IF('學員資料-三民高中'!$B$2:$B$454=$F2951,'學員資料-三民高中'!$G$2:$G$454,""))</f>
        <v>0952317917</v>
      </c>
      <c r="R2951" t="str" cm="1">
        <f t="array" ref="R2951">_xlfn.TEXTJOIN("、",TRUE,IF('學員資料-新北高中'!$B$2:$B$583=$F2951,'學員資料-新北高中'!$G$2:$G$583,""))</f>
        <v/>
      </c>
      <c r="S2951" t="str" cm="1">
        <f t="array" ref="S2951">_xlfn.TEXTJOIN("、",TRUE,IF('學員資料-三重商工'!$B$2:$B$472=$F2951,'學員資料-三重商工'!$G$2:$G$472,""))</f>
        <v/>
      </c>
      <c r="T2951">
        <f t="shared" si="46"/>
        <v>1</v>
      </c>
    </row>
    <row r="2952" spans="1:20" ht="28.5" hidden="1" customHeight="1">
      <c r="A2952" s="15">
        <v>2951</v>
      </c>
      <c r="B2952" s="16" t="s">
        <v>9000</v>
      </c>
      <c r="C2952" s="17">
        <v>45510</v>
      </c>
      <c r="D2952" s="15" t="s">
        <v>6540</v>
      </c>
      <c r="E2952" s="18" t="s">
        <v>954</v>
      </c>
      <c r="F2952" s="19" t="s">
        <v>9001</v>
      </c>
      <c r="G2952" s="18" t="s">
        <v>9002</v>
      </c>
      <c r="H2952" s="20" t="s">
        <v>5154</v>
      </c>
      <c r="I2952" s="15">
        <v>2</v>
      </c>
      <c r="J2952" s="15" t="s">
        <v>24</v>
      </c>
      <c r="K2952" s="15"/>
      <c r="L2952" s="21" t="s">
        <v>16</v>
      </c>
      <c r="M2952" s="22">
        <v>0</v>
      </c>
      <c r="N2952" s="22">
        <v>-5760</v>
      </c>
      <c r="O2952" s="22">
        <v>8640</v>
      </c>
      <c r="P2952" s="22">
        <v>8640</v>
      </c>
      <c r="Q2952" t="str" cm="1">
        <f t="array" ref="Q2952">_xlfn.TEXTJOIN("、",TRUE,IF('學員資料-三民高中'!$B$2:$B$454=$F2952,'學員資料-三民高中'!$G$2:$G$454,""))</f>
        <v>0912097627</v>
      </c>
      <c r="R2952" t="str" cm="1">
        <f t="array" ref="R2952">_xlfn.TEXTJOIN("、",TRUE,IF('學員資料-新北高中'!$B$2:$B$583=$F2952,'學員資料-新北高中'!$G$2:$G$583,""))</f>
        <v/>
      </c>
      <c r="S2952" t="str" cm="1">
        <f t="array" ref="S2952">_xlfn.TEXTJOIN("、",TRUE,IF('學員資料-三重商工'!$B$2:$B$472=$F2952,'學員資料-三重商工'!$G$2:$G$472,""))</f>
        <v/>
      </c>
      <c r="T2952">
        <f t="shared" si="46"/>
        <v>1</v>
      </c>
    </row>
    <row r="2953" spans="1:20" ht="14.25" hidden="1" customHeight="1">
      <c r="A2953" s="15">
        <v>2952</v>
      </c>
      <c r="B2953" s="16" t="s">
        <v>9003</v>
      </c>
      <c r="C2953" s="17">
        <v>45510</v>
      </c>
      <c r="D2953" s="15" t="s">
        <v>9004</v>
      </c>
      <c r="E2953" s="18" t="s">
        <v>954</v>
      </c>
      <c r="F2953" s="19" t="s">
        <v>3249</v>
      </c>
      <c r="G2953" s="18" t="s">
        <v>3250</v>
      </c>
      <c r="H2953" s="20" t="s">
        <v>5163</v>
      </c>
      <c r="I2953" s="15">
        <v>1</v>
      </c>
      <c r="J2953" s="15" t="s">
        <v>23</v>
      </c>
      <c r="K2953" s="15"/>
      <c r="L2953" s="21" t="s">
        <v>16</v>
      </c>
      <c r="M2953" s="22">
        <v>0</v>
      </c>
      <c r="N2953" s="22">
        <v>0</v>
      </c>
      <c r="O2953" s="22">
        <v>6600</v>
      </c>
      <c r="P2953" s="22">
        <v>6600</v>
      </c>
      <c r="Q2953" t="str" cm="1">
        <f t="array" ref="Q2953">_xlfn.TEXTJOIN("、",TRUE,IF('學員資料-三民高中'!$B$2:$B$454=$F2953,'學員資料-三民高中'!$G$2:$G$454,""))</f>
        <v>0972878118</v>
      </c>
      <c r="R2953" t="str" cm="1">
        <f t="array" ref="R2953">_xlfn.TEXTJOIN("、",TRUE,IF('學員資料-新北高中'!$B$2:$B$583=$F2953,'學員資料-新北高中'!$G$2:$G$583,""))</f>
        <v/>
      </c>
      <c r="S2953" t="str" cm="1">
        <f t="array" ref="S2953">_xlfn.TEXTJOIN("、",TRUE,IF('學員資料-三重商工'!$B$2:$B$472=$F2953,'學員資料-三重商工'!$G$2:$G$472,""))</f>
        <v/>
      </c>
      <c r="T2953">
        <f t="shared" si="46"/>
        <v>1</v>
      </c>
    </row>
    <row r="2954" spans="1:20" ht="14.25" hidden="1" customHeight="1">
      <c r="A2954" s="15">
        <v>2953</v>
      </c>
      <c r="B2954" s="16" t="s">
        <v>9005</v>
      </c>
      <c r="C2954" s="17">
        <v>45510</v>
      </c>
      <c r="D2954" s="15" t="s">
        <v>9006</v>
      </c>
      <c r="E2954" s="18" t="s">
        <v>3862</v>
      </c>
      <c r="F2954" s="19" t="s">
        <v>3249</v>
      </c>
      <c r="G2954" s="18" t="s">
        <v>3250</v>
      </c>
      <c r="H2954" s="20" t="s">
        <v>5163</v>
      </c>
      <c r="I2954" s="15">
        <v>1</v>
      </c>
      <c r="J2954" s="15" t="s">
        <v>23</v>
      </c>
      <c r="K2954" s="15"/>
      <c r="L2954" s="21" t="s">
        <v>16</v>
      </c>
      <c r="M2954" s="22">
        <v>0</v>
      </c>
      <c r="N2954" s="22">
        <v>0</v>
      </c>
      <c r="O2954" s="22">
        <v>6600</v>
      </c>
      <c r="P2954" s="22">
        <v>6600</v>
      </c>
      <c r="Q2954" t="str" cm="1">
        <f t="array" ref="Q2954">_xlfn.TEXTJOIN("、",TRUE,IF('學員資料-三民高中'!$B$2:$B$454=$F2954,'學員資料-三民高中'!$G$2:$G$454,""))</f>
        <v>0972878118</v>
      </c>
      <c r="R2954" t="str" cm="1">
        <f t="array" ref="R2954">_xlfn.TEXTJOIN("、",TRUE,IF('學員資料-新北高中'!$B$2:$B$583=$F2954,'學員資料-新北高中'!$G$2:$G$583,""))</f>
        <v/>
      </c>
      <c r="S2954" t="str" cm="1">
        <f t="array" ref="S2954">_xlfn.TEXTJOIN("、",TRUE,IF('學員資料-三重商工'!$B$2:$B$472=$F2954,'學員資料-三重商工'!$G$2:$G$472,""))</f>
        <v/>
      </c>
      <c r="T2954">
        <f t="shared" si="46"/>
        <v>1</v>
      </c>
    </row>
    <row r="2955" spans="1:20" ht="14.25" hidden="1" customHeight="1">
      <c r="A2955" s="15">
        <v>2954</v>
      </c>
      <c r="B2955" s="16" t="s">
        <v>9007</v>
      </c>
      <c r="C2955" s="17">
        <v>45510</v>
      </c>
      <c r="D2955" s="15" t="s">
        <v>9008</v>
      </c>
      <c r="E2955" s="18" t="s">
        <v>954</v>
      </c>
      <c r="F2955" s="19" t="s">
        <v>6687</v>
      </c>
      <c r="G2955" s="18" t="s">
        <v>6688</v>
      </c>
      <c r="H2955" s="20" t="s">
        <v>5131</v>
      </c>
      <c r="I2955" s="15">
        <v>1</v>
      </c>
      <c r="J2955" s="15" t="s">
        <v>24</v>
      </c>
      <c r="K2955" s="15"/>
      <c r="L2955" s="21" t="s">
        <v>16</v>
      </c>
      <c r="M2955" s="22">
        <v>0</v>
      </c>
      <c r="N2955" s="22">
        <v>0</v>
      </c>
      <c r="O2955" s="22">
        <v>7200</v>
      </c>
      <c r="P2955" s="22">
        <v>7200</v>
      </c>
      <c r="Q2955" t="str" cm="1">
        <f t="array" ref="Q2955">_xlfn.TEXTJOIN("、",TRUE,IF('學員資料-三民高中'!$B$2:$B$454=$F2955,'學員資料-三民高中'!$G$2:$G$454,""))</f>
        <v>0965661205</v>
      </c>
      <c r="R2955" t="str" cm="1">
        <f t="array" ref="R2955">_xlfn.TEXTJOIN("、",TRUE,IF('學員資料-新北高中'!$B$2:$B$583=$F2955,'學員資料-新北高中'!$G$2:$G$583,""))</f>
        <v/>
      </c>
      <c r="S2955" t="str" cm="1">
        <f t="array" ref="S2955">_xlfn.TEXTJOIN("、",TRUE,IF('學員資料-三重商工'!$B$2:$B$472=$F2955,'學員資料-三重商工'!$G$2:$G$472,""))</f>
        <v/>
      </c>
      <c r="T2955">
        <f t="shared" si="46"/>
        <v>1</v>
      </c>
    </row>
    <row r="2956" spans="1:20" ht="14.25" hidden="1" customHeight="1">
      <c r="A2956" s="15">
        <v>2955</v>
      </c>
      <c r="B2956" s="16" t="s">
        <v>9009</v>
      </c>
      <c r="C2956" s="17">
        <v>45510</v>
      </c>
      <c r="D2956" s="15" t="s">
        <v>9010</v>
      </c>
      <c r="E2956" s="18" t="s">
        <v>954</v>
      </c>
      <c r="F2956" s="19" t="s">
        <v>9011</v>
      </c>
      <c r="G2956" s="18" t="s">
        <v>9012</v>
      </c>
      <c r="H2956" s="20" t="s">
        <v>9013</v>
      </c>
      <c r="I2956" s="15">
        <v>1</v>
      </c>
      <c r="J2956" s="15" t="s">
        <v>28</v>
      </c>
      <c r="K2956" s="15"/>
      <c r="L2956" s="21" t="s">
        <v>16</v>
      </c>
      <c r="M2956" s="22">
        <v>0</v>
      </c>
      <c r="N2956" s="22">
        <v>0</v>
      </c>
      <c r="O2956" s="22">
        <v>16200</v>
      </c>
      <c r="P2956" s="22">
        <v>16200</v>
      </c>
      <c r="Q2956" t="str" cm="1">
        <f t="array" ref="Q2956">_xlfn.TEXTJOIN("、",TRUE,IF('學員資料-三民高中'!$B$2:$B$454=$F2956,'學員資料-三民高中'!$G$2:$G$454,""))</f>
        <v>0918029946</v>
      </c>
      <c r="R2956" t="str" cm="1">
        <f t="array" ref="R2956">_xlfn.TEXTJOIN("、",TRUE,IF('學員資料-新北高中'!$B$2:$B$583=$F2956,'學員資料-新北高中'!$G$2:$G$583,""))</f>
        <v/>
      </c>
      <c r="S2956" t="str" cm="1">
        <f t="array" ref="S2956">_xlfn.TEXTJOIN("、",TRUE,IF('學員資料-三重商工'!$B$2:$B$472=$F2956,'學員資料-三重商工'!$G$2:$G$472,""))</f>
        <v/>
      </c>
      <c r="T2956">
        <f t="shared" si="46"/>
        <v>1</v>
      </c>
    </row>
    <row r="2957" spans="1:20" ht="14.25" hidden="1" customHeight="1">
      <c r="A2957" s="15">
        <v>2956</v>
      </c>
      <c r="B2957" s="16" t="s">
        <v>9014</v>
      </c>
      <c r="C2957" s="17">
        <v>45510</v>
      </c>
      <c r="D2957" s="15" t="s">
        <v>9015</v>
      </c>
      <c r="E2957" s="18" t="s">
        <v>954</v>
      </c>
      <c r="F2957" s="19" t="s">
        <v>9016</v>
      </c>
      <c r="G2957" s="18" t="s">
        <v>9017</v>
      </c>
      <c r="H2957" s="20" t="s">
        <v>5211</v>
      </c>
      <c r="I2957" s="15">
        <v>1</v>
      </c>
      <c r="J2957" s="15" t="s">
        <v>26</v>
      </c>
      <c r="K2957" s="15"/>
      <c r="L2957" s="21" t="s">
        <v>16</v>
      </c>
      <c r="M2957" s="22">
        <v>0</v>
      </c>
      <c r="N2957" s="22">
        <v>-1296</v>
      </c>
      <c r="O2957" s="22">
        <v>9504</v>
      </c>
      <c r="P2957" s="22">
        <v>9504</v>
      </c>
      <c r="Q2957" t="str" cm="1">
        <f t="array" ref="Q2957">_xlfn.TEXTJOIN("、",TRUE,IF('學員資料-三民高中'!$B$2:$B$454=$F2957,'學員資料-三民高中'!$G$2:$G$454,""))</f>
        <v>0917675466</v>
      </c>
      <c r="R2957" t="str" cm="1">
        <f t="array" ref="R2957">_xlfn.TEXTJOIN("、",TRUE,IF('學員資料-新北高中'!$B$2:$B$583=$F2957,'學員資料-新北高中'!$G$2:$G$583,""))</f>
        <v/>
      </c>
      <c r="S2957" t="str" cm="1">
        <f t="array" ref="S2957">_xlfn.TEXTJOIN("、",TRUE,IF('學員資料-三重商工'!$B$2:$B$472=$F2957,'學員資料-三重商工'!$G$2:$G$472,""))</f>
        <v/>
      </c>
      <c r="T2957">
        <f t="shared" si="46"/>
        <v>1</v>
      </c>
    </row>
    <row r="2958" spans="1:20" ht="14.25" hidden="1" customHeight="1">
      <c r="A2958" s="15">
        <v>2957</v>
      </c>
      <c r="B2958" s="16" t="s">
        <v>9018</v>
      </c>
      <c r="C2958" s="17">
        <v>45510</v>
      </c>
      <c r="D2958" s="15" t="s">
        <v>9019</v>
      </c>
      <c r="E2958" s="18" t="s">
        <v>954</v>
      </c>
      <c r="F2958" s="19" t="s">
        <v>3740</v>
      </c>
      <c r="G2958" s="18" t="s">
        <v>3741</v>
      </c>
      <c r="H2958" s="20" t="s">
        <v>5148</v>
      </c>
      <c r="I2958" s="15">
        <v>1</v>
      </c>
      <c r="J2958" s="15" t="s">
        <v>25</v>
      </c>
      <c r="K2958" s="15"/>
      <c r="L2958" s="21" t="s">
        <v>16</v>
      </c>
      <c r="M2958" s="22">
        <v>0</v>
      </c>
      <c r="N2958" s="22">
        <v>-3600</v>
      </c>
      <c r="O2958" s="22">
        <v>5400</v>
      </c>
      <c r="P2958" s="22">
        <v>5400</v>
      </c>
      <c r="Q2958" t="str" cm="1">
        <f t="array" ref="Q2958">_xlfn.TEXTJOIN("、",TRUE,IF('學員資料-三民高中'!$B$2:$B$454=$F2958,'學員資料-三民高中'!$G$2:$G$454,""))</f>
        <v>0955285845</v>
      </c>
      <c r="R2958" t="str" cm="1">
        <f t="array" ref="R2958">_xlfn.TEXTJOIN("、",TRUE,IF('學員資料-新北高中'!$B$2:$B$583=$F2958,'學員資料-新北高中'!$G$2:$G$583,""))</f>
        <v/>
      </c>
      <c r="S2958" t="str" cm="1">
        <f t="array" ref="S2958">_xlfn.TEXTJOIN("、",TRUE,IF('學員資料-三重商工'!$B$2:$B$472=$F2958,'學員資料-三重商工'!$G$2:$G$472,""))</f>
        <v/>
      </c>
      <c r="T2958">
        <f t="shared" si="46"/>
        <v>1</v>
      </c>
    </row>
    <row r="2959" spans="1:20" ht="28.5" hidden="1" customHeight="1">
      <c r="A2959" s="15">
        <v>2958</v>
      </c>
      <c r="B2959" s="16" t="s">
        <v>9020</v>
      </c>
      <c r="C2959" s="17">
        <v>45510</v>
      </c>
      <c r="D2959" s="15" t="s">
        <v>9021</v>
      </c>
      <c r="E2959" s="18" t="s">
        <v>954</v>
      </c>
      <c r="F2959" s="19" t="s">
        <v>4837</v>
      </c>
      <c r="G2959" s="18" t="s">
        <v>4838</v>
      </c>
      <c r="H2959" s="20" t="s">
        <v>5154</v>
      </c>
      <c r="I2959" s="15">
        <v>2</v>
      </c>
      <c r="J2959" s="15" t="s">
        <v>24</v>
      </c>
      <c r="K2959" s="15"/>
      <c r="L2959" s="21" t="s">
        <v>16</v>
      </c>
      <c r="M2959" s="22">
        <v>0</v>
      </c>
      <c r="N2959" s="22">
        <v>-1728</v>
      </c>
      <c r="O2959" s="22">
        <v>12672</v>
      </c>
      <c r="P2959" s="22">
        <v>12672</v>
      </c>
      <c r="Q2959" t="str" cm="1">
        <f t="array" ref="Q2959">_xlfn.TEXTJOIN("、",TRUE,IF('學員資料-三民高中'!$B$2:$B$454=$F2959,'學員資料-三民高中'!$G$2:$G$454,""))</f>
        <v>0937458420</v>
      </c>
      <c r="R2959" t="str" cm="1">
        <f t="array" ref="R2959">_xlfn.TEXTJOIN("、",TRUE,IF('學員資料-新北高中'!$B$2:$B$583=$F2959,'學員資料-新北高中'!$G$2:$G$583,""))</f>
        <v/>
      </c>
      <c r="S2959" t="str" cm="1">
        <f t="array" ref="S2959">_xlfn.TEXTJOIN("、",TRUE,IF('學員資料-三重商工'!$B$2:$B$472=$F2959,'學員資料-三重商工'!$G$2:$G$472,""))</f>
        <v/>
      </c>
      <c r="T2959">
        <f t="shared" si="46"/>
        <v>1</v>
      </c>
    </row>
    <row r="2960" spans="1:20" ht="28.5" hidden="1" customHeight="1">
      <c r="A2960" s="15">
        <v>2959</v>
      </c>
      <c r="B2960" s="16" t="s">
        <v>9022</v>
      </c>
      <c r="C2960" s="17">
        <v>45510</v>
      </c>
      <c r="D2960" s="15" t="s">
        <v>9023</v>
      </c>
      <c r="E2960" s="18" t="s">
        <v>954</v>
      </c>
      <c r="F2960" s="19" t="s">
        <v>9024</v>
      </c>
      <c r="G2960" s="18" t="s">
        <v>4834</v>
      </c>
      <c r="H2960" s="20" t="s">
        <v>5263</v>
      </c>
      <c r="I2960" s="15">
        <v>2</v>
      </c>
      <c r="J2960" s="15" t="s">
        <v>25</v>
      </c>
      <c r="K2960" s="15"/>
      <c r="L2960" s="21" t="s">
        <v>16</v>
      </c>
      <c r="M2960" s="22">
        <v>0</v>
      </c>
      <c r="N2960" s="22">
        <v>-2160</v>
      </c>
      <c r="O2960" s="22">
        <v>15840</v>
      </c>
      <c r="P2960" s="22">
        <v>15840</v>
      </c>
      <c r="Q2960" t="str" cm="1">
        <f t="array" ref="Q2960">_xlfn.TEXTJOIN("、",TRUE,IF('學員資料-三民高中'!$B$2:$B$454=$F2960,'學員資料-三民高中'!$G$2:$G$454,""))</f>
        <v>0937458420-2</v>
      </c>
      <c r="R2960" t="str" cm="1">
        <f t="array" ref="R2960">_xlfn.TEXTJOIN("、",TRUE,IF('學員資料-新北高中'!$B$2:$B$583=$F2960,'學員資料-新北高中'!$G$2:$G$583,""))</f>
        <v/>
      </c>
      <c r="S2960" t="str" cm="1">
        <f t="array" ref="S2960">_xlfn.TEXTJOIN("、",TRUE,IF('學員資料-三重商工'!$B$2:$B$472=$F2960,'學員資料-三重商工'!$G$2:$G$472,""))</f>
        <v/>
      </c>
      <c r="T2960">
        <f t="shared" si="46"/>
        <v>1</v>
      </c>
    </row>
    <row r="2961" spans="1:20" ht="14.25" hidden="1" customHeight="1">
      <c r="A2961" s="15">
        <v>2960</v>
      </c>
      <c r="B2961" s="16" t="s">
        <v>9025</v>
      </c>
      <c r="C2961" s="17">
        <v>45510</v>
      </c>
      <c r="D2961" s="15" t="s">
        <v>9026</v>
      </c>
      <c r="E2961" s="18" t="s">
        <v>954</v>
      </c>
      <c r="F2961" s="19" t="s">
        <v>5468</v>
      </c>
      <c r="G2961" s="18" t="s">
        <v>5469</v>
      </c>
      <c r="H2961" s="20" t="s">
        <v>5131</v>
      </c>
      <c r="I2961" s="15">
        <v>1</v>
      </c>
      <c r="J2961" s="15" t="s">
        <v>24</v>
      </c>
      <c r="K2961" s="15"/>
      <c r="L2961" s="21" t="s">
        <v>16</v>
      </c>
      <c r="M2961" s="22">
        <v>0</v>
      </c>
      <c r="N2961" s="22">
        <v>0</v>
      </c>
      <c r="O2961" s="22">
        <v>7200</v>
      </c>
      <c r="P2961" s="22">
        <v>7200</v>
      </c>
      <c r="Q2961" t="str" cm="1">
        <f t="array" ref="Q2961">_xlfn.TEXTJOIN("、",TRUE,IF('學員資料-三民高中'!$B$2:$B$454=$F2961,'學員資料-三民高中'!$G$2:$G$454,""))</f>
        <v>0988538010</v>
      </c>
      <c r="R2961" t="str" cm="1">
        <f t="array" ref="R2961">_xlfn.TEXTJOIN("、",TRUE,IF('學員資料-新北高中'!$B$2:$B$583=$F2961,'學員資料-新北高中'!$G$2:$G$583,""))</f>
        <v/>
      </c>
      <c r="S2961" t="str" cm="1">
        <f t="array" ref="S2961">_xlfn.TEXTJOIN("、",TRUE,IF('學員資料-三重商工'!$B$2:$B$472=$F2961,'學員資料-三重商工'!$G$2:$G$472,""))</f>
        <v/>
      </c>
      <c r="T2961">
        <f t="shared" si="46"/>
        <v>1</v>
      </c>
    </row>
    <row r="2962" spans="1:20" ht="14.25" hidden="1" customHeight="1">
      <c r="A2962" s="15">
        <v>2961</v>
      </c>
      <c r="B2962" s="16" t="s">
        <v>9027</v>
      </c>
      <c r="C2962" s="17">
        <v>45510</v>
      </c>
      <c r="D2962" s="15" t="s">
        <v>9028</v>
      </c>
      <c r="E2962" s="18" t="s">
        <v>954</v>
      </c>
      <c r="F2962" s="19" t="s">
        <v>9029</v>
      </c>
      <c r="G2962" s="18" t="s">
        <v>9030</v>
      </c>
      <c r="H2962" s="20" t="s">
        <v>5131</v>
      </c>
      <c r="I2962" s="15">
        <v>1</v>
      </c>
      <c r="J2962" s="15" t="s">
        <v>24</v>
      </c>
      <c r="K2962" s="15"/>
      <c r="L2962" s="21" t="s">
        <v>16</v>
      </c>
      <c r="M2962" s="22">
        <v>0</v>
      </c>
      <c r="N2962" s="22">
        <v>0</v>
      </c>
      <c r="O2962" s="22">
        <v>7200</v>
      </c>
      <c r="P2962" s="22">
        <v>7200</v>
      </c>
      <c r="Q2962" t="str" cm="1">
        <f t="array" ref="Q2962">_xlfn.TEXTJOIN("、",TRUE,IF('學員資料-三民高中'!$B$2:$B$454=$F2962,'學員資料-三民高中'!$G$2:$G$454,""))</f>
        <v>0933137747</v>
      </c>
      <c r="R2962" t="str" cm="1">
        <f t="array" ref="R2962">_xlfn.TEXTJOIN("、",TRUE,IF('學員資料-新北高中'!$B$2:$B$583=$F2962,'學員資料-新北高中'!$G$2:$G$583,""))</f>
        <v/>
      </c>
      <c r="S2962" t="str" cm="1">
        <f t="array" ref="S2962">_xlfn.TEXTJOIN("、",TRUE,IF('學員資料-三重商工'!$B$2:$B$472=$F2962,'學員資料-三重商工'!$G$2:$G$472,""))</f>
        <v/>
      </c>
      <c r="T2962">
        <f t="shared" si="46"/>
        <v>1</v>
      </c>
    </row>
    <row r="2963" spans="1:20" ht="14.25" hidden="1" customHeight="1">
      <c r="A2963" s="15">
        <v>2962</v>
      </c>
      <c r="B2963" s="16" t="s">
        <v>9031</v>
      </c>
      <c r="C2963" s="17">
        <v>45510</v>
      </c>
      <c r="D2963" s="15" t="s">
        <v>9032</v>
      </c>
      <c r="E2963" s="18" t="s">
        <v>954</v>
      </c>
      <c r="F2963" s="19" t="s">
        <v>8564</v>
      </c>
      <c r="G2963" s="18" t="s">
        <v>8565</v>
      </c>
      <c r="H2963" s="20" t="s">
        <v>5163</v>
      </c>
      <c r="I2963" s="15">
        <v>1</v>
      </c>
      <c r="J2963" s="15" t="s">
        <v>23</v>
      </c>
      <c r="K2963" s="15"/>
      <c r="L2963" s="21" t="s">
        <v>16</v>
      </c>
      <c r="M2963" s="22">
        <v>0</v>
      </c>
      <c r="N2963" s="22">
        <v>0</v>
      </c>
      <c r="O2963" s="22">
        <v>6600</v>
      </c>
      <c r="P2963" s="22">
        <v>6600</v>
      </c>
      <c r="Q2963" t="str" cm="1">
        <f t="array" ref="Q2963">_xlfn.TEXTJOIN("、",TRUE,IF('學員資料-三民高中'!$B$2:$B$454=$F2963,'學員資料-三民高中'!$G$2:$G$454,""))</f>
        <v/>
      </c>
      <c r="R2963" t="str" cm="1">
        <f t="array" ref="R2963">_xlfn.TEXTJOIN("、",TRUE,IF('學員資料-新北高中'!$B$2:$B$583=$F2963,'學員資料-新北高中'!$G$2:$G$583,""))</f>
        <v>0933018549</v>
      </c>
      <c r="S2963" t="str" cm="1">
        <f t="array" ref="S2963">_xlfn.TEXTJOIN("、",TRUE,IF('學員資料-三重商工'!$B$2:$B$472=$F2963,'學員資料-三重商工'!$G$2:$G$472,""))</f>
        <v/>
      </c>
      <c r="T2963">
        <f t="shared" si="46"/>
        <v>1</v>
      </c>
    </row>
    <row r="2964" spans="1:20" ht="14.25" hidden="1" customHeight="1">
      <c r="A2964" s="15">
        <v>2963</v>
      </c>
      <c r="B2964" s="16" t="s">
        <v>9033</v>
      </c>
      <c r="C2964" s="17">
        <v>45509</v>
      </c>
      <c r="D2964" s="15" t="s">
        <v>9034</v>
      </c>
      <c r="E2964" s="18" t="s">
        <v>954</v>
      </c>
      <c r="F2964" s="19" t="s">
        <v>137</v>
      </c>
      <c r="G2964" s="18" t="s">
        <v>138</v>
      </c>
      <c r="H2964" s="20" t="s">
        <v>5246</v>
      </c>
      <c r="I2964" s="15">
        <v>1</v>
      </c>
      <c r="J2964" s="15" t="s">
        <v>23</v>
      </c>
      <c r="K2964" s="15"/>
      <c r="L2964" s="21" t="s">
        <v>16</v>
      </c>
      <c r="M2964" s="22">
        <v>0</v>
      </c>
      <c r="N2964" s="22">
        <v>0</v>
      </c>
      <c r="O2964" s="22">
        <v>7200</v>
      </c>
      <c r="P2964" s="22">
        <v>7200</v>
      </c>
      <c r="Q2964" t="str" cm="1">
        <f t="array" ref="Q2964">_xlfn.TEXTJOIN("、",TRUE,IF('學員資料-三民高中'!$B$2:$B$454=$F2964,'學員資料-三民高中'!$G$2:$G$454,""))</f>
        <v/>
      </c>
      <c r="R2964" t="str" cm="1">
        <f t="array" ref="R2964">_xlfn.TEXTJOIN("、",TRUE,IF('學員資料-新北高中'!$B$2:$B$583=$F2964,'學員資料-新北高中'!$G$2:$G$583,""))</f>
        <v/>
      </c>
      <c r="S2964" t="str" cm="1">
        <f t="array" ref="S2964">_xlfn.TEXTJOIN("、",TRUE,IF('學員資料-三重商工'!$B$2:$B$472=$F2964,'學員資料-三重商工'!$G$2:$G$472,""))</f>
        <v>0910859275</v>
      </c>
      <c r="T2964">
        <f t="shared" si="46"/>
        <v>1</v>
      </c>
    </row>
    <row r="2965" spans="1:20" ht="14.25" hidden="1" customHeight="1">
      <c r="A2965" s="15">
        <v>2964</v>
      </c>
      <c r="B2965" s="16" t="s">
        <v>9035</v>
      </c>
      <c r="C2965" s="17">
        <v>45509</v>
      </c>
      <c r="D2965" s="15" t="s">
        <v>8488</v>
      </c>
      <c r="E2965" s="18" t="s">
        <v>954</v>
      </c>
      <c r="F2965" s="19" t="s">
        <v>6741</v>
      </c>
      <c r="G2965" s="18" t="s">
        <v>6742</v>
      </c>
      <c r="H2965" s="20" t="s">
        <v>5246</v>
      </c>
      <c r="I2965" s="15">
        <v>1</v>
      </c>
      <c r="J2965" s="15" t="s">
        <v>23</v>
      </c>
      <c r="K2965" s="15"/>
      <c r="L2965" s="21" t="s">
        <v>16</v>
      </c>
      <c r="M2965" s="22">
        <v>0</v>
      </c>
      <c r="N2965" s="22">
        <v>-2880</v>
      </c>
      <c r="O2965" s="22">
        <v>4320</v>
      </c>
      <c r="P2965" s="22">
        <v>4320</v>
      </c>
      <c r="Q2965" t="str" cm="1">
        <f t="array" ref="Q2965">_xlfn.TEXTJOIN("、",TRUE,IF('學員資料-三民高中'!$B$2:$B$454=$F2965,'學員資料-三民高中'!$G$2:$G$454,""))</f>
        <v>0961595391</v>
      </c>
      <c r="R2965" t="str" cm="1">
        <f t="array" ref="R2965">_xlfn.TEXTJOIN("、",TRUE,IF('學員資料-新北高中'!$B$2:$B$583=$F2965,'學員資料-新北高中'!$G$2:$G$583,""))</f>
        <v/>
      </c>
      <c r="S2965" t="str" cm="1">
        <f t="array" ref="S2965">_xlfn.TEXTJOIN("、",TRUE,IF('學員資料-三重商工'!$B$2:$B$472=$F2965,'學員資料-三重商工'!$G$2:$G$472,""))</f>
        <v/>
      </c>
      <c r="T2965">
        <f t="shared" si="46"/>
        <v>1</v>
      </c>
    </row>
    <row r="2966" spans="1:20" ht="28.5" customHeight="1">
      <c r="A2966" s="15">
        <v>2965</v>
      </c>
      <c r="B2966" s="16" t="s">
        <v>9036</v>
      </c>
      <c r="C2966" s="17">
        <v>45509</v>
      </c>
      <c r="D2966" s="15" t="s">
        <v>9037</v>
      </c>
      <c r="E2966" s="18" t="s">
        <v>954</v>
      </c>
      <c r="F2966" s="19" t="s">
        <v>9038</v>
      </c>
      <c r="G2966" s="23"/>
      <c r="H2966" s="20" t="s">
        <v>5154</v>
      </c>
      <c r="I2966" s="15">
        <v>2</v>
      </c>
      <c r="J2966" s="15" t="s">
        <v>24</v>
      </c>
      <c r="K2966" s="15"/>
      <c r="L2966" s="21" t="s">
        <v>16</v>
      </c>
      <c r="M2966" s="22">
        <v>0</v>
      </c>
      <c r="N2966" s="22">
        <v>0</v>
      </c>
      <c r="O2966" s="22">
        <v>14400</v>
      </c>
      <c r="P2966" s="22">
        <v>14400</v>
      </c>
      <c r="Q2966" t="str" cm="1">
        <f t="array" ref="Q2966">_xlfn.TEXTJOIN("、",TRUE,IF('學員資料-三民高中'!$B$2:$B$454=$F2966,'學員資料-三民高中'!$G$2:$G$454,""))</f>
        <v/>
      </c>
      <c r="R2966" t="str" cm="1">
        <f t="array" ref="R2966">_xlfn.TEXTJOIN("、",TRUE,IF('學員資料-新北高中'!$B$2:$B$583=$F2966,'學員資料-新北高中'!$G$2:$G$583,""))</f>
        <v/>
      </c>
      <c r="S2966" t="str" cm="1">
        <f t="array" ref="S2966">_xlfn.TEXTJOIN("、",TRUE,IF('學員資料-三重商工'!$B$2:$B$472=$F2966,'學員資料-三重商工'!$G$2:$G$472,""))</f>
        <v/>
      </c>
      <c r="T2966">
        <f t="shared" si="46"/>
        <v>0</v>
      </c>
    </row>
    <row r="2967" spans="1:20" ht="14.25" hidden="1" customHeight="1">
      <c r="A2967" s="15">
        <v>2966</v>
      </c>
      <c r="B2967" s="16" t="s">
        <v>9039</v>
      </c>
      <c r="C2967" s="17">
        <v>45509</v>
      </c>
      <c r="D2967" s="15" t="s">
        <v>9040</v>
      </c>
      <c r="E2967" s="18" t="s">
        <v>954</v>
      </c>
      <c r="F2967" s="19" t="s">
        <v>8762</v>
      </c>
      <c r="G2967" s="18" t="s">
        <v>8763</v>
      </c>
      <c r="H2967" s="20" t="s">
        <v>5163</v>
      </c>
      <c r="I2967" s="15">
        <v>1</v>
      </c>
      <c r="J2967" s="15" t="s">
        <v>23</v>
      </c>
      <c r="K2967" s="15"/>
      <c r="L2967" s="21" t="s">
        <v>16</v>
      </c>
      <c r="M2967" s="22">
        <v>0</v>
      </c>
      <c r="N2967" s="22">
        <v>0</v>
      </c>
      <c r="O2967" s="22">
        <v>6600</v>
      </c>
      <c r="P2967" s="22">
        <v>6600</v>
      </c>
      <c r="Q2967" t="str" cm="1">
        <f t="array" ref="Q2967">_xlfn.TEXTJOIN("、",TRUE,IF('學員資料-三民高中'!$B$2:$B$454=$F2967,'學員資料-三民高中'!$G$2:$G$454,""))</f>
        <v/>
      </c>
      <c r="R2967" t="str" cm="1">
        <f t="array" ref="R2967">_xlfn.TEXTJOIN("、",TRUE,IF('學員資料-新北高中'!$B$2:$B$583=$F2967,'學員資料-新北高中'!$G$2:$G$583,""))</f>
        <v>0926164023</v>
      </c>
      <c r="S2967" t="str" cm="1">
        <f t="array" ref="S2967">_xlfn.TEXTJOIN("、",TRUE,IF('學員資料-三重商工'!$B$2:$B$472=$F2967,'學員資料-三重商工'!$G$2:$G$472,""))</f>
        <v/>
      </c>
      <c r="T2967">
        <f t="shared" si="46"/>
        <v>1</v>
      </c>
    </row>
    <row r="2968" spans="1:20" ht="14.25" hidden="1" customHeight="1">
      <c r="A2968" s="15">
        <v>2967</v>
      </c>
      <c r="B2968" s="16" t="s">
        <v>9041</v>
      </c>
      <c r="C2968" s="17">
        <v>45509</v>
      </c>
      <c r="D2968" s="15" t="s">
        <v>9042</v>
      </c>
      <c r="E2968" s="18" t="s">
        <v>954</v>
      </c>
      <c r="F2968" s="19" t="s">
        <v>6609</v>
      </c>
      <c r="G2968" s="18" t="s">
        <v>6610</v>
      </c>
      <c r="H2968" s="20" t="s">
        <v>5131</v>
      </c>
      <c r="I2968" s="15">
        <v>1</v>
      </c>
      <c r="J2968" s="15" t="s">
        <v>24</v>
      </c>
      <c r="K2968" s="15"/>
      <c r="L2968" s="21" t="s">
        <v>16</v>
      </c>
      <c r="M2968" s="22">
        <v>0</v>
      </c>
      <c r="N2968" s="22">
        <v>0</v>
      </c>
      <c r="O2968" s="22">
        <v>7200</v>
      </c>
      <c r="P2968" s="22">
        <v>7200</v>
      </c>
      <c r="Q2968" t="str" cm="1">
        <f t="array" ref="Q2968">_xlfn.TEXTJOIN("、",TRUE,IF('學員資料-三民高中'!$B$2:$B$454=$F2968,'學員資料-三民高中'!$G$2:$G$454,""))</f>
        <v/>
      </c>
      <c r="R2968" t="str" cm="1">
        <f t="array" ref="R2968">_xlfn.TEXTJOIN("、",TRUE,IF('學員資料-新北高中'!$B$2:$B$583=$F2968,'學員資料-新北高中'!$G$2:$G$583,""))</f>
        <v>0978911931</v>
      </c>
      <c r="S2968" t="str" cm="1">
        <f t="array" ref="S2968">_xlfn.TEXTJOIN("、",TRUE,IF('學員資料-三重商工'!$B$2:$B$472=$F2968,'學員資料-三重商工'!$G$2:$G$472,""))</f>
        <v/>
      </c>
      <c r="T2968">
        <f t="shared" si="46"/>
        <v>1</v>
      </c>
    </row>
    <row r="2969" spans="1:20" ht="14.25" hidden="1" customHeight="1">
      <c r="A2969" s="15">
        <v>2968</v>
      </c>
      <c r="B2969" s="16" t="s">
        <v>9043</v>
      </c>
      <c r="C2969" s="17">
        <v>45509</v>
      </c>
      <c r="D2969" s="15" t="s">
        <v>9044</v>
      </c>
      <c r="E2969" s="18" t="s">
        <v>954</v>
      </c>
      <c r="F2969" s="19" t="s">
        <v>8915</v>
      </c>
      <c r="G2969" s="18" t="s">
        <v>8916</v>
      </c>
      <c r="H2969" s="20" t="s">
        <v>5131</v>
      </c>
      <c r="I2969" s="15">
        <v>1</v>
      </c>
      <c r="J2969" s="15" t="s">
        <v>24</v>
      </c>
      <c r="K2969" s="15"/>
      <c r="L2969" s="21" t="s">
        <v>16</v>
      </c>
      <c r="M2969" s="22">
        <v>0</v>
      </c>
      <c r="N2969" s="22">
        <v>0</v>
      </c>
      <c r="O2969" s="22">
        <v>7200</v>
      </c>
      <c r="P2969" s="22">
        <v>7200</v>
      </c>
      <c r="Q2969" t="str" cm="1">
        <f t="array" ref="Q2969">_xlfn.TEXTJOIN("、",TRUE,IF('學員資料-三民高中'!$B$2:$B$454=$F2969,'學員資料-三民高中'!$G$2:$G$454,""))</f>
        <v/>
      </c>
      <c r="R2969" t="str" cm="1">
        <f t="array" ref="R2969">_xlfn.TEXTJOIN("、",TRUE,IF('學員資料-新北高中'!$B$2:$B$583=$F2969,'學員資料-新北高中'!$G$2:$G$583,""))</f>
        <v>0922200632</v>
      </c>
      <c r="S2969" t="str" cm="1">
        <f t="array" ref="S2969">_xlfn.TEXTJOIN("、",TRUE,IF('學員資料-三重商工'!$B$2:$B$472=$F2969,'學員資料-三重商工'!$G$2:$G$472,""))</f>
        <v/>
      </c>
      <c r="T2969">
        <f t="shared" si="46"/>
        <v>1</v>
      </c>
    </row>
    <row r="2970" spans="1:20" ht="14.25" hidden="1" customHeight="1">
      <c r="A2970" s="15">
        <v>2969</v>
      </c>
      <c r="B2970" s="16" t="s">
        <v>9045</v>
      </c>
      <c r="C2970" s="17">
        <v>45509</v>
      </c>
      <c r="D2970" s="15" t="s">
        <v>8671</v>
      </c>
      <c r="E2970" s="18" t="s">
        <v>954</v>
      </c>
      <c r="F2970" s="19" t="s">
        <v>1795</v>
      </c>
      <c r="G2970" s="18" t="s">
        <v>1796</v>
      </c>
      <c r="H2970" s="20" t="s">
        <v>5131</v>
      </c>
      <c r="I2970" s="15">
        <v>1</v>
      </c>
      <c r="J2970" s="15" t="s">
        <v>24</v>
      </c>
      <c r="K2970" s="15"/>
      <c r="L2970" s="21" t="s">
        <v>16</v>
      </c>
      <c r="M2970" s="22">
        <v>0</v>
      </c>
      <c r="N2970" s="22">
        <v>0</v>
      </c>
      <c r="O2970" s="22">
        <v>7200</v>
      </c>
      <c r="P2970" s="22">
        <v>7200</v>
      </c>
      <c r="Q2970" t="str" cm="1">
        <f t="array" ref="Q2970">_xlfn.TEXTJOIN("、",TRUE,IF('學員資料-三民高中'!$B$2:$B$454=$F2970,'學員資料-三民高中'!$G$2:$G$454,""))</f>
        <v>0935242518</v>
      </c>
      <c r="R2970" t="str" cm="1">
        <f t="array" ref="R2970">_xlfn.TEXTJOIN("、",TRUE,IF('學員資料-新北高中'!$B$2:$B$583=$F2970,'學員資料-新北高中'!$G$2:$G$583,""))</f>
        <v/>
      </c>
      <c r="S2970" t="str" cm="1">
        <f t="array" ref="S2970">_xlfn.TEXTJOIN("、",TRUE,IF('學員資料-三重商工'!$B$2:$B$472=$F2970,'學員資料-三重商工'!$G$2:$G$472,""))</f>
        <v/>
      </c>
      <c r="T2970">
        <f t="shared" si="46"/>
        <v>1</v>
      </c>
    </row>
    <row r="2971" spans="1:20" ht="14.25" hidden="1" customHeight="1">
      <c r="A2971" s="15">
        <v>2970</v>
      </c>
      <c r="B2971" s="16" t="s">
        <v>9046</v>
      </c>
      <c r="C2971" s="17">
        <v>45509</v>
      </c>
      <c r="D2971" s="15" t="s">
        <v>9047</v>
      </c>
      <c r="E2971" s="18" t="s">
        <v>954</v>
      </c>
      <c r="F2971" s="19" t="s">
        <v>8960</v>
      </c>
      <c r="G2971" s="18" t="s">
        <v>8961</v>
      </c>
      <c r="H2971" s="20" t="s">
        <v>5163</v>
      </c>
      <c r="I2971" s="15">
        <v>1</v>
      </c>
      <c r="J2971" s="15" t="s">
        <v>23</v>
      </c>
      <c r="K2971" s="15"/>
      <c r="L2971" s="21" t="s">
        <v>16</v>
      </c>
      <c r="M2971" s="22">
        <v>0</v>
      </c>
      <c r="N2971" s="22">
        <v>0</v>
      </c>
      <c r="O2971" s="22">
        <v>6600</v>
      </c>
      <c r="P2971" s="22">
        <v>6600</v>
      </c>
      <c r="Q2971" t="str" cm="1">
        <f t="array" ref="Q2971">_xlfn.TEXTJOIN("、",TRUE,IF('學員資料-三民高中'!$B$2:$B$454=$F2971,'學員資料-三民高中'!$G$2:$G$454,""))</f>
        <v/>
      </c>
      <c r="R2971" t="str" cm="1">
        <f t="array" ref="R2971">_xlfn.TEXTJOIN("、",TRUE,IF('學員資料-新北高中'!$B$2:$B$583=$F2971,'學員資料-新北高中'!$G$2:$G$583,""))</f>
        <v>0987046086</v>
      </c>
      <c r="S2971" t="str" cm="1">
        <f t="array" ref="S2971">_xlfn.TEXTJOIN("、",TRUE,IF('學員資料-三重商工'!$B$2:$B$472=$F2971,'學員資料-三重商工'!$G$2:$G$472,""))</f>
        <v/>
      </c>
      <c r="T2971">
        <f t="shared" si="46"/>
        <v>1</v>
      </c>
    </row>
    <row r="2972" spans="1:20" ht="14.25" hidden="1" customHeight="1">
      <c r="A2972" s="15">
        <v>2971</v>
      </c>
      <c r="B2972" s="16" t="s">
        <v>9048</v>
      </c>
      <c r="C2972" s="17">
        <v>45509</v>
      </c>
      <c r="D2972" s="15" t="s">
        <v>9049</v>
      </c>
      <c r="E2972" s="18" t="s">
        <v>954</v>
      </c>
      <c r="F2972" s="19" t="s">
        <v>3632</v>
      </c>
      <c r="G2972" s="18" t="s">
        <v>3633</v>
      </c>
      <c r="H2972" s="20" t="s">
        <v>5131</v>
      </c>
      <c r="I2972" s="15">
        <v>1</v>
      </c>
      <c r="J2972" s="15" t="s">
        <v>24</v>
      </c>
      <c r="K2972" s="15"/>
      <c r="L2972" s="21" t="s">
        <v>16</v>
      </c>
      <c r="M2972" s="22">
        <v>0</v>
      </c>
      <c r="N2972" s="22">
        <v>0</v>
      </c>
      <c r="O2972" s="22">
        <v>7200</v>
      </c>
      <c r="P2972" s="22">
        <v>7200</v>
      </c>
      <c r="Q2972" t="str" cm="1">
        <f t="array" ref="Q2972">_xlfn.TEXTJOIN("、",TRUE,IF('學員資料-三民高中'!$B$2:$B$454=$F2972,'學員資料-三民高中'!$G$2:$G$454,""))</f>
        <v>0953112110</v>
      </c>
      <c r="R2972" t="str" cm="1">
        <f t="array" ref="R2972">_xlfn.TEXTJOIN("、",TRUE,IF('學員資料-新北高中'!$B$2:$B$583=$F2972,'學員資料-新北高中'!$G$2:$G$583,""))</f>
        <v/>
      </c>
      <c r="S2972" t="str" cm="1">
        <f t="array" ref="S2972">_xlfn.TEXTJOIN("、",TRUE,IF('學員資料-三重商工'!$B$2:$B$472=$F2972,'學員資料-三重商工'!$G$2:$G$472,""))</f>
        <v/>
      </c>
      <c r="T2972">
        <f t="shared" si="46"/>
        <v>1</v>
      </c>
    </row>
    <row r="2973" spans="1:20" ht="14.25" hidden="1" customHeight="1">
      <c r="A2973" s="15">
        <v>2972</v>
      </c>
      <c r="B2973" s="16" t="s">
        <v>9050</v>
      </c>
      <c r="C2973" s="17">
        <v>45509</v>
      </c>
      <c r="D2973" s="15" t="s">
        <v>9051</v>
      </c>
      <c r="E2973" s="18" t="s">
        <v>954</v>
      </c>
      <c r="F2973" s="19" t="s">
        <v>9052</v>
      </c>
      <c r="G2973" s="18" t="s">
        <v>9053</v>
      </c>
      <c r="H2973" s="20" t="s">
        <v>5131</v>
      </c>
      <c r="I2973" s="15">
        <v>1</v>
      </c>
      <c r="J2973" s="15" t="s">
        <v>24</v>
      </c>
      <c r="K2973" s="15"/>
      <c r="L2973" s="21" t="s">
        <v>16</v>
      </c>
      <c r="M2973" s="22">
        <v>0</v>
      </c>
      <c r="N2973" s="22">
        <v>0</v>
      </c>
      <c r="O2973" s="22">
        <v>7200</v>
      </c>
      <c r="P2973" s="22">
        <v>7200</v>
      </c>
      <c r="Q2973" t="str" cm="1">
        <f t="array" ref="Q2973">_xlfn.TEXTJOIN("、",TRUE,IF('學員資料-三民高中'!$B$2:$B$454=$F2973,'學員資料-三民高中'!$G$2:$G$454,""))</f>
        <v>0981935228</v>
      </c>
      <c r="R2973" t="str" cm="1">
        <f t="array" ref="R2973">_xlfn.TEXTJOIN("、",TRUE,IF('學員資料-新北高中'!$B$2:$B$583=$F2973,'學員資料-新北高中'!$G$2:$G$583,""))</f>
        <v/>
      </c>
      <c r="S2973" t="str" cm="1">
        <f t="array" ref="S2973">_xlfn.TEXTJOIN("、",TRUE,IF('學員資料-三重商工'!$B$2:$B$472=$F2973,'學員資料-三重商工'!$G$2:$G$472,""))</f>
        <v/>
      </c>
      <c r="T2973">
        <f t="shared" si="46"/>
        <v>1</v>
      </c>
    </row>
    <row r="2974" spans="1:20" ht="14.25" hidden="1" customHeight="1">
      <c r="A2974" s="15">
        <v>2973</v>
      </c>
      <c r="B2974" s="16" t="s">
        <v>9054</v>
      </c>
      <c r="C2974" s="17">
        <v>45508</v>
      </c>
      <c r="D2974" s="15" t="s">
        <v>9055</v>
      </c>
      <c r="E2974" s="18" t="s">
        <v>954</v>
      </c>
      <c r="F2974" s="19" t="s">
        <v>8733</v>
      </c>
      <c r="G2974" s="18" t="s">
        <v>8734</v>
      </c>
      <c r="H2974" s="20" t="s">
        <v>5131</v>
      </c>
      <c r="I2974" s="15">
        <v>1</v>
      </c>
      <c r="J2974" s="15" t="s">
        <v>24</v>
      </c>
      <c r="K2974" s="15"/>
      <c r="L2974" s="21" t="s">
        <v>16</v>
      </c>
      <c r="M2974" s="22">
        <v>0</v>
      </c>
      <c r="N2974" s="22">
        <v>0</v>
      </c>
      <c r="O2974" s="22">
        <v>7200</v>
      </c>
      <c r="P2974" s="22">
        <v>7200</v>
      </c>
      <c r="Q2974" t="str" cm="1">
        <f t="array" ref="Q2974">_xlfn.TEXTJOIN("、",TRUE,IF('學員資料-三民高中'!$B$2:$B$454=$F2974,'學員資料-三民高中'!$G$2:$G$454,""))</f>
        <v/>
      </c>
      <c r="R2974" t="str" cm="1">
        <f t="array" ref="R2974">_xlfn.TEXTJOIN("、",TRUE,IF('學員資料-新北高中'!$B$2:$B$583=$F2974,'學員資料-新北高中'!$G$2:$G$583,""))</f>
        <v>0921817509</v>
      </c>
      <c r="S2974" t="str" cm="1">
        <f t="array" ref="S2974">_xlfn.TEXTJOIN("、",TRUE,IF('學員資料-三重商工'!$B$2:$B$472=$F2974,'學員資料-三重商工'!$G$2:$G$472,""))</f>
        <v/>
      </c>
      <c r="T2974">
        <f t="shared" si="46"/>
        <v>1</v>
      </c>
    </row>
    <row r="2975" spans="1:20" ht="14.25" hidden="1" customHeight="1">
      <c r="A2975" s="15">
        <v>2974</v>
      </c>
      <c r="B2975" s="16" t="s">
        <v>9056</v>
      </c>
      <c r="C2975" s="17">
        <v>45508</v>
      </c>
      <c r="D2975" s="15" t="s">
        <v>9057</v>
      </c>
      <c r="E2975" s="18" t="s">
        <v>954</v>
      </c>
      <c r="F2975" s="19" t="s">
        <v>5146</v>
      </c>
      <c r="G2975" s="18" t="s">
        <v>5147</v>
      </c>
      <c r="H2975" s="20" t="s">
        <v>5148</v>
      </c>
      <c r="I2975" s="15">
        <v>1</v>
      </c>
      <c r="J2975" s="15" t="s">
        <v>25</v>
      </c>
      <c r="K2975" s="15"/>
      <c r="L2975" s="21" t="s">
        <v>16</v>
      </c>
      <c r="M2975" s="22">
        <v>0</v>
      </c>
      <c r="N2975" s="22">
        <v>0</v>
      </c>
      <c r="O2975" s="22">
        <v>9000</v>
      </c>
      <c r="P2975" s="22">
        <v>9000</v>
      </c>
      <c r="Q2975" t="str" cm="1">
        <f t="array" ref="Q2975">_xlfn.TEXTJOIN("、",TRUE,IF('學員資料-三民高中'!$B$2:$B$454=$F2975,'學員資料-三民高中'!$G$2:$G$454,""))</f>
        <v/>
      </c>
      <c r="R2975" t="str" cm="1">
        <f t="array" ref="R2975">_xlfn.TEXTJOIN("、",TRUE,IF('學員資料-新北高中'!$B$2:$B$583=$F2975,'學員資料-新北高中'!$G$2:$G$583,""))</f>
        <v/>
      </c>
      <c r="S2975" t="str" cm="1">
        <f t="array" ref="S2975">_xlfn.TEXTJOIN("、",TRUE,IF('學員資料-三重商工'!$B$2:$B$472=$F2975,'學員資料-三重商工'!$G$2:$G$472,""))</f>
        <v>0910882858</v>
      </c>
      <c r="T2975">
        <f t="shared" si="46"/>
        <v>1</v>
      </c>
    </row>
    <row r="2976" spans="1:20" ht="14.25" hidden="1" customHeight="1">
      <c r="A2976" s="15">
        <v>2975</v>
      </c>
      <c r="B2976" s="16" t="s">
        <v>9058</v>
      </c>
      <c r="C2976" s="17">
        <v>45508</v>
      </c>
      <c r="D2976" s="15" t="s">
        <v>9059</v>
      </c>
      <c r="E2976" s="18" t="s">
        <v>954</v>
      </c>
      <c r="F2976" s="19" t="s">
        <v>8042</v>
      </c>
      <c r="G2976" s="18" t="s">
        <v>8043</v>
      </c>
      <c r="H2976" s="20" t="s">
        <v>5180</v>
      </c>
      <c r="I2976" s="15">
        <v>1</v>
      </c>
      <c r="J2976" s="15" t="s">
        <v>24</v>
      </c>
      <c r="K2976" s="15"/>
      <c r="L2976" s="21" t="s">
        <v>16</v>
      </c>
      <c r="M2976" s="22">
        <v>0</v>
      </c>
      <c r="N2976" s="22">
        <v>0</v>
      </c>
      <c r="O2976" s="22">
        <v>8640</v>
      </c>
      <c r="P2976" s="22">
        <v>8640</v>
      </c>
      <c r="Q2976" t="str" cm="1">
        <f t="array" ref="Q2976">_xlfn.TEXTJOIN("、",TRUE,IF('學員資料-三民高中'!$B$2:$B$454=$F2976,'學員資料-三民高中'!$G$2:$G$454,""))</f>
        <v/>
      </c>
      <c r="R2976" t="str" cm="1">
        <f t="array" ref="R2976">_xlfn.TEXTJOIN("、",TRUE,IF('學員資料-新北高中'!$B$2:$B$583=$F2976,'學員資料-新北高中'!$G$2:$G$583,""))</f>
        <v/>
      </c>
      <c r="S2976" t="str" cm="1">
        <f t="array" ref="S2976">_xlfn.TEXTJOIN("、",TRUE,IF('學員資料-三重商工'!$B$2:$B$472=$F2976,'學員資料-三重商工'!$G$2:$G$472,""))</f>
        <v>0939561232</v>
      </c>
      <c r="T2976">
        <f t="shared" si="46"/>
        <v>1</v>
      </c>
    </row>
    <row r="2977" spans="1:20" ht="14.25" hidden="1" customHeight="1">
      <c r="A2977" s="15">
        <v>2976</v>
      </c>
      <c r="B2977" s="16" t="s">
        <v>9060</v>
      </c>
      <c r="C2977" s="17">
        <v>45508</v>
      </c>
      <c r="D2977" s="15" t="s">
        <v>9061</v>
      </c>
      <c r="E2977" s="18" t="s">
        <v>3862</v>
      </c>
      <c r="F2977" s="19" t="s">
        <v>8616</v>
      </c>
      <c r="G2977" s="18" t="s">
        <v>8617</v>
      </c>
      <c r="H2977" s="20" t="s">
        <v>5163</v>
      </c>
      <c r="I2977" s="15">
        <v>1</v>
      </c>
      <c r="J2977" s="15" t="s">
        <v>23</v>
      </c>
      <c r="K2977" s="15"/>
      <c r="L2977" s="21" t="s">
        <v>16</v>
      </c>
      <c r="M2977" s="22">
        <v>0</v>
      </c>
      <c r="N2977" s="22">
        <v>0</v>
      </c>
      <c r="O2977" s="22">
        <v>6600</v>
      </c>
      <c r="P2977" s="22">
        <v>6600</v>
      </c>
      <c r="Q2977" t="str" cm="1">
        <f t="array" ref="Q2977">_xlfn.TEXTJOIN("、",TRUE,IF('學員資料-三民高中'!$B$2:$B$454=$F2977,'學員資料-三民高中'!$G$2:$G$454,""))</f>
        <v/>
      </c>
      <c r="R2977" t="str" cm="1">
        <f t="array" ref="R2977">_xlfn.TEXTJOIN("、",TRUE,IF('學員資料-新北高中'!$B$2:$B$583=$F2977,'學員資料-新北高中'!$G$2:$G$583,""))</f>
        <v>0922272517</v>
      </c>
      <c r="S2977" t="str" cm="1">
        <f t="array" ref="S2977">_xlfn.TEXTJOIN("、",TRUE,IF('學員資料-三重商工'!$B$2:$B$472=$F2977,'學員資料-三重商工'!$G$2:$G$472,""))</f>
        <v/>
      </c>
      <c r="T2977">
        <f t="shared" si="46"/>
        <v>1</v>
      </c>
    </row>
    <row r="2978" spans="1:20" ht="28.5" hidden="1" customHeight="1">
      <c r="A2978" s="15">
        <v>2977</v>
      </c>
      <c r="B2978" s="16" t="s">
        <v>9062</v>
      </c>
      <c r="C2978" s="17">
        <v>45508</v>
      </c>
      <c r="D2978" s="15" t="s">
        <v>9063</v>
      </c>
      <c r="E2978" s="18" t="s">
        <v>954</v>
      </c>
      <c r="F2978" s="19" t="s">
        <v>9064</v>
      </c>
      <c r="G2978" s="18" t="s">
        <v>9065</v>
      </c>
      <c r="H2978" s="20" t="s">
        <v>5263</v>
      </c>
      <c r="I2978" s="15">
        <v>2</v>
      </c>
      <c r="J2978" s="15" t="s">
        <v>25</v>
      </c>
      <c r="K2978" s="15"/>
      <c r="L2978" s="21" t="s">
        <v>16</v>
      </c>
      <c r="M2978" s="22">
        <v>0</v>
      </c>
      <c r="N2978" s="22">
        <v>0</v>
      </c>
      <c r="O2978" s="22">
        <v>18000</v>
      </c>
      <c r="P2978" s="22">
        <v>18000</v>
      </c>
      <c r="Q2978" t="str" cm="1">
        <f t="array" ref="Q2978">_xlfn.TEXTJOIN("、",TRUE,IF('學員資料-三民高中'!$B$2:$B$454=$F2978,'學員資料-三民高中'!$G$2:$G$454,""))</f>
        <v/>
      </c>
      <c r="R2978" t="str" cm="1">
        <f t="array" ref="R2978">_xlfn.TEXTJOIN("、",TRUE,IF('學員資料-新北高中'!$B$2:$B$583=$F2978,'學員資料-新北高中'!$G$2:$G$583,""))</f>
        <v>0982118948</v>
      </c>
      <c r="S2978" t="str" cm="1">
        <f t="array" ref="S2978">_xlfn.TEXTJOIN("、",TRUE,IF('學員資料-三重商工'!$B$2:$B$472=$F2978,'學員資料-三重商工'!$G$2:$G$472,""))</f>
        <v/>
      </c>
      <c r="T2978">
        <f t="shared" si="46"/>
        <v>1</v>
      </c>
    </row>
    <row r="2979" spans="1:20" ht="14.25" hidden="1" customHeight="1">
      <c r="A2979" s="15">
        <v>2978</v>
      </c>
      <c r="B2979" s="16" t="s">
        <v>9066</v>
      </c>
      <c r="C2979" s="17">
        <v>45508</v>
      </c>
      <c r="D2979" s="15" t="s">
        <v>4949</v>
      </c>
      <c r="E2979" s="18" t="s">
        <v>954</v>
      </c>
      <c r="F2979" s="19" t="s">
        <v>9067</v>
      </c>
      <c r="G2979" s="18" t="s">
        <v>9068</v>
      </c>
      <c r="H2979" s="20" t="s">
        <v>5148</v>
      </c>
      <c r="I2979" s="15">
        <v>1</v>
      </c>
      <c r="J2979" s="15" t="s">
        <v>25</v>
      </c>
      <c r="K2979" s="15"/>
      <c r="L2979" s="21" t="s">
        <v>16</v>
      </c>
      <c r="M2979" s="22">
        <v>0</v>
      </c>
      <c r="N2979" s="22">
        <v>0</v>
      </c>
      <c r="O2979" s="22">
        <v>9000</v>
      </c>
      <c r="P2979" s="22">
        <v>9000</v>
      </c>
      <c r="Q2979" t="str" cm="1">
        <f t="array" ref="Q2979">_xlfn.TEXTJOIN("、",TRUE,IF('學員資料-三民高中'!$B$2:$B$454=$F2979,'學員資料-三民高中'!$G$2:$G$454,""))</f>
        <v/>
      </c>
      <c r="R2979" t="str" cm="1">
        <f t="array" ref="R2979">_xlfn.TEXTJOIN("、",TRUE,IF('學員資料-新北高中'!$B$2:$B$583=$F2979,'學員資料-新北高中'!$G$2:$G$583,""))</f>
        <v>0937459789</v>
      </c>
      <c r="S2979" t="str" cm="1">
        <f t="array" ref="S2979">_xlfn.TEXTJOIN("、",TRUE,IF('學員資料-三重商工'!$B$2:$B$472=$F2979,'學員資料-三重商工'!$G$2:$G$472,""))</f>
        <v/>
      </c>
      <c r="T2979">
        <f t="shared" si="46"/>
        <v>1</v>
      </c>
    </row>
    <row r="2980" spans="1:20" ht="14.25" hidden="1" customHeight="1">
      <c r="A2980" s="15">
        <v>2979</v>
      </c>
      <c r="B2980" s="16" t="s">
        <v>9069</v>
      </c>
      <c r="C2980" s="17">
        <v>45508</v>
      </c>
      <c r="D2980" s="15" t="s">
        <v>9070</v>
      </c>
      <c r="E2980" s="18" t="s">
        <v>954</v>
      </c>
      <c r="F2980" s="19" t="s">
        <v>8911</v>
      </c>
      <c r="G2980" s="18" t="s">
        <v>8912</v>
      </c>
      <c r="H2980" s="20" t="s">
        <v>5163</v>
      </c>
      <c r="I2980" s="15">
        <v>1</v>
      </c>
      <c r="J2980" s="15" t="s">
        <v>23</v>
      </c>
      <c r="K2980" s="15"/>
      <c r="L2980" s="21" t="s">
        <v>16</v>
      </c>
      <c r="M2980" s="22">
        <v>0</v>
      </c>
      <c r="N2980" s="22">
        <v>0</v>
      </c>
      <c r="O2980" s="22">
        <v>6600</v>
      </c>
      <c r="P2980" s="22">
        <v>6600</v>
      </c>
      <c r="Q2980" t="str" cm="1">
        <f t="array" ref="Q2980">_xlfn.TEXTJOIN("、",TRUE,IF('學員資料-三民高中'!$B$2:$B$454=$F2980,'學員資料-三民高中'!$G$2:$G$454,""))</f>
        <v/>
      </c>
      <c r="R2980" t="str" cm="1">
        <f t="array" ref="R2980">_xlfn.TEXTJOIN("、",TRUE,IF('學員資料-新北高中'!$B$2:$B$583=$F2980,'學員資料-新北高中'!$G$2:$G$583,""))</f>
        <v>0952313083</v>
      </c>
      <c r="S2980" t="str" cm="1">
        <f t="array" ref="S2980">_xlfn.TEXTJOIN("、",TRUE,IF('學員資料-三重商工'!$B$2:$B$472=$F2980,'學員資料-三重商工'!$G$2:$G$472,""))</f>
        <v/>
      </c>
      <c r="T2980">
        <f t="shared" si="46"/>
        <v>1</v>
      </c>
    </row>
    <row r="2981" spans="1:20" ht="14.25" hidden="1" customHeight="1">
      <c r="A2981" s="15">
        <v>2980</v>
      </c>
      <c r="B2981" s="16" t="s">
        <v>9071</v>
      </c>
      <c r="C2981" s="17">
        <v>45508</v>
      </c>
      <c r="D2981" s="15" t="s">
        <v>9072</v>
      </c>
      <c r="E2981" s="18" t="s">
        <v>954</v>
      </c>
      <c r="F2981" s="19" t="s">
        <v>4876</v>
      </c>
      <c r="G2981" s="18" t="s">
        <v>4877</v>
      </c>
      <c r="H2981" s="20" t="s">
        <v>5131</v>
      </c>
      <c r="I2981" s="15">
        <v>1</v>
      </c>
      <c r="J2981" s="15" t="s">
        <v>24</v>
      </c>
      <c r="K2981" s="15"/>
      <c r="L2981" s="21" t="s">
        <v>16</v>
      </c>
      <c r="M2981" s="22">
        <v>0</v>
      </c>
      <c r="N2981" s="22">
        <v>0</v>
      </c>
      <c r="O2981" s="22">
        <v>7200</v>
      </c>
      <c r="P2981" s="22">
        <v>7200</v>
      </c>
      <c r="Q2981" t="str" cm="1">
        <f t="array" ref="Q2981">_xlfn.TEXTJOIN("、",TRUE,IF('學員資料-三民高中'!$B$2:$B$454=$F2981,'學員資料-三民高中'!$G$2:$G$454,""))</f>
        <v/>
      </c>
      <c r="R2981" t="str" cm="1">
        <f t="array" ref="R2981">_xlfn.TEXTJOIN("、",TRUE,IF('學員資料-新北高中'!$B$2:$B$583=$F2981,'學員資料-新北高中'!$G$2:$G$583,""))</f>
        <v/>
      </c>
      <c r="S2981" t="str" cm="1">
        <f t="array" ref="S2981">_xlfn.TEXTJOIN("、",TRUE,IF('學員資料-三重商工'!$B$2:$B$472=$F2981,'學員資料-三重商工'!$G$2:$G$472,""))</f>
        <v>0933237828</v>
      </c>
      <c r="T2981">
        <f t="shared" si="46"/>
        <v>1</v>
      </c>
    </row>
    <row r="2982" spans="1:20" ht="14.25" hidden="1" customHeight="1">
      <c r="A2982" s="15">
        <v>2981</v>
      </c>
      <c r="B2982" s="16" t="s">
        <v>9073</v>
      </c>
      <c r="C2982" s="17">
        <v>45508</v>
      </c>
      <c r="D2982" s="15" t="s">
        <v>9074</v>
      </c>
      <c r="E2982" s="18" t="s">
        <v>954</v>
      </c>
      <c r="F2982" s="19" t="s">
        <v>9075</v>
      </c>
      <c r="G2982" s="18" t="s">
        <v>9076</v>
      </c>
      <c r="H2982" s="20" t="s">
        <v>5131</v>
      </c>
      <c r="I2982" s="15">
        <v>1</v>
      </c>
      <c r="J2982" s="15" t="s">
        <v>24</v>
      </c>
      <c r="K2982" s="15"/>
      <c r="L2982" s="21" t="s">
        <v>16</v>
      </c>
      <c r="M2982" s="22">
        <v>0</v>
      </c>
      <c r="N2982" s="22">
        <v>0</v>
      </c>
      <c r="O2982" s="22">
        <v>7200</v>
      </c>
      <c r="P2982" s="22">
        <v>7200</v>
      </c>
      <c r="Q2982" t="str" cm="1">
        <f t="array" ref="Q2982">_xlfn.TEXTJOIN("、",TRUE,IF('學員資料-三民高中'!$B$2:$B$454=$F2982,'學員資料-三民高中'!$G$2:$G$454,""))</f>
        <v/>
      </c>
      <c r="R2982" t="str" cm="1">
        <f t="array" ref="R2982">_xlfn.TEXTJOIN("、",TRUE,IF('學員資料-新北高中'!$B$2:$B$583=$F2982,'學員資料-新北高中'!$G$2:$G$583,""))</f>
        <v>0987531721</v>
      </c>
      <c r="S2982" t="str" cm="1">
        <f t="array" ref="S2982">_xlfn.TEXTJOIN("、",TRUE,IF('學員資料-三重商工'!$B$2:$B$472=$F2982,'學員資料-三重商工'!$G$2:$G$472,""))</f>
        <v/>
      </c>
      <c r="T2982">
        <f t="shared" si="46"/>
        <v>1</v>
      </c>
    </row>
    <row r="2983" spans="1:20" ht="14.25" hidden="1" customHeight="1">
      <c r="A2983" s="15">
        <v>2982</v>
      </c>
      <c r="B2983" s="16" t="s">
        <v>9077</v>
      </c>
      <c r="C2983" s="17">
        <v>45508</v>
      </c>
      <c r="D2983" s="15" t="s">
        <v>9078</v>
      </c>
      <c r="E2983" s="18" t="s">
        <v>954</v>
      </c>
      <c r="F2983" s="19" t="s">
        <v>8309</v>
      </c>
      <c r="G2983" s="18" t="s">
        <v>8310</v>
      </c>
      <c r="H2983" s="20" t="s">
        <v>5148</v>
      </c>
      <c r="I2983" s="15">
        <v>1</v>
      </c>
      <c r="J2983" s="15" t="s">
        <v>25</v>
      </c>
      <c r="K2983" s="15"/>
      <c r="L2983" s="21" t="s">
        <v>16</v>
      </c>
      <c r="M2983" s="22">
        <v>0</v>
      </c>
      <c r="N2983" s="22">
        <v>0</v>
      </c>
      <c r="O2983" s="22">
        <v>9000</v>
      </c>
      <c r="P2983" s="22">
        <v>9000</v>
      </c>
      <c r="Q2983" t="str" cm="1">
        <f t="array" ref="Q2983">_xlfn.TEXTJOIN("、",TRUE,IF('學員資料-三民高中'!$B$2:$B$454=$F2983,'學員資料-三民高中'!$G$2:$G$454,""))</f>
        <v/>
      </c>
      <c r="R2983" t="str" cm="1">
        <f t="array" ref="R2983">_xlfn.TEXTJOIN("、",TRUE,IF('學員資料-新北高中'!$B$2:$B$583=$F2983,'學員資料-新北高中'!$G$2:$G$583,""))</f>
        <v>0939691004</v>
      </c>
      <c r="S2983" t="str" cm="1">
        <f t="array" ref="S2983">_xlfn.TEXTJOIN("、",TRUE,IF('學員資料-三重商工'!$B$2:$B$472=$F2983,'學員資料-三重商工'!$G$2:$G$472,""))</f>
        <v/>
      </c>
      <c r="T2983">
        <f t="shared" si="46"/>
        <v>1</v>
      </c>
    </row>
    <row r="2984" spans="1:20" ht="14.25" hidden="1" customHeight="1">
      <c r="A2984" s="15">
        <v>2983</v>
      </c>
      <c r="B2984" s="16" t="s">
        <v>9079</v>
      </c>
      <c r="C2984" s="17">
        <v>45508</v>
      </c>
      <c r="D2984" s="15" t="s">
        <v>9080</v>
      </c>
      <c r="E2984" s="18" t="s">
        <v>954</v>
      </c>
      <c r="F2984" s="19" t="s">
        <v>5204</v>
      </c>
      <c r="G2984" s="18" t="s">
        <v>5205</v>
      </c>
      <c r="H2984" s="20" t="s">
        <v>5163</v>
      </c>
      <c r="I2984" s="15">
        <v>1</v>
      </c>
      <c r="J2984" s="15" t="s">
        <v>23</v>
      </c>
      <c r="K2984" s="15"/>
      <c r="L2984" s="21" t="s">
        <v>16</v>
      </c>
      <c r="M2984" s="22">
        <v>0</v>
      </c>
      <c r="N2984" s="22">
        <v>0</v>
      </c>
      <c r="O2984" s="22">
        <v>6600</v>
      </c>
      <c r="P2984" s="22">
        <v>6600</v>
      </c>
      <c r="Q2984" t="str" cm="1">
        <f t="array" ref="Q2984">_xlfn.TEXTJOIN("、",TRUE,IF('學員資料-三民高中'!$B$2:$B$454=$F2984,'學員資料-三民高中'!$G$2:$G$454,""))</f>
        <v/>
      </c>
      <c r="R2984" t="str" cm="1">
        <f t="array" ref="R2984">_xlfn.TEXTJOIN("、",TRUE,IF('學員資料-新北高中'!$B$2:$B$583=$F2984,'學員資料-新北高中'!$G$2:$G$583,""))</f>
        <v>0919553715</v>
      </c>
      <c r="S2984" t="str" cm="1">
        <f t="array" ref="S2984">_xlfn.TEXTJOIN("、",TRUE,IF('學員資料-三重商工'!$B$2:$B$472=$F2984,'學員資料-三重商工'!$G$2:$G$472,""))</f>
        <v/>
      </c>
      <c r="T2984">
        <f t="shared" si="46"/>
        <v>1</v>
      </c>
    </row>
    <row r="2985" spans="1:20" ht="14.25" hidden="1" customHeight="1">
      <c r="A2985" s="15">
        <v>2984</v>
      </c>
      <c r="B2985" s="16" t="s">
        <v>9081</v>
      </c>
      <c r="C2985" s="17">
        <v>45508</v>
      </c>
      <c r="D2985" s="15" t="s">
        <v>9082</v>
      </c>
      <c r="E2985" s="18" t="s">
        <v>954</v>
      </c>
      <c r="F2985" s="19" t="s">
        <v>5334</v>
      </c>
      <c r="G2985" s="18" t="s">
        <v>5335</v>
      </c>
      <c r="H2985" s="20" t="s">
        <v>5131</v>
      </c>
      <c r="I2985" s="15">
        <v>1</v>
      </c>
      <c r="J2985" s="15" t="s">
        <v>24</v>
      </c>
      <c r="K2985" s="15"/>
      <c r="L2985" s="21" t="s">
        <v>16</v>
      </c>
      <c r="M2985" s="22">
        <v>0</v>
      </c>
      <c r="N2985" s="22">
        <v>0</v>
      </c>
      <c r="O2985" s="22">
        <v>7200</v>
      </c>
      <c r="P2985" s="22">
        <v>7200</v>
      </c>
      <c r="Q2985" t="str" cm="1">
        <f t="array" ref="Q2985">_xlfn.TEXTJOIN("、",TRUE,IF('學員資料-三民高中'!$B$2:$B$454=$F2985,'學員資料-三民高中'!$G$2:$G$454,""))</f>
        <v/>
      </c>
      <c r="R2985" t="str" cm="1">
        <f t="array" ref="R2985">_xlfn.TEXTJOIN("、",TRUE,IF('學員資料-新北高中'!$B$2:$B$583=$F2985,'學員資料-新北高中'!$G$2:$G$583,""))</f>
        <v>0921866134</v>
      </c>
      <c r="S2985" t="str" cm="1">
        <f t="array" ref="S2985">_xlfn.TEXTJOIN("、",TRUE,IF('學員資料-三重商工'!$B$2:$B$472=$F2985,'學員資料-三重商工'!$G$2:$G$472,""))</f>
        <v/>
      </c>
      <c r="T2985">
        <f t="shared" si="46"/>
        <v>1</v>
      </c>
    </row>
    <row r="2986" spans="1:20" ht="14.25" hidden="1" customHeight="1">
      <c r="A2986" s="15">
        <v>2985</v>
      </c>
      <c r="B2986" s="16" t="s">
        <v>9083</v>
      </c>
      <c r="C2986" s="17">
        <v>45508</v>
      </c>
      <c r="D2986" s="15" t="s">
        <v>9084</v>
      </c>
      <c r="E2986" s="18" t="s">
        <v>954</v>
      </c>
      <c r="F2986" s="19" t="s">
        <v>7125</v>
      </c>
      <c r="G2986" s="18" t="s">
        <v>7126</v>
      </c>
      <c r="H2986" s="20" t="s">
        <v>5163</v>
      </c>
      <c r="I2986" s="15">
        <v>1</v>
      </c>
      <c r="J2986" s="15" t="s">
        <v>23</v>
      </c>
      <c r="K2986" s="15"/>
      <c r="L2986" s="21" t="s">
        <v>16</v>
      </c>
      <c r="M2986" s="22">
        <v>0</v>
      </c>
      <c r="N2986" s="22">
        <v>0</v>
      </c>
      <c r="O2986" s="22">
        <v>6600</v>
      </c>
      <c r="P2986" s="22">
        <v>6600</v>
      </c>
      <c r="Q2986" t="str" cm="1">
        <f t="array" ref="Q2986">_xlfn.TEXTJOIN("、",TRUE,IF('學員資料-三民高中'!$B$2:$B$454=$F2986,'學員資料-三民高中'!$G$2:$G$454,""))</f>
        <v/>
      </c>
      <c r="R2986" t="str" cm="1">
        <f t="array" ref="R2986">_xlfn.TEXTJOIN("、",TRUE,IF('學員資料-新北高中'!$B$2:$B$583=$F2986,'學員資料-新北高中'!$G$2:$G$583,""))</f>
        <v>0919617953</v>
      </c>
      <c r="S2986" t="str" cm="1">
        <f t="array" ref="S2986">_xlfn.TEXTJOIN("、",TRUE,IF('學員資料-三重商工'!$B$2:$B$472=$F2986,'學員資料-三重商工'!$G$2:$G$472,""))</f>
        <v/>
      </c>
      <c r="T2986">
        <f t="shared" si="46"/>
        <v>1</v>
      </c>
    </row>
    <row r="2987" spans="1:20" ht="14.25" hidden="1" customHeight="1">
      <c r="A2987" s="15">
        <v>2986</v>
      </c>
      <c r="B2987" s="16" t="s">
        <v>9085</v>
      </c>
      <c r="C2987" s="17">
        <v>45508</v>
      </c>
      <c r="D2987" s="15" t="s">
        <v>9086</v>
      </c>
      <c r="E2987" s="18" t="s">
        <v>954</v>
      </c>
      <c r="F2987" s="19" t="s">
        <v>3359</v>
      </c>
      <c r="G2987" s="18" t="s">
        <v>3360</v>
      </c>
      <c r="H2987" s="20" t="s">
        <v>5131</v>
      </c>
      <c r="I2987" s="15">
        <v>1</v>
      </c>
      <c r="J2987" s="15" t="s">
        <v>24</v>
      </c>
      <c r="K2987" s="15"/>
      <c r="L2987" s="21" t="s">
        <v>16</v>
      </c>
      <c r="M2987" s="22">
        <v>0</v>
      </c>
      <c r="N2987" s="22">
        <v>0</v>
      </c>
      <c r="O2987" s="22">
        <v>7200</v>
      </c>
      <c r="P2987" s="22">
        <v>7200</v>
      </c>
      <c r="Q2987" t="str" cm="1">
        <f t="array" ref="Q2987">_xlfn.TEXTJOIN("、",TRUE,IF('學員資料-三民高中'!$B$2:$B$454=$F2987,'學員資料-三民高中'!$G$2:$G$454,""))</f>
        <v/>
      </c>
      <c r="R2987" t="str" cm="1">
        <f t="array" ref="R2987">_xlfn.TEXTJOIN("、",TRUE,IF('學員資料-新北高中'!$B$2:$B$583=$F2987,'學員資料-新北高中'!$G$2:$G$583,""))</f>
        <v>0912127414</v>
      </c>
      <c r="S2987" t="str" cm="1">
        <f t="array" ref="S2987">_xlfn.TEXTJOIN("、",TRUE,IF('學員資料-三重商工'!$B$2:$B$472=$F2987,'學員資料-三重商工'!$G$2:$G$472,""))</f>
        <v/>
      </c>
      <c r="T2987">
        <f t="shared" si="46"/>
        <v>1</v>
      </c>
    </row>
    <row r="2988" spans="1:20" ht="14.25" hidden="1" customHeight="1">
      <c r="A2988" s="15">
        <v>2987</v>
      </c>
      <c r="B2988" s="16" t="s">
        <v>9087</v>
      </c>
      <c r="C2988" s="17">
        <v>45508</v>
      </c>
      <c r="D2988" s="15" t="s">
        <v>9088</v>
      </c>
      <c r="E2988" s="18" t="s">
        <v>954</v>
      </c>
      <c r="F2988" s="19" t="s">
        <v>4288</v>
      </c>
      <c r="G2988" s="18" t="s">
        <v>4289</v>
      </c>
      <c r="H2988" s="20" t="s">
        <v>5131</v>
      </c>
      <c r="I2988" s="15">
        <v>1</v>
      </c>
      <c r="J2988" s="15" t="s">
        <v>24</v>
      </c>
      <c r="K2988" s="15"/>
      <c r="L2988" s="21" t="s">
        <v>16</v>
      </c>
      <c r="M2988" s="22">
        <v>0</v>
      </c>
      <c r="N2988" s="22">
        <v>0</v>
      </c>
      <c r="O2988" s="22">
        <v>7200</v>
      </c>
      <c r="P2988" s="22">
        <v>7200</v>
      </c>
      <c r="Q2988" t="str" cm="1">
        <f t="array" ref="Q2988">_xlfn.TEXTJOIN("、",TRUE,IF('學員資料-三民高中'!$B$2:$B$454=$F2988,'學員資料-三民高中'!$G$2:$G$454,""))</f>
        <v/>
      </c>
      <c r="R2988" t="str" cm="1">
        <f t="array" ref="R2988">_xlfn.TEXTJOIN("、",TRUE,IF('學員資料-新北高中'!$B$2:$B$583=$F2988,'學員資料-新北高中'!$G$2:$G$583,""))</f>
        <v>0912922986</v>
      </c>
      <c r="S2988" t="str" cm="1">
        <f t="array" ref="S2988">_xlfn.TEXTJOIN("、",TRUE,IF('學員資料-三重商工'!$B$2:$B$472=$F2988,'學員資料-三重商工'!$G$2:$G$472,""))</f>
        <v/>
      </c>
      <c r="T2988">
        <f t="shared" si="46"/>
        <v>1</v>
      </c>
    </row>
    <row r="2989" spans="1:20" ht="14.25" hidden="1" customHeight="1">
      <c r="A2989" s="15">
        <v>2988</v>
      </c>
      <c r="B2989" s="16" t="s">
        <v>9089</v>
      </c>
      <c r="C2989" s="17">
        <v>45508</v>
      </c>
      <c r="D2989" s="15" t="s">
        <v>9090</v>
      </c>
      <c r="E2989" s="18" t="s">
        <v>954</v>
      </c>
      <c r="F2989" s="19" t="s">
        <v>2026</v>
      </c>
      <c r="G2989" s="18" t="s">
        <v>2027</v>
      </c>
      <c r="H2989" s="20" t="s">
        <v>266</v>
      </c>
      <c r="I2989" s="15">
        <v>1</v>
      </c>
      <c r="J2989" s="15" t="s">
        <v>24</v>
      </c>
      <c r="K2989" s="15"/>
      <c r="L2989" s="21" t="s">
        <v>16</v>
      </c>
      <c r="M2989" s="22">
        <v>0</v>
      </c>
      <c r="N2989" s="22">
        <v>0</v>
      </c>
      <c r="O2989" s="22">
        <v>10800</v>
      </c>
      <c r="P2989" s="22">
        <v>10800</v>
      </c>
      <c r="Q2989" t="str" cm="1">
        <f t="array" ref="Q2989">_xlfn.TEXTJOIN("、",TRUE,IF('學員資料-三民高中'!$B$2:$B$454=$F2989,'學員資料-三民高中'!$G$2:$G$454,""))</f>
        <v/>
      </c>
      <c r="R2989" t="str" cm="1">
        <f t="array" ref="R2989">_xlfn.TEXTJOIN("、",TRUE,IF('學員資料-新北高中'!$B$2:$B$583=$F2989,'學員資料-新北高中'!$G$2:$G$583,""))</f>
        <v>0953554707</v>
      </c>
      <c r="S2989" t="str" cm="1">
        <f t="array" ref="S2989">_xlfn.TEXTJOIN("、",TRUE,IF('學員資料-三重商工'!$B$2:$B$472=$F2989,'學員資料-三重商工'!$G$2:$G$472,""))</f>
        <v/>
      </c>
      <c r="T2989">
        <f t="shared" si="46"/>
        <v>1</v>
      </c>
    </row>
    <row r="2990" spans="1:20" ht="14.25" hidden="1" customHeight="1">
      <c r="A2990" s="15">
        <v>2989</v>
      </c>
      <c r="B2990" s="16" t="s">
        <v>9091</v>
      </c>
      <c r="C2990" s="17">
        <v>45507</v>
      </c>
      <c r="D2990" s="15" t="s">
        <v>9092</v>
      </c>
      <c r="E2990" s="18" t="s">
        <v>954</v>
      </c>
      <c r="F2990" s="19" t="s">
        <v>5025</v>
      </c>
      <c r="G2990" s="18" t="s">
        <v>5026</v>
      </c>
      <c r="H2990" s="20" t="s">
        <v>5131</v>
      </c>
      <c r="I2990" s="15">
        <v>1</v>
      </c>
      <c r="J2990" s="15" t="s">
        <v>24</v>
      </c>
      <c r="K2990" s="15"/>
      <c r="L2990" s="21" t="s">
        <v>16</v>
      </c>
      <c r="M2990" s="22">
        <v>0</v>
      </c>
      <c r="N2990" s="22">
        <v>0</v>
      </c>
      <c r="O2990" s="22">
        <v>7200</v>
      </c>
      <c r="P2990" s="22">
        <v>7200</v>
      </c>
      <c r="Q2990" t="str" cm="1">
        <f t="array" ref="Q2990">_xlfn.TEXTJOIN("、",TRUE,IF('學員資料-三民高中'!$B$2:$B$454=$F2990,'學員資料-三民高中'!$G$2:$G$454,""))</f>
        <v/>
      </c>
      <c r="R2990" t="str" cm="1">
        <f t="array" ref="R2990">_xlfn.TEXTJOIN("、",TRUE,IF('學員資料-新北高中'!$B$2:$B$583=$F2990,'學員資料-新北高中'!$G$2:$G$583,""))</f>
        <v>0918078738-1</v>
      </c>
      <c r="S2990" t="str" cm="1">
        <f t="array" ref="S2990">_xlfn.TEXTJOIN("、",TRUE,IF('學員資料-三重商工'!$B$2:$B$472=$F2990,'學員資料-三重商工'!$G$2:$G$472,""))</f>
        <v/>
      </c>
      <c r="T2990">
        <f t="shared" si="46"/>
        <v>1</v>
      </c>
    </row>
    <row r="2991" spans="1:20" ht="14.25" hidden="1" customHeight="1">
      <c r="A2991" s="15">
        <v>2990</v>
      </c>
      <c r="B2991" s="16" t="s">
        <v>9093</v>
      </c>
      <c r="C2991" s="17">
        <v>45507</v>
      </c>
      <c r="D2991" s="15" t="s">
        <v>9094</v>
      </c>
      <c r="E2991" s="18" t="s">
        <v>954</v>
      </c>
      <c r="F2991" s="19" t="s">
        <v>7795</v>
      </c>
      <c r="G2991" s="18" t="s">
        <v>7796</v>
      </c>
      <c r="H2991" s="20" t="s">
        <v>5211</v>
      </c>
      <c r="I2991" s="15">
        <v>1</v>
      </c>
      <c r="J2991" s="15" t="s">
        <v>26</v>
      </c>
      <c r="K2991" s="15"/>
      <c r="L2991" s="21" t="s">
        <v>16</v>
      </c>
      <c r="M2991" s="22">
        <v>0</v>
      </c>
      <c r="N2991" s="22">
        <v>-1080</v>
      </c>
      <c r="O2991" s="22">
        <v>9720</v>
      </c>
      <c r="P2991" s="22">
        <v>9720</v>
      </c>
      <c r="Q2991" t="str" cm="1">
        <f t="array" ref="Q2991">_xlfn.TEXTJOIN("、",TRUE,IF('學員資料-三民高中'!$B$2:$B$454=$F2991,'學員資料-三民高中'!$G$2:$G$454,""))</f>
        <v/>
      </c>
      <c r="R2991" t="str" cm="1">
        <f t="array" ref="R2991">_xlfn.TEXTJOIN("、",TRUE,IF('學員資料-新北高中'!$B$2:$B$583=$F2991,'學員資料-新北高中'!$G$2:$G$583,""))</f>
        <v>0908557606</v>
      </c>
      <c r="S2991" t="str" cm="1">
        <f t="array" ref="S2991">_xlfn.TEXTJOIN("、",TRUE,IF('學員資料-三重商工'!$B$2:$B$472=$F2991,'學員資料-三重商工'!$G$2:$G$472,""))</f>
        <v/>
      </c>
      <c r="T2991">
        <f t="shared" si="46"/>
        <v>1</v>
      </c>
    </row>
    <row r="2992" spans="1:20" ht="14.25" hidden="1" customHeight="1">
      <c r="A2992" s="15">
        <v>2991</v>
      </c>
      <c r="B2992" s="16" t="s">
        <v>9095</v>
      </c>
      <c r="C2992" s="17">
        <v>45507</v>
      </c>
      <c r="D2992" s="15" t="s">
        <v>9096</v>
      </c>
      <c r="E2992" s="18" t="s">
        <v>954</v>
      </c>
      <c r="F2992" s="19" t="s">
        <v>8816</v>
      </c>
      <c r="G2992" s="18" t="s">
        <v>8817</v>
      </c>
      <c r="H2992" s="20" t="s">
        <v>5131</v>
      </c>
      <c r="I2992" s="15">
        <v>1</v>
      </c>
      <c r="J2992" s="15" t="s">
        <v>24</v>
      </c>
      <c r="K2992" s="15"/>
      <c r="L2992" s="21" t="s">
        <v>16</v>
      </c>
      <c r="M2992" s="22">
        <v>0</v>
      </c>
      <c r="N2992" s="22">
        <v>0</v>
      </c>
      <c r="O2992" s="22">
        <v>7200</v>
      </c>
      <c r="P2992" s="22">
        <v>7200</v>
      </c>
      <c r="Q2992" t="str" cm="1">
        <f t="array" ref="Q2992">_xlfn.TEXTJOIN("、",TRUE,IF('學員資料-三民高中'!$B$2:$B$454=$F2992,'學員資料-三民高中'!$G$2:$G$454,""))</f>
        <v/>
      </c>
      <c r="R2992" t="str" cm="1">
        <f t="array" ref="R2992">_xlfn.TEXTJOIN("、",TRUE,IF('學員資料-新北高中'!$B$2:$B$583=$F2992,'學員資料-新北高中'!$G$2:$G$583,""))</f>
        <v>0921107905</v>
      </c>
      <c r="S2992" t="str" cm="1">
        <f t="array" ref="S2992">_xlfn.TEXTJOIN("、",TRUE,IF('學員資料-三重商工'!$B$2:$B$472=$F2992,'學員資料-三重商工'!$G$2:$G$472,""))</f>
        <v/>
      </c>
      <c r="T2992">
        <f t="shared" si="46"/>
        <v>1</v>
      </c>
    </row>
    <row r="2993" spans="1:20" ht="14.25" hidden="1" customHeight="1">
      <c r="A2993" s="15">
        <v>2992</v>
      </c>
      <c r="B2993" s="16" t="s">
        <v>9097</v>
      </c>
      <c r="C2993" s="17">
        <v>45507</v>
      </c>
      <c r="D2993" s="15" t="s">
        <v>9098</v>
      </c>
      <c r="E2993" s="18" t="s">
        <v>954</v>
      </c>
      <c r="F2993" s="19" t="s">
        <v>3700</v>
      </c>
      <c r="G2993" s="18" t="s">
        <v>3701</v>
      </c>
      <c r="H2993" s="20" t="s">
        <v>5131</v>
      </c>
      <c r="I2993" s="15">
        <v>1</v>
      </c>
      <c r="J2993" s="15" t="s">
        <v>24</v>
      </c>
      <c r="K2993" s="15"/>
      <c r="L2993" s="21" t="s">
        <v>16</v>
      </c>
      <c r="M2993" s="22">
        <v>0</v>
      </c>
      <c r="N2993" s="22">
        <v>0</v>
      </c>
      <c r="O2993" s="22">
        <v>7200</v>
      </c>
      <c r="P2993" s="22">
        <v>7200</v>
      </c>
      <c r="Q2993" t="str" cm="1">
        <f t="array" ref="Q2993">_xlfn.TEXTJOIN("、",TRUE,IF('學員資料-三民高中'!$B$2:$B$454=$F2993,'學員資料-三民高中'!$G$2:$G$454,""))</f>
        <v/>
      </c>
      <c r="R2993" t="str" cm="1">
        <f t="array" ref="R2993">_xlfn.TEXTJOIN("、",TRUE,IF('學員資料-新北高中'!$B$2:$B$583=$F2993,'學員資料-新北高中'!$G$2:$G$583,""))</f>
        <v>0910688530</v>
      </c>
      <c r="S2993" t="str" cm="1">
        <f t="array" ref="S2993">_xlfn.TEXTJOIN("、",TRUE,IF('學員資料-三重商工'!$B$2:$B$472=$F2993,'學員資料-三重商工'!$G$2:$G$472,""))</f>
        <v/>
      </c>
      <c r="T2993">
        <f t="shared" si="46"/>
        <v>1</v>
      </c>
    </row>
    <row r="2994" spans="1:20" ht="14.25" hidden="1" customHeight="1">
      <c r="A2994" s="15">
        <v>2993</v>
      </c>
      <c r="B2994" s="16" t="s">
        <v>9099</v>
      </c>
      <c r="C2994" s="17">
        <v>45507</v>
      </c>
      <c r="D2994" s="15" t="s">
        <v>9100</v>
      </c>
      <c r="E2994" s="18" t="s">
        <v>954</v>
      </c>
      <c r="F2994" s="19" t="s">
        <v>1140</v>
      </c>
      <c r="G2994" s="18" t="s">
        <v>1141</v>
      </c>
      <c r="H2994" s="20" t="s">
        <v>5148</v>
      </c>
      <c r="I2994" s="15">
        <v>1</v>
      </c>
      <c r="J2994" s="15" t="s">
        <v>25</v>
      </c>
      <c r="K2994" s="15"/>
      <c r="L2994" s="21" t="s">
        <v>16</v>
      </c>
      <c r="M2994" s="22">
        <v>0</v>
      </c>
      <c r="N2994" s="22">
        <v>-3600</v>
      </c>
      <c r="O2994" s="22">
        <v>5400</v>
      </c>
      <c r="P2994" s="22">
        <v>5400</v>
      </c>
      <c r="Q2994" t="str" cm="1">
        <f t="array" ref="Q2994">_xlfn.TEXTJOIN("、",TRUE,IF('學員資料-三民高中'!$B$2:$B$454=$F2994,'學員資料-三民高中'!$G$2:$G$454,""))</f>
        <v/>
      </c>
      <c r="R2994" t="str" cm="1">
        <f t="array" ref="R2994">_xlfn.TEXTJOIN("、",TRUE,IF('學員資料-新北高中'!$B$2:$B$583=$F2994,'學員資料-新北高中'!$G$2:$G$583,""))</f>
        <v/>
      </c>
      <c r="S2994" t="str" cm="1">
        <f t="array" ref="S2994">_xlfn.TEXTJOIN("、",TRUE,IF('學員資料-三重商工'!$B$2:$B$472=$F2994,'學員資料-三重商工'!$G$2:$G$472,""))</f>
        <v>0912094878</v>
      </c>
      <c r="T2994">
        <f t="shared" si="46"/>
        <v>1</v>
      </c>
    </row>
    <row r="2995" spans="1:20" ht="14.25" hidden="1" customHeight="1">
      <c r="A2995" s="15">
        <v>2994</v>
      </c>
      <c r="B2995" s="16" t="s">
        <v>9101</v>
      </c>
      <c r="C2995" s="17">
        <v>45507</v>
      </c>
      <c r="D2995" s="15" t="s">
        <v>9102</v>
      </c>
      <c r="E2995" s="18" t="s">
        <v>954</v>
      </c>
      <c r="F2995" s="19" t="s">
        <v>5915</v>
      </c>
      <c r="G2995" s="18" t="s">
        <v>5916</v>
      </c>
      <c r="H2995" s="20" t="s">
        <v>5131</v>
      </c>
      <c r="I2995" s="15">
        <v>1</v>
      </c>
      <c r="J2995" s="15" t="s">
        <v>24</v>
      </c>
      <c r="K2995" s="15"/>
      <c r="L2995" s="21" t="s">
        <v>16</v>
      </c>
      <c r="M2995" s="22">
        <v>0</v>
      </c>
      <c r="N2995" s="22">
        <v>0</v>
      </c>
      <c r="O2995" s="22">
        <v>7200</v>
      </c>
      <c r="P2995" s="22">
        <v>7200</v>
      </c>
      <c r="Q2995" t="str" cm="1">
        <f t="array" ref="Q2995">_xlfn.TEXTJOIN("、",TRUE,IF('學員資料-三民高中'!$B$2:$B$454=$F2995,'學員資料-三民高中'!$G$2:$G$454,""))</f>
        <v/>
      </c>
      <c r="R2995" t="str" cm="1">
        <f t="array" ref="R2995">_xlfn.TEXTJOIN("、",TRUE,IF('學員資料-新北高中'!$B$2:$B$583=$F2995,'學員資料-新北高中'!$G$2:$G$583,""))</f>
        <v>0954026182</v>
      </c>
      <c r="S2995" t="str" cm="1">
        <f t="array" ref="S2995">_xlfn.TEXTJOIN("、",TRUE,IF('學員資料-三重商工'!$B$2:$B$472=$F2995,'學員資料-三重商工'!$G$2:$G$472,""))</f>
        <v/>
      </c>
      <c r="T2995">
        <f t="shared" si="46"/>
        <v>1</v>
      </c>
    </row>
    <row r="2996" spans="1:20" ht="14.25" hidden="1" customHeight="1">
      <c r="A2996" s="15">
        <v>2995</v>
      </c>
      <c r="B2996" s="16" t="s">
        <v>9103</v>
      </c>
      <c r="C2996" s="17">
        <v>45507</v>
      </c>
      <c r="D2996" s="15" t="s">
        <v>9104</v>
      </c>
      <c r="E2996" s="18" t="s">
        <v>954</v>
      </c>
      <c r="F2996" s="19" t="s">
        <v>6250</v>
      </c>
      <c r="G2996" s="18" t="s">
        <v>6251</v>
      </c>
      <c r="H2996" s="20" t="s">
        <v>5131</v>
      </c>
      <c r="I2996" s="15">
        <v>1</v>
      </c>
      <c r="J2996" s="15" t="s">
        <v>24</v>
      </c>
      <c r="K2996" s="15"/>
      <c r="L2996" s="21" t="s">
        <v>16</v>
      </c>
      <c r="M2996" s="22">
        <v>0</v>
      </c>
      <c r="N2996" s="22">
        <v>0</v>
      </c>
      <c r="O2996" s="22">
        <v>7200</v>
      </c>
      <c r="P2996" s="22">
        <v>7200</v>
      </c>
      <c r="Q2996" t="str" cm="1">
        <f t="array" ref="Q2996">_xlfn.TEXTJOIN("、",TRUE,IF('學員資料-三民高中'!$B$2:$B$454=$F2996,'學員資料-三民高中'!$G$2:$G$454,""))</f>
        <v>0952708916</v>
      </c>
      <c r="R2996" t="str" cm="1">
        <f t="array" ref="R2996">_xlfn.TEXTJOIN("、",TRUE,IF('學員資料-新北高中'!$B$2:$B$583=$F2996,'學員資料-新北高中'!$G$2:$G$583,""))</f>
        <v/>
      </c>
      <c r="S2996" t="str" cm="1">
        <f t="array" ref="S2996">_xlfn.TEXTJOIN("、",TRUE,IF('學員資料-三重商工'!$B$2:$B$472=$F2996,'學員資料-三重商工'!$G$2:$G$472,""))</f>
        <v/>
      </c>
      <c r="T2996">
        <f t="shared" si="46"/>
        <v>1</v>
      </c>
    </row>
    <row r="2997" spans="1:20" ht="14.25" hidden="1" customHeight="1">
      <c r="A2997" s="15">
        <v>2996</v>
      </c>
      <c r="B2997" s="16" t="s">
        <v>9105</v>
      </c>
      <c r="C2997" s="17">
        <v>45507</v>
      </c>
      <c r="D2997" s="15" t="s">
        <v>9106</v>
      </c>
      <c r="E2997" s="18" t="s">
        <v>954</v>
      </c>
      <c r="F2997" s="19" t="s">
        <v>9107</v>
      </c>
      <c r="G2997" s="18" t="s">
        <v>9108</v>
      </c>
      <c r="H2997" s="20" t="s">
        <v>5163</v>
      </c>
      <c r="I2997" s="15">
        <v>1</v>
      </c>
      <c r="J2997" s="15" t="s">
        <v>23</v>
      </c>
      <c r="K2997" s="15"/>
      <c r="L2997" s="21" t="s">
        <v>16</v>
      </c>
      <c r="M2997" s="22">
        <v>0</v>
      </c>
      <c r="N2997" s="22">
        <v>0</v>
      </c>
      <c r="O2997" s="22">
        <v>6600</v>
      </c>
      <c r="P2997" s="22">
        <v>6600</v>
      </c>
      <c r="Q2997" t="str" cm="1">
        <f t="array" ref="Q2997">_xlfn.TEXTJOIN("、",TRUE,IF('學員資料-三民高中'!$B$2:$B$454=$F2997,'學員資料-三民高中'!$G$2:$G$454,""))</f>
        <v>0920614732</v>
      </c>
      <c r="R2997" t="str" cm="1">
        <f t="array" ref="R2997">_xlfn.TEXTJOIN("、",TRUE,IF('學員資料-新北高中'!$B$2:$B$583=$F2997,'學員資料-新北高中'!$G$2:$G$583,""))</f>
        <v/>
      </c>
      <c r="S2997" t="str" cm="1">
        <f t="array" ref="S2997">_xlfn.TEXTJOIN("、",TRUE,IF('學員資料-三重商工'!$B$2:$B$472=$F2997,'學員資料-三重商工'!$G$2:$G$472,""))</f>
        <v/>
      </c>
      <c r="T2997">
        <f t="shared" si="46"/>
        <v>1</v>
      </c>
    </row>
    <row r="2998" spans="1:20" ht="57.75" hidden="1" customHeight="1">
      <c r="A2998" s="15">
        <v>2997</v>
      </c>
      <c r="B2998" s="16" t="s">
        <v>9109</v>
      </c>
      <c r="C2998" s="17">
        <v>45507</v>
      </c>
      <c r="D2998" s="15" t="s">
        <v>9110</v>
      </c>
      <c r="E2998" s="18" t="s">
        <v>954</v>
      </c>
      <c r="F2998" s="19" t="s">
        <v>8953</v>
      </c>
      <c r="G2998" s="18" t="s">
        <v>8954</v>
      </c>
      <c r="H2998" s="20" t="s">
        <v>8541</v>
      </c>
      <c r="I2998" s="15">
        <v>4</v>
      </c>
      <c r="J2998" s="15" t="s">
        <v>23</v>
      </c>
      <c r="K2998" s="21" t="s">
        <v>116</v>
      </c>
      <c r="L2998" s="21" t="s">
        <v>16</v>
      </c>
      <c r="M2998" s="22">
        <v>0</v>
      </c>
      <c r="N2998" s="22">
        <v>0</v>
      </c>
      <c r="O2998" s="22">
        <v>4400</v>
      </c>
      <c r="P2998" s="22">
        <v>4400</v>
      </c>
      <c r="Q2998" t="str" cm="1">
        <f t="array" ref="Q2998">_xlfn.TEXTJOIN("、",TRUE,IF('學員資料-三民高中'!$B$2:$B$454=$F2998,'學員資料-三民高中'!$G$2:$G$454,""))</f>
        <v/>
      </c>
      <c r="R2998" t="str" cm="1">
        <f t="array" ref="R2998">_xlfn.TEXTJOIN("、",TRUE,IF('學員資料-新北高中'!$B$2:$B$583=$F2998,'學員資料-新北高中'!$G$2:$G$583,""))</f>
        <v>0933217417</v>
      </c>
      <c r="S2998" t="str" cm="1">
        <f t="array" ref="S2998">_xlfn.TEXTJOIN("、",TRUE,IF('學員資料-三重商工'!$B$2:$B$472=$F2998,'學員資料-三重商工'!$G$2:$G$472,""))</f>
        <v/>
      </c>
      <c r="T2998">
        <f t="shared" si="46"/>
        <v>1</v>
      </c>
    </row>
    <row r="2999" spans="1:20" ht="14.25" hidden="1" customHeight="1">
      <c r="A2999" s="15">
        <v>2998</v>
      </c>
      <c r="B2999" s="16" t="s">
        <v>9111</v>
      </c>
      <c r="C2999" s="17">
        <v>45507</v>
      </c>
      <c r="D2999" s="15" t="s">
        <v>9112</v>
      </c>
      <c r="E2999" s="18" t="s">
        <v>954</v>
      </c>
      <c r="F2999" s="19" t="s">
        <v>7725</v>
      </c>
      <c r="G2999" s="18" t="s">
        <v>7726</v>
      </c>
      <c r="H2999" s="20" t="s">
        <v>5131</v>
      </c>
      <c r="I2999" s="15">
        <v>1</v>
      </c>
      <c r="J2999" s="15" t="s">
        <v>24</v>
      </c>
      <c r="K2999" s="15"/>
      <c r="L2999" s="21" t="s">
        <v>16</v>
      </c>
      <c r="M2999" s="22">
        <v>0</v>
      </c>
      <c r="N2999" s="22">
        <v>0</v>
      </c>
      <c r="O2999" s="22">
        <v>7200</v>
      </c>
      <c r="P2999" s="22">
        <v>7200</v>
      </c>
      <c r="Q2999" t="str" cm="1">
        <f t="array" ref="Q2999">_xlfn.TEXTJOIN("、",TRUE,IF('學員資料-三民高中'!$B$2:$B$454=$F2999,'學員資料-三民高中'!$G$2:$G$454,""))</f>
        <v/>
      </c>
      <c r="R2999" t="str" cm="1">
        <f t="array" ref="R2999">_xlfn.TEXTJOIN("、",TRUE,IF('學員資料-新北高中'!$B$2:$B$583=$F2999,'學員資料-新北高中'!$G$2:$G$583,""))</f>
        <v/>
      </c>
      <c r="S2999" t="str" cm="1">
        <f t="array" ref="S2999">_xlfn.TEXTJOIN("、",TRUE,IF('學員資料-三重商工'!$B$2:$B$472=$F2999,'學員資料-三重商工'!$G$2:$G$472,""))</f>
        <v>0928256839</v>
      </c>
      <c r="T2999">
        <f t="shared" si="46"/>
        <v>1</v>
      </c>
    </row>
    <row r="3000" spans="1:20" ht="14.25" hidden="1" customHeight="1">
      <c r="A3000" s="15">
        <v>2999</v>
      </c>
      <c r="B3000" s="16" t="s">
        <v>9113</v>
      </c>
      <c r="C3000" s="17">
        <v>45507</v>
      </c>
      <c r="D3000" s="15" t="s">
        <v>9114</v>
      </c>
      <c r="E3000" s="18" t="s">
        <v>954</v>
      </c>
      <c r="F3000" s="19" t="s">
        <v>5037</v>
      </c>
      <c r="G3000" s="18" t="s">
        <v>5038</v>
      </c>
      <c r="H3000" s="20" t="s">
        <v>5131</v>
      </c>
      <c r="I3000" s="15">
        <v>1</v>
      </c>
      <c r="J3000" s="15" t="s">
        <v>24</v>
      </c>
      <c r="K3000" s="15"/>
      <c r="L3000" s="21" t="s">
        <v>16</v>
      </c>
      <c r="M3000" s="22">
        <v>0</v>
      </c>
      <c r="N3000" s="22">
        <v>0</v>
      </c>
      <c r="O3000" s="22">
        <v>7200</v>
      </c>
      <c r="P3000" s="22">
        <v>7200</v>
      </c>
      <c r="Q3000" t="str" cm="1">
        <f t="array" ref="Q3000">_xlfn.TEXTJOIN("、",TRUE,IF('學員資料-三民高中'!$B$2:$B$454=$F3000,'學員資料-三民高中'!$G$2:$G$454,""))</f>
        <v/>
      </c>
      <c r="R3000" t="str" cm="1">
        <f t="array" ref="R3000">_xlfn.TEXTJOIN("、",TRUE,IF('學員資料-新北高中'!$B$2:$B$583=$F3000,'學員資料-新北高中'!$G$2:$G$583,""))</f>
        <v>0910369779</v>
      </c>
      <c r="S3000" t="str" cm="1">
        <f t="array" ref="S3000">_xlfn.TEXTJOIN("、",TRUE,IF('學員資料-三重商工'!$B$2:$B$472=$F3000,'學員資料-三重商工'!$G$2:$G$472,""))</f>
        <v/>
      </c>
      <c r="T3000">
        <f t="shared" si="46"/>
        <v>1</v>
      </c>
    </row>
    <row r="3001" spans="1:20" ht="14.25" hidden="1" customHeight="1">
      <c r="A3001" s="15">
        <v>3000</v>
      </c>
      <c r="B3001" s="16" t="s">
        <v>9115</v>
      </c>
      <c r="C3001" s="17">
        <v>45507</v>
      </c>
      <c r="D3001" s="15" t="s">
        <v>9116</v>
      </c>
      <c r="E3001" s="18" t="s">
        <v>954</v>
      </c>
      <c r="F3001" s="19" t="s">
        <v>6541</v>
      </c>
      <c r="G3001" s="18" t="s">
        <v>6542</v>
      </c>
      <c r="H3001" s="20" t="s">
        <v>5163</v>
      </c>
      <c r="I3001" s="15">
        <v>1</v>
      </c>
      <c r="J3001" s="15" t="s">
        <v>23</v>
      </c>
      <c r="K3001" s="15"/>
      <c r="L3001" s="21" t="s">
        <v>16</v>
      </c>
      <c r="M3001" s="22">
        <v>0</v>
      </c>
      <c r="N3001" s="22">
        <v>0</v>
      </c>
      <c r="O3001" s="22">
        <v>6600</v>
      </c>
      <c r="P3001" s="22">
        <v>6600</v>
      </c>
      <c r="Q3001" t="str" cm="1">
        <f t="array" ref="Q3001">_xlfn.TEXTJOIN("、",TRUE,IF('學員資料-三民高中'!$B$2:$B$454=$F3001,'學員資料-三民高中'!$G$2:$G$454,""))</f>
        <v/>
      </c>
      <c r="R3001" t="str" cm="1">
        <f t="array" ref="R3001">_xlfn.TEXTJOIN("、",TRUE,IF('學員資料-新北高中'!$B$2:$B$583=$F3001,'學員資料-新北高中'!$G$2:$G$583,""))</f>
        <v/>
      </c>
      <c r="S3001" t="str" cm="1">
        <f t="array" ref="S3001">_xlfn.TEXTJOIN("、",TRUE,IF('學員資料-三重商工'!$B$2:$B$472=$F3001,'學員資料-三重商工'!$G$2:$G$472,""))</f>
        <v>0916685359</v>
      </c>
      <c r="T3001">
        <f t="shared" si="46"/>
        <v>1</v>
      </c>
    </row>
    <row r="3002" spans="1:20" ht="14.25" hidden="1" customHeight="1">
      <c r="A3002" s="15">
        <v>3001</v>
      </c>
      <c r="B3002" s="16" t="s">
        <v>9117</v>
      </c>
      <c r="C3002" s="17">
        <v>45507</v>
      </c>
      <c r="D3002" s="15" t="s">
        <v>9118</v>
      </c>
      <c r="E3002" s="18" t="s">
        <v>954</v>
      </c>
      <c r="F3002" s="19" t="s">
        <v>8929</v>
      </c>
      <c r="G3002" s="18" t="s">
        <v>8930</v>
      </c>
      <c r="H3002" s="20" t="s">
        <v>5361</v>
      </c>
      <c r="I3002" s="15">
        <v>1</v>
      </c>
      <c r="J3002" s="15" t="s">
        <v>23</v>
      </c>
      <c r="K3002" s="21" t="s">
        <v>116</v>
      </c>
      <c r="L3002" s="21" t="s">
        <v>16</v>
      </c>
      <c r="M3002" s="22">
        <v>0</v>
      </c>
      <c r="N3002" s="22">
        <v>0</v>
      </c>
      <c r="O3002" s="22">
        <v>1100</v>
      </c>
      <c r="P3002" s="22">
        <v>1100</v>
      </c>
      <c r="Q3002" t="str" cm="1">
        <f t="array" ref="Q3002">_xlfn.TEXTJOIN("、",TRUE,IF('學員資料-三民高中'!$B$2:$B$454=$F3002,'學員資料-三民高中'!$G$2:$G$454,""))</f>
        <v/>
      </c>
      <c r="R3002" t="str" cm="1">
        <f t="array" ref="R3002">_xlfn.TEXTJOIN("、",TRUE,IF('學員資料-新北高中'!$B$2:$B$583=$F3002,'學員資料-新北高中'!$G$2:$G$583,""))</f>
        <v>0972912533</v>
      </c>
      <c r="S3002" t="str" cm="1">
        <f t="array" ref="S3002">_xlfn.TEXTJOIN("、",TRUE,IF('學員資料-三重商工'!$B$2:$B$472=$F3002,'學員資料-三重商工'!$G$2:$G$472,""))</f>
        <v/>
      </c>
      <c r="T3002">
        <f t="shared" si="46"/>
        <v>1</v>
      </c>
    </row>
    <row r="3003" spans="1:20" ht="14.25" hidden="1" customHeight="1">
      <c r="A3003" s="15">
        <v>3002</v>
      </c>
      <c r="B3003" s="16" t="s">
        <v>9119</v>
      </c>
      <c r="C3003" s="17">
        <v>45506</v>
      </c>
      <c r="D3003" s="15" t="s">
        <v>9120</v>
      </c>
      <c r="E3003" s="18" t="s">
        <v>954</v>
      </c>
      <c r="F3003" s="19" t="s">
        <v>6719</v>
      </c>
      <c r="G3003" s="18" t="s">
        <v>6720</v>
      </c>
      <c r="H3003" s="20" t="s">
        <v>5246</v>
      </c>
      <c r="I3003" s="15">
        <v>1</v>
      </c>
      <c r="J3003" s="15" t="s">
        <v>23</v>
      </c>
      <c r="K3003" s="15"/>
      <c r="L3003" s="21" t="s">
        <v>16</v>
      </c>
      <c r="M3003" s="22">
        <v>0</v>
      </c>
      <c r="N3003" s="22">
        <v>0</v>
      </c>
      <c r="O3003" s="22">
        <v>7200</v>
      </c>
      <c r="P3003" s="22">
        <v>7200</v>
      </c>
      <c r="Q3003" t="str" cm="1">
        <f t="array" ref="Q3003">_xlfn.TEXTJOIN("、",TRUE,IF('學員資料-三民高中'!$B$2:$B$454=$F3003,'學員資料-三民高中'!$G$2:$G$454,""))</f>
        <v/>
      </c>
      <c r="R3003" t="str" cm="1">
        <f t="array" ref="R3003">_xlfn.TEXTJOIN("、",TRUE,IF('學員資料-新北高中'!$B$2:$B$583=$F3003,'學員資料-新北高中'!$G$2:$G$583,""))</f>
        <v/>
      </c>
      <c r="S3003" t="str" cm="1">
        <f t="array" ref="S3003">_xlfn.TEXTJOIN("、",TRUE,IF('學員資料-三重商工'!$B$2:$B$472=$F3003,'學員資料-三重商工'!$G$2:$G$472,""))</f>
        <v>0936286198</v>
      </c>
      <c r="T3003">
        <f t="shared" si="46"/>
        <v>1</v>
      </c>
    </row>
    <row r="3004" spans="1:20" ht="14.25" hidden="1" customHeight="1">
      <c r="A3004" s="15">
        <v>3003</v>
      </c>
      <c r="B3004" s="16" t="s">
        <v>9121</v>
      </c>
      <c r="C3004" s="17">
        <v>45506</v>
      </c>
      <c r="D3004" s="15" t="s">
        <v>9122</v>
      </c>
      <c r="E3004" s="18" t="s">
        <v>954</v>
      </c>
      <c r="F3004" s="19" t="s">
        <v>7996</v>
      </c>
      <c r="G3004" s="18" t="s">
        <v>7997</v>
      </c>
      <c r="H3004" s="20" t="s">
        <v>5246</v>
      </c>
      <c r="I3004" s="15">
        <v>1</v>
      </c>
      <c r="J3004" s="15" t="s">
        <v>23</v>
      </c>
      <c r="K3004" s="15"/>
      <c r="L3004" s="21" t="s">
        <v>16</v>
      </c>
      <c r="M3004" s="22">
        <v>0</v>
      </c>
      <c r="N3004" s="22">
        <v>0</v>
      </c>
      <c r="O3004" s="22">
        <v>7200</v>
      </c>
      <c r="P3004" s="22">
        <v>7200</v>
      </c>
      <c r="Q3004" t="str" cm="1">
        <f t="array" ref="Q3004">_xlfn.TEXTJOIN("、",TRUE,IF('學員資料-三民高中'!$B$2:$B$454=$F3004,'學員資料-三民高中'!$G$2:$G$454,""))</f>
        <v/>
      </c>
      <c r="R3004" t="str" cm="1">
        <f t="array" ref="R3004">_xlfn.TEXTJOIN("、",TRUE,IF('學員資料-新北高中'!$B$2:$B$583=$F3004,'學員資料-新北高中'!$G$2:$G$583,""))</f>
        <v/>
      </c>
      <c r="S3004" t="str" cm="1">
        <f t="array" ref="S3004">_xlfn.TEXTJOIN("、",TRUE,IF('學員資料-三重商工'!$B$2:$B$472=$F3004,'學員資料-三重商工'!$G$2:$G$472,""))</f>
        <v>0952286955</v>
      </c>
      <c r="T3004">
        <f t="shared" si="46"/>
        <v>1</v>
      </c>
    </row>
    <row r="3005" spans="1:20" ht="14.25" hidden="1" customHeight="1">
      <c r="A3005" s="15">
        <v>3004</v>
      </c>
      <c r="B3005" s="16" t="s">
        <v>9123</v>
      </c>
      <c r="C3005" s="17">
        <v>45506</v>
      </c>
      <c r="D3005" s="15" t="s">
        <v>9124</v>
      </c>
      <c r="E3005" s="18" t="s">
        <v>954</v>
      </c>
      <c r="F3005" s="19" t="s">
        <v>9125</v>
      </c>
      <c r="G3005" s="18" t="s">
        <v>9126</v>
      </c>
      <c r="H3005" s="20" t="s">
        <v>5180</v>
      </c>
      <c r="I3005" s="15">
        <v>1</v>
      </c>
      <c r="J3005" s="15" t="s">
        <v>24</v>
      </c>
      <c r="K3005" s="15"/>
      <c r="L3005" s="21" t="s">
        <v>16</v>
      </c>
      <c r="M3005" s="22">
        <v>0</v>
      </c>
      <c r="N3005" s="22">
        <v>-3456</v>
      </c>
      <c r="O3005" s="22">
        <v>5184</v>
      </c>
      <c r="P3005" s="22">
        <v>5184</v>
      </c>
      <c r="Q3005" t="str" cm="1">
        <f t="array" ref="Q3005">_xlfn.TEXTJOIN("、",TRUE,IF('學員資料-三民高中'!$B$2:$B$454=$F3005,'學員資料-三民高中'!$G$2:$G$454,""))</f>
        <v/>
      </c>
      <c r="R3005" t="str" cm="1">
        <f t="array" ref="R3005">_xlfn.TEXTJOIN("、",TRUE,IF('學員資料-新北高中'!$B$2:$B$583=$F3005,'學員資料-新北高中'!$G$2:$G$583,""))</f>
        <v/>
      </c>
      <c r="S3005" t="str" cm="1">
        <f t="array" ref="S3005">_xlfn.TEXTJOIN("、",TRUE,IF('學員資料-三重商工'!$B$2:$B$472=$F3005,'學員資料-三重商工'!$G$2:$G$472,""))</f>
        <v>0968383395</v>
      </c>
      <c r="T3005">
        <f t="shared" si="46"/>
        <v>1</v>
      </c>
    </row>
    <row r="3006" spans="1:20" ht="14.25" hidden="1" customHeight="1">
      <c r="A3006" s="15">
        <v>3005</v>
      </c>
      <c r="B3006" s="16" t="s">
        <v>9127</v>
      </c>
      <c r="C3006" s="17">
        <v>45506</v>
      </c>
      <c r="D3006" s="15" t="s">
        <v>9128</v>
      </c>
      <c r="E3006" s="18" t="s">
        <v>954</v>
      </c>
      <c r="F3006" s="19" t="s">
        <v>5072</v>
      </c>
      <c r="G3006" s="18" t="s">
        <v>5073</v>
      </c>
      <c r="H3006" s="20" t="s">
        <v>5148</v>
      </c>
      <c r="I3006" s="15">
        <v>1</v>
      </c>
      <c r="J3006" s="15" t="s">
        <v>25</v>
      </c>
      <c r="K3006" s="15"/>
      <c r="L3006" s="21" t="s">
        <v>16</v>
      </c>
      <c r="M3006" s="22">
        <v>0</v>
      </c>
      <c r="N3006" s="22">
        <v>0</v>
      </c>
      <c r="O3006" s="22">
        <v>9000</v>
      </c>
      <c r="P3006" s="22">
        <v>9000</v>
      </c>
      <c r="Q3006" t="str" cm="1">
        <f t="array" ref="Q3006">_xlfn.TEXTJOIN("、",TRUE,IF('學員資料-三民高中'!$B$2:$B$454=$F3006,'學員資料-三民高中'!$G$2:$G$454,""))</f>
        <v>0939237152</v>
      </c>
      <c r="R3006" t="str" cm="1">
        <f t="array" ref="R3006">_xlfn.TEXTJOIN("、",TRUE,IF('學員資料-新北高中'!$B$2:$B$583=$F3006,'學員資料-新北高中'!$G$2:$G$583,""))</f>
        <v/>
      </c>
      <c r="S3006" t="str" cm="1">
        <f t="array" ref="S3006">_xlfn.TEXTJOIN("、",TRUE,IF('學員資料-三重商工'!$B$2:$B$472=$F3006,'學員資料-三重商工'!$G$2:$G$472,""))</f>
        <v/>
      </c>
      <c r="T3006">
        <f t="shared" si="46"/>
        <v>1</v>
      </c>
    </row>
    <row r="3007" spans="1:20" ht="14.25" hidden="1" customHeight="1">
      <c r="A3007" s="15">
        <v>3006</v>
      </c>
      <c r="B3007" s="16" t="s">
        <v>9129</v>
      </c>
      <c r="C3007" s="17">
        <v>45506</v>
      </c>
      <c r="D3007" s="15" t="s">
        <v>9130</v>
      </c>
      <c r="E3007" s="18" t="s">
        <v>954</v>
      </c>
      <c r="F3007" s="19" t="s">
        <v>9131</v>
      </c>
      <c r="G3007" s="18" t="s">
        <v>9132</v>
      </c>
      <c r="H3007" s="20" t="s">
        <v>5148</v>
      </c>
      <c r="I3007" s="15">
        <v>1</v>
      </c>
      <c r="J3007" s="15" t="s">
        <v>25</v>
      </c>
      <c r="K3007" s="15"/>
      <c r="L3007" s="21" t="s">
        <v>16</v>
      </c>
      <c r="M3007" s="22">
        <v>0</v>
      </c>
      <c r="N3007" s="22">
        <v>0</v>
      </c>
      <c r="O3007" s="22">
        <v>9000</v>
      </c>
      <c r="P3007" s="22">
        <v>9000</v>
      </c>
      <c r="Q3007" t="str" cm="1">
        <f t="array" ref="Q3007">_xlfn.TEXTJOIN("、",TRUE,IF('學員資料-三民高中'!$B$2:$B$454=$F3007,'學員資料-三民高中'!$G$2:$G$454,""))</f>
        <v/>
      </c>
      <c r="R3007" t="str" cm="1">
        <f t="array" ref="R3007">_xlfn.TEXTJOIN("、",TRUE,IF('學員資料-新北高中'!$B$2:$B$583=$F3007,'學員資料-新北高中'!$G$2:$G$583,""))</f>
        <v>0986119202</v>
      </c>
      <c r="S3007" t="str" cm="1">
        <f t="array" ref="S3007">_xlfn.TEXTJOIN("、",TRUE,IF('學員資料-三重商工'!$B$2:$B$472=$F3007,'學員資料-三重商工'!$G$2:$G$472,""))</f>
        <v/>
      </c>
      <c r="T3007">
        <f t="shared" si="46"/>
        <v>1</v>
      </c>
    </row>
    <row r="3008" spans="1:20" ht="14.25" hidden="1" customHeight="1">
      <c r="A3008" s="15">
        <v>3007</v>
      </c>
      <c r="B3008" s="16" t="s">
        <v>9133</v>
      </c>
      <c r="C3008" s="17">
        <v>45506</v>
      </c>
      <c r="D3008" s="15" t="s">
        <v>9134</v>
      </c>
      <c r="E3008" s="18" t="s">
        <v>954</v>
      </c>
      <c r="F3008" s="19" t="s">
        <v>7705</v>
      </c>
      <c r="G3008" s="18" t="s">
        <v>7706</v>
      </c>
      <c r="H3008" s="20" t="s">
        <v>5163</v>
      </c>
      <c r="I3008" s="15">
        <v>1</v>
      </c>
      <c r="J3008" s="15" t="s">
        <v>23</v>
      </c>
      <c r="K3008" s="15"/>
      <c r="L3008" s="21" t="s">
        <v>16</v>
      </c>
      <c r="M3008" s="22">
        <v>0</v>
      </c>
      <c r="N3008" s="22">
        <v>0</v>
      </c>
      <c r="O3008" s="22">
        <v>6600</v>
      </c>
      <c r="P3008" s="22">
        <v>6600</v>
      </c>
      <c r="Q3008" t="str" cm="1">
        <f t="array" ref="Q3008">_xlfn.TEXTJOIN("、",TRUE,IF('學員資料-三民高中'!$B$2:$B$454=$F3008,'學員資料-三民高中'!$G$2:$G$454,""))</f>
        <v>0939392246</v>
      </c>
      <c r="R3008" t="str" cm="1">
        <f t="array" ref="R3008">_xlfn.TEXTJOIN("、",TRUE,IF('學員資料-新北高中'!$B$2:$B$583=$F3008,'學員資料-新北高中'!$G$2:$G$583,""))</f>
        <v/>
      </c>
      <c r="S3008" t="str" cm="1">
        <f t="array" ref="S3008">_xlfn.TEXTJOIN("、",TRUE,IF('學員資料-三重商工'!$B$2:$B$472=$F3008,'學員資料-三重商工'!$G$2:$G$472,""))</f>
        <v/>
      </c>
      <c r="T3008">
        <f t="shared" si="46"/>
        <v>1</v>
      </c>
    </row>
    <row r="3009" spans="1:20" ht="14.25" hidden="1" customHeight="1">
      <c r="A3009" s="15">
        <v>3008</v>
      </c>
      <c r="B3009" s="16" t="s">
        <v>9135</v>
      </c>
      <c r="C3009" s="17">
        <v>45506</v>
      </c>
      <c r="D3009" s="15" t="s">
        <v>9136</v>
      </c>
      <c r="E3009" s="18" t="s">
        <v>954</v>
      </c>
      <c r="F3009" s="19" t="s">
        <v>4733</v>
      </c>
      <c r="G3009" s="18" t="s">
        <v>4734</v>
      </c>
      <c r="H3009" s="20" t="s">
        <v>5163</v>
      </c>
      <c r="I3009" s="15">
        <v>1</v>
      </c>
      <c r="J3009" s="15" t="s">
        <v>23</v>
      </c>
      <c r="K3009" s="15"/>
      <c r="L3009" s="21" t="s">
        <v>16</v>
      </c>
      <c r="M3009" s="22">
        <v>0</v>
      </c>
      <c r="N3009" s="22">
        <v>0</v>
      </c>
      <c r="O3009" s="22">
        <v>6600</v>
      </c>
      <c r="P3009" s="22">
        <v>6600</v>
      </c>
      <c r="Q3009" t="str" cm="1">
        <f t="array" ref="Q3009">_xlfn.TEXTJOIN("、",TRUE,IF('學員資料-三民高中'!$B$2:$B$454=$F3009,'學員資料-三民高中'!$G$2:$G$454,""))</f>
        <v/>
      </c>
      <c r="R3009" t="str" cm="1">
        <f t="array" ref="R3009">_xlfn.TEXTJOIN("、",TRUE,IF('學員資料-新北高中'!$B$2:$B$583=$F3009,'學員資料-新北高中'!$G$2:$G$583,""))</f>
        <v/>
      </c>
      <c r="S3009" t="str" cm="1">
        <f t="array" ref="S3009">_xlfn.TEXTJOIN("、",TRUE,IF('學員資料-三重商工'!$B$2:$B$472=$F3009,'學員資料-三重商工'!$G$2:$G$472,""))</f>
        <v>0911685342</v>
      </c>
      <c r="T3009">
        <f t="shared" si="46"/>
        <v>1</v>
      </c>
    </row>
    <row r="3010" spans="1:20" ht="14.25" hidden="1" customHeight="1">
      <c r="A3010" s="15">
        <v>3009</v>
      </c>
      <c r="B3010" s="16" t="s">
        <v>9137</v>
      </c>
      <c r="C3010" s="17">
        <v>45506</v>
      </c>
      <c r="D3010" s="15" t="s">
        <v>9138</v>
      </c>
      <c r="E3010" s="18" t="s">
        <v>954</v>
      </c>
      <c r="F3010" s="19" t="s">
        <v>3365</v>
      </c>
      <c r="G3010" s="18" t="s">
        <v>3366</v>
      </c>
      <c r="H3010" s="20" t="s">
        <v>5148</v>
      </c>
      <c r="I3010" s="15">
        <v>1</v>
      </c>
      <c r="J3010" s="15" t="s">
        <v>25</v>
      </c>
      <c r="K3010" s="15"/>
      <c r="L3010" s="21" t="s">
        <v>16</v>
      </c>
      <c r="M3010" s="22">
        <v>0</v>
      </c>
      <c r="N3010" s="22">
        <v>0</v>
      </c>
      <c r="O3010" s="22">
        <v>9000</v>
      </c>
      <c r="P3010" s="22">
        <v>9000</v>
      </c>
      <c r="Q3010" t="str" cm="1">
        <f t="array" ref="Q3010">_xlfn.TEXTJOIN("、",TRUE,IF('學員資料-三民高中'!$B$2:$B$454=$F3010,'學員資料-三民高中'!$G$2:$G$454,""))</f>
        <v/>
      </c>
      <c r="R3010" t="str" cm="1">
        <f t="array" ref="R3010">_xlfn.TEXTJOIN("、",TRUE,IF('學員資料-新北高中'!$B$2:$B$583=$F3010,'學員資料-新北高中'!$G$2:$G$583,""))</f>
        <v/>
      </c>
      <c r="S3010" t="str" cm="1">
        <f t="array" ref="S3010">_xlfn.TEXTJOIN("、",TRUE,IF('學員資料-三重商工'!$B$2:$B$472=$F3010,'學員資料-三重商工'!$G$2:$G$472,""))</f>
        <v>0952663043-1</v>
      </c>
      <c r="T3010">
        <f t="shared" si="46"/>
        <v>1</v>
      </c>
    </row>
    <row r="3011" spans="1:20" ht="14.25" hidden="1" customHeight="1">
      <c r="A3011" s="15">
        <v>3010</v>
      </c>
      <c r="B3011" s="16" t="s">
        <v>9139</v>
      </c>
      <c r="C3011" s="17">
        <v>45506</v>
      </c>
      <c r="D3011" s="15" t="s">
        <v>9140</v>
      </c>
      <c r="E3011" s="18" t="s">
        <v>3862</v>
      </c>
      <c r="F3011" s="19" t="s">
        <v>3424</v>
      </c>
      <c r="G3011" s="18" t="s">
        <v>3425</v>
      </c>
      <c r="H3011" s="20" t="s">
        <v>5163</v>
      </c>
      <c r="I3011" s="15">
        <v>1</v>
      </c>
      <c r="J3011" s="15" t="s">
        <v>23</v>
      </c>
      <c r="K3011" s="15"/>
      <c r="L3011" s="21" t="s">
        <v>16</v>
      </c>
      <c r="M3011" s="22">
        <v>0</v>
      </c>
      <c r="N3011" s="22">
        <v>-2640</v>
      </c>
      <c r="O3011" s="22">
        <v>3960</v>
      </c>
      <c r="P3011" s="22">
        <v>3960</v>
      </c>
      <c r="Q3011" t="str" cm="1">
        <f t="array" ref="Q3011">_xlfn.TEXTJOIN("、",TRUE,IF('學員資料-三民高中'!$B$2:$B$454=$F3011,'學員資料-三民高中'!$G$2:$G$454,""))</f>
        <v/>
      </c>
      <c r="R3011" t="str" cm="1">
        <f t="array" ref="R3011">_xlfn.TEXTJOIN("、",TRUE,IF('學員資料-新北高中'!$B$2:$B$583=$F3011,'學員資料-新北高中'!$G$2:$G$583,""))</f>
        <v/>
      </c>
      <c r="S3011" t="str" cm="1">
        <f t="array" ref="S3011">_xlfn.TEXTJOIN("、",TRUE,IF('學員資料-三重商工'!$B$2:$B$472=$F3011,'學員資料-三重商工'!$G$2:$G$472,""))</f>
        <v>0926238656-1</v>
      </c>
      <c r="T3011">
        <f t="shared" ref="T3011:T3020" si="47">3-COUNTBLANK(Q3011:S3011)</f>
        <v>1</v>
      </c>
    </row>
    <row r="3012" spans="1:20" ht="14.25" hidden="1" customHeight="1">
      <c r="A3012" s="15">
        <v>3011</v>
      </c>
      <c r="B3012" s="16" t="s">
        <v>9141</v>
      </c>
      <c r="C3012" s="17">
        <v>45506</v>
      </c>
      <c r="D3012" s="15" t="s">
        <v>9142</v>
      </c>
      <c r="E3012" s="18" t="s">
        <v>954</v>
      </c>
      <c r="F3012" s="19" t="s">
        <v>1516</v>
      </c>
      <c r="G3012" s="18" t="s">
        <v>1517</v>
      </c>
      <c r="H3012" s="20" t="s">
        <v>5131</v>
      </c>
      <c r="I3012" s="15">
        <v>1</v>
      </c>
      <c r="J3012" s="15" t="s">
        <v>24</v>
      </c>
      <c r="K3012" s="15"/>
      <c r="L3012" s="21" t="s">
        <v>16</v>
      </c>
      <c r="M3012" s="22">
        <v>0</v>
      </c>
      <c r="N3012" s="22">
        <v>0</v>
      </c>
      <c r="O3012" s="22">
        <v>7200</v>
      </c>
      <c r="P3012" s="22">
        <v>7200</v>
      </c>
      <c r="Q3012" t="str" cm="1">
        <f t="array" ref="Q3012">_xlfn.TEXTJOIN("、",TRUE,IF('學員資料-三民高中'!$B$2:$B$454=$F3012,'學員資料-三民高中'!$G$2:$G$454,""))</f>
        <v/>
      </c>
      <c r="R3012" t="str" cm="1">
        <f t="array" ref="R3012">_xlfn.TEXTJOIN("、",TRUE,IF('學員資料-新北高中'!$B$2:$B$583=$F3012,'學員資料-新北高中'!$G$2:$G$583,""))</f>
        <v/>
      </c>
      <c r="S3012" t="str" cm="1">
        <f t="array" ref="S3012">_xlfn.TEXTJOIN("、",TRUE,IF('學員資料-三重商工'!$B$2:$B$472=$F3012,'學員資料-三重商工'!$G$2:$G$472,""))</f>
        <v>0933701726</v>
      </c>
      <c r="T3012">
        <f t="shared" si="47"/>
        <v>1</v>
      </c>
    </row>
    <row r="3013" spans="1:20" ht="14.25" hidden="1" customHeight="1">
      <c r="A3013" s="15">
        <v>3012</v>
      </c>
      <c r="B3013" s="16" t="s">
        <v>9143</v>
      </c>
      <c r="C3013" s="17">
        <v>45506</v>
      </c>
      <c r="D3013" s="15" t="s">
        <v>9144</v>
      </c>
      <c r="E3013" s="18" t="s">
        <v>954</v>
      </c>
      <c r="F3013" s="19" t="s">
        <v>4360</v>
      </c>
      <c r="G3013" s="18" t="s">
        <v>4361</v>
      </c>
      <c r="H3013" s="20" t="s">
        <v>5246</v>
      </c>
      <c r="I3013" s="15">
        <v>1</v>
      </c>
      <c r="J3013" s="15" t="s">
        <v>23</v>
      </c>
      <c r="K3013" s="15"/>
      <c r="L3013" s="21" t="s">
        <v>16</v>
      </c>
      <c r="M3013" s="22">
        <v>0</v>
      </c>
      <c r="N3013" s="22">
        <v>0</v>
      </c>
      <c r="O3013" s="22">
        <v>7200</v>
      </c>
      <c r="P3013" s="22">
        <v>7200</v>
      </c>
      <c r="Q3013" t="str" cm="1">
        <f t="array" ref="Q3013">_xlfn.TEXTJOIN("、",TRUE,IF('學員資料-三民高中'!$B$2:$B$454=$F3013,'學員資料-三民高中'!$G$2:$G$454,""))</f>
        <v/>
      </c>
      <c r="R3013" t="str" cm="1">
        <f t="array" ref="R3013">_xlfn.TEXTJOIN("、",TRUE,IF('學員資料-新北高中'!$B$2:$B$583=$F3013,'學員資料-新北高中'!$G$2:$G$583,""))</f>
        <v/>
      </c>
      <c r="S3013" t="str" cm="1">
        <f t="array" ref="S3013">_xlfn.TEXTJOIN("、",TRUE,IF('學員資料-三重商工'!$B$2:$B$472=$F3013,'學員資料-三重商工'!$G$2:$G$472,""))</f>
        <v>0903170826</v>
      </c>
      <c r="T3013">
        <f t="shared" si="47"/>
        <v>1</v>
      </c>
    </row>
    <row r="3014" spans="1:20" ht="14.25" hidden="1" customHeight="1">
      <c r="A3014" s="15">
        <v>3013</v>
      </c>
      <c r="B3014" s="16" t="s">
        <v>9145</v>
      </c>
      <c r="C3014" s="17">
        <v>45506</v>
      </c>
      <c r="D3014" s="15" t="s">
        <v>9146</v>
      </c>
      <c r="E3014" s="18" t="s">
        <v>954</v>
      </c>
      <c r="F3014" s="19" t="s">
        <v>4360</v>
      </c>
      <c r="G3014" s="18" t="s">
        <v>4361</v>
      </c>
      <c r="H3014" s="20" t="s">
        <v>5246</v>
      </c>
      <c r="I3014" s="15">
        <v>1</v>
      </c>
      <c r="J3014" s="15" t="s">
        <v>23</v>
      </c>
      <c r="K3014" s="15"/>
      <c r="L3014" s="21" t="s">
        <v>16</v>
      </c>
      <c r="M3014" s="22">
        <v>0</v>
      </c>
      <c r="N3014" s="22">
        <v>0</v>
      </c>
      <c r="O3014" s="22">
        <v>7200</v>
      </c>
      <c r="P3014" s="22">
        <v>7200</v>
      </c>
      <c r="Q3014" t="str" cm="1">
        <f t="array" ref="Q3014">_xlfn.TEXTJOIN("、",TRUE,IF('學員資料-三民高中'!$B$2:$B$454=$F3014,'學員資料-三民高中'!$G$2:$G$454,""))</f>
        <v/>
      </c>
      <c r="R3014" t="str" cm="1">
        <f t="array" ref="R3014">_xlfn.TEXTJOIN("、",TRUE,IF('學員資料-新北高中'!$B$2:$B$583=$F3014,'學員資料-新北高中'!$G$2:$G$583,""))</f>
        <v/>
      </c>
      <c r="S3014" t="str" cm="1">
        <f t="array" ref="S3014">_xlfn.TEXTJOIN("、",TRUE,IF('學員資料-三重商工'!$B$2:$B$472=$F3014,'學員資料-三重商工'!$G$2:$G$472,""))</f>
        <v>0903170826</v>
      </c>
      <c r="T3014">
        <f t="shared" si="47"/>
        <v>1</v>
      </c>
    </row>
    <row r="3015" spans="1:20" ht="14.25" hidden="1" customHeight="1">
      <c r="A3015" s="15">
        <v>3014</v>
      </c>
      <c r="B3015" s="16" t="s">
        <v>9147</v>
      </c>
      <c r="C3015" s="17">
        <v>45506</v>
      </c>
      <c r="D3015" s="15" t="s">
        <v>9148</v>
      </c>
      <c r="E3015" s="18" t="s">
        <v>954</v>
      </c>
      <c r="F3015" s="19" t="s">
        <v>9149</v>
      </c>
      <c r="G3015" s="18" t="s">
        <v>9150</v>
      </c>
      <c r="H3015" s="20" t="s">
        <v>5148</v>
      </c>
      <c r="I3015" s="15">
        <v>1</v>
      </c>
      <c r="J3015" s="15" t="s">
        <v>25</v>
      </c>
      <c r="K3015" s="15"/>
      <c r="L3015" s="21" t="s">
        <v>16</v>
      </c>
      <c r="M3015" s="22">
        <v>0</v>
      </c>
      <c r="N3015" s="22">
        <v>0</v>
      </c>
      <c r="O3015" s="22">
        <v>9000</v>
      </c>
      <c r="P3015" s="22">
        <v>9000</v>
      </c>
      <c r="Q3015" t="str" cm="1">
        <f t="array" ref="Q3015">_xlfn.TEXTJOIN("、",TRUE,IF('學員資料-三民高中'!$B$2:$B$454=$F3015,'學員資料-三民高中'!$G$2:$G$454,""))</f>
        <v>0912291940</v>
      </c>
      <c r="R3015" t="str" cm="1">
        <f t="array" ref="R3015">_xlfn.TEXTJOIN("、",TRUE,IF('學員資料-新北高中'!$B$2:$B$583=$F3015,'學員資料-新北高中'!$G$2:$G$583,""))</f>
        <v/>
      </c>
      <c r="S3015" t="str" cm="1">
        <f t="array" ref="S3015">_xlfn.TEXTJOIN("、",TRUE,IF('學員資料-三重商工'!$B$2:$B$472=$F3015,'學員資料-三重商工'!$G$2:$G$472,""))</f>
        <v/>
      </c>
      <c r="T3015">
        <f t="shared" si="47"/>
        <v>1</v>
      </c>
    </row>
    <row r="3016" spans="1:20" ht="14.25" hidden="1" customHeight="1">
      <c r="A3016" s="15">
        <v>3015</v>
      </c>
      <c r="B3016" s="16" t="s">
        <v>9151</v>
      </c>
      <c r="C3016" s="17">
        <v>45505</v>
      </c>
      <c r="D3016" s="15" t="s">
        <v>9152</v>
      </c>
      <c r="E3016" s="18" t="s">
        <v>954</v>
      </c>
      <c r="F3016" s="19" t="s">
        <v>846</v>
      </c>
      <c r="G3016" s="18" t="s">
        <v>847</v>
      </c>
      <c r="H3016" s="20" t="s">
        <v>8470</v>
      </c>
      <c r="I3016" s="15">
        <v>1</v>
      </c>
      <c r="J3016" s="15" t="s">
        <v>26</v>
      </c>
      <c r="K3016" s="15"/>
      <c r="L3016" s="21" t="s">
        <v>16</v>
      </c>
      <c r="M3016" s="22">
        <v>0</v>
      </c>
      <c r="N3016" s="22">
        <v>0</v>
      </c>
      <c r="O3016" s="22">
        <v>12960</v>
      </c>
      <c r="P3016" s="22">
        <v>12960</v>
      </c>
      <c r="Q3016" t="str" cm="1">
        <f t="array" ref="Q3016">_xlfn.TEXTJOIN("、",TRUE,IF('學員資料-三民高中'!$B$2:$B$454=$F3016,'學員資料-三民高中'!$G$2:$G$454,""))</f>
        <v/>
      </c>
      <c r="R3016" t="str" cm="1">
        <f t="array" ref="R3016">_xlfn.TEXTJOIN("、",TRUE,IF('學員資料-新北高中'!$B$2:$B$583=$F3016,'學員資料-新北高中'!$G$2:$G$583,""))</f>
        <v/>
      </c>
      <c r="S3016" t="str" cm="1">
        <f t="array" ref="S3016">_xlfn.TEXTJOIN("、",TRUE,IF('學員資料-三重商工'!$B$2:$B$472=$F3016,'學員資料-三重商工'!$G$2:$G$472,""))</f>
        <v>0928579181</v>
      </c>
      <c r="T3016">
        <f t="shared" si="47"/>
        <v>1</v>
      </c>
    </row>
    <row r="3017" spans="1:20" ht="28.5" hidden="1" customHeight="1">
      <c r="A3017" s="15">
        <v>3016</v>
      </c>
      <c r="B3017" s="16" t="s">
        <v>9153</v>
      </c>
      <c r="C3017" s="17">
        <v>45505</v>
      </c>
      <c r="D3017" s="15" t="s">
        <v>9154</v>
      </c>
      <c r="E3017" s="18" t="s">
        <v>954</v>
      </c>
      <c r="F3017" s="19" t="s">
        <v>9155</v>
      </c>
      <c r="G3017" s="18" t="s">
        <v>9156</v>
      </c>
      <c r="H3017" s="20" t="s">
        <v>6631</v>
      </c>
      <c r="I3017" s="15">
        <v>2</v>
      </c>
      <c r="J3017" s="15" t="s">
        <v>24</v>
      </c>
      <c r="K3017" s="21" t="s">
        <v>116</v>
      </c>
      <c r="L3017" s="21" t="s">
        <v>16</v>
      </c>
      <c r="M3017" s="22">
        <v>0</v>
      </c>
      <c r="N3017" s="22">
        <v>0</v>
      </c>
      <c r="O3017" s="22">
        <v>1200</v>
      </c>
      <c r="P3017" s="22">
        <v>1200</v>
      </c>
      <c r="Q3017" t="str" cm="1">
        <f t="array" ref="Q3017">_xlfn.TEXTJOIN("、",TRUE,IF('學員資料-三民高中'!$B$2:$B$454=$F3017,'學員資料-三民高中'!$G$2:$G$454,""))</f>
        <v/>
      </c>
      <c r="R3017" t="str" cm="1">
        <f t="array" ref="R3017">_xlfn.TEXTJOIN("、",TRUE,IF('學員資料-新北高中'!$B$2:$B$583=$F3017,'學員資料-新北高中'!$G$2:$G$583,""))</f>
        <v/>
      </c>
      <c r="S3017" t="str" cm="1">
        <f t="array" ref="S3017">_xlfn.TEXTJOIN("、",TRUE,IF('學員資料-三重商工'!$B$2:$B$472=$F3017,'學員資料-三重商工'!$G$2:$G$472,""))</f>
        <v>0923663321</v>
      </c>
      <c r="T3017">
        <f t="shared" si="47"/>
        <v>1</v>
      </c>
    </row>
    <row r="3018" spans="1:20" ht="14.25" hidden="1" customHeight="1">
      <c r="A3018" s="15">
        <v>3017</v>
      </c>
      <c r="B3018" s="16" t="s">
        <v>9157</v>
      </c>
      <c r="C3018" s="17">
        <v>45505</v>
      </c>
      <c r="D3018" s="15" t="s">
        <v>9158</v>
      </c>
      <c r="E3018" s="18" t="s">
        <v>954</v>
      </c>
      <c r="F3018" s="19" t="s">
        <v>9159</v>
      </c>
      <c r="G3018" s="18" t="s">
        <v>9160</v>
      </c>
      <c r="H3018" s="20" t="s">
        <v>5163</v>
      </c>
      <c r="I3018" s="15">
        <v>1</v>
      </c>
      <c r="J3018" s="15" t="s">
        <v>23</v>
      </c>
      <c r="K3018" s="15"/>
      <c r="L3018" s="21" t="s">
        <v>16</v>
      </c>
      <c r="M3018" s="22">
        <v>0</v>
      </c>
      <c r="N3018" s="22">
        <v>0</v>
      </c>
      <c r="O3018" s="22">
        <v>6600</v>
      </c>
      <c r="P3018" s="22">
        <v>6600</v>
      </c>
      <c r="Q3018" t="str" cm="1">
        <f t="array" ref="Q3018">_xlfn.TEXTJOIN("、",TRUE,IF('學員資料-三民高中'!$B$2:$B$454=$F3018,'學員資料-三民高中'!$G$2:$G$454,""))</f>
        <v/>
      </c>
      <c r="R3018" t="str" cm="1">
        <f t="array" ref="R3018">_xlfn.TEXTJOIN("、",TRUE,IF('學員資料-新北高中'!$B$2:$B$583=$F3018,'學員資料-新北高中'!$G$2:$G$583,""))</f>
        <v/>
      </c>
      <c r="S3018" t="str" cm="1">
        <f t="array" ref="S3018">_xlfn.TEXTJOIN("、",TRUE,IF('學員資料-三重商工'!$B$2:$B$472=$F3018,'學員資料-三重商工'!$G$2:$G$472,""))</f>
        <v>0966138858</v>
      </c>
      <c r="T3018">
        <f t="shared" si="47"/>
        <v>1</v>
      </c>
    </row>
    <row r="3019" spans="1:20" ht="14.25" hidden="1" customHeight="1">
      <c r="A3019" s="15">
        <v>3018</v>
      </c>
      <c r="B3019" s="16" t="s">
        <v>9161</v>
      </c>
      <c r="C3019" s="17">
        <v>45505</v>
      </c>
      <c r="D3019" s="15" t="s">
        <v>9162</v>
      </c>
      <c r="E3019" s="18" t="s">
        <v>954</v>
      </c>
      <c r="F3019" s="19" t="s">
        <v>1335</v>
      </c>
      <c r="G3019" s="18" t="s">
        <v>1336</v>
      </c>
      <c r="H3019" s="20" t="s">
        <v>5163</v>
      </c>
      <c r="I3019" s="15">
        <v>1</v>
      </c>
      <c r="J3019" s="15" t="s">
        <v>23</v>
      </c>
      <c r="K3019" s="15"/>
      <c r="L3019" s="21" t="s">
        <v>16</v>
      </c>
      <c r="M3019" s="22">
        <v>0</v>
      </c>
      <c r="N3019" s="22">
        <v>0</v>
      </c>
      <c r="O3019" s="22">
        <v>6600</v>
      </c>
      <c r="P3019" s="22">
        <v>6600</v>
      </c>
      <c r="Q3019" t="str" cm="1">
        <f t="array" ref="Q3019">_xlfn.TEXTJOIN("、",TRUE,IF('學員資料-三民高中'!$B$2:$B$454=$F3019,'學員資料-三民高中'!$G$2:$G$454,""))</f>
        <v/>
      </c>
      <c r="R3019" t="str" cm="1">
        <f t="array" ref="R3019">_xlfn.TEXTJOIN("、",TRUE,IF('學員資料-新北高中'!$B$2:$B$583=$F3019,'學員資料-新北高中'!$G$2:$G$583,""))</f>
        <v/>
      </c>
      <c r="S3019" t="str" cm="1">
        <f t="array" ref="S3019">_xlfn.TEXTJOIN("、",TRUE,IF('學員資料-三重商工'!$B$2:$B$472=$F3019,'學員資料-三重商工'!$G$2:$G$472,""))</f>
        <v>0932625033</v>
      </c>
      <c r="T3019">
        <f t="shared" si="47"/>
        <v>1</v>
      </c>
    </row>
    <row r="3020" spans="1:20" ht="14.25" customHeight="1">
      <c r="A3020" s="15">
        <v>3019</v>
      </c>
      <c r="B3020" s="16" t="s">
        <v>9163</v>
      </c>
      <c r="C3020" s="17">
        <v>45505</v>
      </c>
      <c r="D3020" s="15" t="s">
        <v>9164</v>
      </c>
      <c r="E3020" s="18" t="s">
        <v>954</v>
      </c>
      <c r="F3020" s="19" t="s">
        <v>12257</v>
      </c>
      <c r="G3020" s="18" t="s">
        <v>6992</v>
      </c>
      <c r="H3020" s="20" t="s">
        <v>5163</v>
      </c>
      <c r="I3020" s="15">
        <v>1</v>
      </c>
      <c r="J3020" s="15" t="s">
        <v>23</v>
      </c>
      <c r="K3020" s="15"/>
      <c r="L3020" s="21" t="s">
        <v>16</v>
      </c>
      <c r="M3020" s="22">
        <v>0</v>
      </c>
      <c r="N3020" s="22">
        <v>0</v>
      </c>
      <c r="O3020" s="22">
        <v>6600</v>
      </c>
      <c r="P3020" s="22">
        <v>6600</v>
      </c>
      <c r="Q3020" t="str" cm="1">
        <f t="array" ref="Q3020">_xlfn.TEXTJOIN("、",TRUE,IF('學員資料-三民高中'!$B$2:$B$454=$F3020,'學員資料-三民高中'!$G$2:$G$454,""))</f>
        <v/>
      </c>
      <c r="R3020" t="str" cm="1">
        <f t="array" ref="R3020">_xlfn.TEXTJOIN("、",TRUE,IF('學員資料-新北高中'!$B$2:$B$583=$F3020,'學員資料-新北高中'!$G$2:$G$583,""))</f>
        <v/>
      </c>
      <c r="S3020" t="str" cm="1">
        <f t="array" ref="S3020">_xlfn.TEXTJOIN("、",TRUE,IF('學員資料-三重商工'!$B$2:$B$472=$F3020,'學員資料-三重商工'!$G$2:$G$472,""))</f>
        <v/>
      </c>
      <c r="T3020">
        <f t="shared" si="47"/>
        <v>0</v>
      </c>
    </row>
  </sheetData>
  <autoFilter ref="A1:T3020" xr:uid="{00000000-0001-0000-0100-000000000000}">
    <filterColumn colId="19">
      <filters>
        <filter val="0"/>
      </filters>
    </filterColumn>
  </autoFilter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5CE0-0232-4D43-8365-FBF41F3D078F}">
  <sheetPr filterMode="1"/>
  <dimension ref="A1:L122"/>
  <sheetViews>
    <sheetView workbookViewId="0">
      <selection activeCell="A6" sqref="A6:L117"/>
    </sheetView>
  </sheetViews>
  <sheetFormatPr baseColWidth="10" defaultColWidth="7.5" defaultRowHeight="15"/>
  <cols>
    <col min="1" max="1" width="5" customWidth="1"/>
    <col min="2" max="2" width="11.6640625" customWidth="1"/>
    <col min="3" max="3" width="18.33203125" customWidth="1"/>
    <col min="4" max="4" width="11.6640625" customWidth="1"/>
    <col min="5" max="5" width="8.33203125" customWidth="1"/>
    <col min="6" max="6" width="15" customWidth="1"/>
    <col min="7" max="7" width="11.6640625" customWidth="1"/>
    <col min="8" max="8" width="13.33203125" customWidth="1"/>
    <col min="9" max="9" width="10" customWidth="1"/>
    <col min="10" max="10" width="8.33203125" customWidth="1"/>
    <col min="11" max="12" width="11.6640625" customWidth="1"/>
  </cols>
  <sheetData>
    <row r="1" spans="1:12" ht="30">
      <c r="A1" s="31" t="s">
        <v>29</v>
      </c>
      <c r="B1" s="31" t="s">
        <v>12287</v>
      </c>
      <c r="C1" s="31" t="s">
        <v>12288</v>
      </c>
      <c r="D1" s="31" t="s">
        <v>12289</v>
      </c>
      <c r="E1" s="31" t="s">
        <v>12290</v>
      </c>
      <c r="F1" s="31" t="s">
        <v>12291</v>
      </c>
      <c r="G1" s="31" t="s">
        <v>12292</v>
      </c>
      <c r="H1" s="31" t="s">
        <v>12293</v>
      </c>
      <c r="I1" s="31" t="s">
        <v>12294</v>
      </c>
      <c r="J1" s="31" t="s">
        <v>12295</v>
      </c>
      <c r="K1" s="31" t="s">
        <v>9171</v>
      </c>
      <c r="L1" s="31" t="s">
        <v>12296</v>
      </c>
    </row>
    <row r="2" spans="1:12" hidden="1">
      <c r="A2" s="32" t="s">
        <v>12297</v>
      </c>
      <c r="B2" s="32" t="s">
        <v>69</v>
      </c>
      <c r="C2" s="32" t="s">
        <v>70</v>
      </c>
      <c r="D2" s="32" t="s">
        <v>69</v>
      </c>
      <c r="E2" s="32" t="s">
        <v>12298</v>
      </c>
      <c r="F2" s="32" t="s">
        <v>12299</v>
      </c>
      <c r="G2" s="32" t="s">
        <v>69</v>
      </c>
      <c r="H2" s="32" t="s">
        <v>70</v>
      </c>
      <c r="I2" s="32" t="s">
        <v>10173</v>
      </c>
      <c r="J2" s="32" t="s">
        <v>12300</v>
      </c>
      <c r="K2" s="32" t="s">
        <v>12301</v>
      </c>
      <c r="L2" s="32"/>
    </row>
    <row r="3" spans="1:12" hidden="1">
      <c r="A3" s="33" t="s">
        <v>12302</v>
      </c>
      <c r="B3" s="33" t="s">
        <v>73</v>
      </c>
      <c r="C3" s="33" t="s">
        <v>74</v>
      </c>
      <c r="D3" s="33" t="s">
        <v>73</v>
      </c>
      <c r="E3" s="33" t="s">
        <v>12298</v>
      </c>
      <c r="F3" s="33" t="s">
        <v>12299</v>
      </c>
      <c r="G3" s="33" t="s">
        <v>73</v>
      </c>
      <c r="H3" s="33" t="s">
        <v>74</v>
      </c>
      <c r="I3" s="33" t="s">
        <v>10173</v>
      </c>
      <c r="J3" s="33" t="s">
        <v>12300</v>
      </c>
      <c r="K3" s="33" t="s">
        <v>12303</v>
      </c>
      <c r="L3" s="33"/>
    </row>
    <row r="4" spans="1:12" hidden="1">
      <c r="A4" s="32" t="s">
        <v>12304</v>
      </c>
      <c r="B4" s="32" t="s">
        <v>93</v>
      </c>
      <c r="C4" s="32" t="s">
        <v>94</v>
      </c>
      <c r="D4" s="32" t="s">
        <v>93</v>
      </c>
      <c r="E4" s="32" t="s">
        <v>12298</v>
      </c>
      <c r="F4" s="32" t="s">
        <v>12299</v>
      </c>
      <c r="G4" s="32" t="s">
        <v>93</v>
      </c>
      <c r="H4" s="32" t="s">
        <v>94</v>
      </c>
      <c r="I4" s="32" t="s">
        <v>10173</v>
      </c>
      <c r="J4" s="32" t="s">
        <v>12300</v>
      </c>
      <c r="K4" s="32" t="s">
        <v>12305</v>
      </c>
      <c r="L4" s="32"/>
    </row>
    <row r="5" spans="1:12" hidden="1">
      <c r="A5" s="33" t="s">
        <v>12306</v>
      </c>
      <c r="B5" s="33" t="s">
        <v>153</v>
      </c>
      <c r="C5" s="33" t="s">
        <v>154</v>
      </c>
      <c r="D5" s="33" t="s">
        <v>153</v>
      </c>
      <c r="E5" s="33" t="s">
        <v>12298</v>
      </c>
      <c r="F5" s="33" t="s">
        <v>12299</v>
      </c>
      <c r="G5" s="33" t="s">
        <v>153</v>
      </c>
      <c r="H5" s="33" t="s">
        <v>12307</v>
      </c>
      <c r="I5" s="33" t="s">
        <v>10173</v>
      </c>
      <c r="J5" s="33" t="s">
        <v>12300</v>
      </c>
      <c r="K5" s="33" t="s">
        <v>12308</v>
      </c>
      <c r="L5" s="33"/>
    </row>
    <row r="6" spans="1:12">
      <c r="A6" s="32" t="s">
        <v>12309</v>
      </c>
      <c r="B6" s="32" t="s">
        <v>171</v>
      </c>
      <c r="C6" s="32" t="s">
        <v>172</v>
      </c>
      <c r="D6" s="32" t="s">
        <v>171</v>
      </c>
      <c r="E6" s="32" t="s">
        <v>12298</v>
      </c>
      <c r="F6" s="32" t="s">
        <v>12299</v>
      </c>
      <c r="G6" s="32" t="s">
        <v>171</v>
      </c>
      <c r="H6" s="32" t="s">
        <v>172</v>
      </c>
      <c r="I6" s="32" t="s">
        <v>9177</v>
      </c>
      <c r="J6" s="32" t="s">
        <v>12310</v>
      </c>
      <c r="K6" s="32" t="s">
        <v>12311</v>
      </c>
      <c r="L6" s="32" t="s">
        <v>12311</v>
      </c>
    </row>
    <row r="7" spans="1:12" hidden="1">
      <c r="A7" s="33" t="s">
        <v>12312</v>
      </c>
      <c r="B7" s="33" t="s">
        <v>204</v>
      </c>
      <c r="C7" s="33" t="s">
        <v>205</v>
      </c>
      <c r="D7" s="33" t="s">
        <v>204</v>
      </c>
      <c r="E7" s="33" t="s">
        <v>12298</v>
      </c>
      <c r="F7" s="33" t="s">
        <v>12299</v>
      </c>
      <c r="G7" s="33" t="s">
        <v>204</v>
      </c>
      <c r="H7" s="33" t="s">
        <v>205</v>
      </c>
      <c r="I7" s="33" t="s">
        <v>10173</v>
      </c>
      <c r="J7" s="33" t="s">
        <v>12300</v>
      </c>
      <c r="K7" s="33" t="s">
        <v>12313</v>
      </c>
      <c r="L7" s="33"/>
    </row>
    <row r="8" spans="1:12" hidden="1">
      <c r="A8" s="32" t="s">
        <v>12314</v>
      </c>
      <c r="B8" s="32" t="s">
        <v>213</v>
      </c>
      <c r="C8" s="32" t="s">
        <v>214</v>
      </c>
      <c r="D8" s="32" t="s">
        <v>213</v>
      </c>
      <c r="E8" s="32" t="s">
        <v>12298</v>
      </c>
      <c r="F8" s="32" t="s">
        <v>12299</v>
      </c>
      <c r="G8" s="32" t="s">
        <v>213</v>
      </c>
      <c r="H8" s="32"/>
      <c r="I8" s="32" t="s">
        <v>10173</v>
      </c>
      <c r="J8" s="32" t="s">
        <v>12300</v>
      </c>
      <c r="K8" s="32" t="s">
        <v>12315</v>
      </c>
      <c r="L8" s="32"/>
    </row>
    <row r="9" spans="1:12" hidden="1">
      <c r="A9" s="33" t="s">
        <v>12316</v>
      </c>
      <c r="B9" s="33" t="s">
        <v>286</v>
      </c>
      <c r="C9" s="33" t="s">
        <v>287</v>
      </c>
      <c r="D9" s="33" t="s">
        <v>286</v>
      </c>
      <c r="E9" s="33" t="s">
        <v>12298</v>
      </c>
      <c r="F9" s="33" t="s">
        <v>12299</v>
      </c>
      <c r="G9" s="33" t="s">
        <v>286</v>
      </c>
      <c r="H9" s="33" t="s">
        <v>287</v>
      </c>
      <c r="I9" s="33" t="s">
        <v>10173</v>
      </c>
      <c r="J9" s="33" t="s">
        <v>12300</v>
      </c>
      <c r="K9" s="33" t="s">
        <v>12317</v>
      </c>
      <c r="L9" s="33"/>
    </row>
    <row r="10" spans="1:12" hidden="1">
      <c r="A10" s="32" t="s">
        <v>12318</v>
      </c>
      <c r="B10" s="32" t="s">
        <v>290</v>
      </c>
      <c r="C10" s="32" t="s">
        <v>291</v>
      </c>
      <c r="D10" s="32" t="s">
        <v>290</v>
      </c>
      <c r="E10" s="32" t="s">
        <v>12298</v>
      </c>
      <c r="F10" s="32" t="s">
        <v>12299</v>
      </c>
      <c r="G10" s="32" t="s">
        <v>290</v>
      </c>
      <c r="H10" s="32" t="s">
        <v>291</v>
      </c>
      <c r="I10" s="32" t="s">
        <v>10173</v>
      </c>
      <c r="J10" s="32" t="s">
        <v>12300</v>
      </c>
      <c r="K10" s="32" t="s">
        <v>12319</v>
      </c>
      <c r="L10" s="32"/>
    </row>
    <row r="11" spans="1:12" hidden="1">
      <c r="A11" s="33" t="s">
        <v>12320</v>
      </c>
      <c r="B11" s="33" t="s">
        <v>354</v>
      </c>
      <c r="C11" s="33" t="s">
        <v>355</v>
      </c>
      <c r="D11" s="33" t="s">
        <v>354</v>
      </c>
      <c r="E11" s="33" t="s">
        <v>12298</v>
      </c>
      <c r="F11" s="33" t="s">
        <v>12299</v>
      </c>
      <c r="G11" s="33" t="s">
        <v>354</v>
      </c>
      <c r="H11" s="33" t="s">
        <v>355</v>
      </c>
      <c r="I11" s="33" t="s">
        <v>10173</v>
      </c>
      <c r="J11" s="33" t="s">
        <v>12300</v>
      </c>
      <c r="K11" s="33" t="s">
        <v>11336</v>
      </c>
      <c r="L11" s="33"/>
    </row>
    <row r="12" spans="1:12" hidden="1">
      <c r="A12" s="32" t="s">
        <v>12321</v>
      </c>
      <c r="B12" s="32" t="s">
        <v>366</v>
      </c>
      <c r="C12" s="32" t="s">
        <v>367</v>
      </c>
      <c r="D12" s="32" t="s">
        <v>366</v>
      </c>
      <c r="E12" s="32" t="s">
        <v>12298</v>
      </c>
      <c r="F12" s="32" t="s">
        <v>12299</v>
      </c>
      <c r="G12" s="32" t="s">
        <v>366</v>
      </c>
      <c r="H12" s="32" t="s">
        <v>367</v>
      </c>
      <c r="I12" s="32" t="s">
        <v>10173</v>
      </c>
      <c r="J12" s="32" t="s">
        <v>12300</v>
      </c>
      <c r="K12" s="32" t="s">
        <v>12322</v>
      </c>
      <c r="L12" s="32"/>
    </row>
    <row r="13" spans="1:12">
      <c r="A13" s="33" t="s">
        <v>12323</v>
      </c>
      <c r="B13" s="33"/>
      <c r="C13" s="33" t="s">
        <v>12324</v>
      </c>
      <c r="D13" s="33" t="s">
        <v>9516</v>
      </c>
      <c r="E13" s="33" t="s">
        <v>12298</v>
      </c>
      <c r="F13" s="33" t="s">
        <v>12299</v>
      </c>
      <c r="G13" s="33" t="s">
        <v>9516</v>
      </c>
      <c r="H13" s="33" t="s">
        <v>9517</v>
      </c>
      <c r="I13" s="33" t="s">
        <v>9185</v>
      </c>
      <c r="J13" s="33" t="s">
        <v>12310</v>
      </c>
      <c r="K13" s="33" t="s">
        <v>9518</v>
      </c>
      <c r="L13" s="33"/>
    </row>
    <row r="14" spans="1:12">
      <c r="A14" s="32" t="s">
        <v>12325</v>
      </c>
      <c r="B14" s="32" t="s">
        <v>482</v>
      </c>
      <c r="C14" s="32" t="s">
        <v>483</v>
      </c>
      <c r="D14" s="32" t="s">
        <v>482</v>
      </c>
      <c r="E14" s="32" t="s">
        <v>12298</v>
      </c>
      <c r="F14" s="32" t="s">
        <v>12299</v>
      </c>
      <c r="G14" s="32" t="s">
        <v>482</v>
      </c>
      <c r="H14" s="32" t="s">
        <v>483</v>
      </c>
      <c r="I14" s="32" t="s">
        <v>9177</v>
      </c>
      <c r="J14" s="32" t="s">
        <v>12310</v>
      </c>
      <c r="K14" s="32" t="s">
        <v>12326</v>
      </c>
      <c r="L14" s="32"/>
    </row>
    <row r="15" spans="1:12" hidden="1">
      <c r="A15" s="33" t="s">
        <v>12327</v>
      </c>
      <c r="B15" s="33" t="s">
        <v>581</v>
      </c>
      <c r="C15" s="33" t="s">
        <v>12328</v>
      </c>
      <c r="D15" s="33" t="s">
        <v>581</v>
      </c>
      <c r="E15" s="33" t="s">
        <v>12298</v>
      </c>
      <c r="F15" s="33" t="s">
        <v>12299</v>
      </c>
      <c r="G15" s="33" t="s">
        <v>581</v>
      </c>
      <c r="H15" s="33" t="s">
        <v>12328</v>
      </c>
      <c r="I15" s="33" t="s">
        <v>11341</v>
      </c>
      <c r="J15" s="33" t="s">
        <v>12329</v>
      </c>
      <c r="K15" s="33" t="s">
        <v>12246</v>
      </c>
      <c r="L15" s="33"/>
    </row>
    <row r="16" spans="1:12">
      <c r="A16" s="32" t="s">
        <v>12330</v>
      </c>
      <c r="B16" s="32" t="s">
        <v>659</v>
      </c>
      <c r="C16" s="32" t="s">
        <v>660</v>
      </c>
      <c r="D16" s="32" t="s">
        <v>659</v>
      </c>
      <c r="E16" s="32" t="s">
        <v>12298</v>
      </c>
      <c r="F16" s="32" t="s">
        <v>12299</v>
      </c>
      <c r="G16" s="32" t="s">
        <v>659</v>
      </c>
      <c r="H16" s="32" t="s">
        <v>660</v>
      </c>
      <c r="I16" s="32" t="s">
        <v>9177</v>
      </c>
      <c r="J16" s="32" t="s">
        <v>12310</v>
      </c>
      <c r="K16" s="32" t="s">
        <v>12331</v>
      </c>
      <c r="L16" s="32"/>
    </row>
    <row r="17" spans="1:12" hidden="1">
      <c r="A17" s="33" t="s">
        <v>12332</v>
      </c>
      <c r="B17" s="33" t="s">
        <v>698</v>
      </c>
      <c r="C17" s="33" t="s">
        <v>699</v>
      </c>
      <c r="D17" s="33" t="s">
        <v>698</v>
      </c>
      <c r="E17" s="33" t="s">
        <v>12298</v>
      </c>
      <c r="F17" s="33" t="s">
        <v>12299</v>
      </c>
      <c r="G17" s="33" t="s">
        <v>698</v>
      </c>
      <c r="H17" s="33" t="s">
        <v>699</v>
      </c>
      <c r="I17" s="33" t="s">
        <v>10173</v>
      </c>
      <c r="J17" s="33" t="s">
        <v>12300</v>
      </c>
      <c r="K17" s="33" t="s">
        <v>12333</v>
      </c>
      <c r="L17" s="33"/>
    </row>
    <row r="18" spans="1:12" hidden="1">
      <c r="A18" s="32" t="s">
        <v>12334</v>
      </c>
      <c r="B18" s="32" t="s">
        <v>706</v>
      </c>
      <c r="C18" s="32" t="s">
        <v>707</v>
      </c>
      <c r="D18" s="32" t="s">
        <v>706</v>
      </c>
      <c r="E18" s="32" t="s">
        <v>12298</v>
      </c>
      <c r="F18" s="32" t="s">
        <v>12299</v>
      </c>
      <c r="G18" s="32" t="s">
        <v>706</v>
      </c>
      <c r="H18" s="32"/>
      <c r="I18" s="32" t="s">
        <v>10173</v>
      </c>
      <c r="J18" s="32" t="s">
        <v>12300</v>
      </c>
      <c r="K18" s="32" t="s">
        <v>12335</v>
      </c>
      <c r="L18" s="32" t="s">
        <v>12335</v>
      </c>
    </row>
    <row r="19" spans="1:12" hidden="1">
      <c r="A19" s="33" t="s">
        <v>12336</v>
      </c>
      <c r="B19" s="33" t="s">
        <v>720</v>
      </c>
      <c r="C19" s="33" t="s">
        <v>721</v>
      </c>
      <c r="D19" s="33" t="s">
        <v>720</v>
      </c>
      <c r="E19" s="33" t="s">
        <v>12298</v>
      </c>
      <c r="F19" s="33" t="s">
        <v>12299</v>
      </c>
      <c r="G19" s="33" t="s">
        <v>720</v>
      </c>
      <c r="H19" s="33"/>
      <c r="I19" s="33" t="s">
        <v>10173</v>
      </c>
      <c r="J19" s="33" t="s">
        <v>12300</v>
      </c>
      <c r="K19" s="33" t="s">
        <v>12337</v>
      </c>
      <c r="L19" s="33"/>
    </row>
    <row r="20" spans="1:12" hidden="1">
      <c r="A20" s="32" t="s">
        <v>12338</v>
      </c>
      <c r="B20" s="32" t="s">
        <v>866</v>
      </c>
      <c r="C20" s="32" t="s">
        <v>867</v>
      </c>
      <c r="D20" s="32" t="s">
        <v>866</v>
      </c>
      <c r="E20" s="32" t="s">
        <v>12298</v>
      </c>
      <c r="F20" s="32" t="s">
        <v>12299</v>
      </c>
      <c r="G20" s="32" t="s">
        <v>866</v>
      </c>
      <c r="H20" s="32" t="s">
        <v>867</v>
      </c>
      <c r="I20" s="32" t="s">
        <v>10173</v>
      </c>
      <c r="J20" s="32" t="s">
        <v>12300</v>
      </c>
      <c r="K20" s="32" t="s">
        <v>12339</v>
      </c>
      <c r="L20" s="32"/>
    </row>
    <row r="21" spans="1:12" hidden="1">
      <c r="A21" s="33" t="s">
        <v>12340</v>
      </c>
      <c r="B21" s="33" t="s">
        <v>581</v>
      </c>
      <c r="C21" s="33" t="s">
        <v>12328</v>
      </c>
      <c r="D21" s="33" t="s">
        <v>581</v>
      </c>
      <c r="E21" s="33" t="s">
        <v>12298</v>
      </c>
      <c r="F21" s="33" t="s">
        <v>12299</v>
      </c>
      <c r="G21" s="33" t="s">
        <v>581</v>
      </c>
      <c r="H21" s="33" t="s">
        <v>12328</v>
      </c>
      <c r="I21" s="33" t="s">
        <v>11341</v>
      </c>
      <c r="J21" s="33" t="s">
        <v>12329</v>
      </c>
      <c r="K21" s="33" t="s">
        <v>12246</v>
      </c>
      <c r="L21" s="33"/>
    </row>
    <row r="22" spans="1:12" hidden="1">
      <c r="A22" s="32" t="s">
        <v>12341</v>
      </c>
      <c r="B22" s="32" t="s">
        <v>1077</v>
      </c>
      <c r="C22" s="32" t="s">
        <v>12342</v>
      </c>
      <c r="D22" s="32" t="s">
        <v>1077</v>
      </c>
      <c r="E22" s="32" t="s">
        <v>12298</v>
      </c>
      <c r="F22" s="32" t="s">
        <v>12299</v>
      </c>
      <c r="G22" s="32" t="s">
        <v>1077</v>
      </c>
      <c r="H22" s="32" t="s">
        <v>12342</v>
      </c>
      <c r="I22" s="32" t="s">
        <v>11341</v>
      </c>
      <c r="J22" s="32" t="s">
        <v>12329</v>
      </c>
      <c r="K22" s="32" t="s">
        <v>12242</v>
      </c>
      <c r="L22" s="32"/>
    </row>
    <row r="23" spans="1:12">
      <c r="A23" s="33" t="s">
        <v>12343</v>
      </c>
      <c r="B23" s="33"/>
      <c r="C23" s="33" t="s">
        <v>12324</v>
      </c>
      <c r="D23" s="33" t="s">
        <v>9516</v>
      </c>
      <c r="E23" s="33" t="s">
        <v>12298</v>
      </c>
      <c r="F23" s="33" t="s">
        <v>12299</v>
      </c>
      <c r="G23" s="33" t="s">
        <v>9516</v>
      </c>
      <c r="H23" s="33" t="s">
        <v>9517</v>
      </c>
      <c r="I23" s="33" t="s">
        <v>9185</v>
      </c>
      <c r="J23" s="33" t="s">
        <v>12310</v>
      </c>
      <c r="K23" s="33" t="s">
        <v>9518</v>
      </c>
      <c r="L23" s="33"/>
    </row>
    <row r="24" spans="1:12" hidden="1">
      <c r="A24" s="32" t="s">
        <v>12344</v>
      </c>
      <c r="B24" s="32" t="s">
        <v>1571</v>
      </c>
      <c r="C24" s="32" t="s">
        <v>12345</v>
      </c>
      <c r="D24" s="32" t="s">
        <v>1571</v>
      </c>
      <c r="E24" s="32" t="s">
        <v>12298</v>
      </c>
      <c r="F24" s="32" t="s">
        <v>12299</v>
      </c>
      <c r="G24" s="32" t="s">
        <v>1571</v>
      </c>
      <c r="H24" s="32" t="s">
        <v>12345</v>
      </c>
      <c r="I24" s="32" t="s">
        <v>11341</v>
      </c>
      <c r="J24" s="32" t="s">
        <v>12329</v>
      </c>
      <c r="K24" s="32" t="s">
        <v>12244</v>
      </c>
      <c r="L24" s="32"/>
    </row>
    <row r="25" spans="1:12" hidden="1">
      <c r="A25" s="33" t="s">
        <v>12346</v>
      </c>
      <c r="B25" s="33" t="s">
        <v>866</v>
      </c>
      <c r="C25" s="33" t="s">
        <v>867</v>
      </c>
      <c r="D25" s="33" t="s">
        <v>866</v>
      </c>
      <c r="E25" s="33" t="s">
        <v>12298</v>
      </c>
      <c r="F25" s="33" t="s">
        <v>12299</v>
      </c>
      <c r="G25" s="33" t="s">
        <v>866</v>
      </c>
      <c r="H25" s="33" t="s">
        <v>867</v>
      </c>
      <c r="I25" s="33" t="s">
        <v>10173</v>
      </c>
      <c r="J25" s="33" t="s">
        <v>12300</v>
      </c>
      <c r="K25" s="33" t="s">
        <v>12339</v>
      </c>
      <c r="L25" s="33"/>
    </row>
    <row r="26" spans="1:12" hidden="1">
      <c r="A26" s="32" t="s">
        <v>12347</v>
      </c>
      <c r="B26" s="32" t="s">
        <v>866</v>
      </c>
      <c r="C26" s="32" t="s">
        <v>867</v>
      </c>
      <c r="D26" s="32" t="s">
        <v>866</v>
      </c>
      <c r="E26" s="32" t="s">
        <v>12298</v>
      </c>
      <c r="F26" s="32" t="s">
        <v>12299</v>
      </c>
      <c r="G26" s="32" t="s">
        <v>866</v>
      </c>
      <c r="H26" s="32" t="s">
        <v>867</v>
      </c>
      <c r="I26" s="32" t="s">
        <v>10173</v>
      </c>
      <c r="J26" s="32" t="s">
        <v>12300</v>
      </c>
      <c r="K26" s="32" t="s">
        <v>12339</v>
      </c>
      <c r="L26" s="32"/>
    </row>
    <row r="27" spans="1:12" hidden="1">
      <c r="A27" s="33" t="s">
        <v>12348</v>
      </c>
      <c r="B27" s="33" t="s">
        <v>2002</v>
      </c>
      <c r="C27" s="33" t="s">
        <v>2003</v>
      </c>
      <c r="D27" s="33" t="s">
        <v>2002</v>
      </c>
      <c r="E27" s="33" t="s">
        <v>12298</v>
      </c>
      <c r="F27" s="33" t="s">
        <v>12299</v>
      </c>
      <c r="G27" s="33" t="s">
        <v>2002</v>
      </c>
      <c r="H27" s="33" t="s">
        <v>2003</v>
      </c>
      <c r="I27" s="33" t="s">
        <v>10173</v>
      </c>
      <c r="J27" s="33" t="s">
        <v>12300</v>
      </c>
      <c r="K27" s="33" t="s">
        <v>9783</v>
      </c>
      <c r="L27" s="33"/>
    </row>
    <row r="28" spans="1:12" hidden="1">
      <c r="A28" s="32" t="s">
        <v>12349</v>
      </c>
      <c r="B28" s="32" t="s">
        <v>581</v>
      </c>
      <c r="C28" s="32" t="s">
        <v>12328</v>
      </c>
      <c r="D28" s="32" t="s">
        <v>581</v>
      </c>
      <c r="E28" s="32" t="s">
        <v>12298</v>
      </c>
      <c r="F28" s="32" t="s">
        <v>12299</v>
      </c>
      <c r="G28" s="32" t="s">
        <v>581</v>
      </c>
      <c r="H28" s="32" t="s">
        <v>12328</v>
      </c>
      <c r="I28" s="32" t="s">
        <v>11341</v>
      </c>
      <c r="J28" s="32" t="s">
        <v>12329</v>
      </c>
      <c r="K28" s="32" t="s">
        <v>12246</v>
      </c>
      <c r="L28" s="32"/>
    </row>
    <row r="29" spans="1:12" hidden="1">
      <c r="A29" s="33" t="s">
        <v>12350</v>
      </c>
      <c r="B29" s="33" t="s">
        <v>866</v>
      </c>
      <c r="C29" s="33" t="s">
        <v>867</v>
      </c>
      <c r="D29" s="33" t="s">
        <v>866</v>
      </c>
      <c r="E29" s="33" t="s">
        <v>12298</v>
      </c>
      <c r="F29" s="33" t="s">
        <v>12299</v>
      </c>
      <c r="G29" s="33" t="s">
        <v>866</v>
      </c>
      <c r="H29" s="33" t="s">
        <v>867</v>
      </c>
      <c r="I29" s="33" t="s">
        <v>10173</v>
      </c>
      <c r="J29" s="33" t="s">
        <v>12300</v>
      </c>
      <c r="K29" s="33" t="s">
        <v>12339</v>
      </c>
      <c r="L29" s="33"/>
    </row>
    <row r="30" spans="1:12" hidden="1">
      <c r="A30" s="32" t="s">
        <v>12351</v>
      </c>
      <c r="B30" s="32" t="s">
        <v>2569</v>
      </c>
      <c r="C30" s="32" t="s">
        <v>2570</v>
      </c>
      <c r="D30" s="32" t="s">
        <v>2569</v>
      </c>
      <c r="E30" s="32" t="s">
        <v>12298</v>
      </c>
      <c r="F30" s="32" t="s">
        <v>12299</v>
      </c>
      <c r="G30" s="32" t="s">
        <v>2569</v>
      </c>
      <c r="H30" s="32" t="s">
        <v>2570</v>
      </c>
      <c r="I30" s="32" t="s">
        <v>10173</v>
      </c>
      <c r="J30" s="32" t="s">
        <v>12300</v>
      </c>
      <c r="K30" s="32" t="s">
        <v>12352</v>
      </c>
      <c r="L30" s="32" t="s">
        <v>12352</v>
      </c>
    </row>
    <row r="31" spans="1:12">
      <c r="A31" s="33" t="s">
        <v>12353</v>
      </c>
      <c r="B31" s="33" t="s">
        <v>2790</v>
      </c>
      <c r="C31" s="33" t="s">
        <v>2791</v>
      </c>
      <c r="D31" s="33" t="s">
        <v>12354</v>
      </c>
      <c r="E31" s="33" t="s">
        <v>12298</v>
      </c>
      <c r="F31" s="33" t="s">
        <v>12299</v>
      </c>
      <c r="G31" s="33" t="s">
        <v>2790</v>
      </c>
      <c r="H31" s="33" t="s">
        <v>2791</v>
      </c>
      <c r="I31" s="33" t="s">
        <v>9177</v>
      </c>
      <c r="J31" s="33" t="s">
        <v>12310</v>
      </c>
      <c r="K31" s="33" t="s">
        <v>12355</v>
      </c>
      <c r="L31" s="33"/>
    </row>
    <row r="32" spans="1:12" hidden="1">
      <c r="A32" s="32" t="s">
        <v>12356</v>
      </c>
      <c r="B32" s="32" t="s">
        <v>2835</v>
      </c>
      <c r="C32" s="32" t="s">
        <v>2836</v>
      </c>
      <c r="D32" s="32" t="s">
        <v>2835</v>
      </c>
      <c r="E32" s="32" t="s">
        <v>12298</v>
      </c>
      <c r="F32" s="32" t="s">
        <v>12299</v>
      </c>
      <c r="G32" s="32" t="s">
        <v>2835</v>
      </c>
      <c r="H32" s="32" t="s">
        <v>2836</v>
      </c>
      <c r="I32" s="32" t="s">
        <v>10173</v>
      </c>
      <c r="J32" s="32" t="s">
        <v>12300</v>
      </c>
      <c r="K32" s="32" t="s">
        <v>12357</v>
      </c>
      <c r="L32" s="32" t="s">
        <v>12357</v>
      </c>
    </row>
    <row r="33" spans="1:12">
      <c r="A33" s="33" t="s">
        <v>12358</v>
      </c>
      <c r="B33" s="33"/>
      <c r="C33" s="33" t="s">
        <v>12324</v>
      </c>
      <c r="D33" s="33" t="s">
        <v>9516</v>
      </c>
      <c r="E33" s="33" t="s">
        <v>12298</v>
      </c>
      <c r="F33" s="33" t="s">
        <v>12299</v>
      </c>
      <c r="G33" s="33" t="s">
        <v>9516</v>
      </c>
      <c r="H33" s="33" t="s">
        <v>9517</v>
      </c>
      <c r="I33" s="33" t="s">
        <v>9185</v>
      </c>
      <c r="J33" s="33" t="s">
        <v>12310</v>
      </c>
      <c r="K33" s="33" t="s">
        <v>9518</v>
      </c>
      <c r="L33" s="33"/>
    </row>
    <row r="34" spans="1:12" hidden="1">
      <c r="A34" s="32" t="s">
        <v>12359</v>
      </c>
      <c r="B34" s="32" t="s">
        <v>2569</v>
      </c>
      <c r="C34" s="32" t="s">
        <v>2570</v>
      </c>
      <c r="D34" s="32" t="s">
        <v>2569</v>
      </c>
      <c r="E34" s="32" t="s">
        <v>12298</v>
      </c>
      <c r="F34" s="32" t="s">
        <v>12299</v>
      </c>
      <c r="G34" s="32" t="s">
        <v>2569</v>
      </c>
      <c r="H34" s="32" t="s">
        <v>2570</v>
      </c>
      <c r="I34" s="32" t="s">
        <v>10173</v>
      </c>
      <c r="J34" s="32" t="s">
        <v>12300</v>
      </c>
      <c r="K34" s="32" t="s">
        <v>12352</v>
      </c>
      <c r="L34" s="32" t="s">
        <v>12352</v>
      </c>
    </row>
    <row r="35" spans="1:12">
      <c r="A35" s="33" t="s">
        <v>12360</v>
      </c>
      <c r="B35" s="33"/>
      <c r="C35" s="33" t="s">
        <v>12361</v>
      </c>
      <c r="D35" s="33" t="s">
        <v>12362</v>
      </c>
      <c r="E35" s="33" t="s">
        <v>12298</v>
      </c>
      <c r="F35" s="33" t="s">
        <v>12299</v>
      </c>
      <c r="G35" s="33" t="s">
        <v>10160</v>
      </c>
      <c r="H35" s="33" t="s">
        <v>10161</v>
      </c>
      <c r="I35" s="33" t="s">
        <v>9185</v>
      </c>
      <c r="J35" s="33" t="s">
        <v>12310</v>
      </c>
      <c r="K35" s="33" t="s">
        <v>10162</v>
      </c>
      <c r="L35" s="33" t="s">
        <v>10163</v>
      </c>
    </row>
    <row r="36" spans="1:12" hidden="1">
      <c r="A36" s="32" t="s">
        <v>12363</v>
      </c>
      <c r="B36" s="32" t="s">
        <v>3255</v>
      </c>
      <c r="C36" s="32" t="s">
        <v>3256</v>
      </c>
      <c r="D36" s="32" t="s">
        <v>3255</v>
      </c>
      <c r="E36" s="32" t="s">
        <v>12298</v>
      </c>
      <c r="F36" s="32" t="s">
        <v>12299</v>
      </c>
      <c r="G36" s="32" t="s">
        <v>3255</v>
      </c>
      <c r="H36" s="32" t="s">
        <v>3256</v>
      </c>
      <c r="I36" s="32" t="s">
        <v>10173</v>
      </c>
      <c r="J36" s="32" t="s">
        <v>12300</v>
      </c>
      <c r="K36" s="32" t="s">
        <v>12364</v>
      </c>
      <c r="L36" s="32" t="s">
        <v>12364</v>
      </c>
    </row>
    <row r="37" spans="1:12" hidden="1">
      <c r="A37" s="33" t="s">
        <v>12365</v>
      </c>
      <c r="B37" s="33" t="s">
        <v>2569</v>
      </c>
      <c r="C37" s="33" t="s">
        <v>2570</v>
      </c>
      <c r="D37" s="33" t="s">
        <v>2569</v>
      </c>
      <c r="E37" s="33" t="s">
        <v>12298</v>
      </c>
      <c r="F37" s="33" t="s">
        <v>12299</v>
      </c>
      <c r="G37" s="33" t="s">
        <v>2569</v>
      </c>
      <c r="H37" s="33" t="s">
        <v>2570</v>
      </c>
      <c r="I37" s="33" t="s">
        <v>10173</v>
      </c>
      <c r="J37" s="33" t="s">
        <v>12300</v>
      </c>
      <c r="K37" s="33" t="s">
        <v>12352</v>
      </c>
      <c r="L37" s="33" t="s">
        <v>12352</v>
      </c>
    </row>
    <row r="38" spans="1:12">
      <c r="A38" s="32" t="s">
        <v>12366</v>
      </c>
      <c r="B38" s="32" t="s">
        <v>2790</v>
      </c>
      <c r="C38" s="32" t="s">
        <v>2791</v>
      </c>
      <c r="D38" s="32" t="s">
        <v>12354</v>
      </c>
      <c r="E38" s="32" t="s">
        <v>12298</v>
      </c>
      <c r="F38" s="32" t="s">
        <v>12299</v>
      </c>
      <c r="G38" s="32" t="s">
        <v>2790</v>
      </c>
      <c r="H38" s="32" t="s">
        <v>2791</v>
      </c>
      <c r="I38" s="32" t="s">
        <v>9177</v>
      </c>
      <c r="J38" s="32" t="s">
        <v>12310</v>
      </c>
      <c r="K38" s="32" t="s">
        <v>12355</v>
      </c>
      <c r="L38" s="32"/>
    </row>
    <row r="39" spans="1:12" hidden="1">
      <c r="A39" s="33" t="s">
        <v>12367</v>
      </c>
      <c r="B39" s="33" t="s">
        <v>3255</v>
      </c>
      <c r="C39" s="33" t="s">
        <v>3256</v>
      </c>
      <c r="D39" s="33" t="s">
        <v>3255</v>
      </c>
      <c r="E39" s="33" t="s">
        <v>12298</v>
      </c>
      <c r="F39" s="33" t="s">
        <v>12299</v>
      </c>
      <c r="G39" s="33" t="s">
        <v>3255</v>
      </c>
      <c r="H39" s="33" t="s">
        <v>3256</v>
      </c>
      <c r="I39" s="33" t="s">
        <v>10173</v>
      </c>
      <c r="J39" s="33" t="s">
        <v>12300</v>
      </c>
      <c r="K39" s="33" t="s">
        <v>12364</v>
      </c>
      <c r="L39" s="33" t="s">
        <v>12364</v>
      </c>
    </row>
    <row r="40" spans="1:12" hidden="1">
      <c r="A40" s="32" t="s">
        <v>12368</v>
      </c>
      <c r="B40" s="32" t="s">
        <v>581</v>
      </c>
      <c r="C40" s="32" t="s">
        <v>12328</v>
      </c>
      <c r="D40" s="32" t="s">
        <v>581</v>
      </c>
      <c r="E40" s="32" t="s">
        <v>12298</v>
      </c>
      <c r="F40" s="32" t="s">
        <v>12299</v>
      </c>
      <c r="G40" s="32" t="s">
        <v>581</v>
      </c>
      <c r="H40" s="32" t="s">
        <v>12328</v>
      </c>
      <c r="I40" s="32" t="s">
        <v>11341</v>
      </c>
      <c r="J40" s="32" t="s">
        <v>12329</v>
      </c>
      <c r="K40" s="32" t="s">
        <v>12246</v>
      </c>
      <c r="L40" s="32"/>
    </row>
    <row r="41" spans="1:12" hidden="1">
      <c r="A41" s="33" t="s">
        <v>12369</v>
      </c>
      <c r="B41" s="33" t="s">
        <v>3769</v>
      </c>
      <c r="C41" s="33" t="s">
        <v>3770</v>
      </c>
      <c r="D41" s="33" t="s">
        <v>3769</v>
      </c>
      <c r="E41" s="33" t="s">
        <v>12298</v>
      </c>
      <c r="F41" s="33" t="s">
        <v>12299</v>
      </c>
      <c r="G41" s="33" t="s">
        <v>3769</v>
      </c>
      <c r="H41" s="33" t="s">
        <v>3770</v>
      </c>
      <c r="I41" s="33" t="s">
        <v>10173</v>
      </c>
      <c r="J41" s="33" t="s">
        <v>12300</v>
      </c>
      <c r="K41" s="33" t="s">
        <v>12370</v>
      </c>
      <c r="L41" s="33"/>
    </row>
    <row r="42" spans="1:12" hidden="1">
      <c r="A42" s="32" t="s">
        <v>12371</v>
      </c>
      <c r="B42" s="32" t="s">
        <v>3863</v>
      </c>
      <c r="C42" s="32" t="s">
        <v>3864</v>
      </c>
      <c r="D42" s="32" t="s">
        <v>3863</v>
      </c>
      <c r="E42" s="32" t="s">
        <v>12298</v>
      </c>
      <c r="F42" s="32" t="s">
        <v>12299</v>
      </c>
      <c r="G42" s="32" t="s">
        <v>3863</v>
      </c>
      <c r="H42" s="32" t="s">
        <v>3864</v>
      </c>
      <c r="I42" s="32" t="s">
        <v>10173</v>
      </c>
      <c r="J42" s="32" t="s">
        <v>12300</v>
      </c>
      <c r="K42" s="32" t="s">
        <v>12372</v>
      </c>
      <c r="L42" s="32"/>
    </row>
    <row r="43" spans="1:12" hidden="1">
      <c r="A43" s="33" t="s">
        <v>12373</v>
      </c>
      <c r="B43" s="33" t="s">
        <v>3889</v>
      </c>
      <c r="C43" s="33" t="s">
        <v>3890</v>
      </c>
      <c r="D43" s="33" t="s">
        <v>3889</v>
      </c>
      <c r="E43" s="33" t="s">
        <v>12298</v>
      </c>
      <c r="F43" s="33" t="s">
        <v>12299</v>
      </c>
      <c r="G43" s="33" t="s">
        <v>3889</v>
      </c>
      <c r="H43" s="33" t="s">
        <v>3890</v>
      </c>
      <c r="I43" s="33" t="s">
        <v>10173</v>
      </c>
      <c r="J43" s="33" t="s">
        <v>12300</v>
      </c>
      <c r="K43" s="33" t="s">
        <v>12374</v>
      </c>
      <c r="L43" s="33"/>
    </row>
    <row r="44" spans="1:12" hidden="1">
      <c r="A44" s="32" t="s">
        <v>12375</v>
      </c>
      <c r="B44" s="32" t="s">
        <v>3917</v>
      </c>
      <c r="C44" s="32" t="s">
        <v>3918</v>
      </c>
      <c r="D44" s="32" t="s">
        <v>3917</v>
      </c>
      <c r="E44" s="32" t="s">
        <v>12298</v>
      </c>
      <c r="F44" s="32" t="s">
        <v>12299</v>
      </c>
      <c r="G44" s="32" t="s">
        <v>3917</v>
      </c>
      <c r="H44" s="32" t="s">
        <v>3918</v>
      </c>
      <c r="I44" s="32" t="s">
        <v>10173</v>
      </c>
      <c r="J44" s="32" t="s">
        <v>12300</v>
      </c>
      <c r="K44" s="32" t="s">
        <v>12376</v>
      </c>
      <c r="L44" s="32"/>
    </row>
    <row r="45" spans="1:12" hidden="1">
      <c r="A45" s="33" t="s">
        <v>12377</v>
      </c>
      <c r="B45" s="33" t="s">
        <v>698</v>
      </c>
      <c r="C45" s="33" t="s">
        <v>699</v>
      </c>
      <c r="D45" s="33" t="s">
        <v>698</v>
      </c>
      <c r="E45" s="33" t="s">
        <v>12298</v>
      </c>
      <c r="F45" s="33" t="s">
        <v>12299</v>
      </c>
      <c r="G45" s="33" t="s">
        <v>698</v>
      </c>
      <c r="H45" s="33" t="s">
        <v>699</v>
      </c>
      <c r="I45" s="33" t="s">
        <v>10173</v>
      </c>
      <c r="J45" s="33" t="s">
        <v>12300</v>
      </c>
      <c r="K45" s="33" t="s">
        <v>12333</v>
      </c>
      <c r="L45" s="33"/>
    </row>
    <row r="46" spans="1:12" hidden="1">
      <c r="A46" s="32" t="s">
        <v>12378</v>
      </c>
      <c r="B46" s="32" t="s">
        <v>4092</v>
      </c>
      <c r="C46" s="32" t="s">
        <v>4093</v>
      </c>
      <c r="D46" s="32" t="s">
        <v>4092</v>
      </c>
      <c r="E46" s="32" t="s">
        <v>12298</v>
      </c>
      <c r="F46" s="32" t="s">
        <v>12299</v>
      </c>
      <c r="G46" s="32" t="s">
        <v>4092</v>
      </c>
      <c r="H46" s="32" t="s">
        <v>4093</v>
      </c>
      <c r="I46" s="32" t="s">
        <v>10173</v>
      </c>
      <c r="J46" s="32" t="s">
        <v>12300</v>
      </c>
      <c r="K46" s="32" t="s">
        <v>12379</v>
      </c>
      <c r="L46" s="32" t="s">
        <v>12379</v>
      </c>
    </row>
    <row r="47" spans="1:12">
      <c r="A47" s="33" t="s">
        <v>12380</v>
      </c>
      <c r="B47" s="33"/>
      <c r="C47" s="33" t="s">
        <v>12324</v>
      </c>
      <c r="D47" s="33" t="s">
        <v>9516</v>
      </c>
      <c r="E47" s="33" t="s">
        <v>12298</v>
      </c>
      <c r="F47" s="33" t="s">
        <v>12299</v>
      </c>
      <c r="G47" s="33" t="s">
        <v>9516</v>
      </c>
      <c r="H47" s="33" t="s">
        <v>9517</v>
      </c>
      <c r="I47" s="33" t="s">
        <v>9185</v>
      </c>
      <c r="J47" s="33" t="s">
        <v>12310</v>
      </c>
      <c r="K47" s="33" t="s">
        <v>9518</v>
      </c>
      <c r="L47" s="33"/>
    </row>
    <row r="48" spans="1:12">
      <c r="A48" s="32" t="s">
        <v>12381</v>
      </c>
      <c r="B48" s="32" t="s">
        <v>2790</v>
      </c>
      <c r="C48" s="32" t="s">
        <v>2791</v>
      </c>
      <c r="D48" s="32" t="s">
        <v>12354</v>
      </c>
      <c r="E48" s="32" t="s">
        <v>12298</v>
      </c>
      <c r="F48" s="32" t="s">
        <v>12299</v>
      </c>
      <c r="G48" s="32" t="s">
        <v>2790</v>
      </c>
      <c r="H48" s="32" t="s">
        <v>2791</v>
      </c>
      <c r="I48" s="32" t="s">
        <v>9177</v>
      </c>
      <c r="J48" s="32" t="s">
        <v>12310</v>
      </c>
      <c r="K48" s="32" t="s">
        <v>12355</v>
      </c>
      <c r="L48" s="32"/>
    </row>
    <row r="49" spans="1:12" hidden="1">
      <c r="A49" s="33" t="s">
        <v>12382</v>
      </c>
      <c r="B49" s="33" t="s">
        <v>4092</v>
      </c>
      <c r="C49" s="33" t="s">
        <v>4093</v>
      </c>
      <c r="D49" s="33" t="s">
        <v>4092</v>
      </c>
      <c r="E49" s="33" t="s">
        <v>12298</v>
      </c>
      <c r="F49" s="33" t="s">
        <v>12299</v>
      </c>
      <c r="G49" s="33" t="s">
        <v>4092</v>
      </c>
      <c r="H49" s="33" t="s">
        <v>4093</v>
      </c>
      <c r="I49" s="33" t="s">
        <v>10173</v>
      </c>
      <c r="J49" s="33" t="s">
        <v>12300</v>
      </c>
      <c r="K49" s="33" t="s">
        <v>12379</v>
      </c>
      <c r="L49" s="33" t="s">
        <v>12379</v>
      </c>
    </row>
    <row r="50" spans="1:12" hidden="1">
      <c r="A50" s="34" t="s">
        <v>12383</v>
      </c>
      <c r="B50" s="34"/>
      <c r="C50" s="34" t="s">
        <v>4394</v>
      </c>
      <c r="D50" s="34"/>
      <c r="E50" s="34" t="s">
        <v>12298</v>
      </c>
      <c r="F50" s="34" t="s">
        <v>12384</v>
      </c>
      <c r="G50" s="34" t="s">
        <v>10169</v>
      </c>
      <c r="H50" s="34" t="s">
        <v>12385</v>
      </c>
      <c r="I50" s="34" t="s">
        <v>10173</v>
      </c>
      <c r="J50" s="34" t="s">
        <v>12300</v>
      </c>
      <c r="K50" s="34" t="s">
        <v>12386</v>
      </c>
      <c r="L50" s="34"/>
    </row>
    <row r="51" spans="1:12" hidden="1">
      <c r="A51" s="33" t="s">
        <v>12387</v>
      </c>
      <c r="B51" s="33"/>
      <c r="C51" s="33" t="s">
        <v>12388</v>
      </c>
      <c r="D51" s="33" t="s">
        <v>10531</v>
      </c>
      <c r="E51" s="33" t="s">
        <v>12298</v>
      </c>
      <c r="F51" s="33" t="s">
        <v>12299</v>
      </c>
      <c r="G51" s="33" t="s">
        <v>10531</v>
      </c>
      <c r="H51" s="33" t="s">
        <v>12389</v>
      </c>
      <c r="I51" s="33" t="s">
        <v>10168</v>
      </c>
      <c r="J51" s="33" t="s">
        <v>12300</v>
      </c>
      <c r="K51" s="33" t="s">
        <v>10532</v>
      </c>
      <c r="L51" s="33"/>
    </row>
    <row r="52" spans="1:12">
      <c r="A52" s="32" t="s">
        <v>12390</v>
      </c>
      <c r="B52" s="32"/>
      <c r="C52" s="32" t="s">
        <v>12324</v>
      </c>
      <c r="D52" s="32" t="s">
        <v>9516</v>
      </c>
      <c r="E52" s="32" t="s">
        <v>12298</v>
      </c>
      <c r="F52" s="32" t="s">
        <v>12299</v>
      </c>
      <c r="G52" s="32" t="s">
        <v>9516</v>
      </c>
      <c r="H52" s="32" t="s">
        <v>9517</v>
      </c>
      <c r="I52" s="32" t="s">
        <v>9185</v>
      </c>
      <c r="J52" s="32" t="s">
        <v>12310</v>
      </c>
      <c r="K52" s="32" t="s">
        <v>9518</v>
      </c>
      <c r="L52" s="32"/>
    </row>
    <row r="53" spans="1:12" hidden="1">
      <c r="A53" s="33" t="s">
        <v>12391</v>
      </c>
      <c r="B53" s="33" t="s">
        <v>1571</v>
      </c>
      <c r="C53" s="33" t="s">
        <v>12345</v>
      </c>
      <c r="D53" s="33" t="s">
        <v>1571</v>
      </c>
      <c r="E53" s="33" t="s">
        <v>12298</v>
      </c>
      <c r="F53" s="33" t="s">
        <v>12299</v>
      </c>
      <c r="G53" s="33" t="s">
        <v>1571</v>
      </c>
      <c r="H53" s="33" t="s">
        <v>12345</v>
      </c>
      <c r="I53" s="33" t="s">
        <v>11341</v>
      </c>
      <c r="J53" s="33" t="s">
        <v>12329</v>
      </c>
      <c r="K53" s="33" t="s">
        <v>12244</v>
      </c>
      <c r="L53" s="33"/>
    </row>
    <row r="54" spans="1:12" hidden="1">
      <c r="A54" s="32" t="s">
        <v>12392</v>
      </c>
      <c r="B54" s="32" t="s">
        <v>1077</v>
      </c>
      <c r="C54" s="32" t="s">
        <v>12342</v>
      </c>
      <c r="D54" s="32" t="s">
        <v>1077</v>
      </c>
      <c r="E54" s="32" t="s">
        <v>12298</v>
      </c>
      <c r="F54" s="32" t="s">
        <v>12299</v>
      </c>
      <c r="G54" s="32" t="s">
        <v>1077</v>
      </c>
      <c r="H54" s="32" t="s">
        <v>12342</v>
      </c>
      <c r="I54" s="32" t="s">
        <v>11341</v>
      </c>
      <c r="J54" s="32" t="s">
        <v>12329</v>
      </c>
      <c r="K54" s="32" t="s">
        <v>12242</v>
      </c>
      <c r="L54" s="32"/>
    </row>
    <row r="55" spans="1:12" hidden="1">
      <c r="A55" s="33" t="s">
        <v>12393</v>
      </c>
      <c r="B55" s="33" t="s">
        <v>581</v>
      </c>
      <c r="C55" s="33" t="s">
        <v>12328</v>
      </c>
      <c r="D55" s="33" t="s">
        <v>581</v>
      </c>
      <c r="E55" s="33" t="s">
        <v>12298</v>
      </c>
      <c r="F55" s="33" t="s">
        <v>12299</v>
      </c>
      <c r="G55" s="33" t="s">
        <v>581</v>
      </c>
      <c r="H55" s="33" t="s">
        <v>12328</v>
      </c>
      <c r="I55" s="33" t="s">
        <v>11341</v>
      </c>
      <c r="J55" s="33" t="s">
        <v>12329</v>
      </c>
      <c r="K55" s="33" t="s">
        <v>12246</v>
      </c>
      <c r="L55" s="33"/>
    </row>
    <row r="56" spans="1:12" hidden="1">
      <c r="A56" s="35" t="s">
        <v>12394</v>
      </c>
      <c r="B56" s="35" t="s">
        <v>4849</v>
      </c>
      <c r="C56" s="35"/>
      <c r="D56" s="35" t="s">
        <v>4849</v>
      </c>
      <c r="E56" s="35" t="s">
        <v>12395</v>
      </c>
      <c r="F56" s="35" t="s">
        <v>12396</v>
      </c>
      <c r="G56" s="35"/>
      <c r="H56" s="35"/>
      <c r="I56" s="35"/>
      <c r="J56" s="35"/>
      <c r="K56" s="35"/>
      <c r="L56" s="35"/>
    </row>
    <row r="57" spans="1:12" hidden="1">
      <c r="A57" s="33" t="s">
        <v>12397</v>
      </c>
      <c r="B57" s="33" t="s">
        <v>4858</v>
      </c>
      <c r="C57" s="33" t="s">
        <v>4859</v>
      </c>
      <c r="D57" s="33" t="s">
        <v>4858</v>
      </c>
      <c r="E57" s="33" t="s">
        <v>12298</v>
      </c>
      <c r="F57" s="33" t="s">
        <v>12299</v>
      </c>
      <c r="G57" s="33" t="s">
        <v>4858</v>
      </c>
      <c r="H57" s="33" t="s">
        <v>4859</v>
      </c>
      <c r="I57" s="33" t="s">
        <v>11337</v>
      </c>
      <c r="J57" s="33" t="s">
        <v>12329</v>
      </c>
      <c r="K57" s="33" t="s">
        <v>12398</v>
      </c>
      <c r="L57" s="33"/>
    </row>
    <row r="58" spans="1:12" hidden="1">
      <c r="A58" s="32" t="s">
        <v>12399</v>
      </c>
      <c r="B58" s="32" t="s">
        <v>2002</v>
      </c>
      <c r="C58" s="32" t="s">
        <v>2003</v>
      </c>
      <c r="D58" s="32" t="s">
        <v>2002</v>
      </c>
      <c r="E58" s="32" t="s">
        <v>12298</v>
      </c>
      <c r="F58" s="32" t="s">
        <v>12299</v>
      </c>
      <c r="G58" s="32" t="s">
        <v>2002</v>
      </c>
      <c r="H58" s="32" t="s">
        <v>2003</v>
      </c>
      <c r="I58" s="32" t="s">
        <v>10173</v>
      </c>
      <c r="J58" s="32" t="s">
        <v>12300</v>
      </c>
      <c r="K58" s="32" t="s">
        <v>9783</v>
      </c>
      <c r="L58" s="32"/>
    </row>
    <row r="59" spans="1:12" hidden="1">
      <c r="A59" s="33" t="s">
        <v>12400</v>
      </c>
      <c r="B59" s="33" t="s">
        <v>5056</v>
      </c>
      <c r="C59" s="33" t="s">
        <v>5057</v>
      </c>
      <c r="D59" s="33" t="s">
        <v>5056</v>
      </c>
      <c r="E59" s="33" t="s">
        <v>12298</v>
      </c>
      <c r="F59" s="33" t="s">
        <v>12299</v>
      </c>
      <c r="G59" s="33" t="s">
        <v>5056</v>
      </c>
      <c r="H59" s="33" t="s">
        <v>5057</v>
      </c>
      <c r="I59" s="33" t="s">
        <v>10173</v>
      </c>
      <c r="J59" s="33" t="s">
        <v>12300</v>
      </c>
      <c r="K59" s="33" t="s">
        <v>12401</v>
      </c>
      <c r="L59" s="33"/>
    </row>
    <row r="60" spans="1:12" hidden="1">
      <c r="A60" s="32" t="s">
        <v>12402</v>
      </c>
      <c r="B60" s="32" t="s">
        <v>2002</v>
      </c>
      <c r="C60" s="32" t="s">
        <v>2003</v>
      </c>
      <c r="D60" s="32" t="s">
        <v>2002</v>
      </c>
      <c r="E60" s="32" t="s">
        <v>12298</v>
      </c>
      <c r="F60" s="32" t="s">
        <v>12299</v>
      </c>
      <c r="G60" s="32" t="s">
        <v>2002</v>
      </c>
      <c r="H60" s="32" t="s">
        <v>2003</v>
      </c>
      <c r="I60" s="32" t="s">
        <v>10173</v>
      </c>
      <c r="J60" s="32" t="s">
        <v>12300</v>
      </c>
      <c r="K60" s="32" t="s">
        <v>9783</v>
      </c>
      <c r="L60" s="32"/>
    </row>
    <row r="61" spans="1:12" hidden="1">
      <c r="A61" s="33" t="s">
        <v>12403</v>
      </c>
      <c r="B61" s="33" t="s">
        <v>5056</v>
      </c>
      <c r="C61" s="33" t="s">
        <v>5057</v>
      </c>
      <c r="D61" s="33" t="s">
        <v>5056</v>
      </c>
      <c r="E61" s="33" t="s">
        <v>12298</v>
      </c>
      <c r="F61" s="33" t="s">
        <v>12299</v>
      </c>
      <c r="G61" s="33" t="s">
        <v>5056</v>
      </c>
      <c r="H61" s="33" t="s">
        <v>5057</v>
      </c>
      <c r="I61" s="33" t="s">
        <v>10173</v>
      </c>
      <c r="J61" s="33" t="s">
        <v>12300</v>
      </c>
      <c r="K61" s="33" t="s">
        <v>12401</v>
      </c>
      <c r="L61" s="33"/>
    </row>
    <row r="62" spans="1:12">
      <c r="A62" s="32" t="s">
        <v>12404</v>
      </c>
      <c r="B62" s="32"/>
      <c r="C62" s="32" t="s">
        <v>12324</v>
      </c>
      <c r="D62" s="32" t="s">
        <v>9516</v>
      </c>
      <c r="E62" s="32" t="s">
        <v>12298</v>
      </c>
      <c r="F62" s="32" t="s">
        <v>12299</v>
      </c>
      <c r="G62" s="32" t="s">
        <v>9516</v>
      </c>
      <c r="H62" s="32" t="s">
        <v>9517</v>
      </c>
      <c r="I62" s="32" t="s">
        <v>9185</v>
      </c>
      <c r="J62" s="32" t="s">
        <v>12310</v>
      </c>
      <c r="K62" s="32" t="s">
        <v>9518</v>
      </c>
      <c r="L62" s="32"/>
    </row>
    <row r="63" spans="1:12">
      <c r="A63" s="33" t="s">
        <v>12405</v>
      </c>
      <c r="B63" s="33"/>
      <c r="C63" s="33" t="s">
        <v>12324</v>
      </c>
      <c r="D63" s="33" t="s">
        <v>9516</v>
      </c>
      <c r="E63" s="33" t="s">
        <v>12298</v>
      </c>
      <c r="F63" s="33" t="s">
        <v>12299</v>
      </c>
      <c r="G63" s="33" t="s">
        <v>9516</v>
      </c>
      <c r="H63" s="33" t="s">
        <v>9517</v>
      </c>
      <c r="I63" s="33" t="s">
        <v>9185</v>
      </c>
      <c r="J63" s="33" t="s">
        <v>12310</v>
      </c>
      <c r="K63" s="33" t="s">
        <v>9518</v>
      </c>
      <c r="L63" s="33"/>
    </row>
    <row r="64" spans="1:12" hidden="1">
      <c r="A64" s="34" t="s">
        <v>12406</v>
      </c>
      <c r="B64" s="34"/>
      <c r="C64" s="34" t="s">
        <v>12407</v>
      </c>
      <c r="D64" s="34"/>
      <c r="E64" s="34" t="s">
        <v>12298</v>
      </c>
      <c r="F64" s="34" t="s">
        <v>12384</v>
      </c>
      <c r="G64" s="34" t="s">
        <v>11218</v>
      </c>
      <c r="H64" s="34" t="s">
        <v>11219</v>
      </c>
      <c r="I64" s="34" t="s">
        <v>10168</v>
      </c>
      <c r="J64" s="34" t="s">
        <v>12300</v>
      </c>
      <c r="K64" s="34" t="s">
        <v>11220</v>
      </c>
      <c r="L64" s="34"/>
    </row>
    <row r="65" spans="1:12" hidden="1">
      <c r="A65" s="33" t="s">
        <v>12408</v>
      </c>
      <c r="B65" s="33" t="s">
        <v>5388</v>
      </c>
      <c r="C65" s="33" t="s">
        <v>5389</v>
      </c>
      <c r="D65" s="33" t="s">
        <v>5388</v>
      </c>
      <c r="E65" s="33" t="s">
        <v>12298</v>
      </c>
      <c r="F65" s="33" t="s">
        <v>12299</v>
      </c>
      <c r="G65" s="33" t="s">
        <v>5388</v>
      </c>
      <c r="H65" s="33" t="s">
        <v>5389</v>
      </c>
      <c r="I65" s="33" t="s">
        <v>11341</v>
      </c>
      <c r="J65" s="33" t="s">
        <v>12329</v>
      </c>
      <c r="K65" s="33" t="s">
        <v>12248</v>
      </c>
      <c r="L65" s="33"/>
    </row>
    <row r="66" spans="1:12" hidden="1">
      <c r="A66" s="35" t="s">
        <v>12409</v>
      </c>
      <c r="B66" s="35" t="s">
        <v>5421</v>
      </c>
      <c r="C66" s="35"/>
      <c r="D66" s="35" t="s">
        <v>5421</v>
      </c>
      <c r="E66" s="35" t="s">
        <v>12395</v>
      </c>
      <c r="F66" s="35" t="s">
        <v>12396</v>
      </c>
      <c r="G66" s="35"/>
      <c r="H66" s="35"/>
      <c r="I66" s="35"/>
      <c r="J66" s="35"/>
      <c r="K66" s="35"/>
      <c r="L66" s="35"/>
    </row>
    <row r="67" spans="1:12" hidden="1">
      <c r="A67" s="33" t="s">
        <v>12410</v>
      </c>
      <c r="B67" s="33" t="s">
        <v>5479</v>
      </c>
      <c r="C67" s="33" t="s">
        <v>5480</v>
      </c>
      <c r="D67" s="33" t="s">
        <v>5479</v>
      </c>
      <c r="E67" s="33" t="s">
        <v>12298</v>
      </c>
      <c r="F67" s="33" t="s">
        <v>12299</v>
      </c>
      <c r="G67" s="33" t="s">
        <v>5479</v>
      </c>
      <c r="H67" s="33" t="s">
        <v>5480</v>
      </c>
      <c r="I67" s="33" t="s">
        <v>10173</v>
      </c>
      <c r="J67" s="33" t="s">
        <v>12300</v>
      </c>
      <c r="K67" s="33" t="s">
        <v>12411</v>
      </c>
      <c r="L67" s="33"/>
    </row>
    <row r="68" spans="1:12" hidden="1">
      <c r="A68" s="32" t="s">
        <v>12412</v>
      </c>
      <c r="B68" s="32" t="s">
        <v>5539</v>
      </c>
      <c r="C68" s="32" t="s">
        <v>5540</v>
      </c>
      <c r="D68" s="32" t="s">
        <v>5539</v>
      </c>
      <c r="E68" s="32" t="s">
        <v>12298</v>
      </c>
      <c r="F68" s="32" t="s">
        <v>12299</v>
      </c>
      <c r="G68" s="32" t="s">
        <v>5539</v>
      </c>
      <c r="H68" s="32" t="s">
        <v>5540</v>
      </c>
      <c r="I68" s="32" t="s">
        <v>10173</v>
      </c>
      <c r="J68" s="32" t="s">
        <v>12300</v>
      </c>
      <c r="K68" s="32" t="s">
        <v>12413</v>
      </c>
      <c r="L68" s="32"/>
    </row>
    <row r="69" spans="1:12" hidden="1">
      <c r="A69" s="35" t="s">
        <v>12414</v>
      </c>
      <c r="B69" s="35" t="s">
        <v>5796</v>
      </c>
      <c r="C69" s="35"/>
      <c r="D69" s="35" t="s">
        <v>5796</v>
      </c>
      <c r="E69" s="35" t="s">
        <v>12395</v>
      </c>
      <c r="F69" s="35" t="s">
        <v>12396</v>
      </c>
      <c r="G69" s="35"/>
      <c r="H69" s="35"/>
      <c r="I69" s="35"/>
      <c r="J69" s="35"/>
      <c r="K69" s="35"/>
      <c r="L69" s="35"/>
    </row>
    <row r="70" spans="1:12" hidden="1">
      <c r="A70" s="32" t="s">
        <v>12415</v>
      </c>
      <c r="B70" s="32" t="s">
        <v>5850</v>
      </c>
      <c r="C70" s="32" t="s">
        <v>5851</v>
      </c>
      <c r="D70" s="32" t="s">
        <v>5850</v>
      </c>
      <c r="E70" s="32" t="s">
        <v>12298</v>
      </c>
      <c r="F70" s="32" t="s">
        <v>12299</v>
      </c>
      <c r="G70" s="32" t="s">
        <v>5850</v>
      </c>
      <c r="H70" s="32"/>
      <c r="I70" s="32" t="s">
        <v>10173</v>
      </c>
      <c r="J70" s="32" t="s">
        <v>12300</v>
      </c>
      <c r="K70" s="32" t="s">
        <v>12416</v>
      </c>
      <c r="L70" s="32"/>
    </row>
    <row r="71" spans="1:12" hidden="1">
      <c r="A71" s="35" t="s">
        <v>12417</v>
      </c>
      <c r="B71" s="35" t="s">
        <v>5421</v>
      </c>
      <c r="C71" s="35"/>
      <c r="D71" s="35" t="s">
        <v>5421</v>
      </c>
      <c r="E71" s="35" t="s">
        <v>12395</v>
      </c>
      <c r="F71" s="35" t="s">
        <v>12396</v>
      </c>
      <c r="G71" s="35"/>
      <c r="H71" s="35"/>
      <c r="I71" s="35"/>
      <c r="J71" s="35"/>
      <c r="K71" s="35"/>
      <c r="L71" s="35"/>
    </row>
    <row r="72" spans="1:12" hidden="1">
      <c r="A72" s="35" t="s">
        <v>12418</v>
      </c>
      <c r="B72" s="35" t="s">
        <v>5870</v>
      </c>
      <c r="C72" s="35"/>
      <c r="D72" s="35" t="s">
        <v>5870</v>
      </c>
      <c r="E72" s="35" t="s">
        <v>12395</v>
      </c>
      <c r="F72" s="35" t="s">
        <v>12396</v>
      </c>
      <c r="G72" s="35"/>
      <c r="H72" s="35"/>
      <c r="I72" s="35"/>
      <c r="J72" s="35"/>
      <c r="K72" s="35"/>
      <c r="L72" s="35"/>
    </row>
    <row r="73" spans="1:12" hidden="1">
      <c r="A73" s="35" t="s">
        <v>12419</v>
      </c>
      <c r="B73" s="35" t="s">
        <v>5882</v>
      </c>
      <c r="C73" s="35"/>
      <c r="D73" s="35" t="s">
        <v>5882</v>
      </c>
      <c r="E73" s="35" t="s">
        <v>12395</v>
      </c>
      <c r="F73" s="35" t="s">
        <v>12396</v>
      </c>
      <c r="G73" s="35"/>
      <c r="H73" s="35"/>
      <c r="I73" s="35"/>
      <c r="J73" s="35"/>
      <c r="K73" s="35"/>
      <c r="L73" s="35"/>
    </row>
    <row r="74" spans="1:12" hidden="1">
      <c r="A74" s="35" t="s">
        <v>12420</v>
      </c>
      <c r="B74" s="35" t="s">
        <v>5939</v>
      </c>
      <c r="C74" s="35"/>
      <c r="D74" s="35" t="s">
        <v>5939</v>
      </c>
      <c r="E74" s="35" t="s">
        <v>12395</v>
      </c>
      <c r="F74" s="35" t="s">
        <v>12396</v>
      </c>
      <c r="G74" s="35"/>
      <c r="H74" s="35"/>
      <c r="I74" s="35"/>
      <c r="J74" s="35"/>
      <c r="K74" s="35"/>
      <c r="L74" s="35"/>
    </row>
    <row r="75" spans="1:12" hidden="1">
      <c r="A75" s="35" t="s">
        <v>12421</v>
      </c>
      <c r="B75" s="35" t="s">
        <v>5994</v>
      </c>
      <c r="C75" s="35"/>
      <c r="D75" s="35" t="s">
        <v>5994</v>
      </c>
      <c r="E75" s="35" t="s">
        <v>12395</v>
      </c>
      <c r="F75" s="35" t="s">
        <v>12396</v>
      </c>
      <c r="G75" s="35"/>
      <c r="H75" s="35"/>
      <c r="I75" s="35"/>
      <c r="J75" s="35"/>
      <c r="K75" s="35"/>
      <c r="L75" s="35"/>
    </row>
    <row r="76" spans="1:12" hidden="1">
      <c r="A76" s="35" t="s">
        <v>12422</v>
      </c>
      <c r="B76" s="35" t="s">
        <v>6009</v>
      </c>
      <c r="C76" s="35"/>
      <c r="D76" s="35" t="s">
        <v>6009</v>
      </c>
      <c r="E76" s="35" t="s">
        <v>12395</v>
      </c>
      <c r="F76" s="35" t="s">
        <v>12396</v>
      </c>
      <c r="G76" s="35"/>
      <c r="H76" s="35"/>
      <c r="I76" s="35"/>
      <c r="J76" s="35"/>
      <c r="K76" s="35"/>
      <c r="L76" s="35"/>
    </row>
    <row r="77" spans="1:12" hidden="1">
      <c r="A77" s="35" t="s">
        <v>12423</v>
      </c>
      <c r="B77" s="35" t="s">
        <v>6012</v>
      </c>
      <c r="C77" s="35"/>
      <c r="D77" s="35" t="s">
        <v>6012</v>
      </c>
      <c r="E77" s="35" t="s">
        <v>12395</v>
      </c>
      <c r="F77" s="35" t="s">
        <v>12396</v>
      </c>
      <c r="G77" s="35"/>
      <c r="H77" s="35"/>
      <c r="I77" s="35"/>
      <c r="J77" s="35"/>
      <c r="K77" s="35"/>
      <c r="L77" s="35"/>
    </row>
    <row r="78" spans="1:12" hidden="1">
      <c r="A78" s="35" t="s">
        <v>12424</v>
      </c>
      <c r="B78" s="35" t="s">
        <v>5882</v>
      </c>
      <c r="C78" s="35"/>
      <c r="D78" s="35" t="s">
        <v>5882</v>
      </c>
      <c r="E78" s="35" t="s">
        <v>12395</v>
      </c>
      <c r="F78" s="35" t="s">
        <v>12396</v>
      </c>
      <c r="G78" s="35"/>
      <c r="H78" s="35"/>
      <c r="I78" s="35"/>
      <c r="J78" s="35"/>
      <c r="K78" s="35"/>
      <c r="L78" s="35"/>
    </row>
    <row r="79" spans="1:12" hidden="1">
      <c r="A79" s="35" t="s">
        <v>12425</v>
      </c>
      <c r="B79" s="35" t="s">
        <v>6012</v>
      </c>
      <c r="C79" s="35"/>
      <c r="D79" s="35" t="s">
        <v>6012</v>
      </c>
      <c r="E79" s="35" t="s">
        <v>12395</v>
      </c>
      <c r="F79" s="35" t="s">
        <v>12396</v>
      </c>
      <c r="G79" s="35"/>
      <c r="H79" s="35"/>
      <c r="I79" s="35"/>
      <c r="J79" s="35"/>
      <c r="K79" s="35"/>
      <c r="L79" s="35"/>
    </row>
    <row r="80" spans="1:12" hidden="1">
      <c r="A80" s="32" t="s">
        <v>12426</v>
      </c>
      <c r="B80" s="32" t="s">
        <v>5056</v>
      </c>
      <c r="C80" s="32" t="s">
        <v>5057</v>
      </c>
      <c r="D80" s="32" t="s">
        <v>5056</v>
      </c>
      <c r="E80" s="32" t="s">
        <v>12298</v>
      </c>
      <c r="F80" s="32" t="s">
        <v>12299</v>
      </c>
      <c r="G80" s="32" t="s">
        <v>5056</v>
      </c>
      <c r="H80" s="32" t="s">
        <v>5057</v>
      </c>
      <c r="I80" s="32" t="s">
        <v>10173</v>
      </c>
      <c r="J80" s="32" t="s">
        <v>12300</v>
      </c>
      <c r="K80" s="32" t="s">
        <v>12401</v>
      </c>
      <c r="L80" s="32"/>
    </row>
    <row r="81" spans="1:12" hidden="1">
      <c r="A81" s="33" t="s">
        <v>12427</v>
      </c>
      <c r="B81" s="33" t="s">
        <v>6571</v>
      </c>
      <c r="C81" s="33" t="s">
        <v>6572</v>
      </c>
      <c r="D81" s="33" t="s">
        <v>6571</v>
      </c>
      <c r="E81" s="33" t="s">
        <v>12298</v>
      </c>
      <c r="F81" s="33" t="s">
        <v>12299</v>
      </c>
      <c r="G81" s="33" t="s">
        <v>6571</v>
      </c>
      <c r="H81" s="33" t="s">
        <v>6572</v>
      </c>
      <c r="I81" s="33" t="s">
        <v>10173</v>
      </c>
      <c r="J81" s="33" t="s">
        <v>12300</v>
      </c>
      <c r="K81" s="33" t="s">
        <v>12428</v>
      </c>
      <c r="L81" s="33"/>
    </row>
    <row r="82" spans="1:12" hidden="1">
      <c r="A82" s="32" t="s">
        <v>12429</v>
      </c>
      <c r="B82" s="32" t="s">
        <v>6587</v>
      </c>
      <c r="C82" s="32" t="s">
        <v>6588</v>
      </c>
      <c r="D82" s="32" t="s">
        <v>6587</v>
      </c>
      <c r="E82" s="32" t="s">
        <v>12298</v>
      </c>
      <c r="F82" s="32" t="s">
        <v>12299</v>
      </c>
      <c r="G82" s="32" t="s">
        <v>6587</v>
      </c>
      <c r="H82" s="32" t="s">
        <v>6588</v>
      </c>
      <c r="I82" s="32" t="s">
        <v>10173</v>
      </c>
      <c r="J82" s="32" t="s">
        <v>12300</v>
      </c>
      <c r="K82" s="32" t="s">
        <v>12430</v>
      </c>
      <c r="L82" s="32"/>
    </row>
    <row r="83" spans="1:12" hidden="1">
      <c r="A83" s="35" t="s">
        <v>12431</v>
      </c>
      <c r="B83" s="35" t="s">
        <v>6684</v>
      </c>
      <c r="C83" s="35"/>
      <c r="D83" s="35" t="s">
        <v>6684</v>
      </c>
      <c r="E83" s="35" t="s">
        <v>12395</v>
      </c>
      <c r="F83" s="35" t="s">
        <v>12396</v>
      </c>
      <c r="G83" s="35"/>
      <c r="H83" s="35"/>
      <c r="I83" s="35"/>
      <c r="J83" s="35"/>
      <c r="K83" s="35"/>
      <c r="L83" s="35"/>
    </row>
    <row r="84" spans="1:12">
      <c r="A84" s="32" t="s">
        <v>12432</v>
      </c>
      <c r="B84" s="32"/>
      <c r="C84" s="32" t="s">
        <v>12433</v>
      </c>
      <c r="D84" s="32" t="s">
        <v>9508</v>
      </c>
      <c r="E84" s="32" t="s">
        <v>12298</v>
      </c>
      <c r="F84" s="32" t="s">
        <v>12299</v>
      </c>
      <c r="G84" s="32" t="s">
        <v>9508</v>
      </c>
      <c r="H84" s="32"/>
      <c r="I84" s="32" t="s">
        <v>9185</v>
      </c>
      <c r="J84" s="32" t="s">
        <v>12310</v>
      </c>
      <c r="K84" s="32" t="s">
        <v>9509</v>
      </c>
      <c r="L84" s="32"/>
    </row>
    <row r="85" spans="1:12" hidden="1">
      <c r="A85" s="33" t="s">
        <v>12434</v>
      </c>
      <c r="B85" s="33" t="s">
        <v>6991</v>
      </c>
      <c r="C85" s="33" t="s">
        <v>6992</v>
      </c>
      <c r="D85" s="33" t="s">
        <v>6991</v>
      </c>
      <c r="E85" s="33" t="s">
        <v>12298</v>
      </c>
      <c r="F85" s="33" t="s">
        <v>12299</v>
      </c>
      <c r="G85" s="33" t="s">
        <v>6991</v>
      </c>
      <c r="H85" s="33" t="s">
        <v>6992</v>
      </c>
      <c r="I85" s="33" t="s">
        <v>10173</v>
      </c>
      <c r="J85" s="33" t="s">
        <v>12300</v>
      </c>
      <c r="K85" s="33" t="s">
        <v>12435</v>
      </c>
      <c r="L85" s="33" t="s">
        <v>12435</v>
      </c>
    </row>
    <row r="86" spans="1:12">
      <c r="A86" s="32" t="s">
        <v>12436</v>
      </c>
      <c r="B86" s="32"/>
      <c r="C86" s="32" t="s">
        <v>12433</v>
      </c>
      <c r="D86" s="32" t="s">
        <v>9508</v>
      </c>
      <c r="E86" s="32" t="s">
        <v>12298</v>
      </c>
      <c r="F86" s="32" t="s">
        <v>12299</v>
      </c>
      <c r="G86" s="32" t="s">
        <v>9508</v>
      </c>
      <c r="H86" s="32"/>
      <c r="I86" s="32" t="s">
        <v>9185</v>
      </c>
      <c r="J86" s="32" t="s">
        <v>12310</v>
      </c>
      <c r="K86" s="32" t="s">
        <v>9509</v>
      </c>
      <c r="L86" s="32"/>
    </row>
    <row r="87" spans="1:12" hidden="1">
      <c r="A87" s="33" t="s">
        <v>12437</v>
      </c>
      <c r="B87" s="33" t="s">
        <v>7230</v>
      </c>
      <c r="C87" s="33" t="s">
        <v>7231</v>
      </c>
      <c r="D87" s="33" t="s">
        <v>7230</v>
      </c>
      <c r="E87" s="33" t="s">
        <v>12298</v>
      </c>
      <c r="F87" s="33" t="s">
        <v>12299</v>
      </c>
      <c r="G87" s="33" t="s">
        <v>7230</v>
      </c>
      <c r="H87" s="33" t="s">
        <v>12438</v>
      </c>
      <c r="I87" s="33" t="s">
        <v>10173</v>
      </c>
      <c r="J87" s="33" t="s">
        <v>12300</v>
      </c>
      <c r="K87" s="33" t="s">
        <v>12439</v>
      </c>
      <c r="L87" s="33"/>
    </row>
    <row r="88" spans="1:12" hidden="1">
      <c r="A88" s="32" t="s">
        <v>12440</v>
      </c>
      <c r="B88" s="32" t="s">
        <v>7292</v>
      </c>
      <c r="C88" s="32" t="s">
        <v>12441</v>
      </c>
      <c r="D88" s="32" t="s">
        <v>7292</v>
      </c>
      <c r="E88" s="32" t="s">
        <v>12298</v>
      </c>
      <c r="F88" s="32" t="s">
        <v>12299</v>
      </c>
      <c r="G88" s="32" t="s">
        <v>7292</v>
      </c>
      <c r="H88" s="32" t="s">
        <v>12441</v>
      </c>
      <c r="I88" s="32" t="s">
        <v>11341</v>
      </c>
      <c r="J88" s="32" t="s">
        <v>12329</v>
      </c>
      <c r="K88" s="32" t="s">
        <v>12251</v>
      </c>
      <c r="L88" s="32"/>
    </row>
    <row r="89" spans="1:12" hidden="1">
      <c r="A89" s="33" t="s">
        <v>12442</v>
      </c>
      <c r="B89" s="33" t="s">
        <v>7296</v>
      </c>
      <c r="C89" s="33" t="s">
        <v>12443</v>
      </c>
      <c r="D89" s="33" t="s">
        <v>7296</v>
      </c>
      <c r="E89" s="33" t="s">
        <v>12298</v>
      </c>
      <c r="F89" s="33" t="s">
        <v>12299</v>
      </c>
      <c r="G89" s="33" t="s">
        <v>7296</v>
      </c>
      <c r="H89" s="33" t="s">
        <v>12443</v>
      </c>
      <c r="I89" s="33" t="s">
        <v>11341</v>
      </c>
      <c r="J89" s="33" t="s">
        <v>12329</v>
      </c>
      <c r="K89" s="33" t="s">
        <v>12254</v>
      </c>
      <c r="L89" s="33"/>
    </row>
    <row r="90" spans="1:12" hidden="1">
      <c r="A90" s="32" t="s">
        <v>12444</v>
      </c>
      <c r="B90" s="32" t="s">
        <v>7300</v>
      </c>
      <c r="C90" s="32" t="s">
        <v>7301</v>
      </c>
      <c r="D90" s="32" t="s">
        <v>7300</v>
      </c>
      <c r="E90" s="32" t="s">
        <v>12298</v>
      </c>
      <c r="F90" s="32" t="s">
        <v>12299</v>
      </c>
      <c r="G90" s="32" t="s">
        <v>7300</v>
      </c>
      <c r="H90" s="32" t="s">
        <v>7301</v>
      </c>
      <c r="I90" s="32" t="s">
        <v>11341</v>
      </c>
      <c r="J90" s="32" t="s">
        <v>12329</v>
      </c>
      <c r="K90" s="32" t="s">
        <v>12252</v>
      </c>
      <c r="L90" s="32"/>
    </row>
    <row r="91" spans="1:12" hidden="1">
      <c r="A91" s="33" t="s">
        <v>12445</v>
      </c>
      <c r="B91" s="33" t="s">
        <v>5388</v>
      </c>
      <c r="C91" s="33" t="s">
        <v>5389</v>
      </c>
      <c r="D91" s="33" t="s">
        <v>5388</v>
      </c>
      <c r="E91" s="33" t="s">
        <v>12298</v>
      </c>
      <c r="F91" s="33" t="s">
        <v>12299</v>
      </c>
      <c r="G91" s="33" t="s">
        <v>5388</v>
      </c>
      <c r="H91" s="33" t="s">
        <v>5389</v>
      </c>
      <c r="I91" s="33" t="s">
        <v>11341</v>
      </c>
      <c r="J91" s="33" t="s">
        <v>12329</v>
      </c>
      <c r="K91" s="33" t="s">
        <v>12248</v>
      </c>
      <c r="L91" s="33"/>
    </row>
    <row r="92" spans="1:12" hidden="1">
      <c r="A92" s="32" t="s">
        <v>12446</v>
      </c>
      <c r="B92" s="32" t="s">
        <v>5388</v>
      </c>
      <c r="C92" s="32" t="s">
        <v>5389</v>
      </c>
      <c r="D92" s="32" t="s">
        <v>5388</v>
      </c>
      <c r="E92" s="32" t="s">
        <v>12298</v>
      </c>
      <c r="F92" s="32" t="s">
        <v>12299</v>
      </c>
      <c r="G92" s="32" t="s">
        <v>5388</v>
      </c>
      <c r="H92" s="32" t="s">
        <v>5389</v>
      </c>
      <c r="I92" s="32" t="s">
        <v>11341</v>
      </c>
      <c r="J92" s="32" t="s">
        <v>12329</v>
      </c>
      <c r="K92" s="32" t="s">
        <v>12248</v>
      </c>
      <c r="L92" s="32"/>
    </row>
    <row r="93" spans="1:12" hidden="1">
      <c r="A93" s="33" t="s">
        <v>12447</v>
      </c>
      <c r="B93" s="33" t="s">
        <v>12448</v>
      </c>
      <c r="C93" s="33" t="s">
        <v>6192</v>
      </c>
      <c r="D93" s="33" t="s">
        <v>12448</v>
      </c>
      <c r="E93" s="33" t="s">
        <v>12298</v>
      </c>
      <c r="F93" s="33" t="s">
        <v>12299</v>
      </c>
      <c r="G93" s="33" t="s">
        <v>12448</v>
      </c>
      <c r="H93" s="33" t="s">
        <v>6192</v>
      </c>
      <c r="I93" s="33" t="s">
        <v>10173</v>
      </c>
      <c r="J93" s="33" t="s">
        <v>12300</v>
      </c>
      <c r="K93" s="33" t="s">
        <v>12449</v>
      </c>
      <c r="L93" s="33"/>
    </row>
    <row r="94" spans="1:12" hidden="1">
      <c r="A94" s="32" t="s">
        <v>12450</v>
      </c>
      <c r="B94" s="32" t="s">
        <v>7350</v>
      </c>
      <c r="C94" s="32" t="s">
        <v>7351</v>
      </c>
      <c r="D94" s="32" t="s">
        <v>7350</v>
      </c>
      <c r="E94" s="32" t="s">
        <v>12298</v>
      </c>
      <c r="F94" s="32" t="s">
        <v>12299</v>
      </c>
      <c r="G94" s="32" t="s">
        <v>7350</v>
      </c>
      <c r="H94" s="32" t="s">
        <v>7351</v>
      </c>
      <c r="I94" s="32" t="s">
        <v>11337</v>
      </c>
      <c r="J94" s="32" t="s">
        <v>12329</v>
      </c>
      <c r="K94" s="32" t="s">
        <v>12451</v>
      </c>
      <c r="L94" s="32"/>
    </row>
    <row r="95" spans="1:12" hidden="1">
      <c r="A95" s="35" t="s">
        <v>12452</v>
      </c>
      <c r="B95" s="35" t="s">
        <v>7361</v>
      </c>
      <c r="C95" s="35"/>
      <c r="D95" s="35" t="s">
        <v>7361</v>
      </c>
      <c r="E95" s="35" t="s">
        <v>12395</v>
      </c>
      <c r="F95" s="35" t="s">
        <v>12396</v>
      </c>
      <c r="G95" s="35"/>
      <c r="H95" s="35"/>
      <c r="I95" s="35"/>
      <c r="J95" s="35"/>
      <c r="K95" s="35"/>
      <c r="L95" s="35"/>
    </row>
    <row r="96" spans="1:12" hidden="1">
      <c r="A96" s="32" t="s">
        <v>12453</v>
      </c>
      <c r="B96" s="32" t="s">
        <v>6991</v>
      </c>
      <c r="C96" s="32" t="s">
        <v>6992</v>
      </c>
      <c r="D96" s="32" t="s">
        <v>6991</v>
      </c>
      <c r="E96" s="32" t="s">
        <v>12298</v>
      </c>
      <c r="F96" s="32" t="s">
        <v>12299</v>
      </c>
      <c r="G96" s="32" t="s">
        <v>6991</v>
      </c>
      <c r="H96" s="32" t="s">
        <v>6992</v>
      </c>
      <c r="I96" s="32" t="s">
        <v>10173</v>
      </c>
      <c r="J96" s="32" t="s">
        <v>12300</v>
      </c>
      <c r="K96" s="32" t="s">
        <v>12435</v>
      </c>
      <c r="L96" s="32" t="s">
        <v>12435</v>
      </c>
    </row>
    <row r="97" spans="1:12" hidden="1">
      <c r="A97" s="33" t="s">
        <v>12454</v>
      </c>
      <c r="B97" s="33" t="s">
        <v>7635</v>
      </c>
      <c r="C97" s="33" t="s">
        <v>7636</v>
      </c>
      <c r="D97" s="33" t="s">
        <v>7635</v>
      </c>
      <c r="E97" s="33" t="s">
        <v>12298</v>
      </c>
      <c r="F97" s="33" t="s">
        <v>12299</v>
      </c>
      <c r="G97" s="33" t="s">
        <v>7635</v>
      </c>
      <c r="H97" s="33" t="s">
        <v>7636</v>
      </c>
      <c r="I97" s="33" t="s">
        <v>10173</v>
      </c>
      <c r="J97" s="33" t="s">
        <v>12300</v>
      </c>
      <c r="K97" s="33" t="s">
        <v>12455</v>
      </c>
      <c r="L97" s="33"/>
    </row>
    <row r="98" spans="1:12" hidden="1">
      <c r="A98" s="35" t="s">
        <v>12456</v>
      </c>
      <c r="B98" s="35" t="s">
        <v>7690</v>
      </c>
      <c r="C98" s="35"/>
      <c r="D98" s="35" t="s">
        <v>7690</v>
      </c>
      <c r="E98" s="35" t="s">
        <v>12395</v>
      </c>
      <c r="F98" s="35" t="s">
        <v>12396</v>
      </c>
      <c r="G98" s="35"/>
      <c r="H98" s="35"/>
      <c r="I98" s="35"/>
      <c r="J98" s="35"/>
      <c r="K98" s="35"/>
      <c r="L98" s="35"/>
    </row>
    <row r="99" spans="1:12" hidden="1">
      <c r="A99" s="35" t="s">
        <v>12457</v>
      </c>
      <c r="B99" s="35" t="s">
        <v>7749</v>
      </c>
      <c r="C99" s="35"/>
      <c r="D99" s="35" t="s">
        <v>7749</v>
      </c>
      <c r="E99" s="35" t="s">
        <v>12395</v>
      </c>
      <c r="F99" s="35" t="s">
        <v>12396</v>
      </c>
      <c r="G99" s="35"/>
      <c r="H99" s="35"/>
      <c r="I99" s="35"/>
      <c r="J99" s="35"/>
      <c r="K99" s="35"/>
      <c r="L99" s="35"/>
    </row>
    <row r="100" spans="1:12" hidden="1">
      <c r="A100" s="32" t="s">
        <v>12458</v>
      </c>
      <c r="B100" s="32" t="s">
        <v>7859</v>
      </c>
      <c r="C100" s="32" t="s">
        <v>7860</v>
      </c>
      <c r="D100" s="32" t="s">
        <v>7859</v>
      </c>
      <c r="E100" s="32" t="s">
        <v>12298</v>
      </c>
      <c r="F100" s="32" t="s">
        <v>12299</v>
      </c>
      <c r="G100" s="32" t="s">
        <v>7859</v>
      </c>
      <c r="H100" s="32" t="s">
        <v>7860</v>
      </c>
      <c r="I100" s="32" t="s">
        <v>10173</v>
      </c>
      <c r="J100" s="32" t="s">
        <v>12300</v>
      </c>
      <c r="K100" s="32" t="s">
        <v>12459</v>
      </c>
      <c r="L100" s="32"/>
    </row>
    <row r="101" spans="1:12" hidden="1">
      <c r="A101" s="33" t="s">
        <v>12460</v>
      </c>
      <c r="B101" s="33" t="s">
        <v>7897</v>
      </c>
      <c r="C101" s="33" t="s">
        <v>7898</v>
      </c>
      <c r="D101" s="33" t="s">
        <v>7897</v>
      </c>
      <c r="E101" s="33" t="s">
        <v>12298</v>
      </c>
      <c r="F101" s="33" t="s">
        <v>12299</v>
      </c>
      <c r="G101" s="33" t="s">
        <v>7897</v>
      </c>
      <c r="H101" s="33" t="s">
        <v>7898</v>
      </c>
      <c r="I101" s="33" t="s">
        <v>10173</v>
      </c>
      <c r="J101" s="33" t="s">
        <v>12300</v>
      </c>
      <c r="K101" s="33" t="s">
        <v>12461</v>
      </c>
      <c r="L101" s="33" t="s">
        <v>12461</v>
      </c>
    </row>
    <row r="102" spans="1:12" hidden="1">
      <c r="A102" s="32" t="s">
        <v>12462</v>
      </c>
      <c r="B102" s="32" t="s">
        <v>5539</v>
      </c>
      <c r="C102" s="32" t="s">
        <v>5540</v>
      </c>
      <c r="D102" s="32" t="s">
        <v>5539</v>
      </c>
      <c r="E102" s="32" t="s">
        <v>12298</v>
      </c>
      <c r="F102" s="32" t="s">
        <v>12299</v>
      </c>
      <c r="G102" s="32" t="s">
        <v>5539</v>
      </c>
      <c r="H102" s="32" t="s">
        <v>5540</v>
      </c>
      <c r="I102" s="32" t="s">
        <v>10173</v>
      </c>
      <c r="J102" s="32" t="s">
        <v>12300</v>
      </c>
      <c r="K102" s="32" t="s">
        <v>12413</v>
      </c>
      <c r="L102" s="32"/>
    </row>
    <row r="103" spans="1:12" hidden="1">
      <c r="A103" s="35" t="s">
        <v>12463</v>
      </c>
      <c r="B103" s="35" t="s">
        <v>7957</v>
      </c>
      <c r="C103" s="35"/>
      <c r="D103" s="35" t="s">
        <v>7957</v>
      </c>
      <c r="E103" s="35" t="s">
        <v>12395</v>
      </c>
      <c r="F103" s="35" t="s">
        <v>12396</v>
      </c>
      <c r="G103" s="35"/>
      <c r="H103" s="35"/>
      <c r="I103" s="35"/>
      <c r="J103" s="35"/>
      <c r="K103" s="35"/>
      <c r="L103" s="35"/>
    </row>
    <row r="104" spans="1:12" hidden="1">
      <c r="A104" s="35" t="s">
        <v>12464</v>
      </c>
      <c r="B104" s="35" t="s">
        <v>7993</v>
      </c>
      <c r="C104" s="35"/>
      <c r="D104" s="35" t="s">
        <v>7993</v>
      </c>
      <c r="E104" s="35" t="s">
        <v>12395</v>
      </c>
      <c r="F104" s="35" t="s">
        <v>12396</v>
      </c>
      <c r="G104" s="35"/>
      <c r="H104" s="35"/>
      <c r="I104" s="35"/>
      <c r="J104" s="35"/>
      <c r="K104" s="35"/>
      <c r="L104" s="35"/>
    </row>
    <row r="105" spans="1:12" hidden="1">
      <c r="A105" s="33" t="s">
        <v>12465</v>
      </c>
      <c r="B105" s="33" t="s">
        <v>7350</v>
      </c>
      <c r="C105" s="33" t="s">
        <v>7351</v>
      </c>
      <c r="D105" s="33" t="s">
        <v>7350</v>
      </c>
      <c r="E105" s="33" t="s">
        <v>12298</v>
      </c>
      <c r="F105" s="33" t="s">
        <v>12299</v>
      </c>
      <c r="G105" s="33" t="s">
        <v>7350</v>
      </c>
      <c r="H105" s="33" t="s">
        <v>7351</v>
      </c>
      <c r="I105" s="33" t="s">
        <v>11337</v>
      </c>
      <c r="J105" s="33" t="s">
        <v>12329</v>
      </c>
      <c r="K105" s="33" t="s">
        <v>12451</v>
      </c>
      <c r="L105" s="33"/>
    </row>
    <row r="106" spans="1:12" hidden="1">
      <c r="A106" s="35" t="s">
        <v>12466</v>
      </c>
      <c r="B106" s="35" t="s">
        <v>8070</v>
      </c>
      <c r="C106" s="35"/>
      <c r="D106" s="35" t="s">
        <v>8070</v>
      </c>
      <c r="E106" s="35" t="s">
        <v>12395</v>
      </c>
      <c r="F106" s="35" t="s">
        <v>12396</v>
      </c>
      <c r="G106" s="35"/>
      <c r="H106" s="35"/>
      <c r="I106" s="35"/>
      <c r="J106" s="35"/>
      <c r="K106" s="35"/>
      <c r="L106" s="35"/>
    </row>
    <row r="107" spans="1:12" hidden="1">
      <c r="A107" s="35" t="s">
        <v>12467</v>
      </c>
      <c r="B107" s="35" t="s">
        <v>8157</v>
      </c>
      <c r="C107" s="35"/>
      <c r="D107" s="35" t="s">
        <v>8157</v>
      </c>
      <c r="E107" s="35" t="s">
        <v>12395</v>
      </c>
      <c r="F107" s="35" t="s">
        <v>12396</v>
      </c>
      <c r="G107" s="35"/>
      <c r="H107" s="35"/>
      <c r="I107" s="35"/>
      <c r="J107" s="35"/>
      <c r="K107" s="35"/>
      <c r="L107" s="35"/>
    </row>
    <row r="108" spans="1:12">
      <c r="A108" s="32" t="s">
        <v>12468</v>
      </c>
      <c r="B108" s="32"/>
      <c r="C108" s="32" t="s">
        <v>12324</v>
      </c>
      <c r="D108" s="32" t="s">
        <v>9516</v>
      </c>
      <c r="E108" s="32" t="s">
        <v>12298</v>
      </c>
      <c r="F108" s="32" t="s">
        <v>12299</v>
      </c>
      <c r="G108" s="32" t="s">
        <v>9516</v>
      </c>
      <c r="H108" s="32" t="s">
        <v>9517</v>
      </c>
      <c r="I108" s="32" t="s">
        <v>9185</v>
      </c>
      <c r="J108" s="32" t="s">
        <v>12310</v>
      </c>
      <c r="K108" s="32" t="s">
        <v>9518</v>
      </c>
      <c r="L108" s="32"/>
    </row>
    <row r="109" spans="1:12" hidden="1">
      <c r="A109" s="33" t="s">
        <v>12469</v>
      </c>
      <c r="B109" s="33"/>
      <c r="C109" s="33" t="s">
        <v>12388</v>
      </c>
      <c r="D109" s="33" t="s">
        <v>10531</v>
      </c>
      <c r="E109" s="33" t="s">
        <v>12298</v>
      </c>
      <c r="F109" s="33" t="s">
        <v>12299</v>
      </c>
      <c r="G109" s="33" t="s">
        <v>10531</v>
      </c>
      <c r="H109" s="33" t="s">
        <v>12389</v>
      </c>
      <c r="I109" s="33" t="s">
        <v>10168</v>
      </c>
      <c r="J109" s="33" t="s">
        <v>12300</v>
      </c>
      <c r="K109" s="33" t="s">
        <v>10532</v>
      </c>
      <c r="L109" s="33"/>
    </row>
    <row r="110" spans="1:12" hidden="1">
      <c r="A110" s="32" t="s">
        <v>12470</v>
      </c>
      <c r="B110" s="32" t="s">
        <v>8313</v>
      </c>
      <c r="C110" s="32" t="s">
        <v>8314</v>
      </c>
      <c r="D110" s="32" t="s">
        <v>8313</v>
      </c>
      <c r="E110" s="32" t="s">
        <v>12298</v>
      </c>
      <c r="F110" s="32" t="s">
        <v>12299</v>
      </c>
      <c r="G110" s="32" t="s">
        <v>8313</v>
      </c>
      <c r="H110" s="32" t="s">
        <v>8314</v>
      </c>
      <c r="I110" s="32" t="s">
        <v>10173</v>
      </c>
      <c r="J110" s="32" t="s">
        <v>12300</v>
      </c>
      <c r="K110" s="32" t="s">
        <v>12471</v>
      </c>
      <c r="L110" s="32"/>
    </row>
    <row r="111" spans="1:12" hidden="1">
      <c r="A111" s="33" t="s">
        <v>12472</v>
      </c>
      <c r="B111" s="33" t="s">
        <v>8313</v>
      </c>
      <c r="C111" s="33" t="s">
        <v>8314</v>
      </c>
      <c r="D111" s="33" t="s">
        <v>8313</v>
      </c>
      <c r="E111" s="33" t="s">
        <v>12298</v>
      </c>
      <c r="F111" s="33" t="s">
        <v>12299</v>
      </c>
      <c r="G111" s="33" t="s">
        <v>8313</v>
      </c>
      <c r="H111" s="33" t="s">
        <v>8314</v>
      </c>
      <c r="I111" s="33" t="s">
        <v>10173</v>
      </c>
      <c r="J111" s="33" t="s">
        <v>12300</v>
      </c>
      <c r="K111" s="33" t="s">
        <v>12471</v>
      </c>
      <c r="L111" s="33"/>
    </row>
    <row r="112" spans="1:12" hidden="1">
      <c r="A112" s="35" t="s">
        <v>12473</v>
      </c>
      <c r="B112" s="35" t="s">
        <v>7957</v>
      </c>
      <c r="C112" s="35"/>
      <c r="D112" s="35" t="s">
        <v>7957</v>
      </c>
      <c r="E112" s="35" t="s">
        <v>12395</v>
      </c>
      <c r="F112" s="35" t="s">
        <v>12396</v>
      </c>
      <c r="G112" s="35"/>
      <c r="H112" s="35"/>
      <c r="I112" s="35"/>
      <c r="J112" s="35"/>
      <c r="K112" s="35"/>
      <c r="L112" s="35"/>
    </row>
    <row r="113" spans="1:12" hidden="1">
      <c r="A113" s="35" t="s">
        <v>12474</v>
      </c>
      <c r="B113" s="35" t="s">
        <v>8475</v>
      </c>
      <c r="C113" s="35"/>
      <c r="D113" s="35" t="s">
        <v>8475</v>
      </c>
      <c r="E113" s="35" t="s">
        <v>12395</v>
      </c>
      <c r="F113" s="35" t="s">
        <v>12396</v>
      </c>
      <c r="G113" s="35"/>
      <c r="H113" s="35"/>
      <c r="I113" s="35"/>
      <c r="J113" s="35"/>
      <c r="K113" s="35"/>
      <c r="L113" s="35"/>
    </row>
    <row r="114" spans="1:12" hidden="1">
      <c r="A114" s="35" t="s">
        <v>12475</v>
      </c>
      <c r="B114" s="35" t="s">
        <v>8518</v>
      </c>
      <c r="C114" s="35"/>
      <c r="D114" s="35" t="s">
        <v>8518</v>
      </c>
      <c r="E114" s="35" t="s">
        <v>12395</v>
      </c>
      <c r="F114" s="35" t="s">
        <v>12396</v>
      </c>
      <c r="G114" s="35"/>
      <c r="H114" s="35"/>
      <c r="I114" s="35"/>
      <c r="J114" s="35"/>
      <c r="K114" s="35"/>
      <c r="L114" s="35"/>
    </row>
    <row r="115" spans="1:12" hidden="1">
      <c r="A115" s="35" t="s">
        <v>12476</v>
      </c>
      <c r="B115" s="35" t="s">
        <v>8518</v>
      </c>
      <c r="C115" s="35"/>
      <c r="D115" s="35" t="s">
        <v>8518</v>
      </c>
      <c r="E115" s="35" t="s">
        <v>12395</v>
      </c>
      <c r="F115" s="35" t="s">
        <v>12396</v>
      </c>
      <c r="G115" s="35"/>
      <c r="H115" s="35"/>
      <c r="I115" s="35"/>
      <c r="J115" s="35"/>
      <c r="K115" s="35"/>
      <c r="L115" s="35"/>
    </row>
    <row r="116" spans="1:12" hidden="1">
      <c r="A116" s="35" t="s">
        <v>12477</v>
      </c>
      <c r="B116" s="35" t="s">
        <v>6012</v>
      </c>
      <c r="C116" s="35"/>
      <c r="D116" s="35" t="s">
        <v>6012</v>
      </c>
      <c r="E116" s="35" t="s">
        <v>12395</v>
      </c>
      <c r="F116" s="35" t="s">
        <v>12396</v>
      </c>
      <c r="G116" s="35"/>
      <c r="H116" s="35"/>
      <c r="I116" s="35"/>
      <c r="J116" s="35"/>
      <c r="K116" s="35"/>
      <c r="L116" s="35"/>
    </row>
    <row r="117" spans="1:12">
      <c r="A117" s="33" t="s">
        <v>12478</v>
      </c>
      <c r="B117" s="33"/>
      <c r="C117" s="33" t="s">
        <v>12433</v>
      </c>
      <c r="D117" s="33" t="s">
        <v>9508</v>
      </c>
      <c r="E117" s="33" t="s">
        <v>12298</v>
      </c>
      <c r="F117" s="33" t="s">
        <v>12299</v>
      </c>
      <c r="G117" s="33" t="s">
        <v>9508</v>
      </c>
      <c r="H117" s="33"/>
      <c r="I117" s="33" t="s">
        <v>9185</v>
      </c>
      <c r="J117" s="33" t="s">
        <v>12310</v>
      </c>
      <c r="K117" s="33" t="s">
        <v>9509</v>
      </c>
      <c r="L117" s="33"/>
    </row>
    <row r="118" spans="1:12" hidden="1">
      <c r="A118" s="35" t="s">
        <v>12479</v>
      </c>
      <c r="B118" s="35" t="s">
        <v>7993</v>
      </c>
      <c r="C118" s="35"/>
      <c r="D118" s="35" t="s">
        <v>7993</v>
      </c>
      <c r="E118" s="35" t="s">
        <v>12395</v>
      </c>
      <c r="F118" s="35" t="s">
        <v>12396</v>
      </c>
      <c r="G118" s="35"/>
      <c r="H118" s="35"/>
      <c r="I118" s="35"/>
      <c r="J118" s="35"/>
      <c r="K118" s="35"/>
      <c r="L118" s="35"/>
    </row>
    <row r="119" spans="1:12" hidden="1">
      <c r="A119" s="35" t="s">
        <v>12480</v>
      </c>
      <c r="B119" s="35" t="s">
        <v>8809</v>
      </c>
      <c r="C119" s="35"/>
      <c r="D119" s="35" t="s">
        <v>8809</v>
      </c>
      <c r="E119" s="35" t="s">
        <v>12395</v>
      </c>
      <c r="F119" s="35" t="s">
        <v>12396</v>
      </c>
      <c r="G119" s="35"/>
      <c r="H119" s="35"/>
      <c r="I119" s="35"/>
      <c r="J119" s="35"/>
      <c r="K119" s="35"/>
      <c r="L119" s="35"/>
    </row>
    <row r="120" spans="1:12" hidden="1">
      <c r="A120" s="35" t="s">
        <v>12481</v>
      </c>
      <c r="B120" s="35" t="s">
        <v>6012</v>
      </c>
      <c r="C120" s="35"/>
      <c r="D120" s="35" t="s">
        <v>6012</v>
      </c>
      <c r="E120" s="35" t="s">
        <v>12395</v>
      </c>
      <c r="F120" s="35" t="s">
        <v>12396</v>
      </c>
      <c r="G120" s="35"/>
      <c r="H120" s="35"/>
      <c r="I120" s="35"/>
      <c r="J120" s="35"/>
      <c r="K120" s="35"/>
      <c r="L120" s="35"/>
    </row>
    <row r="121" spans="1:12" hidden="1">
      <c r="A121" s="35" t="s">
        <v>12482</v>
      </c>
      <c r="B121" s="35" t="s">
        <v>9038</v>
      </c>
      <c r="C121" s="35"/>
      <c r="D121" s="35" t="s">
        <v>9038</v>
      </c>
      <c r="E121" s="35" t="s">
        <v>12395</v>
      </c>
      <c r="F121" s="35" t="s">
        <v>12396</v>
      </c>
      <c r="G121" s="35"/>
      <c r="H121" s="35"/>
      <c r="I121" s="35"/>
      <c r="J121" s="35"/>
      <c r="K121" s="35"/>
      <c r="L121" s="35"/>
    </row>
    <row r="122" spans="1:12" hidden="1">
      <c r="A122" s="32" t="s">
        <v>12483</v>
      </c>
      <c r="B122" s="32" t="s">
        <v>6991</v>
      </c>
      <c r="C122" s="32" t="s">
        <v>6992</v>
      </c>
      <c r="D122" s="32" t="s">
        <v>6991</v>
      </c>
      <c r="E122" s="32" t="s">
        <v>12298</v>
      </c>
      <c r="F122" s="32" t="s">
        <v>12299</v>
      </c>
      <c r="G122" s="32" t="s">
        <v>6991</v>
      </c>
      <c r="H122" s="32" t="s">
        <v>6992</v>
      </c>
      <c r="I122" s="32" t="s">
        <v>10173</v>
      </c>
      <c r="J122" s="32" t="s">
        <v>12300</v>
      </c>
      <c r="K122" s="32" t="s">
        <v>12435</v>
      </c>
      <c r="L122" s="32" t="s">
        <v>12435</v>
      </c>
    </row>
  </sheetData>
  <autoFilter ref="A1:L122" xr:uid="{86D65CE0-0232-4D43-8365-FBF41F3D078F}">
    <filterColumn colId="9">
      <filters>
        <filter val="三民高中"/>
      </filters>
    </filterColumn>
  </autoFilter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EB8F-AB33-EB48-8396-98A0AE50CBAC}">
  <dimension ref="A1:L456"/>
  <sheetViews>
    <sheetView workbookViewId="0">
      <selection sqref="A1:L456"/>
    </sheetView>
  </sheetViews>
  <sheetFormatPr baseColWidth="10" defaultColWidth="7.5" defaultRowHeight="15"/>
  <cols>
    <col min="1" max="1" width="4.1640625" customWidth="1"/>
    <col min="2" max="2" width="13.33203125" customWidth="1"/>
    <col min="3" max="3" width="44.5" bestFit="1" customWidth="1"/>
    <col min="4" max="4" width="11.6640625" customWidth="1"/>
    <col min="5" max="5" width="15" customWidth="1"/>
    <col min="6" max="6" width="10" customWidth="1"/>
    <col min="7" max="7" width="14.5" bestFit="1" customWidth="1"/>
    <col min="8" max="8" width="11.6640625" customWidth="1"/>
    <col min="9" max="10" width="8.33203125" customWidth="1"/>
    <col min="11" max="11" width="11.6640625" customWidth="1"/>
    <col min="12" max="12" width="15" customWidth="1"/>
  </cols>
  <sheetData>
    <row r="1" spans="1:12" ht="28" customHeight="1">
      <c r="A1" s="26" t="s">
        <v>9165</v>
      </c>
      <c r="B1" s="26" t="s">
        <v>9166</v>
      </c>
      <c r="C1" s="26" t="s">
        <v>9167</v>
      </c>
      <c r="D1" s="26" t="s">
        <v>9168</v>
      </c>
      <c r="E1" s="26" t="s">
        <v>9169</v>
      </c>
      <c r="F1" s="26" t="s">
        <v>9170</v>
      </c>
      <c r="G1" s="26" t="s">
        <v>9171</v>
      </c>
      <c r="H1" s="26" t="s">
        <v>9172</v>
      </c>
      <c r="I1" s="26" t="s">
        <v>9173</v>
      </c>
      <c r="J1" s="26" t="s">
        <v>9174</v>
      </c>
      <c r="K1" s="26" t="s">
        <v>9175</v>
      </c>
      <c r="L1" s="26" t="s">
        <v>9176</v>
      </c>
    </row>
    <row r="2" spans="1:12">
      <c r="A2" s="27">
        <v>1</v>
      </c>
      <c r="B2" s="27" t="s">
        <v>2953</v>
      </c>
      <c r="C2" s="27"/>
      <c r="D2" s="27" t="s">
        <v>9177</v>
      </c>
      <c r="E2" s="27" t="s">
        <v>9178</v>
      </c>
      <c r="F2" s="27"/>
      <c r="G2" s="27" t="s">
        <v>9179</v>
      </c>
      <c r="H2" s="27"/>
      <c r="I2" s="27" t="s">
        <v>9180</v>
      </c>
      <c r="J2" s="27" t="s">
        <v>9181</v>
      </c>
      <c r="K2" s="27" t="s">
        <v>9182</v>
      </c>
      <c r="L2" s="27" t="s">
        <v>9183</v>
      </c>
    </row>
    <row r="3" spans="1:12">
      <c r="A3" s="28">
        <v>2</v>
      </c>
      <c r="B3" s="28" t="s">
        <v>3632</v>
      </c>
      <c r="C3" s="28" t="s">
        <v>9184</v>
      </c>
      <c r="D3" s="28" t="s">
        <v>9185</v>
      </c>
      <c r="E3" s="28" t="s">
        <v>9178</v>
      </c>
      <c r="F3" s="28"/>
      <c r="G3" s="28" t="s">
        <v>9186</v>
      </c>
      <c r="H3" s="28"/>
      <c r="I3" s="28" t="s">
        <v>9180</v>
      </c>
      <c r="J3" s="28" t="s">
        <v>9187</v>
      </c>
      <c r="K3" s="28" t="s">
        <v>9188</v>
      </c>
      <c r="L3" s="28" t="s">
        <v>9189</v>
      </c>
    </row>
    <row r="4" spans="1:12">
      <c r="A4" s="29">
        <v>3</v>
      </c>
      <c r="B4" s="29" t="s">
        <v>5413</v>
      </c>
      <c r="C4" s="29" t="s">
        <v>9190</v>
      </c>
      <c r="D4" s="29" t="s">
        <v>9185</v>
      </c>
      <c r="E4" s="29" t="s">
        <v>9178</v>
      </c>
      <c r="F4" s="29"/>
      <c r="G4" s="29" t="s">
        <v>9191</v>
      </c>
      <c r="H4" s="29"/>
      <c r="I4" s="29" t="s">
        <v>9180</v>
      </c>
      <c r="J4" s="29" t="s">
        <v>9192</v>
      </c>
      <c r="K4" s="29" t="s">
        <v>9188</v>
      </c>
      <c r="L4" s="29" t="s">
        <v>9189</v>
      </c>
    </row>
    <row r="5" spans="1:12">
      <c r="A5" s="27">
        <v>4</v>
      </c>
      <c r="B5" s="27" t="s">
        <v>4661</v>
      </c>
      <c r="C5" s="27" t="s">
        <v>9193</v>
      </c>
      <c r="D5" s="27" t="s">
        <v>9177</v>
      </c>
      <c r="E5" s="27" t="s">
        <v>9178</v>
      </c>
      <c r="F5" s="27"/>
      <c r="G5" s="27" t="s">
        <v>9194</v>
      </c>
      <c r="H5" s="27"/>
      <c r="I5" s="27" t="s">
        <v>9180</v>
      </c>
      <c r="J5" s="27" t="s">
        <v>9195</v>
      </c>
      <c r="K5" s="27" t="s">
        <v>9188</v>
      </c>
      <c r="L5" s="27" t="s">
        <v>9196</v>
      </c>
    </row>
    <row r="6" spans="1:12">
      <c r="A6" s="29">
        <v>5</v>
      </c>
      <c r="B6" s="29" t="s">
        <v>4729</v>
      </c>
      <c r="C6" s="29" t="s">
        <v>9197</v>
      </c>
      <c r="D6" s="29" t="s">
        <v>9185</v>
      </c>
      <c r="E6" s="29" t="s">
        <v>9178</v>
      </c>
      <c r="F6" s="29"/>
      <c r="G6" s="29" t="s">
        <v>9198</v>
      </c>
      <c r="H6" s="29"/>
      <c r="I6" s="29" t="s">
        <v>9180</v>
      </c>
      <c r="J6" s="29" t="s">
        <v>9199</v>
      </c>
      <c r="K6" s="29" t="s">
        <v>9188</v>
      </c>
      <c r="L6" s="29" t="s">
        <v>9189</v>
      </c>
    </row>
    <row r="7" spans="1:12">
      <c r="A7" s="27">
        <v>6</v>
      </c>
      <c r="B7" s="27" t="s">
        <v>2281</v>
      </c>
      <c r="C7" s="27" t="s">
        <v>9200</v>
      </c>
      <c r="D7" s="27" t="s">
        <v>9177</v>
      </c>
      <c r="E7" s="27" t="s">
        <v>9178</v>
      </c>
      <c r="F7" s="27"/>
      <c r="G7" s="27" t="s">
        <v>9201</v>
      </c>
      <c r="H7" s="27"/>
      <c r="I7" s="27" t="s">
        <v>9180</v>
      </c>
      <c r="J7" s="27" t="s">
        <v>9202</v>
      </c>
      <c r="K7" s="27" t="s">
        <v>9188</v>
      </c>
      <c r="L7" s="27" t="s">
        <v>9196</v>
      </c>
    </row>
    <row r="8" spans="1:12">
      <c r="A8" s="27">
        <v>7</v>
      </c>
      <c r="B8" s="27" t="s">
        <v>1233</v>
      </c>
      <c r="C8" s="27" t="s">
        <v>9203</v>
      </c>
      <c r="D8" s="27" t="s">
        <v>9177</v>
      </c>
      <c r="E8" s="27" t="s">
        <v>9178</v>
      </c>
      <c r="F8" s="27"/>
      <c r="G8" s="27" t="s">
        <v>9204</v>
      </c>
      <c r="H8" s="27"/>
      <c r="I8" s="27" t="s">
        <v>9180</v>
      </c>
      <c r="J8" s="27" t="s">
        <v>9205</v>
      </c>
      <c r="K8" s="27" t="s">
        <v>9188</v>
      </c>
      <c r="L8" s="27" t="s">
        <v>9196</v>
      </c>
    </row>
    <row r="9" spans="1:12">
      <c r="A9" s="28">
        <v>8</v>
      </c>
      <c r="B9" s="28" t="s">
        <v>9206</v>
      </c>
      <c r="C9" s="28" t="s">
        <v>9207</v>
      </c>
      <c r="D9" s="28" t="s">
        <v>9185</v>
      </c>
      <c r="E9" s="28" t="s">
        <v>9208</v>
      </c>
      <c r="F9" s="28"/>
      <c r="G9" s="28" t="s">
        <v>9209</v>
      </c>
      <c r="H9" s="28"/>
      <c r="I9" s="28" t="s">
        <v>9180</v>
      </c>
      <c r="J9" s="28" t="s">
        <v>9210</v>
      </c>
      <c r="K9" s="28" t="s">
        <v>9218</v>
      </c>
      <c r="L9" s="28" t="s">
        <v>9212</v>
      </c>
    </row>
    <row r="10" spans="1:12">
      <c r="A10" s="29">
        <v>9</v>
      </c>
      <c r="B10" s="29" t="s">
        <v>9213</v>
      </c>
      <c r="C10" s="29" t="s">
        <v>9214</v>
      </c>
      <c r="D10" s="29" t="s">
        <v>9185</v>
      </c>
      <c r="E10" s="29" t="s">
        <v>9178</v>
      </c>
      <c r="F10" s="29"/>
      <c r="G10" s="29" t="s">
        <v>9215</v>
      </c>
      <c r="H10" s="29"/>
      <c r="I10" s="29" t="s">
        <v>9180</v>
      </c>
      <c r="J10" s="29" t="s">
        <v>9210</v>
      </c>
      <c r="K10" s="29" t="s">
        <v>9218</v>
      </c>
      <c r="L10" s="29" t="s">
        <v>9189</v>
      </c>
    </row>
    <row r="11" spans="1:12">
      <c r="A11" s="28">
        <v>10</v>
      </c>
      <c r="B11" s="28" t="s">
        <v>7494</v>
      </c>
      <c r="C11" s="28" t="s">
        <v>9216</v>
      </c>
      <c r="D11" s="28" t="s">
        <v>9185</v>
      </c>
      <c r="E11" s="28" t="s">
        <v>9178</v>
      </c>
      <c r="F11" s="28"/>
      <c r="G11" s="28" t="s">
        <v>7494</v>
      </c>
      <c r="H11" s="28"/>
      <c r="I11" s="28" t="s">
        <v>9180</v>
      </c>
      <c r="J11" s="28" t="s">
        <v>9217</v>
      </c>
      <c r="K11" s="28" t="s">
        <v>9218</v>
      </c>
      <c r="L11" s="28" t="s">
        <v>9189</v>
      </c>
    </row>
    <row r="12" spans="1:12">
      <c r="A12" s="29">
        <v>11</v>
      </c>
      <c r="B12" s="29" t="s">
        <v>7520</v>
      </c>
      <c r="C12" s="29" t="s">
        <v>9219</v>
      </c>
      <c r="D12" s="29" t="s">
        <v>9185</v>
      </c>
      <c r="E12" s="29" t="s">
        <v>9178</v>
      </c>
      <c r="F12" s="29"/>
      <c r="G12" s="29" t="s">
        <v>9220</v>
      </c>
      <c r="H12" s="29"/>
      <c r="I12" s="29" t="s">
        <v>9180</v>
      </c>
      <c r="J12" s="29" t="s">
        <v>9221</v>
      </c>
      <c r="K12" s="29" t="s">
        <v>9218</v>
      </c>
      <c r="L12" s="29" t="s">
        <v>9189</v>
      </c>
    </row>
    <row r="13" spans="1:12">
      <c r="A13" s="28">
        <v>12</v>
      </c>
      <c r="B13" s="28" t="s">
        <v>7504</v>
      </c>
      <c r="C13" s="28" t="s">
        <v>7505</v>
      </c>
      <c r="D13" s="28" t="s">
        <v>9185</v>
      </c>
      <c r="E13" s="28" t="s">
        <v>9178</v>
      </c>
      <c r="F13" s="28"/>
      <c r="G13" s="28" t="s">
        <v>7504</v>
      </c>
      <c r="H13" s="28"/>
      <c r="I13" s="28" t="s">
        <v>9180</v>
      </c>
      <c r="J13" s="28" t="s">
        <v>9222</v>
      </c>
      <c r="K13" s="28" t="s">
        <v>9218</v>
      </c>
      <c r="L13" s="28" t="s">
        <v>9223</v>
      </c>
    </row>
    <row r="14" spans="1:12">
      <c r="A14" s="29">
        <v>13</v>
      </c>
      <c r="B14" s="29" t="s">
        <v>7512</v>
      </c>
      <c r="C14" s="29" t="s">
        <v>7513</v>
      </c>
      <c r="D14" s="29" t="s">
        <v>9185</v>
      </c>
      <c r="E14" s="29" t="s">
        <v>9178</v>
      </c>
      <c r="F14" s="29"/>
      <c r="G14" s="29" t="s">
        <v>7512</v>
      </c>
      <c r="H14" s="29"/>
      <c r="I14" s="29" t="s">
        <v>9180</v>
      </c>
      <c r="J14" s="29" t="s">
        <v>9224</v>
      </c>
      <c r="K14" s="29" t="s">
        <v>9218</v>
      </c>
      <c r="L14" s="29" t="s">
        <v>9223</v>
      </c>
    </row>
    <row r="15" spans="1:12">
      <c r="A15" s="28">
        <v>14</v>
      </c>
      <c r="B15" s="28" t="s">
        <v>7192</v>
      </c>
      <c r="C15" s="28" t="s">
        <v>9225</v>
      </c>
      <c r="D15" s="28" t="s">
        <v>9185</v>
      </c>
      <c r="E15" s="28" t="s">
        <v>9178</v>
      </c>
      <c r="F15" s="28"/>
      <c r="G15" s="28" t="s">
        <v>9226</v>
      </c>
      <c r="H15" s="28"/>
      <c r="I15" s="28" t="s">
        <v>9180</v>
      </c>
      <c r="J15" s="28" t="s">
        <v>9227</v>
      </c>
      <c r="K15" s="28" t="s">
        <v>9218</v>
      </c>
      <c r="L15" s="28" t="s">
        <v>9189</v>
      </c>
    </row>
    <row r="16" spans="1:12">
      <c r="A16" s="29">
        <v>15</v>
      </c>
      <c r="B16" s="29" t="s">
        <v>7017</v>
      </c>
      <c r="C16" s="29" t="s">
        <v>9228</v>
      </c>
      <c r="D16" s="29" t="s">
        <v>9185</v>
      </c>
      <c r="E16" s="29" t="s">
        <v>9178</v>
      </c>
      <c r="F16" s="29"/>
      <c r="G16" s="29" t="s">
        <v>9229</v>
      </c>
      <c r="H16" s="29"/>
      <c r="I16" s="29" t="s">
        <v>9180</v>
      </c>
      <c r="J16" s="29" t="s">
        <v>9230</v>
      </c>
      <c r="K16" s="29" t="s">
        <v>9218</v>
      </c>
      <c r="L16" s="29" t="s">
        <v>9189</v>
      </c>
    </row>
    <row r="17" spans="1:12">
      <c r="A17" s="28">
        <v>16</v>
      </c>
      <c r="B17" s="28" t="s">
        <v>7486</v>
      </c>
      <c r="C17" s="28" t="s">
        <v>9231</v>
      </c>
      <c r="D17" s="28" t="s">
        <v>9185</v>
      </c>
      <c r="E17" s="28" t="s">
        <v>9178</v>
      </c>
      <c r="F17" s="28"/>
      <c r="G17" s="28" t="s">
        <v>7486</v>
      </c>
      <c r="H17" s="28"/>
      <c r="I17" s="28" t="s">
        <v>9180</v>
      </c>
      <c r="J17" s="28" t="s">
        <v>9221</v>
      </c>
      <c r="K17" s="28" t="s">
        <v>9218</v>
      </c>
      <c r="L17" s="28" t="s">
        <v>9189</v>
      </c>
    </row>
    <row r="18" spans="1:12">
      <c r="A18" s="29">
        <v>17</v>
      </c>
      <c r="B18" s="29" t="s">
        <v>242</v>
      </c>
      <c r="C18" s="29" t="s">
        <v>243</v>
      </c>
      <c r="D18" s="29" t="s">
        <v>9185</v>
      </c>
      <c r="E18" s="29" t="s">
        <v>9178</v>
      </c>
      <c r="F18" s="29"/>
      <c r="G18" s="29" t="s">
        <v>9232</v>
      </c>
      <c r="H18" s="29"/>
      <c r="I18" s="29" t="s">
        <v>9180</v>
      </c>
      <c r="J18" s="29" t="s">
        <v>9233</v>
      </c>
      <c r="K18" s="29" t="s">
        <v>9218</v>
      </c>
      <c r="L18" s="29" t="s">
        <v>9223</v>
      </c>
    </row>
    <row r="19" spans="1:12">
      <c r="A19" s="28">
        <v>18</v>
      </c>
      <c r="B19" s="28" t="s">
        <v>7536</v>
      </c>
      <c r="C19" s="28" t="s">
        <v>9234</v>
      </c>
      <c r="D19" s="28" t="s">
        <v>9185</v>
      </c>
      <c r="E19" s="28" t="s">
        <v>9178</v>
      </c>
      <c r="F19" s="28"/>
      <c r="G19" s="28" t="s">
        <v>7536</v>
      </c>
      <c r="H19" s="28"/>
      <c r="I19" s="28" t="s">
        <v>9180</v>
      </c>
      <c r="J19" s="28" t="s">
        <v>9235</v>
      </c>
      <c r="K19" s="28" t="s">
        <v>9218</v>
      </c>
      <c r="L19" s="28" t="s">
        <v>9189</v>
      </c>
    </row>
    <row r="20" spans="1:12">
      <c r="A20" s="29">
        <v>19</v>
      </c>
      <c r="B20" s="29" t="s">
        <v>7025</v>
      </c>
      <c r="C20" s="29" t="s">
        <v>7026</v>
      </c>
      <c r="D20" s="29" t="s">
        <v>9185</v>
      </c>
      <c r="E20" s="29" t="s">
        <v>9178</v>
      </c>
      <c r="F20" s="29"/>
      <c r="G20" s="29" t="s">
        <v>9236</v>
      </c>
      <c r="H20" s="29"/>
      <c r="I20" s="29" t="s">
        <v>9180</v>
      </c>
      <c r="J20" s="29" t="s">
        <v>9237</v>
      </c>
      <c r="K20" s="29" t="s">
        <v>9218</v>
      </c>
      <c r="L20" s="29" t="s">
        <v>9223</v>
      </c>
    </row>
    <row r="21" spans="1:12">
      <c r="A21" s="28">
        <v>20</v>
      </c>
      <c r="B21" s="28" t="s">
        <v>6987</v>
      </c>
      <c r="C21" s="28" t="s">
        <v>6988</v>
      </c>
      <c r="D21" s="28" t="s">
        <v>9185</v>
      </c>
      <c r="E21" s="28" t="s">
        <v>9178</v>
      </c>
      <c r="F21" s="28"/>
      <c r="G21" s="28" t="s">
        <v>9238</v>
      </c>
      <c r="H21" s="28"/>
      <c r="I21" s="28" t="s">
        <v>9180</v>
      </c>
      <c r="J21" s="28" t="s">
        <v>9237</v>
      </c>
      <c r="K21" s="28" t="s">
        <v>9218</v>
      </c>
      <c r="L21" s="28" t="s">
        <v>9223</v>
      </c>
    </row>
    <row r="22" spans="1:12">
      <c r="A22" s="29">
        <v>21</v>
      </c>
      <c r="B22" s="29" t="s">
        <v>7551</v>
      </c>
      <c r="C22" s="29" t="s">
        <v>6988</v>
      </c>
      <c r="D22" s="29" t="s">
        <v>9185</v>
      </c>
      <c r="E22" s="29" t="s">
        <v>9178</v>
      </c>
      <c r="F22" s="29"/>
      <c r="G22" s="29" t="s">
        <v>7551</v>
      </c>
      <c r="H22" s="29"/>
      <c r="I22" s="29" t="s">
        <v>9180</v>
      </c>
      <c r="J22" s="29" t="s">
        <v>9239</v>
      </c>
      <c r="K22" s="29" t="s">
        <v>9218</v>
      </c>
      <c r="L22" s="29" t="s">
        <v>9223</v>
      </c>
    </row>
    <row r="23" spans="1:12">
      <c r="A23" s="28">
        <v>22</v>
      </c>
      <c r="B23" s="28" t="s">
        <v>7029</v>
      </c>
      <c r="C23" s="28" t="s">
        <v>9240</v>
      </c>
      <c r="D23" s="28" t="s">
        <v>9185</v>
      </c>
      <c r="E23" s="28" t="s">
        <v>9178</v>
      </c>
      <c r="F23" s="28"/>
      <c r="G23" s="28" t="s">
        <v>9241</v>
      </c>
      <c r="H23" s="28"/>
      <c r="I23" s="28" t="s">
        <v>9180</v>
      </c>
      <c r="J23" s="28" t="s">
        <v>9230</v>
      </c>
      <c r="K23" s="28" t="s">
        <v>9218</v>
      </c>
      <c r="L23" s="28" t="s">
        <v>9189</v>
      </c>
    </row>
    <row r="24" spans="1:12">
      <c r="A24" s="29">
        <v>23</v>
      </c>
      <c r="B24" s="29" t="s">
        <v>7508</v>
      </c>
      <c r="C24" s="29" t="s">
        <v>9242</v>
      </c>
      <c r="D24" s="29" t="s">
        <v>9185</v>
      </c>
      <c r="E24" s="29" t="s">
        <v>9178</v>
      </c>
      <c r="F24" s="29"/>
      <c r="G24" s="29" t="s">
        <v>9243</v>
      </c>
      <c r="H24" s="29"/>
      <c r="I24" s="29" t="s">
        <v>9180</v>
      </c>
      <c r="J24" s="29" t="s">
        <v>9239</v>
      </c>
      <c r="K24" s="29" t="s">
        <v>9218</v>
      </c>
      <c r="L24" s="29" t="s">
        <v>9223</v>
      </c>
    </row>
    <row r="25" spans="1:12">
      <c r="A25" s="28">
        <v>24</v>
      </c>
      <c r="B25" s="28" t="s">
        <v>7482</v>
      </c>
      <c r="C25" s="28" t="s">
        <v>9244</v>
      </c>
      <c r="D25" s="28" t="s">
        <v>9185</v>
      </c>
      <c r="E25" s="28" t="s">
        <v>9178</v>
      </c>
      <c r="F25" s="28"/>
      <c r="G25" s="28" t="s">
        <v>7482</v>
      </c>
      <c r="H25" s="28"/>
      <c r="I25" s="28" t="s">
        <v>9180</v>
      </c>
      <c r="J25" s="28" t="s">
        <v>9221</v>
      </c>
      <c r="K25" s="28" t="s">
        <v>9218</v>
      </c>
      <c r="L25" s="28" t="s">
        <v>9189</v>
      </c>
    </row>
    <row r="26" spans="1:12">
      <c r="A26" s="29">
        <v>25</v>
      </c>
      <c r="B26" s="29" t="s">
        <v>7005</v>
      </c>
      <c r="C26" s="29" t="s">
        <v>7006</v>
      </c>
      <c r="D26" s="29" t="s">
        <v>9185</v>
      </c>
      <c r="E26" s="29" t="s">
        <v>9178</v>
      </c>
      <c r="F26" s="29"/>
      <c r="G26" s="29" t="s">
        <v>9245</v>
      </c>
      <c r="H26" s="29"/>
      <c r="I26" s="29" t="s">
        <v>9180</v>
      </c>
      <c r="J26" s="29" t="s">
        <v>9246</v>
      </c>
      <c r="K26" s="29" t="s">
        <v>9218</v>
      </c>
      <c r="L26" s="29" t="s">
        <v>9223</v>
      </c>
    </row>
    <row r="27" spans="1:12">
      <c r="A27" s="28">
        <v>26</v>
      </c>
      <c r="B27" s="28" t="s">
        <v>7021</v>
      </c>
      <c r="C27" s="28" t="s">
        <v>9247</v>
      </c>
      <c r="D27" s="28" t="s">
        <v>9185</v>
      </c>
      <c r="E27" s="28" t="s">
        <v>9178</v>
      </c>
      <c r="F27" s="28"/>
      <c r="G27" s="28" t="s">
        <v>9248</v>
      </c>
      <c r="H27" s="28"/>
      <c r="I27" s="28" t="s">
        <v>9180</v>
      </c>
      <c r="J27" s="28" t="s">
        <v>9249</v>
      </c>
      <c r="K27" s="28" t="s">
        <v>9218</v>
      </c>
      <c r="L27" s="28" t="s">
        <v>9189</v>
      </c>
    </row>
    <row r="28" spans="1:12">
      <c r="A28" s="29">
        <v>27</v>
      </c>
      <c r="B28" s="29" t="s">
        <v>6945</v>
      </c>
      <c r="C28" s="29" t="s">
        <v>6946</v>
      </c>
      <c r="D28" s="29" t="s">
        <v>9185</v>
      </c>
      <c r="E28" s="29" t="s">
        <v>9178</v>
      </c>
      <c r="F28" s="29"/>
      <c r="G28" s="29" t="s">
        <v>9250</v>
      </c>
      <c r="H28" s="29"/>
      <c r="I28" s="29" t="s">
        <v>9180</v>
      </c>
      <c r="J28" s="29" t="s">
        <v>9251</v>
      </c>
      <c r="K28" s="29" t="s">
        <v>9218</v>
      </c>
      <c r="L28" s="29" t="s">
        <v>9223</v>
      </c>
    </row>
    <row r="29" spans="1:12">
      <c r="A29" s="28">
        <v>28</v>
      </c>
      <c r="B29" s="28" t="s">
        <v>7055</v>
      </c>
      <c r="C29" s="28" t="s">
        <v>9252</v>
      </c>
      <c r="D29" s="28" t="s">
        <v>9185</v>
      </c>
      <c r="E29" s="28" t="s">
        <v>9178</v>
      </c>
      <c r="F29" s="28"/>
      <c r="G29" s="28" t="s">
        <v>9253</v>
      </c>
      <c r="H29" s="28"/>
      <c r="I29" s="28" t="s">
        <v>9180</v>
      </c>
      <c r="J29" s="28" t="s">
        <v>9221</v>
      </c>
      <c r="K29" s="28" t="s">
        <v>9218</v>
      </c>
      <c r="L29" s="28" t="s">
        <v>9189</v>
      </c>
    </row>
    <row r="30" spans="1:12">
      <c r="A30" s="29">
        <v>29</v>
      </c>
      <c r="B30" s="29" t="s">
        <v>7080</v>
      </c>
      <c r="C30" s="29" t="s">
        <v>9254</v>
      </c>
      <c r="D30" s="29" t="s">
        <v>9185</v>
      </c>
      <c r="E30" s="29" t="s">
        <v>9178</v>
      </c>
      <c r="F30" s="29"/>
      <c r="G30" s="29" t="s">
        <v>9255</v>
      </c>
      <c r="H30" s="29"/>
      <c r="I30" s="29" t="s">
        <v>9180</v>
      </c>
      <c r="J30" s="29" t="s">
        <v>9256</v>
      </c>
      <c r="K30" s="29" t="s">
        <v>9218</v>
      </c>
      <c r="L30" s="29" t="s">
        <v>9189</v>
      </c>
    </row>
    <row r="31" spans="1:12">
      <c r="A31" s="28">
        <v>30</v>
      </c>
      <c r="B31" s="28" t="s">
        <v>6782</v>
      </c>
      <c r="C31" s="28" t="s">
        <v>9257</v>
      </c>
      <c r="D31" s="28" t="s">
        <v>9185</v>
      </c>
      <c r="E31" s="28" t="s">
        <v>9178</v>
      </c>
      <c r="F31" s="28"/>
      <c r="G31" s="28" t="s">
        <v>9258</v>
      </c>
      <c r="H31" s="28"/>
      <c r="I31" s="28" t="s">
        <v>9180</v>
      </c>
      <c r="J31" s="28" t="s">
        <v>9221</v>
      </c>
      <c r="K31" s="28" t="s">
        <v>9218</v>
      </c>
      <c r="L31" s="28" t="s">
        <v>9189</v>
      </c>
    </row>
    <row r="32" spans="1:12">
      <c r="A32" s="29">
        <v>31</v>
      </c>
      <c r="B32" s="29" t="s">
        <v>7033</v>
      </c>
      <c r="C32" s="29" t="s">
        <v>7034</v>
      </c>
      <c r="D32" s="29" t="s">
        <v>9185</v>
      </c>
      <c r="E32" s="29" t="s">
        <v>9178</v>
      </c>
      <c r="F32" s="29"/>
      <c r="G32" s="29" t="s">
        <v>9259</v>
      </c>
      <c r="H32" s="29"/>
      <c r="I32" s="29" t="s">
        <v>9180</v>
      </c>
      <c r="J32" s="29" t="s">
        <v>9260</v>
      </c>
      <c r="K32" s="29" t="s">
        <v>9218</v>
      </c>
      <c r="L32" s="29" t="s">
        <v>9223</v>
      </c>
    </row>
    <row r="33" spans="1:12">
      <c r="A33" s="28">
        <v>32</v>
      </c>
      <c r="B33" s="28" t="s">
        <v>7542</v>
      </c>
      <c r="C33" s="28" t="s">
        <v>7543</v>
      </c>
      <c r="D33" s="28" t="s">
        <v>9185</v>
      </c>
      <c r="E33" s="28" t="s">
        <v>9178</v>
      </c>
      <c r="F33" s="28"/>
      <c r="G33" s="28" t="s">
        <v>7542</v>
      </c>
      <c r="H33" s="28"/>
      <c r="I33" s="28" t="s">
        <v>9180</v>
      </c>
      <c r="J33" s="28" t="s">
        <v>9222</v>
      </c>
      <c r="K33" s="28" t="s">
        <v>9218</v>
      </c>
      <c r="L33" s="28" t="s">
        <v>9223</v>
      </c>
    </row>
    <row r="34" spans="1:12">
      <c r="A34" s="27">
        <v>33</v>
      </c>
      <c r="B34" s="27" t="s">
        <v>7216</v>
      </c>
      <c r="C34" s="27" t="s">
        <v>7217</v>
      </c>
      <c r="D34" s="27" t="s">
        <v>9177</v>
      </c>
      <c r="E34" s="27" t="s">
        <v>9178</v>
      </c>
      <c r="F34" s="27"/>
      <c r="G34" s="27" t="s">
        <v>9261</v>
      </c>
      <c r="H34" s="27"/>
      <c r="I34" s="27" t="s">
        <v>9180</v>
      </c>
      <c r="J34" s="27" t="s">
        <v>9262</v>
      </c>
      <c r="K34" s="27" t="s">
        <v>9218</v>
      </c>
      <c r="L34" s="27" t="s">
        <v>9183</v>
      </c>
    </row>
    <row r="35" spans="1:12">
      <c r="A35" s="28">
        <v>34</v>
      </c>
      <c r="B35" s="28" t="s">
        <v>9263</v>
      </c>
      <c r="C35" s="28" t="s">
        <v>9264</v>
      </c>
      <c r="D35" s="28" t="s">
        <v>9185</v>
      </c>
      <c r="E35" s="28" t="s">
        <v>9178</v>
      </c>
      <c r="F35" s="28"/>
      <c r="G35" s="28" t="s">
        <v>9265</v>
      </c>
      <c r="H35" s="28"/>
      <c r="I35" s="28" t="s">
        <v>9180</v>
      </c>
      <c r="J35" s="28" t="s">
        <v>9210</v>
      </c>
      <c r="K35" s="28" t="s">
        <v>9218</v>
      </c>
      <c r="L35" s="28" t="s">
        <v>9223</v>
      </c>
    </row>
    <row r="36" spans="1:12">
      <c r="A36" s="29">
        <v>35</v>
      </c>
      <c r="B36" s="29" t="s">
        <v>7157</v>
      </c>
      <c r="C36" s="29" t="s">
        <v>7158</v>
      </c>
      <c r="D36" s="29" t="s">
        <v>9185</v>
      </c>
      <c r="E36" s="29" t="s">
        <v>9178</v>
      </c>
      <c r="F36" s="29"/>
      <c r="G36" s="29" t="s">
        <v>9266</v>
      </c>
      <c r="H36" s="29"/>
      <c r="I36" s="29" t="s">
        <v>9180</v>
      </c>
      <c r="J36" s="29" t="s">
        <v>9221</v>
      </c>
      <c r="K36" s="29" t="s">
        <v>9218</v>
      </c>
      <c r="L36" s="29" t="s">
        <v>9223</v>
      </c>
    </row>
    <row r="37" spans="1:12">
      <c r="A37" s="28">
        <v>36</v>
      </c>
      <c r="B37" s="28" t="s">
        <v>7752</v>
      </c>
      <c r="C37" s="28" t="s">
        <v>7753</v>
      </c>
      <c r="D37" s="28" t="s">
        <v>9185</v>
      </c>
      <c r="E37" s="28" t="s">
        <v>9178</v>
      </c>
      <c r="F37" s="28"/>
      <c r="G37" s="28" t="s">
        <v>9267</v>
      </c>
      <c r="H37" s="28"/>
      <c r="I37" s="28" t="s">
        <v>9180</v>
      </c>
      <c r="J37" s="28" t="s">
        <v>9268</v>
      </c>
      <c r="K37" s="28" t="s">
        <v>9218</v>
      </c>
      <c r="L37" s="28" t="s">
        <v>9223</v>
      </c>
    </row>
    <row r="38" spans="1:12">
      <c r="A38" s="29">
        <v>37</v>
      </c>
      <c r="B38" s="29" t="s">
        <v>7068</v>
      </c>
      <c r="C38" s="29" t="s">
        <v>9269</v>
      </c>
      <c r="D38" s="29" t="s">
        <v>9185</v>
      </c>
      <c r="E38" s="29" t="s">
        <v>9178</v>
      </c>
      <c r="F38" s="29"/>
      <c r="G38" s="29" t="s">
        <v>9270</v>
      </c>
      <c r="H38" s="29"/>
      <c r="I38" s="29" t="s">
        <v>9180</v>
      </c>
      <c r="J38" s="29" t="s">
        <v>9271</v>
      </c>
      <c r="K38" s="29" t="s">
        <v>9218</v>
      </c>
      <c r="L38" s="29" t="s">
        <v>9189</v>
      </c>
    </row>
    <row r="39" spans="1:12">
      <c r="A39" s="28">
        <v>38</v>
      </c>
      <c r="B39" s="28" t="s">
        <v>7530</v>
      </c>
      <c r="C39" s="28" t="s">
        <v>7531</v>
      </c>
      <c r="D39" s="28" t="s">
        <v>9185</v>
      </c>
      <c r="E39" s="28" t="s">
        <v>9178</v>
      </c>
      <c r="F39" s="28"/>
      <c r="G39" s="28" t="s">
        <v>7530</v>
      </c>
      <c r="H39" s="28"/>
      <c r="I39" s="28" t="s">
        <v>9180</v>
      </c>
      <c r="J39" s="28" t="s">
        <v>9239</v>
      </c>
      <c r="K39" s="28" t="s">
        <v>9218</v>
      </c>
      <c r="L39" s="28" t="s">
        <v>9223</v>
      </c>
    </row>
    <row r="40" spans="1:12">
      <c r="A40" s="29">
        <v>39</v>
      </c>
      <c r="B40" s="29" t="s">
        <v>7756</v>
      </c>
      <c r="C40" s="29" t="s">
        <v>9272</v>
      </c>
      <c r="D40" s="29" t="s">
        <v>9185</v>
      </c>
      <c r="E40" s="29" t="s">
        <v>9178</v>
      </c>
      <c r="F40" s="29"/>
      <c r="G40" s="29" t="s">
        <v>9273</v>
      </c>
      <c r="H40" s="29"/>
      <c r="I40" s="29" t="s">
        <v>9180</v>
      </c>
      <c r="J40" s="29" t="s">
        <v>9274</v>
      </c>
      <c r="K40" s="29" t="s">
        <v>9218</v>
      </c>
      <c r="L40" s="29" t="s">
        <v>9189</v>
      </c>
    </row>
    <row r="41" spans="1:12">
      <c r="A41" s="28">
        <v>40</v>
      </c>
      <c r="B41" s="28" t="s">
        <v>7490</v>
      </c>
      <c r="C41" s="28" t="s">
        <v>7491</v>
      </c>
      <c r="D41" s="28" t="s">
        <v>9185</v>
      </c>
      <c r="E41" s="28" t="s">
        <v>9178</v>
      </c>
      <c r="F41" s="28"/>
      <c r="G41" s="28" t="s">
        <v>7490</v>
      </c>
      <c r="H41" s="28"/>
      <c r="I41" s="28" t="s">
        <v>9180</v>
      </c>
      <c r="J41" s="28" t="s">
        <v>9239</v>
      </c>
      <c r="K41" s="28" t="s">
        <v>9218</v>
      </c>
      <c r="L41" s="28" t="s">
        <v>9223</v>
      </c>
    </row>
    <row r="42" spans="1:12">
      <c r="A42" s="29">
        <v>41</v>
      </c>
      <c r="B42" s="29" t="s">
        <v>6625</v>
      </c>
      <c r="C42" s="29" t="s">
        <v>9275</v>
      </c>
      <c r="D42" s="29" t="s">
        <v>9185</v>
      </c>
      <c r="E42" s="29" t="s">
        <v>9178</v>
      </c>
      <c r="F42" s="29"/>
      <c r="G42" s="29" t="s">
        <v>9276</v>
      </c>
      <c r="H42" s="29"/>
      <c r="I42" s="29" t="s">
        <v>9180</v>
      </c>
      <c r="J42" s="29" t="s">
        <v>9277</v>
      </c>
      <c r="K42" s="29" t="s">
        <v>9218</v>
      </c>
      <c r="L42" s="29" t="s">
        <v>9189</v>
      </c>
    </row>
    <row r="43" spans="1:12">
      <c r="A43" s="28">
        <v>42</v>
      </c>
      <c r="B43" s="28" t="s">
        <v>7076</v>
      </c>
      <c r="C43" s="28" t="s">
        <v>7077</v>
      </c>
      <c r="D43" s="28" t="s">
        <v>9185</v>
      </c>
      <c r="E43" s="28" t="s">
        <v>9178</v>
      </c>
      <c r="F43" s="28"/>
      <c r="G43" s="28" t="s">
        <v>9278</v>
      </c>
      <c r="H43" s="28"/>
      <c r="I43" s="28" t="s">
        <v>9180</v>
      </c>
      <c r="J43" s="28" t="s">
        <v>9221</v>
      </c>
      <c r="K43" s="28" t="s">
        <v>9218</v>
      </c>
      <c r="L43" s="28" t="s">
        <v>9223</v>
      </c>
    </row>
    <row r="44" spans="1:12">
      <c r="A44" s="29">
        <v>43</v>
      </c>
      <c r="B44" s="29" t="s">
        <v>7234</v>
      </c>
      <c r="C44" s="29" t="s">
        <v>7235</v>
      </c>
      <c r="D44" s="29" t="s">
        <v>9185</v>
      </c>
      <c r="E44" s="29" t="s">
        <v>9178</v>
      </c>
      <c r="F44" s="29"/>
      <c r="G44" s="29" t="s">
        <v>9279</v>
      </c>
      <c r="H44" s="29"/>
      <c r="I44" s="29" t="s">
        <v>9180</v>
      </c>
      <c r="J44" s="29" t="s">
        <v>9280</v>
      </c>
      <c r="K44" s="29" t="s">
        <v>9218</v>
      </c>
      <c r="L44" s="29" t="s">
        <v>9223</v>
      </c>
    </row>
    <row r="45" spans="1:12">
      <c r="A45" s="28">
        <v>44</v>
      </c>
      <c r="B45" s="28" t="s">
        <v>7238</v>
      </c>
      <c r="C45" s="28" t="s">
        <v>9281</v>
      </c>
      <c r="D45" s="28" t="s">
        <v>9185</v>
      </c>
      <c r="E45" s="28" t="s">
        <v>9178</v>
      </c>
      <c r="F45" s="28"/>
      <c r="G45" s="28" t="s">
        <v>9282</v>
      </c>
      <c r="H45" s="28"/>
      <c r="I45" s="28" t="s">
        <v>9180</v>
      </c>
      <c r="J45" s="28" t="s">
        <v>9221</v>
      </c>
      <c r="K45" s="28" t="s">
        <v>9218</v>
      </c>
      <c r="L45" s="28" t="s">
        <v>9189</v>
      </c>
    </row>
    <row r="46" spans="1:12">
      <c r="A46" s="29">
        <v>45</v>
      </c>
      <c r="B46" s="29" t="s">
        <v>5697</v>
      </c>
      <c r="C46" s="29" t="s">
        <v>5698</v>
      </c>
      <c r="D46" s="29" t="s">
        <v>9185</v>
      </c>
      <c r="E46" s="29" t="s">
        <v>9178</v>
      </c>
      <c r="F46" s="29"/>
      <c r="G46" s="29" t="s">
        <v>9283</v>
      </c>
      <c r="H46" s="29"/>
      <c r="I46" s="29" t="s">
        <v>9180</v>
      </c>
      <c r="J46" s="29" t="s">
        <v>9239</v>
      </c>
      <c r="K46" s="29" t="s">
        <v>9218</v>
      </c>
      <c r="L46" s="29" t="s">
        <v>9223</v>
      </c>
    </row>
    <row r="47" spans="1:12">
      <c r="A47" s="28">
        <v>46</v>
      </c>
      <c r="B47" s="28" t="s">
        <v>5655</v>
      </c>
      <c r="C47" s="28" t="s">
        <v>9284</v>
      </c>
      <c r="D47" s="28" t="s">
        <v>9185</v>
      </c>
      <c r="E47" s="28" t="s">
        <v>9178</v>
      </c>
      <c r="F47" s="28"/>
      <c r="G47" s="28" t="s">
        <v>9285</v>
      </c>
      <c r="H47" s="28"/>
      <c r="I47" s="28" t="s">
        <v>9180</v>
      </c>
      <c r="J47" s="28" t="s">
        <v>9217</v>
      </c>
      <c r="K47" s="28" t="s">
        <v>9218</v>
      </c>
      <c r="L47" s="28" t="s">
        <v>9189</v>
      </c>
    </row>
    <row r="48" spans="1:12">
      <c r="A48" s="29">
        <v>47</v>
      </c>
      <c r="B48" s="29" t="s">
        <v>1629</v>
      </c>
      <c r="C48" s="29" t="s">
        <v>9286</v>
      </c>
      <c r="D48" s="29" t="s">
        <v>9185</v>
      </c>
      <c r="E48" s="29" t="s">
        <v>9178</v>
      </c>
      <c r="F48" s="29"/>
      <c r="G48" s="29" t="s">
        <v>9287</v>
      </c>
      <c r="H48" s="29"/>
      <c r="I48" s="29" t="s">
        <v>9180</v>
      </c>
      <c r="J48" s="29" t="s">
        <v>9288</v>
      </c>
      <c r="K48" s="29" t="s">
        <v>9218</v>
      </c>
      <c r="L48" s="29" t="s">
        <v>9189</v>
      </c>
    </row>
    <row r="49" spans="1:12">
      <c r="A49" s="28">
        <v>48</v>
      </c>
      <c r="B49" s="28" t="s">
        <v>7500</v>
      </c>
      <c r="C49" s="28" t="s">
        <v>9289</v>
      </c>
      <c r="D49" s="28" t="s">
        <v>9185</v>
      </c>
      <c r="E49" s="28" t="s">
        <v>9178</v>
      </c>
      <c r="F49" s="28"/>
      <c r="G49" s="28" t="s">
        <v>9290</v>
      </c>
      <c r="H49" s="28"/>
      <c r="I49" s="28" t="s">
        <v>9180</v>
      </c>
      <c r="J49" s="28" t="s">
        <v>9205</v>
      </c>
      <c r="K49" s="28" t="s">
        <v>9218</v>
      </c>
      <c r="L49" s="28" t="s">
        <v>9189</v>
      </c>
    </row>
    <row r="50" spans="1:12">
      <c r="A50" s="29">
        <v>49</v>
      </c>
      <c r="B50" s="29" t="s">
        <v>1061</v>
      </c>
      <c r="C50" s="29" t="s">
        <v>9291</v>
      </c>
      <c r="D50" s="29" t="s">
        <v>9185</v>
      </c>
      <c r="E50" s="29" t="s">
        <v>9178</v>
      </c>
      <c r="F50" s="29"/>
      <c r="G50" s="29" t="s">
        <v>9292</v>
      </c>
      <c r="H50" s="29"/>
      <c r="I50" s="29" t="s">
        <v>9180</v>
      </c>
      <c r="J50" s="29" t="s">
        <v>9293</v>
      </c>
      <c r="K50" s="29" t="s">
        <v>9218</v>
      </c>
      <c r="L50" s="29" t="s">
        <v>9189</v>
      </c>
    </row>
    <row r="51" spans="1:12">
      <c r="A51" s="27">
        <v>50</v>
      </c>
      <c r="B51" s="27" t="s">
        <v>5759</v>
      </c>
      <c r="C51" s="27"/>
      <c r="D51" s="27" t="s">
        <v>9177</v>
      </c>
      <c r="E51" s="27" t="s">
        <v>9178</v>
      </c>
      <c r="F51" s="27"/>
      <c r="G51" s="27" t="s">
        <v>9294</v>
      </c>
      <c r="H51" s="27"/>
      <c r="I51" s="27" t="s">
        <v>9180</v>
      </c>
      <c r="J51" s="27" t="s">
        <v>9295</v>
      </c>
      <c r="K51" s="27" t="s">
        <v>9218</v>
      </c>
      <c r="L51" s="27" t="s">
        <v>9183</v>
      </c>
    </row>
    <row r="52" spans="1:12">
      <c r="A52" s="29">
        <v>51</v>
      </c>
      <c r="B52" s="29" t="s">
        <v>3353</v>
      </c>
      <c r="C52" s="29" t="s">
        <v>9296</v>
      </c>
      <c r="D52" s="29" t="s">
        <v>9185</v>
      </c>
      <c r="E52" s="29" t="s">
        <v>9178</v>
      </c>
      <c r="F52" s="29"/>
      <c r="G52" s="29" t="s">
        <v>9297</v>
      </c>
      <c r="H52" s="29"/>
      <c r="I52" s="29" t="s">
        <v>9180</v>
      </c>
      <c r="J52" s="29" t="s">
        <v>9298</v>
      </c>
      <c r="K52" s="29" t="s">
        <v>9218</v>
      </c>
      <c r="L52" s="29" t="s">
        <v>9189</v>
      </c>
    </row>
    <row r="53" spans="1:12">
      <c r="A53" s="28">
        <v>52</v>
      </c>
      <c r="B53" s="28" t="s">
        <v>5734</v>
      </c>
      <c r="C53" s="28" t="s">
        <v>9299</v>
      </c>
      <c r="D53" s="28" t="s">
        <v>9185</v>
      </c>
      <c r="E53" s="28" t="s">
        <v>9178</v>
      </c>
      <c r="F53" s="28"/>
      <c r="G53" s="28" t="s">
        <v>9300</v>
      </c>
      <c r="H53" s="28"/>
      <c r="I53" s="28" t="s">
        <v>9180</v>
      </c>
      <c r="J53" s="28" t="s">
        <v>9301</v>
      </c>
      <c r="K53" s="28" t="s">
        <v>9218</v>
      </c>
      <c r="L53" s="28" t="s">
        <v>9189</v>
      </c>
    </row>
    <row r="54" spans="1:12">
      <c r="A54" s="29">
        <v>53</v>
      </c>
      <c r="B54" s="29" t="s">
        <v>5742</v>
      </c>
      <c r="C54" s="29" t="s">
        <v>9302</v>
      </c>
      <c r="D54" s="29" t="s">
        <v>9185</v>
      </c>
      <c r="E54" s="29" t="s">
        <v>9178</v>
      </c>
      <c r="F54" s="29"/>
      <c r="G54" s="29" t="s">
        <v>9303</v>
      </c>
      <c r="H54" s="29"/>
      <c r="I54" s="29" t="s">
        <v>9180</v>
      </c>
      <c r="J54" s="29" t="s">
        <v>9217</v>
      </c>
      <c r="K54" s="29" t="s">
        <v>9218</v>
      </c>
      <c r="L54" s="29" t="s">
        <v>9189</v>
      </c>
    </row>
    <row r="55" spans="1:12">
      <c r="A55" s="28">
        <v>54</v>
      </c>
      <c r="B55" s="28" t="s">
        <v>5719</v>
      </c>
      <c r="C55" s="28" t="s">
        <v>9304</v>
      </c>
      <c r="D55" s="28" t="s">
        <v>9185</v>
      </c>
      <c r="E55" s="28" t="s">
        <v>9178</v>
      </c>
      <c r="F55" s="28"/>
      <c r="G55" s="28" t="s">
        <v>9305</v>
      </c>
      <c r="H55" s="28"/>
      <c r="I55" s="28" t="s">
        <v>9180</v>
      </c>
      <c r="J55" s="28" t="s">
        <v>9306</v>
      </c>
      <c r="K55" s="28" t="s">
        <v>9218</v>
      </c>
      <c r="L55" s="28" t="s">
        <v>9223</v>
      </c>
    </row>
    <row r="56" spans="1:12">
      <c r="A56" s="29">
        <v>55</v>
      </c>
      <c r="B56" s="29" t="s">
        <v>8079</v>
      </c>
      <c r="C56" s="29" t="s">
        <v>9307</v>
      </c>
      <c r="D56" s="29" t="s">
        <v>9185</v>
      </c>
      <c r="E56" s="29" t="s">
        <v>9178</v>
      </c>
      <c r="F56" s="29"/>
      <c r="G56" s="29" t="s">
        <v>9308</v>
      </c>
      <c r="H56" s="29"/>
      <c r="I56" s="29" t="s">
        <v>9180</v>
      </c>
      <c r="J56" s="29" t="s">
        <v>9309</v>
      </c>
      <c r="K56" s="29" t="s">
        <v>9218</v>
      </c>
      <c r="L56" s="29" t="s">
        <v>9189</v>
      </c>
    </row>
    <row r="57" spans="1:12">
      <c r="A57" s="28">
        <v>56</v>
      </c>
      <c r="B57" s="28" t="s">
        <v>5593</v>
      </c>
      <c r="C57" s="28" t="s">
        <v>9310</v>
      </c>
      <c r="D57" s="28" t="s">
        <v>9185</v>
      </c>
      <c r="E57" s="28" t="s">
        <v>9178</v>
      </c>
      <c r="F57" s="28"/>
      <c r="G57" s="28" t="s">
        <v>9311</v>
      </c>
      <c r="H57" s="28"/>
      <c r="I57" s="28" t="s">
        <v>9180</v>
      </c>
      <c r="J57" s="28" t="s">
        <v>9312</v>
      </c>
      <c r="K57" s="28" t="s">
        <v>9218</v>
      </c>
      <c r="L57" s="28" t="s">
        <v>9189</v>
      </c>
    </row>
    <row r="58" spans="1:12">
      <c r="A58" s="27">
        <v>57</v>
      </c>
      <c r="B58" s="27" t="s">
        <v>5788</v>
      </c>
      <c r="C58" s="27" t="s">
        <v>9313</v>
      </c>
      <c r="D58" s="27" t="s">
        <v>9177</v>
      </c>
      <c r="E58" s="27" t="s">
        <v>9178</v>
      </c>
      <c r="F58" s="27"/>
      <c r="G58" s="27" t="s">
        <v>9314</v>
      </c>
      <c r="H58" s="27" t="s">
        <v>9314</v>
      </c>
      <c r="I58" s="27" t="s">
        <v>9180</v>
      </c>
      <c r="J58" s="27" t="s">
        <v>9315</v>
      </c>
      <c r="K58" s="27" t="s">
        <v>9218</v>
      </c>
      <c r="L58" s="27" t="s">
        <v>9196</v>
      </c>
    </row>
    <row r="59" spans="1:12">
      <c r="A59" s="28">
        <v>58</v>
      </c>
      <c r="B59" s="28" t="s">
        <v>5935</v>
      </c>
      <c r="C59" s="28" t="s">
        <v>5936</v>
      </c>
      <c r="D59" s="28" t="s">
        <v>9185</v>
      </c>
      <c r="E59" s="28" t="s">
        <v>9178</v>
      </c>
      <c r="F59" s="28"/>
      <c r="G59" s="28" t="s">
        <v>9316</v>
      </c>
      <c r="H59" s="28"/>
      <c r="I59" s="28" t="s">
        <v>9180</v>
      </c>
      <c r="J59" s="28" t="s">
        <v>9268</v>
      </c>
      <c r="K59" s="28" t="s">
        <v>9218</v>
      </c>
      <c r="L59" s="28" t="s">
        <v>9223</v>
      </c>
    </row>
    <row r="60" spans="1:12">
      <c r="A60" s="29">
        <v>59</v>
      </c>
      <c r="B60" s="29" t="s">
        <v>2760</v>
      </c>
      <c r="C60" s="29" t="s">
        <v>9317</v>
      </c>
      <c r="D60" s="29" t="s">
        <v>9185</v>
      </c>
      <c r="E60" s="29" t="s">
        <v>9178</v>
      </c>
      <c r="F60" s="29"/>
      <c r="G60" s="29" t="s">
        <v>9318</v>
      </c>
      <c r="H60" s="29"/>
      <c r="I60" s="29" t="s">
        <v>9180</v>
      </c>
      <c r="J60" s="29" t="s">
        <v>9319</v>
      </c>
      <c r="K60" s="29" t="s">
        <v>9218</v>
      </c>
      <c r="L60" s="29" t="s">
        <v>9223</v>
      </c>
    </row>
    <row r="61" spans="1:12">
      <c r="A61" s="28">
        <v>60</v>
      </c>
      <c r="B61" s="28" t="s">
        <v>5929</v>
      </c>
      <c r="C61" s="28" t="s">
        <v>9320</v>
      </c>
      <c r="D61" s="28" t="s">
        <v>9185</v>
      </c>
      <c r="E61" s="28" t="s">
        <v>9178</v>
      </c>
      <c r="F61" s="28"/>
      <c r="G61" s="28" t="s">
        <v>9321</v>
      </c>
      <c r="H61" s="28"/>
      <c r="I61" s="28" t="s">
        <v>9180</v>
      </c>
      <c r="J61" s="28" t="s">
        <v>9322</v>
      </c>
      <c r="K61" s="28" t="s">
        <v>9218</v>
      </c>
      <c r="L61" s="28" t="s">
        <v>9189</v>
      </c>
    </row>
    <row r="62" spans="1:12">
      <c r="A62" s="27">
        <v>61</v>
      </c>
      <c r="B62" s="27" t="s">
        <v>5778</v>
      </c>
      <c r="C62" s="27" t="s">
        <v>9323</v>
      </c>
      <c r="D62" s="27" t="s">
        <v>9177</v>
      </c>
      <c r="E62" s="27" t="s">
        <v>9178</v>
      </c>
      <c r="F62" s="27"/>
      <c r="G62" s="27" t="s">
        <v>9324</v>
      </c>
      <c r="H62" s="27" t="s">
        <v>9324</v>
      </c>
      <c r="I62" s="27" t="s">
        <v>9180</v>
      </c>
      <c r="J62" s="27" t="s">
        <v>9274</v>
      </c>
      <c r="K62" s="27" t="s">
        <v>9218</v>
      </c>
      <c r="L62" s="27" t="s">
        <v>9196</v>
      </c>
    </row>
    <row r="63" spans="1:12">
      <c r="A63" s="28">
        <v>62</v>
      </c>
      <c r="B63" s="28" t="s">
        <v>5703</v>
      </c>
      <c r="C63" s="28" t="s">
        <v>5704</v>
      </c>
      <c r="D63" s="28" t="s">
        <v>9185</v>
      </c>
      <c r="E63" s="28" t="s">
        <v>9178</v>
      </c>
      <c r="F63" s="28"/>
      <c r="G63" s="28" t="s">
        <v>9325</v>
      </c>
      <c r="H63" s="28"/>
      <c r="I63" s="28" t="s">
        <v>9180</v>
      </c>
      <c r="J63" s="28" t="s">
        <v>9268</v>
      </c>
      <c r="K63" s="28" t="s">
        <v>9218</v>
      </c>
      <c r="L63" s="28" t="s">
        <v>9223</v>
      </c>
    </row>
    <row r="64" spans="1:12">
      <c r="A64" s="29">
        <v>63</v>
      </c>
      <c r="B64" s="29" t="s">
        <v>434</v>
      </c>
      <c r="C64" s="29" t="s">
        <v>9326</v>
      </c>
      <c r="D64" s="29" t="s">
        <v>9185</v>
      </c>
      <c r="E64" s="29" t="s">
        <v>9178</v>
      </c>
      <c r="F64" s="29"/>
      <c r="G64" s="29" t="s">
        <v>9327</v>
      </c>
      <c r="H64" s="29" t="s">
        <v>9327</v>
      </c>
      <c r="I64" s="29" t="s">
        <v>9180</v>
      </c>
      <c r="J64" s="29" t="s">
        <v>9328</v>
      </c>
      <c r="K64" s="29" t="s">
        <v>9218</v>
      </c>
      <c r="L64" s="29" t="s">
        <v>9189</v>
      </c>
    </row>
    <row r="65" spans="1:12">
      <c r="A65" s="28">
        <v>64</v>
      </c>
      <c r="B65" s="28" t="s">
        <v>5659</v>
      </c>
      <c r="C65" s="28" t="s">
        <v>5660</v>
      </c>
      <c r="D65" s="28" t="s">
        <v>9185</v>
      </c>
      <c r="E65" s="28" t="s">
        <v>9178</v>
      </c>
      <c r="F65" s="28"/>
      <c r="G65" s="28" t="s">
        <v>9329</v>
      </c>
      <c r="H65" s="28" t="s">
        <v>9329</v>
      </c>
      <c r="I65" s="28" t="s">
        <v>9180</v>
      </c>
      <c r="J65" s="28" t="s">
        <v>9280</v>
      </c>
      <c r="K65" s="28" t="s">
        <v>9218</v>
      </c>
      <c r="L65" s="28" t="s">
        <v>9223</v>
      </c>
    </row>
    <row r="66" spans="1:12">
      <c r="A66" s="29">
        <v>65</v>
      </c>
      <c r="B66" s="29" t="s">
        <v>5770</v>
      </c>
      <c r="C66" s="29" t="s">
        <v>9330</v>
      </c>
      <c r="D66" s="29" t="s">
        <v>9185</v>
      </c>
      <c r="E66" s="29" t="s">
        <v>9178</v>
      </c>
      <c r="F66" s="29"/>
      <c r="G66" s="29" t="s">
        <v>9331</v>
      </c>
      <c r="H66" s="29" t="s">
        <v>9331</v>
      </c>
      <c r="I66" s="29" t="s">
        <v>9180</v>
      </c>
      <c r="J66" s="29" t="s">
        <v>9274</v>
      </c>
      <c r="K66" s="29" t="s">
        <v>9218</v>
      </c>
      <c r="L66" s="29" t="s">
        <v>9189</v>
      </c>
    </row>
    <row r="67" spans="1:12">
      <c r="A67" s="27">
        <v>66</v>
      </c>
      <c r="B67" s="27" t="s">
        <v>3582</v>
      </c>
      <c r="C67" s="27" t="s">
        <v>9332</v>
      </c>
      <c r="D67" s="27" t="s">
        <v>9177</v>
      </c>
      <c r="E67" s="27" t="s">
        <v>9178</v>
      </c>
      <c r="F67" s="27"/>
      <c r="G67" s="27" t="s">
        <v>9333</v>
      </c>
      <c r="H67" s="27"/>
      <c r="I67" s="27" t="s">
        <v>9180</v>
      </c>
      <c r="J67" s="27" t="s">
        <v>9334</v>
      </c>
      <c r="K67" s="27" t="s">
        <v>9218</v>
      </c>
      <c r="L67" s="27" t="s">
        <v>9196</v>
      </c>
    </row>
    <row r="68" spans="1:12">
      <c r="A68" s="29">
        <v>67</v>
      </c>
      <c r="B68" s="29" t="s">
        <v>1434</v>
      </c>
      <c r="C68" s="29" t="s">
        <v>9335</v>
      </c>
      <c r="D68" s="29" t="s">
        <v>9185</v>
      </c>
      <c r="E68" s="29" t="s">
        <v>9336</v>
      </c>
      <c r="F68" s="29"/>
      <c r="G68" s="29" t="s">
        <v>9337</v>
      </c>
      <c r="H68" s="29" t="s">
        <v>9337</v>
      </c>
      <c r="I68" s="29" t="s">
        <v>9180</v>
      </c>
      <c r="J68" s="29" t="s">
        <v>9338</v>
      </c>
      <c r="K68" s="29" t="s">
        <v>9218</v>
      </c>
      <c r="L68" s="29" t="s">
        <v>9189</v>
      </c>
    </row>
    <row r="69" spans="1:12">
      <c r="A69" s="28">
        <v>68</v>
      </c>
      <c r="B69" s="28" t="s">
        <v>5782</v>
      </c>
      <c r="C69" s="28" t="s">
        <v>9339</v>
      </c>
      <c r="D69" s="28" t="s">
        <v>9185</v>
      </c>
      <c r="E69" s="28" t="s">
        <v>9178</v>
      </c>
      <c r="F69" s="28"/>
      <c r="G69" s="28" t="s">
        <v>9340</v>
      </c>
      <c r="H69" s="28"/>
      <c r="I69" s="28" t="s">
        <v>9180</v>
      </c>
      <c r="J69" s="28" t="s">
        <v>9315</v>
      </c>
      <c r="K69" s="28" t="s">
        <v>9218</v>
      </c>
      <c r="L69" s="28" t="s">
        <v>9189</v>
      </c>
    </row>
    <row r="70" spans="1:12">
      <c r="A70" s="29">
        <v>69</v>
      </c>
      <c r="B70" s="29" t="s">
        <v>5560</v>
      </c>
      <c r="C70" s="29" t="s">
        <v>9341</v>
      </c>
      <c r="D70" s="29" t="s">
        <v>9185</v>
      </c>
      <c r="E70" s="29" t="s">
        <v>9178</v>
      </c>
      <c r="F70" s="29"/>
      <c r="G70" s="29" t="s">
        <v>9342</v>
      </c>
      <c r="H70" s="29" t="s">
        <v>9342</v>
      </c>
      <c r="I70" s="29" t="s">
        <v>9180</v>
      </c>
      <c r="J70" s="29" t="s">
        <v>9343</v>
      </c>
      <c r="K70" s="29" t="s">
        <v>9218</v>
      </c>
      <c r="L70" s="29" t="s">
        <v>9189</v>
      </c>
    </row>
    <row r="71" spans="1:12">
      <c r="A71" s="28">
        <v>70</v>
      </c>
      <c r="B71" s="28" t="s">
        <v>2555</v>
      </c>
      <c r="C71" s="28" t="s">
        <v>2556</v>
      </c>
      <c r="D71" s="28" t="s">
        <v>9185</v>
      </c>
      <c r="E71" s="28" t="s">
        <v>9178</v>
      </c>
      <c r="F71" s="28"/>
      <c r="G71" s="28" t="s">
        <v>9344</v>
      </c>
      <c r="H71" s="28"/>
      <c r="I71" s="28" t="s">
        <v>9180</v>
      </c>
      <c r="J71" s="28" t="s">
        <v>9345</v>
      </c>
      <c r="K71" s="28" t="s">
        <v>9218</v>
      </c>
      <c r="L71" s="28" t="s">
        <v>9223</v>
      </c>
    </row>
    <row r="72" spans="1:12">
      <c r="A72" s="29">
        <v>71</v>
      </c>
      <c r="B72" s="29" t="s">
        <v>8075</v>
      </c>
      <c r="C72" s="29" t="s">
        <v>9346</v>
      </c>
      <c r="D72" s="29" t="s">
        <v>9185</v>
      </c>
      <c r="E72" s="29" t="s">
        <v>9178</v>
      </c>
      <c r="F72" s="29"/>
      <c r="G72" s="29" t="s">
        <v>9347</v>
      </c>
      <c r="H72" s="29"/>
      <c r="I72" s="29" t="s">
        <v>9180</v>
      </c>
      <c r="J72" s="29" t="s">
        <v>9274</v>
      </c>
      <c r="K72" s="29" t="s">
        <v>9218</v>
      </c>
      <c r="L72" s="29" t="s">
        <v>9189</v>
      </c>
    </row>
    <row r="73" spans="1:12">
      <c r="A73" s="30">
        <v>72</v>
      </c>
      <c r="B73" s="30" t="s">
        <v>478</v>
      </c>
      <c r="C73" s="30" t="s">
        <v>9348</v>
      </c>
      <c r="D73" s="30" t="s">
        <v>9177</v>
      </c>
      <c r="E73" s="30" t="s">
        <v>9208</v>
      </c>
      <c r="F73" s="30"/>
      <c r="G73" s="30" t="s">
        <v>9349</v>
      </c>
      <c r="H73" s="30" t="s">
        <v>9349</v>
      </c>
      <c r="I73" s="30" t="s">
        <v>9180</v>
      </c>
      <c r="J73" s="30" t="s">
        <v>9334</v>
      </c>
      <c r="K73" s="30" t="s">
        <v>9218</v>
      </c>
      <c r="L73" s="30" t="s">
        <v>9350</v>
      </c>
    </row>
    <row r="74" spans="1:12">
      <c r="A74" s="27">
        <v>73</v>
      </c>
      <c r="B74" s="27" t="s">
        <v>5510</v>
      </c>
      <c r="C74" s="27" t="s">
        <v>9351</v>
      </c>
      <c r="D74" s="27" t="s">
        <v>9177</v>
      </c>
      <c r="E74" s="27" t="s">
        <v>9178</v>
      </c>
      <c r="F74" s="27"/>
      <c r="G74" s="27" t="s">
        <v>9352</v>
      </c>
      <c r="H74" s="27" t="s">
        <v>9352</v>
      </c>
      <c r="I74" s="27" t="s">
        <v>9180</v>
      </c>
      <c r="J74" s="27" t="s">
        <v>9353</v>
      </c>
      <c r="K74" s="27" t="s">
        <v>9218</v>
      </c>
      <c r="L74" s="27" t="s">
        <v>9196</v>
      </c>
    </row>
    <row r="75" spans="1:12">
      <c r="A75" s="28">
        <v>74</v>
      </c>
      <c r="B75" s="28" t="s">
        <v>5116</v>
      </c>
      <c r="C75" s="28" t="s">
        <v>9354</v>
      </c>
      <c r="D75" s="28" t="s">
        <v>9185</v>
      </c>
      <c r="E75" s="28" t="s">
        <v>9178</v>
      </c>
      <c r="F75" s="28"/>
      <c r="G75" s="28" t="s">
        <v>9355</v>
      </c>
      <c r="H75" s="28"/>
      <c r="I75" s="28" t="s">
        <v>9180</v>
      </c>
      <c r="J75" s="28" t="s">
        <v>9356</v>
      </c>
      <c r="K75" s="28" t="s">
        <v>9218</v>
      </c>
      <c r="L75" s="28" t="s">
        <v>9189</v>
      </c>
    </row>
    <row r="76" spans="1:12">
      <c r="A76" s="27">
        <v>75</v>
      </c>
      <c r="B76" s="27" t="s">
        <v>5126</v>
      </c>
      <c r="C76" s="27" t="s">
        <v>9357</v>
      </c>
      <c r="D76" s="27" t="s">
        <v>9177</v>
      </c>
      <c r="E76" s="27" t="s">
        <v>9178</v>
      </c>
      <c r="F76" s="27"/>
      <c r="G76" s="27" t="s">
        <v>9358</v>
      </c>
      <c r="H76" s="27" t="s">
        <v>9358</v>
      </c>
      <c r="I76" s="27" t="s">
        <v>9180</v>
      </c>
      <c r="J76" s="27" t="s">
        <v>9235</v>
      </c>
      <c r="K76" s="27" t="s">
        <v>9218</v>
      </c>
      <c r="L76" s="27" t="s">
        <v>9196</v>
      </c>
    </row>
    <row r="77" spans="1:12">
      <c r="A77" s="28">
        <v>76</v>
      </c>
      <c r="B77" s="28" t="s">
        <v>8058</v>
      </c>
      <c r="C77" s="28" t="s">
        <v>9359</v>
      </c>
      <c r="D77" s="28" t="s">
        <v>9185</v>
      </c>
      <c r="E77" s="28" t="s">
        <v>9178</v>
      </c>
      <c r="F77" s="28"/>
      <c r="G77" s="28" t="s">
        <v>9360</v>
      </c>
      <c r="H77" s="28"/>
      <c r="I77" s="28" t="s">
        <v>9180</v>
      </c>
      <c r="J77" s="28" t="s">
        <v>9361</v>
      </c>
      <c r="K77" s="28" t="s">
        <v>9218</v>
      </c>
      <c r="L77" s="28" t="s">
        <v>9189</v>
      </c>
    </row>
    <row r="78" spans="1:12">
      <c r="A78" s="29">
        <v>77</v>
      </c>
      <c r="B78" s="29" t="s">
        <v>5451</v>
      </c>
      <c r="C78" s="29" t="s">
        <v>9362</v>
      </c>
      <c r="D78" s="29" t="s">
        <v>9185</v>
      </c>
      <c r="E78" s="29" t="s">
        <v>9178</v>
      </c>
      <c r="F78" s="29"/>
      <c r="G78" s="29" t="s">
        <v>9363</v>
      </c>
      <c r="H78" s="29"/>
      <c r="I78" s="29" t="s">
        <v>9180</v>
      </c>
      <c r="J78" s="29" t="s">
        <v>9312</v>
      </c>
      <c r="K78" s="29" t="s">
        <v>9218</v>
      </c>
      <c r="L78" s="29" t="s">
        <v>9189</v>
      </c>
    </row>
    <row r="79" spans="1:12">
      <c r="A79" s="28">
        <v>78</v>
      </c>
      <c r="B79" s="28" t="s">
        <v>5445</v>
      </c>
      <c r="C79" s="28" t="s">
        <v>9364</v>
      </c>
      <c r="D79" s="28" t="s">
        <v>9185</v>
      </c>
      <c r="E79" s="28" t="s">
        <v>9178</v>
      </c>
      <c r="F79" s="28"/>
      <c r="G79" s="28" t="s">
        <v>9365</v>
      </c>
      <c r="H79" s="28"/>
      <c r="I79" s="28" t="s">
        <v>9180</v>
      </c>
      <c r="J79" s="28" t="s">
        <v>9322</v>
      </c>
      <c r="K79" s="28" t="s">
        <v>9218</v>
      </c>
      <c r="L79" s="28" t="s">
        <v>9189</v>
      </c>
    </row>
    <row r="80" spans="1:12">
      <c r="A80" s="29">
        <v>79</v>
      </c>
      <c r="B80" s="29" t="s">
        <v>8050</v>
      </c>
      <c r="C80" s="29" t="s">
        <v>8051</v>
      </c>
      <c r="D80" s="29" t="s">
        <v>9185</v>
      </c>
      <c r="E80" s="29" t="s">
        <v>9178</v>
      </c>
      <c r="F80" s="29"/>
      <c r="G80" s="29" t="s">
        <v>9366</v>
      </c>
      <c r="H80" s="29"/>
      <c r="I80" s="29" t="s">
        <v>9180</v>
      </c>
      <c r="J80" s="29" t="s">
        <v>9239</v>
      </c>
      <c r="K80" s="29" t="s">
        <v>9218</v>
      </c>
      <c r="L80" s="29" t="s">
        <v>9223</v>
      </c>
    </row>
    <row r="81" spans="1:12">
      <c r="A81" s="28">
        <v>80</v>
      </c>
      <c r="B81" s="28" t="s">
        <v>5529</v>
      </c>
      <c r="C81" s="28" t="s">
        <v>5530</v>
      </c>
      <c r="D81" s="28" t="s">
        <v>9185</v>
      </c>
      <c r="E81" s="28" t="s">
        <v>9178</v>
      </c>
      <c r="F81" s="28"/>
      <c r="G81" s="28" t="s">
        <v>9367</v>
      </c>
      <c r="H81" s="28"/>
      <c r="I81" s="28" t="s">
        <v>9180</v>
      </c>
      <c r="J81" s="28" t="s">
        <v>9353</v>
      </c>
      <c r="K81" s="28" t="s">
        <v>9218</v>
      </c>
      <c r="L81" s="28" t="s">
        <v>9223</v>
      </c>
    </row>
    <row r="82" spans="1:12">
      <c r="A82" s="27">
        <v>81</v>
      </c>
      <c r="B82" s="27" t="s">
        <v>2684</v>
      </c>
      <c r="C82" s="27" t="s">
        <v>9368</v>
      </c>
      <c r="D82" s="27" t="s">
        <v>9177</v>
      </c>
      <c r="E82" s="27" t="s">
        <v>9178</v>
      </c>
      <c r="F82" s="27"/>
      <c r="G82" s="27" t="s">
        <v>9369</v>
      </c>
      <c r="H82" s="27" t="s">
        <v>9369</v>
      </c>
      <c r="I82" s="27" t="s">
        <v>9180</v>
      </c>
      <c r="J82" s="27" t="s">
        <v>9370</v>
      </c>
      <c r="K82" s="27" t="s">
        <v>9218</v>
      </c>
      <c r="L82" s="27" t="s">
        <v>9196</v>
      </c>
    </row>
    <row r="83" spans="1:12">
      <c r="A83" s="28">
        <v>82</v>
      </c>
      <c r="B83" s="28" t="s">
        <v>6445</v>
      </c>
      <c r="C83" s="28"/>
      <c r="D83" s="28" t="s">
        <v>9185</v>
      </c>
      <c r="E83" s="28" t="s">
        <v>9178</v>
      </c>
      <c r="F83" s="28"/>
      <c r="G83" s="28" t="s">
        <v>9371</v>
      </c>
      <c r="H83" s="28"/>
      <c r="I83" s="28" t="s">
        <v>9180</v>
      </c>
      <c r="J83" s="28" t="s">
        <v>9372</v>
      </c>
      <c r="K83" s="28" t="s">
        <v>9218</v>
      </c>
      <c r="L83" s="28" t="s">
        <v>9223</v>
      </c>
    </row>
    <row r="84" spans="1:12">
      <c r="A84" s="29">
        <v>83</v>
      </c>
      <c r="B84" s="29" t="s">
        <v>8228</v>
      </c>
      <c r="C84" s="29" t="s">
        <v>8229</v>
      </c>
      <c r="D84" s="29" t="s">
        <v>9185</v>
      </c>
      <c r="E84" s="29" t="s">
        <v>9178</v>
      </c>
      <c r="F84" s="29"/>
      <c r="G84" s="29" t="s">
        <v>9373</v>
      </c>
      <c r="H84" s="29"/>
      <c r="I84" s="29" t="s">
        <v>9180</v>
      </c>
      <c r="J84" s="29" t="s">
        <v>9374</v>
      </c>
      <c r="K84" s="29" t="s">
        <v>9218</v>
      </c>
      <c r="L84" s="29" t="s">
        <v>9223</v>
      </c>
    </row>
    <row r="85" spans="1:12">
      <c r="A85" s="28">
        <v>84</v>
      </c>
      <c r="B85" s="28" t="s">
        <v>4125</v>
      </c>
      <c r="C85" s="28" t="s">
        <v>9375</v>
      </c>
      <c r="D85" s="28" t="s">
        <v>9185</v>
      </c>
      <c r="E85" s="28" t="s">
        <v>9178</v>
      </c>
      <c r="F85" s="28"/>
      <c r="G85" s="28" t="s">
        <v>9376</v>
      </c>
      <c r="H85" s="28"/>
      <c r="I85" s="28" t="s">
        <v>9180</v>
      </c>
      <c r="J85" s="28" t="s">
        <v>9377</v>
      </c>
      <c r="K85" s="28" t="s">
        <v>9218</v>
      </c>
      <c r="L85" s="28" t="s">
        <v>9189</v>
      </c>
    </row>
    <row r="86" spans="1:12">
      <c r="A86" s="29">
        <v>85</v>
      </c>
      <c r="B86" s="29" t="s">
        <v>2483</v>
      </c>
      <c r="C86" s="29" t="s">
        <v>9378</v>
      </c>
      <c r="D86" s="29" t="s">
        <v>9185</v>
      </c>
      <c r="E86" s="29" t="s">
        <v>9178</v>
      </c>
      <c r="F86" s="29"/>
      <c r="G86" s="29" t="s">
        <v>9379</v>
      </c>
      <c r="H86" s="29"/>
      <c r="I86" s="29" t="s">
        <v>9180</v>
      </c>
      <c r="J86" s="29" t="s">
        <v>9380</v>
      </c>
      <c r="K86" s="29" t="s">
        <v>9218</v>
      </c>
      <c r="L86" s="29" t="s">
        <v>9189</v>
      </c>
    </row>
    <row r="87" spans="1:12">
      <c r="A87" s="28">
        <v>86</v>
      </c>
      <c r="B87" s="28" t="s">
        <v>1891</v>
      </c>
      <c r="C87" s="28" t="s">
        <v>9381</v>
      </c>
      <c r="D87" s="28" t="s">
        <v>9185</v>
      </c>
      <c r="E87" s="28" t="s">
        <v>9178</v>
      </c>
      <c r="F87" s="28"/>
      <c r="G87" s="28" t="s">
        <v>9382</v>
      </c>
      <c r="H87" s="28"/>
      <c r="I87" s="28" t="s">
        <v>9180</v>
      </c>
      <c r="J87" s="28" t="s">
        <v>9383</v>
      </c>
      <c r="K87" s="28" t="s">
        <v>9218</v>
      </c>
      <c r="L87" s="28" t="s">
        <v>9189</v>
      </c>
    </row>
    <row r="88" spans="1:12">
      <c r="A88" s="29">
        <v>87</v>
      </c>
      <c r="B88" s="29" t="s">
        <v>1887</v>
      </c>
      <c r="C88" s="29" t="s">
        <v>1888</v>
      </c>
      <c r="D88" s="29" t="s">
        <v>9185</v>
      </c>
      <c r="E88" s="29" t="s">
        <v>9178</v>
      </c>
      <c r="F88" s="29"/>
      <c r="G88" s="29" t="s">
        <v>9384</v>
      </c>
      <c r="H88" s="29"/>
      <c r="I88" s="29" t="s">
        <v>9180</v>
      </c>
      <c r="J88" s="29" t="s">
        <v>9385</v>
      </c>
      <c r="K88" s="29" t="s">
        <v>9218</v>
      </c>
      <c r="L88" s="29" t="s">
        <v>9223</v>
      </c>
    </row>
    <row r="89" spans="1:12">
      <c r="A89" s="28">
        <v>88</v>
      </c>
      <c r="B89" s="28" t="s">
        <v>417</v>
      </c>
      <c r="C89" s="28" t="s">
        <v>418</v>
      </c>
      <c r="D89" s="28" t="s">
        <v>9185</v>
      </c>
      <c r="E89" s="28" t="s">
        <v>9178</v>
      </c>
      <c r="F89" s="28"/>
      <c r="G89" s="28" t="s">
        <v>9386</v>
      </c>
      <c r="H89" s="28"/>
      <c r="I89" s="28" t="s">
        <v>9180</v>
      </c>
      <c r="J89" s="28" t="s">
        <v>9387</v>
      </c>
      <c r="K89" s="28" t="s">
        <v>9218</v>
      </c>
      <c r="L89" s="28" t="s">
        <v>9223</v>
      </c>
    </row>
    <row r="90" spans="1:12">
      <c r="A90" s="29">
        <v>89</v>
      </c>
      <c r="B90" s="29" t="s">
        <v>6662</v>
      </c>
      <c r="C90" s="29" t="s">
        <v>9388</v>
      </c>
      <c r="D90" s="29" t="s">
        <v>9185</v>
      </c>
      <c r="E90" s="29" t="s">
        <v>9178</v>
      </c>
      <c r="F90" s="29"/>
      <c r="G90" s="29" t="s">
        <v>9389</v>
      </c>
      <c r="H90" s="29"/>
      <c r="I90" s="29" t="s">
        <v>9180</v>
      </c>
      <c r="J90" s="29" t="s">
        <v>9390</v>
      </c>
      <c r="K90" s="29" t="s">
        <v>9218</v>
      </c>
      <c r="L90" s="29" t="s">
        <v>9189</v>
      </c>
    </row>
    <row r="91" spans="1:12">
      <c r="A91" s="28">
        <v>90</v>
      </c>
      <c r="B91" s="28" t="s">
        <v>2776</v>
      </c>
      <c r="C91" s="28" t="s">
        <v>2777</v>
      </c>
      <c r="D91" s="28" t="s">
        <v>9185</v>
      </c>
      <c r="E91" s="28" t="s">
        <v>9178</v>
      </c>
      <c r="F91" s="28"/>
      <c r="G91" s="28" t="s">
        <v>9391</v>
      </c>
      <c r="H91" s="28"/>
      <c r="I91" s="28" t="s">
        <v>9180</v>
      </c>
      <c r="J91" s="28" t="s">
        <v>9392</v>
      </c>
      <c r="K91" s="28" t="s">
        <v>9218</v>
      </c>
      <c r="L91" s="28" t="s">
        <v>9223</v>
      </c>
    </row>
    <row r="92" spans="1:12">
      <c r="A92" s="29">
        <v>91</v>
      </c>
      <c r="B92" s="29" t="s">
        <v>8970</v>
      </c>
      <c r="C92" s="29" t="s">
        <v>9393</v>
      </c>
      <c r="D92" s="29" t="s">
        <v>9185</v>
      </c>
      <c r="E92" s="29" t="s">
        <v>9178</v>
      </c>
      <c r="F92" s="29"/>
      <c r="G92" s="29" t="s">
        <v>9394</v>
      </c>
      <c r="H92" s="29"/>
      <c r="I92" s="29" t="s">
        <v>9180</v>
      </c>
      <c r="J92" s="29" t="s">
        <v>9322</v>
      </c>
      <c r="K92" s="29" t="s">
        <v>9218</v>
      </c>
      <c r="L92" s="29" t="s">
        <v>9189</v>
      </c>
    </row>
    <row r="93" spans="1:12">
      <c r="A93" s="28">
        <v>92</v>
      </c>
      <c r="B93" s="28" t="s">
        <v>8572</v>
      </c>
      <c r="C93" s="28" t="s">
        <v>9395</v>
      </c>
      <c r="D93" s="28" t="s">
        <v>9185</v>
      </c>
      <c r="E93" s="28" t="s">
        <v>9178</v>
      </c>
      <c r="F93" s="28"/>
      <c r="G93" s="28" t="s">
        <v>9396</v>
      </c>
      <c r="H93" s="28"/>
      <c r="I93" s="28" t="s">
        <v>9180</v>
      </c>
      <c r="J93" s="28" t="s">
        <v>9274</v>
      </c>
      <c r="K93" s="28" t="s">
        <v>9218</v>
      </c>
      <c r="L93" s="28" t="s">
        <v>9189</v>
      </c>
    </row>
    <row r="94" spans="1:12">
      <c r="A94" s="29">
        <v>93</v>
      </c>
      <c r="B94" s="29" t="s">
        <v>8560</v>
      </c>
      <c r="C94" s="29" t="s">
        <v>8561</v>
      </c>
      <c r="D94" s="29" t="s">
        <v>9185</v>
      </c>
      <c r="E94" s="29" t="s">
        <v>9178</v>
      </c>
      <c r="F94" s="29"/>
      <c r="G94" s="29" t="s">
        <v>9397</v>
      </c>
      <c r="H94" s="29"/>
      <c r="I94" s="29" t="s">
        <v>9180</v>
      </c>
      <c r="J94" s="29" t="s">
        <v>9280</v>
      </c>
      <c r="K94" s="29" t="s">
        <v>9218</v>
      </c>
      <c r="L94" s="29" t="s">
        <v>9223</v>
      </c>
    </row>
    <row r="95" spans="1:12">
      <c r="A95" s="28">
        <v>94</v>
      </c>
      <c r="B95" s="28" t="s">
        <v>8456</v>
      </c>
      <c r="C95" s="28" t="s">
        <v>8457</v>
      </c>
      <c r="D95" s="28" t="s">
        <v>9185</v>
      </c>
      <c r="E95" s="28" t="s">
        <v>9178</v>
      </c>
      <c r="F95" s="28"/>
      <c r="G95" s="28" t="s">
        <v>9398</v>
      </c>
      <c r="H95" s="28"/>
      <c r="I95" s="28" t="s">
        <v>9180</v>
      </c>
      <c r="J95" s="28" t="s">
        <v>9268</v>
      </c>
      <c r="K95" s="28" t="s">
        <v>9218</v>
      </c>
      <c r="L95" s="28" t="s">
        <v>9223</v>
      </c>
    </row>
    <row r="96" spans="1:12">
      <c r="A96" s="29">
        <v>95</v>
      </c>
      <c r="B96" s="29" t="s">
        <v>8224</v>
      </c>
      <c r="C96" s="29" t="s">
        <v>8225</v>
      </c>
      <c r="D96" s="29" t="s">
        <v>9185</v>
      </c>
      <c r="E96" s="29" t="s">
        <v>9178</v>
      </c>
      <c r="F96" s="29"/>
      <c r="G96" s="29" t="s">
        <v>9399</v>
      </c>
      <c r="H96" s="29"/>
      <c r="I96" s="29" t="s">
        <v>9180</v>
      </c>
      <c r="J96" s="29" t="s">
        <v>9221</v>
      </c>
      <c r="K96" s="29" t="s">
        <v>9218</v>
      </c>
      <c r="L96" s="29" t="s">
        <v>9223</v>
      </c>
    </row>
    <row r="97" spans="1:12">
      <c r="A97" s="28">
        <v>96</v>
      </c>
      <c r="B97" s="28" t="s">
        <v>8512</v>
      </c>
      <c r="C97" s="28" t="s">
        <v>8513</v>
      </c>
      <c r="D97" s="28" t="s">
        <v>9185</v>
      </c>
      <c r="E97" s="28" t="s">
        <v>9178</v>
      </c>
      <c r="F97" s="28"/>
      <c r="G97" s="28" t="s">
        <v>9400</v>
      </c>
      <c r="H97" s="28"/>
      <c r="I97" s="28" t="s">
        <v>9180</v>
      </c>
      <c r="J97" s="28" t="s">
        <v>9401</v>
      </c>
      <c r="K97" s="28" t="s">
        <v>9218</v>
      </c>
      <c r="L97" s="28" t="s">
        <v>9223</v>
      </c>
    </row>
    <row r="98" spans="1:12">
      <c r="A98" s="29">
        <v>97</v>
      </c>
      <c r="B98" s="29" t="s">
        <v>8523</v>
      </c>
      <c r="C98" s="29" t="s">
        <v>9402</v>
      </c>
      <c r="D98" s="29" t="s">
        <v>9185</v>
      </c>
      <c r="E98" s="29" t="s">
        <v>9178</v>
      </c>
      <c r="F98" s="29"/>
      <c r="G98" s="29" t="s">
        <v>9403</v>
      </c>
      <c r="H98" s="29"/>
      <c r="I98" s="29" t="s">
        <v>9180</v>
      </c>
      <c r="J98" s="29" t="s">
        <v>9404</v>
      </c>
      <c r="K98" s="29" t="s">
        <v>9218</v>
      </c>
      <c r="L98" s="29" t="s">
        <v>9189</v>
      </c>
    </row>
    <row r="99" spans="1:12">
      <c r="A99" s="28">
        <v>98</v>
      </c>
      <c r="B99" s="28" t="s">
        <v>4904</v>
      </c>
      <c r="C99" s="28"/>
      <c r="D99" s="28" t="s">
        <v>9185</v>
      </c>
      <c r="E99" s="28" t="s">
        <v>9178</v>
      </c>
      <c r="F99" s="28"/>
      <c r="G99" s="28" t="s">
        <v>9405</v>
      </c>
      <c r="H99" s="28"/>
      <c r="I99" s="28" t="s">
        <v>9180</v>
      </c>
      <c r="J99" s="28" t="s">
        <v>9406</v>
      </c>
      <c r="K99" s="28" t="s">
        <v>9218</v>
      </c>
      <c r="L99" s="28" t="s">
        <v>9223</v>
      </c>
    </row>
    <row r="100" spans="1:12">
      <c r="A100" s="29">
        <v>99</v>
      </c>
      <c r="B100" s="29" t="s">
        <v>1001</v>
      </c>
      <c r="C100" s="29" t="s">
        <v>9407</v>
      </c>
      <c r="D100" s="29" t="s">
        <v>9185</v>
      </c>
      <c r="E100" s="29" t="s">
        <v>9178</v>
      </c>
      <c r="F100" s="29"/>
      <c r="G100" s="29" t="s">
        <v>9408</v>
      </c>
      <c r="H100" s="29"/>
      <c r="I100" s="29" t="s">
        <v>9180</v>
      </c>
      <c r="J100" s="29" t="s">
        <v>9409</v>
      </c>
      <c r="K100" s="29" t="s">
        <v>9218</v>
      </c>
      <c r="L100" s="29" t="s">
        <v>9189</v>
      </c>
    </row>
    <row r="101" spans="1:12">
      <c r="A101" s="28">
        <v>100</v>
      </c>
      <c r="B101" s="28" t="s">
        <v>8710</v>
      </c>
      <c r="C101" s="28" t="s">
        <v>9410</v>
      </c>
      <c r="D101" s="28" t="s">
        <v>9185</v>
      </c>
      <c r="E101" s="28" t="s">
        <v>9178</v>
      </c>
      <c r="F101" s="28"/>
      <c r="G101" s="28" t="s">
        <v>9411</v>
      </c>
      <c r="H101" s="28"/>
      <c r="I101" s="28" t="s">
        <v>9180</v>
      </c>
      <c r="J101" s="28" t="s">
        <v>9412</v>
      </c>
      <c r="K101" s="28" t="s">
        <v>9218</v>
      </c>
      <c r="L101" s="28" t="s">
        <v>9189</v>
      </c>
    </row>
    <row r="102" spans="1:12">
      <c r="A102" s="29">
        <v>101</v>
      </c>
      <c r="B102" s="29" t="s">
        <v>7208</v>
      </c>
      <c r="C102" s="29" t="s">
        <v>9413</v>
      </c>
      <c r="D102" s="29" t="s">
        <v>9185</v>
      </c>
      <c r="E102" s="29" t="s">
        <v>9178</v>
      </c>
      <c r="F102" s="29"/>
      <c r="G102" s="29" t="s">
        <v>9414</v>
      </c>
      <c r="H102" s="29"/>
      <c r="I102" s="29" t="s">
        <v>9180</v>
      </c>
      <c r="J102" s="29" t="s">
        <v>9268</v>
      </c>
      <c r="K102" s="29" t="s">
        <v>9218</v>
      </c>
      <c r="L102" s="29" t="s">
        <v>9223</v>
      </c>
    </row>
    <row r="103" spans="1:12">
      <c r="A103" s="28">
        <v>102</v>
      </c>
      <c r="B103" s="28" t="s">
        <v>6605</v>
      </c>
      <c r="C103" s="28" t="s">
        <v>9415</v>
      </c>
      <c r="D103" s="28" t="s">
        <v>9185</v>
      </c>
      <c r="E103" s="28" t="s">
        <v>9178</v>
      </c>
      <c r="F103" s="28"/>
      <c r="G103" s="28" t="s">
        <v>9416</v>
      </c>
      <c r="H103" s="28"/>
      <c r="I103" s="28" t="s">
        <v>9180</v>
      </c>
      <c r="J103" s="28" t="s">
        <v>9356</v>
      </c>
      <c r="K103" s="28" t="s">
        <v>9218</v>
      </c>
      <c r="L103" s="28" t="s">
        <v>9189</v>
      </c>
    </row>
    <row r="104" spans="1:12">
      <c r="A104" s="29">
        <v>103</v>
      </c>
      <c r="B104" s="29" t="s">
        <v>7202</v>
      </c>
      <c r="C104" s="29" t="s">
        <v>9417</v>
      </c>
      <c r="D104" s="29" t="s">
        <v>9185</v>
      </c>
      <c r="E104" s="29" t="s">
        <v>9178</v>
      </c>
      <c r="F104" s="29"/>
      <c r="G104" s="29" t="s">
        <v>9418</v>
      </c>
      <c r="H104" s="29"/>
      <c r="I104" s="29" t="s">
        <v>9180</v>
      </c>
      <c r="J104" s="29" t="s">
        <v>9312</v>
      </c>
      <c r="K104" s="29" t="s">
        <v>9218</v>
      </c>
      <c r="L104" s="29" t="s">
        <v>9189</v>
      </c>
    </row>
    <row r="105" spans="1:12">
      <c r="A105" s="28">
        <v>104</v>
      </c>
      <c r="B105" s="28" t="s">
        <v>4880</v>
      </c>
      <c r="C105" s="28" t="s">
        <v>9419</v>
      </c>
      <c r="D105" s="28" t="s">
        <v>9185</v>
      </c>
      <c r="E105" s="28" t="s">
        <v>9178</v>
      </c>
      <c r="F105" s="28"/>
      <c r="G105" s="28" t="s">
        <v>9420</v>
      </c>
      <c r="H105" s="28"/>
      <c r="I105" s="28" t="s">
        <v>9180</v>
      </c>
      <c r="J105" s="28" t="s">
        <v>9421</v>
      </c>
      <c r="K105" s="28" t="s">
        <v>9218</v>
      </c>
      <c r="L105" s="28" t="s">
        <v>9189</v>
      </c>
    </row>
    <row r="106" spans="1:12">
      <c r="A106" s="29">
        <v>105</v>
      </c>
      <c r="B106" s="29" t="s">
        <v>8494</v>
      </c>
      <c r="C106" s="29" t="s">
        <v>9422</v>
      </c>
      <c r="D106" s="29" t="s">
        <v>9185</v>
      </c>
      <c r="E106" s="29" t="s">
        <v>9178</v>
      </c>
      <c r="F106" s="29"/>
      <c r="G106" s="29" t="s">
        <v>9423</v>
      </c>
      <c r="H106" s="29"/>
      <c r="I106" s="29" t="s">
        <v>9180</v>
      </c>
      <c r="J106" s="29" t="s">
        <v>9424</v>
      </c>
      <c r="K106" s="29" t="s">
        <v>9218</v>
      </c>
      <c r="L106" s="29" t="s">
        <v>9189</v>
      </c>
    </row>
    <row r="107" spans="1:12">
      <c r="A107" s="28">
        <v>106</v>
      </c>
      <c r="B107" s="28" t="s">
        <v>8715</v>
      </c>
      <c r="C107" s="28" t="s">
        <v>8716</v>
      </c>
      <c r="D107" s="28" t="s">
        <v>9185</v>
      </c>
      <c r="E107" s="28" t="s">
        <v>9178</v>
      </c>
      <c r="F107" s="28"/>
      <c r="G107" s="28" t="s">
        <v>9425</v>
      </c>
      <c r="H107" s="28"/>
      <c r="I107" s="28" t="s">
        <v>9180</v>
      </c>
      <c r="J107" s="28" t="s">
        <v>9401</v>
      </c>
      <c r="K107" s="28" t="s">
        <v>9218</v>
      </c>
      <c r="L107" s="28" t="s">
        <v>9223</v>
      </c>
    </row>
    <row r="108" spans="1:12">
      <c r="A108" s="29">
        <v>107</v>
      </c>
      <c r="B108" s="29" t="s">
        <v>5166</v>
      </c>
      <c r="C108" s="29" t="s">
        <v>9426</v>
      </c>
      <c r="D108" s="29" t="s">
        <v>9185</v>
      </c>
      <c r="E108" s="29" t="s">
        <v>9178</v>
      </c>
      <c r="F108" s="29"/>
      <c r="G108" s="29" t="s">
        <v>9427</v>
      </c>
      <c r="H108" s="29"/>
      <c r="I108" s="29" t="s">
        <v>9180</v>
      </c>
      <c r="J108" s="29" t="s">
        <v>9428</v>
      </c>
      <c r="K108" s="29" t="s">
        <v>9218</v>
      </c>
      <c r="L108" s="29" t="s">
        <v>9189</v>
      </c>
    </row>
    <row r="109" spans="1:12">
      <c r="A109" s="28">
        <v>108</v>
      </c>
      <c r="B109" s="28" t="s">
        <v>4837</v>
      </c>
      <c r="C109" s="28" t="s">
        <v>9429</v>
      </c>
      <c r="D109" s="28" t="s">
        <v>9185</v>
      </c>
      <c r="E109" s="28" t="s">
        <v>9178</v>
      </c>
      <c r="F109" s="28"/>
      <c r="G109" s="28" t="s">
        <v>9430</v>
      </c>
      <c r="H109" s="28"/>
      <c r="I109" s="28" t="s">
        <v>9180</v>
      </c>
      <c r="J109" s="28" t="s">
        <v>9431</v>
      </c>
      <c r="K109" s="28" t="s">
        <v>9218</v>
      </c>
      <c r="L109" s="28" t="s">
        <v>9189</v>
      </c>
    </row>
    <row r="110" spans="1:12">
      <c r="A110" s="27">
        <v>109</v>
      </c>
      <c r="B110" s="27" t="s">
        <v>4833</v>
      </c>
      <c r="C110" s="27" t="s">
        <v>9432</v>
      </c>
      <c r="D110" s="27" t="s">
        <v>9177</v>
      </c>
      <c r="E110" s="27" t="s">
        <v>9178</v>
      </c>
      <c r="F110" s="27"/>
      <c r="G110" s="27" t="s">
        <v>9433</v>
      </c>
      <c r="H110" s="27"/>
      <c r="I110" s="27" t="s">
        <v>9180</v>
      </c>
      <c r="J110" s="27" t="s">
        <v>9434</v>
      </c>
      <c r="K110" s="27" t="s">
        <v>9218</v>
      </c>
      <c r="L110" s="27" t="s">
        <v>9196</v>
      </c>
    </row>
    <row r="111" spans="1:12">
      <c r="A111" s="28">
        <v>110</v>
      </c>
      <c r="B111" s="28" t="s">
        <v>9024</v>
      </c>
      <c r="C111" s="28" t="s">
        <v>9432</v>
      </c>
      <c r="D111" s="28" t="s">
        <v>9185</v>
      </c>
      <c r="E111" s="28" t="s">
        <v>9178</v>
      </c>
      <c r="F111" s="28"/>
      <c r="G111" s="28" t="s">
        <v>9435</v>
      </c>
      <c r="H111" s="28"/>
      <c r="I111" s="28" t="s">
        <v>9180</v>
      </c>
      <c r="J111" s="28" t="s">
        <v>9343</v>
      </c>
      <c r="K111" s="28" t="s">
        <v>9218</v>
      </c>
      <c r="L111" s="28" t="s">
        <v>9189</v>
      </c>
    </row>
    <row r="112" spans="1:12">
      <c r="A112" s="29">
        <v>111</v>
      </c>
      <c r="B112" s="29" t="s">
        <v>4164</v>
      </c>
      <c r="C112" s="29" t="s">
        <v>9436</v>
      </c>
      <c r="D112" s="29" t="s">
        <v>9185</v>
      </c>
      <c r="E112" s="29" t="s">
        <v>9178</v>
      </c>
      <c r="F112" s="29"/>
      <c r="G112" s="29" t="s">
        <v>9437</v>
      </c>
      <c r="H112" s="29"/>
      <c r="I112" s="29" t="s">
        <v>9180</v>
      </c>
      <c r="J112" s="29" t="s">
        <v>9438</v>
      </c>
      <c r="K112" s="29" t="s">
        <v>9218</v>
      </c>
      <c r="L112" s="29" t="s">
        <v>9189</v>
      </c>
    </row>
    <row r="113" spans="1:12">
      <c r="A113" s="28">
        <v>112</v>
      </c>
      <c r="B113" s="28" t="s">
        <v>8576</v>
      </c>
      <c r="C113" s="28" t="s">
        <v>8577</v>
      </c>
      <c r="D113" s="28" t="s">
        <v>9185</v>
      </c>
      <c r="E113" s="28" t="s">
        <v>9178</v>
      </c>
      <c r="F113" s="28"/>
      <c r="G113" s="28" t="s">
        <v>9439</v>
      </c>
      <c r="H113" s="28"/>
      <c r="I113" s="28" t="s">
        <v>9180</v>
      </c>
      <c r="J113" s="28" t="s">
        <v>9222</v>
      </c>
      <c r="K113" s="28" t="s">
        <v>9218</v>
      </c>
      <c r="L113" s="28" t="s">
        <v>9223</v>
      </c>
    </row>
    <row r="114" spans="1:12">
      <c r="A114" s="29">
        <v>113</v>
      </c>
      <c r="B114" s="29" t="s">
        <v>2195</v>
      </c>
      <c r="C114" s="29" t="s">
        <v>9440</v>
      </c>
      <c r="D114" s="29" t="s">
        <v>9185</v>
      </c>
      <c r="E114" s="29" t="s">
        <v>9178</v>
      </c>
      <c r="F114" s="29"/>
      <c r="G114" s="29" t="s">
        <v>9441</v>
      </c>
      <c r="H114" s="29"/>
      <c r="I114" s="29" t="s">
        <v>9180</v>
      </c>
      <c r="J114" s="29" t="s">
        <v>9442</v>
      </c>
      <c r="K114" s="29" t="s">
        <v>9218</v>
      </c>
      <c r="L114" s="29" t="s">
        <v>9189</v>
      </c>
    </row>
    <row r="115" spans="1:12">
      <c r="A115" s="28">
        <v>114</v>
      </c>
      <c r="B115" s="28" t="s">
        <v>412</v>
      </c>
      <c r="C115" s="28" t="s">
        <v>9443</v>
      </c>
      <c r="D115" s="28" t="s">
        <v>9185</v>
      </c>
      <c r="E115" s="28" t="s">
        <v>9178</v>
      </c>
      <c r="F115" s="28"/>
      <c r="G115" s="28" t="s">
        <v>9444</v>
      </c>
      <c r="H115" s="28"/>
      <c r="I115" s="28" t="s">
        <v>9180</v>
      </c>
      <c r="J115" s="28" t="s">
        <v>9445</v>
      </c>
      <c r="K115" s="28" t="s">
        <v>9218</v>
      </c>
      <c r="L115" s="28" t="s">
        <v>9189</v>
      </c>
    </row>
    <row r="116" spans="1:12">
      <c r="A116" s="29">
        <v>115</v>
      </c>
      <c r="B116" s="29" t="s">
        <v>7059</v>
      </c>
      <c r="C116" s="29" t="s">
        <v>9446</v>
      </c>
      <c r="D116" s="29" t="s">
        <v>9185</v>
      </c>
      <c r="E116" s="29" t="s">
        <v>9178</v>
      </c>
      <c r="F116" s="29"/>
      <c r="G116" s="29" t="s">
        <v>9447</v>
      </c>
      <c r="H116" s="29"/>
      <c r="I116" s="29" t="s">
        <v>9180</v>
      </c>
      <c r="J116" s="29" t="s">
        <v>9205</v>
      </c>
      <c r="K116" s="29" t="s">
        <v>9218</v>
      </c>
      <c r="L116" s="29" t="s">
        <v>9223</v>
      </c>
    </row>
    <row r="117" spans="1:12">
      <c r="A117" s="28">
        <v>116</v>
      </c>
      <c r="B117" s="28" t="s">
        <v>3161</v>
      </c>
      <c r="C117" s="28" t="s">
        <v>9448</v>
      </c>
      <c r="D117" s="28" t="s">
        <v>9185</v>
      </c>
      <c r="E117" s="28" t="s">
        <v>9178</v>
      </c>
      <c r="F117" s="28"/>
      <c r="G117" s="28" t="s">
        <v>9449</v>
      </c>
      <c r="H117" s="28"/>
      <c r="I117" s="28" t="s">
        <v>9180</v>
      </c>
      <c r="J117" s="28" t="s">
        <v>9450</v>
      </c>
      <c r="K117" s="28" t="s">
        <v>9218</v>
      </c>
      <c r="L117" s="28" t="s">
        <v>9189</v>
      </c>
    </row>
    <row r="118" spans="1:12">
      <c r="A118" s="29">
        <v>117</v>
      </c>
      <c r="B118" s="29" t="s">
        <v>8589</v>
      </c>
      <c r="C118" s="29" t="s">
        <v>9451</v>
      </c>
      <c r="D118" s="29" t="s">
        <v>9185</v>
      </c>
      <c r="E118" s="29" t="s">
        <v>9178</v>
      </c>
      <c r="F118" s="29"/>
      <c r="G118" s="29" t="s">
        <v>9452</v>
      </c>
      <c r="H118" s="29"/>
      <c r="I118" s="29" t="s">
        <v>9180</v>
      </c>
      <c r="J118" s="29" t="s">
        <v>9221</v>
      </c>
      <c r="K118" s="29" t="s">
        <v>9218</v>
      </c>
      <c r="L118" s="29" t="s">
        <v>9189</v>
      </c>
    </row>
    <row r="119" spans="1:12">
      <c r="A119" s="28">
        <v>118</v>
      </c>
      <c r="B119" s="28" t="s">
        <v>8976</v>
      </c>
      <c r="C119" s="28" t="s">
        <v>9453</v>
      </c>
      <c r="D119" s="28" t="s">
        <v>9185</v>
      </c>
      <c r="E119" s="28" t="s">
        <v>9178</v>
      </c>
      <c r="F119" s="28"/>
      <c r="G119" s="28" t="s">
        <v>9454</v>
      </c>
      <c r="H119" s="28"/>
      <c r="I119" s="28" t="s">
        <v>9180</v>
      </c>
      <c r="J119" s="28" t="s">
        <v>9455</v>
      </c>
      <c r="K119" s="28" t="s">
        <v>9218</v>
      </c>
      <c r="L119" s="28" t="s">
        <v>9189</v>
      </c>
    </row>
    <row r="120" spans="1:12">
      <c r="A120" s="29">
        <v>119</v>
      </c>
      <c r="B120" s="29" t="s">
        <v>304</v>
      </c>
      <c r="C120" s="29" t="s">
        <v>9456</v>
      </c>
      <c r="D120" s="29" t="s">
        <v>9185</v>
      </c>
      <c r="E120" s="29" t="s">
        <v>9178</v>
      </c>
      <c r="F120" s="29"/>
      <c r="G120" s="29" t="s">
        <v>9457</v>
      </c>
      <c r="H120" s="29"/>
      <c r="I120" s="29" t="s">
        <v>9180</v>
      </c>
      <c r="J120" s="29" t="s">
        <v>9458</v>
      </c>
      <c r="K120" s="29" t="s">
        <v>9218</v>
      </c>
      <c r="L120" s="29" t="s">
        <v>9189</v>
      </c>
    </row>
    <row r="121" spans="1:12">
      <c r="A121" s="28">
        <v>120</v>
      </c>
      <c r="B121" s="28" t="s">
        <v>7196</v>
      </c>
      <c r="C121" s="28" t="s">
        <v>9459</v>
      </c>
      <c r="D121" s="28" t="s">
        <v>9185</v>
      </c>
      <c r="E121" s="28" t="s">
        <v>9178</v>
      </c>
      <c r="F121" s="28"/>
      <c r="G121" s="28" t="s">
        <v>9460</v>
      </c>
      <c r="H121" s="28"/>
      <c r="I121" s="28" t="s">
        <v>9180</v>
      </c>
      <c r="J121" s="28" t="s">
        <v>9221</v>
      </c>
      <c r="K121" s="28" t="s">
        <v>9218</v>
      </c>
      <c r="L121" s="28" t="s">
        <v>9189</v>
      </c>
    </row>
    <row r="122" spans="1:12">
      <c r="A122" s="29">
        <v>121</v>
      </c>
      <c r="B122" s="29" t="s">
        <v>4980</v>
      </c>
      <c r="C122" s="29" t="s">
        <v>9461</v>
      </c>
      <c r="D122" s="29" t="s">
        <v>9185</v>
      </c>
      <c r="E122" s="29" t="s">
        <v>9178</v>
      </c>
      <c r="F122" s="29"/>
      <c r="G122" s="29" t="s">
        <v>9462</v>
      </c>
      <c r="H122" s="29"/>
      <c r="I122" s="29" t="s">
        <v>9180</v>
      </c>
      <c r="J122" s="29" t="s">
        <v>9463</v>
      </c>
      <c r="K122" s="29" t="s">
        <v>9218</v>
      </c>
      <c r="L122" s="29" t="s">
        <v>9189</v>
      </c>
    </row>
    <row r="123" spans="1:12">
      <c r="A123" s="28">
        <v>122</v>
      </c>
      <c r="B123" s="28" t="s">
        <v>5007</v>
      </c>
      <c r="C123" s="28" t="s">
        <v>9464</v>
      </c>
      <c r="D123" s="28" t="s">
        <v>9185</v>
      </c>
      <c r="E123" s="28" t="s">
        <v>9178</v>
      </c>
      <c r="F123" s="28"/>
      <c r="G123" s="28" t="s">
        <v>9465</v>
      </c>
      <c r="H123" s="28"/>
      <c r="I123" s="28" t="s">
        <v>9180</v>
      </c>
      <c r="J123" s="28" t="s">
        <v>9466</v>
      </c>
      <c r="K123" s="28" t="s">
        <v>9218</v>
      </c>
      <c r="L123" s="28" t="s">
        <v>9189</v>
      </c>
    </row>
    <row r="124" spans="1:12">
      <c r="A124" s="29">
        <v>123</v>
      </c>
      <c r="B124" s="29" t="s">
        <v>5691</v>
      </c>
      <c r="C124" s="29" t="s">
        <v>5692</v>
      </c>
      <c r="D124" s="29" t="s">
        <v>9185</v>
      </c>
      <c r="E124" s="29" t="s">
        <v>9178</v>
      </c>
      <c r="F124" s="29"/>
      <c r="G124" s="29" t="s">
        <v>9467</v>
      </c>
      <c r="H124" s="29"/>
      <c r="I124" s="29" t="s">
        <v>9180</v>
      </c>
      <c r="J124" s="29" t="s">
        <v>9239</v>
      </c>
      <c r="K124" s="29" t="s">
        <v>9218</v>
      </c>
      <c r="L124" s="29" t="s">
        <v>9223</v>
      </c>
    </row>
    <row r="125" spans="1:12">
      <c r="A125" s="28">
        <v>124</v>
      </c>
      <c r="B125" s="28" t="s">
        <v>639</v>
      </c>
      <c r="C125" s="28" t="s">
        <v>9468</v>
      </c>
      <c r="D125" s="28" t="s">
        <v>9185</v>
      </c>
      <c r="E125" s="28" t="s">
        <v>9178</v>
      </c>
      <c r="F125" s="28"/>
      <c r="G125" s="28" t="s">
        <v>9469</v>
      </c>
      <c r="H125" s="28"/>
      <c r="I125" s="28" t="s">
        <v>9180</v>
      </c>
      <c r="J125" s="28" t="s">
        <v>9470</v>
      </c>
      <c r="K125" s="28" t="s">
        <v>9218</v>
      </c>
      <c r="L125" s="28" t="s">
        <v>9189</v>
      </c>
    </row>
    <row r="126" spans="1:12">
      <c r="A126" s="29">
        <v>125</v>
      </c>
      <c r="B126" s="29" t="s">
        <v>1596</v>
      </c>
      <c r="C126" s="29" t="s">
        <v>9471</v>
      </c>
      <c r="D126" s="29" t="s">
        <v>9185</v>
      </c>
      <c r="E126" s="29" t="s">
        <v>9178</v>
      </c>
      <c r="F126" s="29"/>
      <c r="G126" s="29" t="s">
        <v>9472</v>
      </c>
      <c r="H126" s="29"/>
      <c r="I126" s="29" t="s">
        <v>9180</v>
      </c>
      <c r="J126" s="29" t="s">
        <v>9473</v>
      </c>
      <c r="K126" s="29" t="s">
        <v>9218</v>
      </c>
      <c r="L126" s="29" t="s">
        <v>9189</v>
      </c>
    </row>
    <row r="127" spans="1:12">
      <c r="A127" s="28">
        <v>126</v>
      </c>
      <c r="B127" s="28" t="s">
        <v>7072</v>
      </c>
      <c r="C127" s="28" t="s">
        <v>7073</v>
      </c>
      <c r="D127" s="28" t="s">
        <v>9185</v>
      </c>
      <c r="E127" s="28" t="s">
        <v>9178</v>
      </c>
      <c r="F127" s="28"/>
      <c r="G127" s="28" t="s">
        <v>9474</v>
      </c>
      <c r="H127" s="28"/>
      <c r="I127" s="28" t="s">
        <v>9180</v>
      </c>
      <c r="J127" s="28" t="s">
        <v>9221</v>
      </c>
      <c r="K127" s="28" t="s">
        <v>9218</v>
      </c>
      <c r="L127" s="28" t="s">
        <v>9223</v>
      </c>
    </row>
    <row r="128" spans="1:12">
      <c r="A128" s="29">
        <v>127</v>
      </c>
      <c r="B128" s="29" t="s">
        <v>8241</v>
      </c>
      <c r="C128" s="29" t="s">
        <v>9475</v>
      </c>
      <c r="D128" s="29" t="s">
        <v>9185</v>
      </c>
      <c r="E128" s="29" t="s">
        <v>9178</v>
      </c>
      <c r="F128" s="29"/>
      <c r="G128" s="29" t="s">
        <v>9476</v>
      </c>
      <c r="H128" s="29"/>
      <c r="I128" s="29" t="s">
        <v>9180</v>
      </c>
      <c r="J128" s="29" t="s">
        <v>9477</v>
      </c>
      <c r="K128" s="29" t="s">
        <v>9218</v>
      </c>
      <c r="L128" s="29" t="s">
        <v>9189</v>
      </c>
    </row>
    <row r="129" spans="1:12">
      <c r="A129" s="28">
        <v>128</v>
      </c>
      <c r="B129" s="28" t="s">
        <v>6441</v>
      </c>
      <c r="C129" s="28" t="s">
        <v>9478</v>
      </c>
      <c r="D129" s="28" t="s">
        <v>9185</v>
      </c>
      <c r="E129" s="28" t="s">
        <v>9178</v>
      </c>
      <c r="F129" s="28"/>
      <c r="G129" s="28" t="s">
        <v>9479</v>
      </c>
      <c r="H129" s="28"/>
      <c r="I129" s="28" t="s">
        <v>9180</v>
      </c>
      <c r="J129" s="28" t="s">
        <v>9480</v>
      </c>
      <c r="K129" s="28" t="s">
        <v>9218</v>
      </c>
      <c r="L129" s="28" t="s">
        <v>9189</v>
      </c>
    </row>
    <row r="130" spans="1:12">
      <c r="A130" s="29">
        <v>129</v>
      </c>
      <c r="B130" s="29" t="s">
        <v>7701</v>
      </c>
      <c r="C130" s="29" t="s">
        <v>7702</v>
      </c>
      <c r="D130" s="29" t="s">
        <v>9185</v>
      </c>
      <c r="E130" s="29" t="s">
        <v>9178</v>
      </c>
      <c r="F130" s="29"/>
      <c r="G130" s="29" t="s">
        <v>9481</v>
      </c>
      <c r="H130" s="29"/>
      <c r="I130" s="29" t="s">
        <v>9180</v>
      </c>
      <c r="J130" s="29" t="s">
        <v>9268</v>
      </c>
      <c r="K130" s="29" t="s">
        <v>9218</v>
      </c>
      <c r="L130" s="29" t="s">
        <v>9223</v>
      </c>
    </row>
    <row r="131" spans="1:12">
      <c r="A131" s="28">
        <v>130</v>
      </c>
      <c r="B131" s="28" t="s">
        <v>8688</v>
      </c>
      <c r="C131" s="28" t="s">
        <v>9482</v>
      </c>
      <c r="D131" s="28" t="s">
        <v>9185</v>
      </c>
      <c r="E131" s="28" t="s">
        <v>9178</v>
      </c>
      <c r="F131" s="28"/>
      <c r="G131" s="28" t="s">
        <v>9483</v>
      </c>
      <c r="H131" s="28"/>
      <c r="I131" s="28" t="s">
        <v>9180</v>
      </c>
      <c r="J131" s="28" t="s">
        <v>9221</v>
      </c>
      <c r="K131" s="28" t="s">
        <v>9218</v>
      </c>
      <c r="L131" s="28" t="s">
        <v>9189</v>
      </c>
    </row>
    <row r="132" spans="1:12">
      <c r="A132" s="29">
        <v>131</v>
      </c>
      <c r="B132" s="29" t="s">
        <v>3754</v>
      </c>
      <c r="C132" s="29" t="s">
        <v>9484</v>
      </c>
      <c r="D132" s="29" t="s">
        <v>9185</v>
      </c>
      <c r="E132" s="29" t="s">
        <v>9178</v>
      </c>
      <c r="F132" s="29"/>
      <c r="G132" s="29" t="s">
        <v>9485</v>
      </c>
      <c r="H132" s="29"/>
      <c r="I132" s="29" t="s">
        <v>9180</v>
      </c>
      <c r="J132" s="29" t="s">
        <v>9187</v>
      </c>
      <c r="K132" s="29" t="s">
        <v>9218</v>
      </c>
      <c r="L132" s="29" t="s">
        <v>9189</v>
      </c>
    </row>
    <row r="133" spans="1:12">
      <c r="A133" s="28">
        <v>132</v>
      </c>
      <c r="B133" s="28" t="s">
        <v>3781</v>
      </c>
      <c r="C133" s="28" t="s">
        <v>9486</v>
      </c>
      <c r="D133" s="28" t="s">
        <v>9185</v>
      </c>
      <c r="E133" s="28" t="s">
        <v>9178</v>
      </c>
      <c r="F133" s="28"/>
      <c r="G133" s="28" t="s">
        <v>9487</v>
      </c>
      <c r="H133" s="28"/>
      <c r="I133" s="28" t="s">
        <v>9180</v>
      </c>
      <c r="J133" s="28" t="s">
        <v>9488</v>
      </c>
      <c r="K133" s="28" t="s">
        <v>9218</v>
      </c>
      <c r="L133" s="28" t="s">
        <v>9189</v>
      </c>
    </row>
    <row r="134" spans="1:12">
      <c r="A134" s="29">
        <v>133</v>
      </c>
      <c r="B134" s="29" t="s">
        <v>3740</v>
      </c>
      <c r="C134" s="29" t="s">
        <v>9489</v>
      </c>
      <c r="D134" s="29" t="s">
        <v>9185</v>
      </c>
      <c r="E134" s="29" t="s">
        <v>9178</v>
      </c>
      <c r="F134" s="29"/>
      <c r="G134" s="29" t="s">
        <v>9490</v>
      </c>
      <c r="H134" s="29"/>
      <c r="I134" s="29" t="s">
        <v>9180</v>
      </c>
      <c r="J134" s="29" t="s">
        <v>9491</v>
      </c>
      <c r="K134" s="29" t="s">
        <v>9218</v>
      </c>
      <c r="L134" s="29" t="s">
        <v>9189</v>
      </c>
    </row>
    <row r="135" spans="1:12">
      <c r="A135" s="28">
        <v>134</v>
      </c>
      <c r="B135" s="28" t="s">
        <v>8651</v>
      </c>
      <c r="C135" s="28" t="s">
        <v>9492</v>
      </c>
      <c r="D135" s="28" t="s">
        <v>9185</v>
      </c>
      <c r="E135" s="28" t="s">
        <v>9178</v>
      </c>
      <c r="F135" s="28"/>
      <c r="G135" s="28" t="s">
        <v>9493</v>
      </c>
      <c r="H135" s="28"/>
      <c r="I135" s="28" t="s">
        <v>9180</v>
      </c>
      <c r="J135" s="28" t="s">
        <v>9217</v>
      </c>
      <c r="K135" s="28" t="s">
        <v>9218</v>
      </c>
      <c r="L135" s="28" t="s">
        <v>9189</v>
      </c>
    </row>
    <row r="136" spans="1:12">
      <c r="A136" s="29">
        <v>135</v>
      </c>
      <c r="B136" s="29" t="s">
        <v>8626</v>
      </c>
      <c r="C136" s="29" t="s">
        <v>9494</v>
      </c>
      <c r="D136" s="29" t="s">
        <v>9185</v>
      </c>
      <c r="E136" s="29" t="s">
        <v>9178</v>
      </c>
      <c r="F136" s="29"/>
      <c r="G136" s="29" t="s">
        <v>9495</v>
      </c>
      <c r="H136" s="29"/>
      <c r="I136" s="29" t="s">
        <v>9180</v>
      </c>
      <c r="J136" s="29" t="s">
        <v>9217</v>
      </c>
      <c r="K136" s="29" t="s">
        <v>9218</v>
      </c>
      <c r="L136" s="29" t="s">
        <v>9189</v>
      </c>
    </row>
    <row r="137" spans="1:12">
      <c r="A137" s="28">
        <v>136</v>
      </c>
      <c r="B137" s="28" t="s">
        <v>8548</v>
      </c>
      <c r="C137" s="28" t="s">
        <v>9496</v>
      </c>
      <c r="D137" s="28" t="s">
        <v>9185</v>
      </c>
      <c r="E137" s="28" t="s">
        <v>9178</v>
      </c>
      <c r="F137" s="28"/>
      <c r="G137" s="28" t="s">
        <v>9497</v>
      </c>
      <c r="H137" s="28"/>
      <c r="I137" s="28" t="s">
        <v>9180</v>
      </c>
      <c r="J137" s="28" t="s">
        <v>9221</v>
      </c>
      <c r="K137" s="28" t="s">
        <v>9218</v>
      </c>
      <c r="L137" s="28" t="s">
        <v>9189</v>
      </c>
    </row>
    <row r="138" spans="1:12">
      <c r="A138" s="27">
        <v>137</v>
      </c>
      <c r="B138" s="27" t="s">
        <v>8460</v>
      </c>
      <c r="C138" s="27" t="s">
        <v>8461</v>
      </c>
      <c r="D138" s="27" t="s">
        <v>9177</v>
      </c>
      <c r="E138" s="27" t="s">
        <v>9178</v>
      </c>
      <c r="F138" s="27"/>
      <c r="G138" s="27" t="s">
        <v>9498</v>
      </c>
      <c r="H138" s="27"/>
      <c r="I138" s="27" t="s">
        <v>9180</v>
      </c>
      <c r="J138" s="27" t="s">
        <v>9353</v>
      </c>
      <c r="K138" s="27" t="s">
        <v>9218</v>
      </c>
      <c r="L138" s="27" t="s">
        <v>9196</v>
      </c>
    </row>
    <row r="139" spans="1:12">
      <c r="A139" s="28">
        <v>138</v>
      </c>
      <c r="B139" s="28" t="s">
        <v>3309</v>
      </c>
      <c r="C139" s="28" t="s">
        <v>9499</v>
      </c>
      <c r="D139" s="28" t="s">
        <v>9185</v>
      </c>
      <c r="E139" s="28" t="s">
        <v>9178</v>
      </c>
      <c r="F139" s="28"/>
      <c r="G139" s="28" t="s">
        <v>9500</v>
      </c>
      <c r="H139" s="28"/>
      <c r="I139" s="28" t="s">
        <v>9180</v>
      </c>
      <c r="J139" s="28" t="s">
        <v>9501</v>
      </c>
      <c r="K139" s="28" t="s">
        <v>9218</v>
      </c>
      <c r="L139" s="28" t="s">
        <v>9189</v>
      </c>
    </row>
    <row r="140" spans="1:12">
      <c r="A140" s="29">
        <v>139</v>
      </c>
      <c r="B140" s="29" t="s">
        <v>7439</v>
      </c>
      <c r="C140" s="29" t="s">
        <v>9502</v>
      </c>
      <c r="D140" s="29" t="s">
        <v>9185</v>
      </c>
      <c r="E140" s="29" t="s">
        <v>9178</v>
      </c>
      <c r="F140" s="29"/>
      <c r="G140" s="29" t="s">
        <v>9503</v>
      </c>
      <c r="H140" s="29"/>
      <c r="I140" s="29" t="s">
        <v>9180</v>
      </c>
      <c r="J140" s="29" t="s">
        <v>9504</v>
      </c>
      <c r="K140" s="29" t="s">
        <v>9218</v>
      </c>
      <c r="L140" s="29" t="s">
        <v>9189</v>
      </c>
    </row>
    <row r="141" spans="1:12">
      <c r="A141" s="28">
        <v>140</v>
      </c>
      <c r="B141" s="28" t="s">
        <v>5533</v>
      </c>
      <c r="C141" s="28" t="s">
        <v>9505</v>
      </c>
      <c r="D141" s="28" t="s">
        <v>9185</v>
      </c>
      <c r="E141" s="28" t="s">
        <v>9178</v>
      </c>
      <c r="F141" s="28"/>
      <c r="G141" s="28" t="s">
        <v>9506</v>
      </c>
      <c r="H141" s="28"/>
      <c r="I141" s="28" t="s">
        <v>9180</v>
      </c>
      <c r="J141" s="28" t="s">
        <v>9507</v>
      </c>
      <c r="K141" s="28" t="s">
        <v>9218</v>
      </c>
      <c r="L141" s="28" t="s">
        <v>9189</v>
      </c>
    </row>
    <row r="142" spans="1:12">
      <c r="A142" s="29">
        <v>141</v>
      </c>
      <c r="B142" s="29" t="s">
        <v>9508</v>
      </c>
      <c r="C142" s="29"/>
      <c r="D142" s="29" t="s">
        <v>9185</v>
      </c>
      <c r="E142" s="29" t="s">
        <v>9178</v>
      </c>
      <c r="F142" s="29"/>
      <c r="G142" s="29" t="s">
        <v>9509</v>
      </c>
      <c r="H142" s="29"/>
      <c r="I142" s="29" t="s">
        <v>9180</v>
      </c>
      <c r="J142" s="29" t="s">
        <v>9510</v>
      </c>
      <c r="K142" s="29" t="s">
        <v>9218</v>
      </c>
      <c r="L142" s="29" t="s">
        <v>9223</v>
      </c>
    </row>
    <row r="143" spans="1:12">
      <c r="A143" s="28">
        <v>142</v>
      </c>
      <c r="B143" s="28" t="s">
        <v>7435</v>
      </c>
      <c r="C143" s="28" t="s">
        <v>7436</v>
      </c>
      <c r="D143" s="28" t="s">
        <v>9185</v>
      </c>
      <c r="E143" s="28" t="s">
        <v>9178</v>
      </c>
      <c r="F143" s="28"/>
      <c r="G143" s="28" t="s">
        <v>9511</v>
      </c>
      <c r="H143" s="28"/>
      <c r="I143" s="28" t="s">
        <v>9180</v>
      </c>
      <c r="J143" s="28" t="s">
        <v>9512</v>
      </c>
      <c r="K143" s="28" t="s">
        <v>9218</v>
      </c>
      <c r="L143" s="28" t="s">
        <v>9223</v>
      </c>
    </row>
    <row r="144" spans="1:12">
      <c r="A144" s="29">
        <v>143</v>
      </c>
      <c r="B144" s="29" t="s">
        <v>9011</v>
      </c>
      <c r="C144" s="29" t="s">
        <v>9513</v>
      </c>
      <c r="D144" s="29" t="s">
        <v>9185</v>
      </c>
      <c r="E144" s="29" t="s">
        <v>9178</v>
      </c>
      <c r="F144" s="29"/>
      <c r="G144" s="29" t="s">
        <v>9514</v>
      </c>
      <c r="H144" s="29"/>
      <c r="I144" s="29" t="s">
        <v>9180</v>
      </c>
      <c r="J144" s="29" t="s">
        <v>9515</v>
      </c>
      <c r="K144" s="29" t="s">
        <v>9218</v>
      </c>
      <c r="L144" s="29" t="s">
        <v>9189</v>
      </c>
    </row>
    <row r="145" spans="1:12">
      <c r="A145" s="28">
        <v>144</v>
      </c>
      <c r="B145" s="28" t="s">
        <v>9516</v>
      </c>
      <c r="C145" s="28" t="s">
        <v>9517</v>
      </c>
      <c r="D145" s="28" t="s">
        <v>9185</v>
      </c>
      <c r="E145" s="28" t="s">
        <v>9178</v>
      </c>
      <c r="F145" s="28"/>
      <c r="G145" s="28" t="s">
        <v>9518</v>
      </c>
      <c r="H145" s="28"/>
      <c r="I145" s="28" t="s">
        <v>9180</v>
      </c>
      <c r="J145" s="28" t="s">
        <v>9519</v>
      </c>
      <c r="K145" s="28" t="s">
        <v>9218</v>
      </c>
      <c r="L145" s="28" t="s">
        <v>9223</v>
      </c>
    </row>
    <row r="146" spans="1:12">
      <c r="A146" s="29">
        <v>145</v>
      </c>
      <c r="B146" s="29" t="s">
        <v>7907</v>
      </c>
      <c r="C146" s="29" t="s">
        <v>9520</v>
      </c>
      <c r="D146" s="29" t="s">
        <v>9185</v>
      </c>
      <c r="E146" s="29" t="s">
        <v>9208</v>
      </c>
      <c r="F146" s="29"/>
      <c r="G146" s="29" t="s">
        <v>9521</v>
      </c>
      <c r="H146" s="29"/>
      <c r="I146" s="29" t="s">
        <v>9180</v>
      </c>
      <c r="J146" s="29" t="s">
        <v>9353</v>
      </c>
      <c r="K146" s="29" t="s">
        <v>9218</v>
      </c>
      <c r="L146" s="29" t="s">
        <v>9522</v>
      </c>
    </row>
    <row r="147" spans="1:12">
      <c r="A147" s="28">
        <v>146</v>
      </c>
      <c r="B147" s="28" t="s">
        <v>458</v>
      </c>
      <c r="C147" s="28" t="s">
        <v>9523</v>
      </c>
      <c r="D147" s="28" t="s">
        <v>9185</v>
      </c>
      <c r="E147" s="28" t="s">
        <v>9178</v>
      </c>
      <c r="F147" s="28"/>
      <c r="G147" s="28" t="s">
        <v>9524</v>
      </c>
      <c r="H147" s="28"/>
      <c r="I147" s="28" t="s">
        <v>9180</v>
      </c>
      <c r="J147" s="28" t="s">
        <v>9525</v>
      </c>
      <c r="K147" s="28" t="s">
        <v>9218</v>
      </c>
      <c r="L147" s="28" t="s">
        <v>9189</v>
      </c>
    </row>
    <row r="148" spans="1:12">
      <c r="A148" s="29">
        <v>147</v>
      </c>
      <c r="B148" s="29" t="s">
        <v>8245</v>
      </c>
      <c r="C148" s="29" t="s">
        <v>9526</v>
      </c>
      <c r="D148" s="29" t="s">
        <v>9185</v>
      </c>
      <c r="E148" s="29" t="s">
        <v>9178</v>
      </c>
      <c r="F148" s="29"/>
      <c r="G148" s="29" t="s">
        <v>9527</v>
      </c>
      <c r="H148" s="29"/>
      <c r="I148" s="29" t="s">
        <v>9180</v>
      </c>
      <c r="J148" s="29" t="s">
        <v>9274</v>
      </c>
      <c r="K148" s="29" t="s">
        <v>9218</v>
      </c>
      <c r="L148" s="29" t="s">
        <v>9189</v>
      </c>
    </row>
    <row r="149" spans="1:12">
      <c r="A149" s="28">
        <v>148</v>
      </c>
      <c r="B149" s="28" t="s">
        <v>5468</v>
      </c>
      <c r="C149" s="28" t="s">
        <v>9528</v>
      </c>
      <c r="D149" s="28" t="s">
        <v>9185</v>
      </c>
      <c r="E149" s="28" t="s">
        <v>9178</v>
      </c>
      <c r="F149" s="28"/>
      <c r="G149" s="28" t="s">
        <v>9529</v>
      </c>
      <c r="H149" s="28"/>
      <c r="I149" s="28" t="s">
        <v>9180</v>
      </c>
      <c r="J149" s="28" t="s">
        <v>9530</v>
      </c>
      <c r="K149" s="28" t="s">
        <v>9218</v>
      </c>
      <c r="L149" s="28" t="s">
        <v>9189</v>
      </c>
    </row>
    <row r="150" spans="1:12">
      <c r="A150" s="29">
        <v>149</v>
      </c>
      <c r="B150" s="29" t="s">
        <v>8661</v>
      </c>
      <c r="C150" s="29" t="s">
        <v>8662</v>
      </c>
      <c r="D150" s="29" t="s">
        <v>9185</v>
      </c>
      <c r="E150" s="29" t="s">
        <v>9178</v>
      </c>
      <c r="F150" s="29"/>
      <c r="G150" s="29" t="s">
        <v>9531</v>
      </c>
      <c r="H150" s="29"/>
      <c r="I150" s="29" t="s">
        <v>9180</v>
      </c>
      <c r="J150" s="29" t="s">
        <v>9239</v>
      </c>
      <c r="K150" s="29" t="s">
        <v>9218</v>
      </c>
      <c r="L150" s="29" t="s">
        <v>9223</v>
      </c>
    </row>
    <row r="151" spans="1:12">
      <c r="A151" s="28">
        <v>150</v>
      </c>
      <c r="B151" s="28" t="s">
        <v>8249</v>
      </c>
      <c r="C151" s="28" t="s">
        <v>9532</v>
      </c>
      <c r="D151" s="28" t="s">
        <v>9185</v>
      </c>
      <c r="E151" s="28" t="s">
        <v>9178</v>
      </c>
      <c r="F151" s="28"/>
      <c r="G151" s="28" t="s">
        <v>9533</v>
      </c>
      <c r="H151" s="28"/>
      <c r="I151" s="28" t="s">
        <v>9180</v>
      </c>
      <c r="J151" s="28" t="s">
        <v>9221</v>
      </c>
      <c r="K151" s="28" t="s">
        <v>9218</v>
      </c>
      <c r="L151" s="28" t="s">
        <v>9223</v>
      </c>
    </row>
    <row r="152" spans="1:12">
      <c r="A152" s="29">
        <v>151</v>
      </c>
      <c r="B152" s="29" t="s">
        <v>5982</v>
      </c>
      <c r="C152" s="29" t="s">
        <v>9534</v>
      </c>
      <c r="D152" s="29" t="s">
        <v>9185</v>
      </c>
      <c r="E152" s="29" t="s">
        <v>9178</v>
      </c>
      <c r="F152" s="29"/>
      <c r="G152" s="29" t="s">
        <v>9535</v>
      </c>
      <c r="H152" s="29"/>
      <c r="I152" s="29" t="s">
        <v>9180</v>
      </c>
      <c r="J152" s="29" t="s">
        <v>9507</v>
      </c>
      <c r="K152" s="29" t="s">
        <v>9218</v>
      </c>
      <c r="L152" s="29" t="s">
        <v>9189</v>
      </c>
    </row>
    <row r="153" spans="1:12">
      <c r="A153" s="28">
        <v>152</v>
      </c>
      <c r="B153" s="28" t="s">
        <v>8413</v>
      </c>
      <c r="C153" s="28" t="s">
        <v>8414</v>
      </c>
      <c r="D153" s="28" t="s">
        <v>9185</v>
      </c>
      <c r="E153" s="28" t="s">
        <v>9178</v>
      </c>
      <c r="F153" s="28"/>
      <c r="G153" s="28" t="s">
        <v>9536</v>
      </c>
      <c r="H153" s="28"/>
      <c r="I153" s="28" t="s">
        <v>9180</v>
      </c>
      <c r="J153" s="28" t="s">
        <v>9537</v>
      </c>
      <c r="K153" s="28" t="s">
        <v>9218</v>
      </c>
      <c r="L153" s="28" t="s">
        <v>9223</v>
      </c>
    </row>
    <row r="154" spans="1:12">
      <c r="A154" s="29">
        <v>153</v>
      </c>
      <c r="B154" s="29" t="s">
        <v>3249</v>
      </c>
      <c r="C154" s="29" t="s">
        <v>3250</v>
      </c>
      <c r="D154" s="29" t="s">
        <v>9185</v>
      </c>
      <c r="E154" s="29" t="s">
        <v>9178</v>
      </c>
      <c r="F154" s="29"/>
      <c r="G154" s="29" t="s">
        <v>9538</v>
      </c>
      <c r="H154" s="29"/>
      <c r="I154" s="29" t="s">
        <v>9180</v>
      </c>
      <c r="J154" s="29" t="s">
        <v>9539</v>
      </c>
      <c r="K154" s="29" t="s">
        <v>9218</v>
      </c>
      <c r="L154" s="29" t="s">
        <v>9223</v>
      </c>
    </row>
    <row r="155" spans="1:12">
      <c r="A155" s="28">
        <v>154</v>
      </c>
      <c r="B155" s="28" t="s">
        <v>5687</v>
      </c>
      <c r="C155" s="28" t="s">
        <v>9540</v>
      </c>
      <c r="D155" s="28" t="s">
        <v>9185</v>
      </c>
      <c r="E155" s="28" t="s">
        <v>9178</v>
      </c>
      <c r="F155" s="28"/>
      <c r="G155" s="28" t="s">
        <v>9541</v>
      </c>
      <c r="H155" s="28"/>
      <c r="I155" s="28" t="s">
        <v>9180</v>
      </c>
      <c r="J155" s="28" t="s">
        <v>9221</v>
      </c>
      <c r="K155" s="28" t="s">
        <v>9218</v>
      </c>
      <c r="L155" s="28" t="s">
        <v>9189</v>
      </c>
    </row>
    <row r="156" spans="1:12">
      <c r="A156" s="29">
        <v>155</v>
      </c>
      <c r="B156" s="29" t="s">
        <v>4695</v>
      </c>
      <c r="C156" s="29" t="s">
        <v>4696</v>
      </c>
      <c r="D156" s="29" t="s">
        <v>9185</v>
      </c>
      <c r="E156" s="29" t="s">
        <v>9178</v>
      </c>
      <c r="F156" s="29"/>
      <c r="G156" s="29" t="s">
        <v>9542</v>
      </c>
      <c r="H156" s="29"/>
      <c r="I156" s="29" t="s">
        <v>9180</v>
      </c>
      <c r="J156" s="29" t="s">
        <v>9543</v>
      </c>
      <c r="K156" s="29" t="s">
        <v>9218</v>
      </c>
      <c r="L156" s="29" t="s">
        <v>9223</v>
      </c>
    </row>
    <row r="157" spans="1:12">
      <c r="A157" s="28">
        <v>156</v>
      </c>
      <c r="B157" s="28" t="s">
        <v>9029</v>
      </c>
      <c r="C157" s="28" t="s">
        <v>9544</v>
      </c>
      <c r="D157" s="28" t="s">
        <v>9185</v>
      </c>
      <c r="E157" s="28" t="s">
        <v>9178</v>
      </c>
      <c r="F157" s="28"/>
      <c r="G157" s="28" t="s">
        <v>9545</v>
      </c>
      <c r="H157" s="28"/>
      <c r="I157" s="28" t="s">
        <v>9180</v>
      </c>
      <c r="J157" s="28" t="s">
        <v>9221</v>
      </c>
      <c r="K157" s="28" t="s">
        <v>9218</v>
      </c>
      <c r="L157" s="28" t="s">
        <v>9189</v>
      </c>
    </row>
    <row r="158" spans="1:12">
      <c r="A158" s="29">
        <v>157</v>
      </c>
      <c r="B158" s="29" t="s">
        <v>8236</v>
      </c>
      <c r="C158" s="29" t="s">
        <v>9546</v>
      </c>
      <c r="D158" s="29" t="s">
        <v>9185</v>
      </c>
      <c r="E158" s="29" t="s">
        <v>9178</v>
      </c>
      <c r="F158" s="29"/>
      <c r="G158" s="29" t="s">
        <v>9547</v>
      </c>
      <c r="H158" s="29"/>
      <c r="I158" s="29" t="s">
        <v>9180</v>
      </c>
      <c r="J158" s="29" t="s">
        <v>9309</v>
      </c>
      <c r="K158" s="29" t="s">
        <v>9218</v>
      </c>
      <c r="L158" s="29" t="s">
        <v>9189</v>
      </c>
    </row>
    <row r="159" spans="1:12">
      <c r="A159" s="28">
        <v>158</v>
      </c>
      <c r="B159" s="28" t="s">
        <v>1450</v>
      </c>
      <c r="C159" s="28" t="s">
        <v>1451</v>
      </c>
      <c r="D159" s="28" t="s">
        <v>9185</v>
      </c>
      <c r="E159" s="28" t="s">
        <v>9178</v>
      </c>
      <c r="F159" s="28"/>
      <c r="G159" s="28" t="s">
        <v>9548</v>
      </c>
      <c r="H159" s="28"/>
      <c r="I159" s="28" t="s">
        <v>9180</v>
      </c>
      <c r="J159" s="28" t="s">
        <v>9549</v>
      </c>
      <c r="K159" s="28" t="s">
        <v>9218</v>
      </c>
      <c r="L159" s="28" t="s">
        <v>9223</v>
      </c>
    </row>
    <row r="160" spans="1:12">
      <c r="A160" s="29">
        <v>159</v>
      </c>
      <c r="B160" s="29" t="s">
        <v>8467</v>
      </c>
      <c r="C160" s="29" t="s">
        <v>9550</v>
      </c>
      <c r="D160" s="29" t="s">
        <v>9185</v>
      </c>
      <c r="E160" s="29" t="s">
        <v>9178</v>
      </c>
      <c r="F160" s="29"/>
      <c r="G160" s="29" t="s">
        <v>9551</v>
      </c>
      <c r="H160" s="29"/>
      <c r="I160" s="29" t="s">
        <v>9180</v>
      </c>
      <c r="J160" s="29" t="s">
        <v>9552</v>
      </c>
      <c r="K160" s="29" t="s">
        <v>9218</v>
      </c>
      <c r="L160" s="29" t="s">
        <v>9189</v>
      </c>
    </row>
    <row r="161" spans="1:12">
      <c r="A161" s="28">
        <v>160</v>
      </c>
      <c r="B161" s="28" t="s">
        <v>6390</v>
      </c>
      <c r="C161" s="28" t="s">
        <v>9553</v>
      </c>
      <c r="D161" s="28" t="s">
        <v>9185</v>
      </c>
      <c r="E161" s="28" t="s">
        <v>9178</v>
      </c>
      <c r="F161" s="28"/>
      <c r="G161" s="28" t="s">
        <v>9554</v>
      </c>
      <c r="H161" s="28"/>
      <c r="I161" s="28" t="s">
        <v>9180</v>
      </c>
      <c r="J161" s="28" t="s">
        <v>9555</v>
      </c>
      <c r="K161" s="28" t="s">
        <v>9218</v>
      </c>
      <c r="L161" s="28" t="s">
        <v>9189</v>
      </c>
    </row>
    <row r="162" spans="1:12">
      <c r="A162" s="29">
        <v>161</v>
      </c>
      <c r="B162" s="29" t="s">
        <v>6735</v>
      </c>
      <c r="C162" s="29" t="s">
        <v>6736</v>
      </c>
      <c r="D162" s="29" t="s">
        <v>9185</v>
      </c>
      <c r="E162" s="29" t="s">
        <v>9178</v>
      </c>
      <c r="F162" s="29"/>
      <c r="G162" s="29" t="s">
        <v>9556</v>
      </c>
      <c r="H162" s="29"/>
      <c r="I162" s="29" t="s">
        <v>9180</v>
      </c>
      <c r="J162" s="29" t="s">
        <v>9557</v>
      </c>
      <c r="K162" s="29" t="s">
        <v>9218</v>
      </c>
      <c r="L162" s="29" t="s">
        <v>9223</v>
      </c>
    </row>
    <row r="163" spans="1:12">
      <c r="A163" s="28">
        <v>162</v>
      </c>
      <c r="B163" s="28" t="s">
        <v>1159</v>
      </c>
      <c r="C163" s="28" t="s">
        <v>9558</v>
      </c>
      <c r="D163" s="28" t="s">
        <v>9185</v>
      </c>
      <c r="E163" s="28" t="s">
        <v>9178</v>
      </c>
      <c r="F163" s="28"/>
      <c r="G163" s="28" t="s">
        <v>9559</v>
      </c>
      <c r="H163" s="28"/>
      <c r="I163" s="28" t="s">
        <v>9180</v>
      </c>
      <c r="J163" s="28" t="s">
        <v>9560</v>
      </c>
      <c r="K163" s="28" t="s">
        <v>9218</v>
      </c>
      <c r="L163" s="28" t="s">
        <v>9189</v>
      </c>
    </row>
    <row r="164" spans="1:12">
      <c r="A164" s="29">
        <v>163</v>
      </c>
      <c r="B164" s="29" t="s">
        <v>8704</v>
      </c>
      <c r="C164" s="29"/>
      <c r="D164" s="29" t="s">
        <v>9185</v>
      </c>
      <c r="E164" s="29" t="s">
        <v>9178</v>
      </c>
      <c r="F164" s="29"/>
      <c r="G164" s="29" t="s">
        <v>9561</v>
      </c>
      <c r="H164" s="29"/>
      <c r="I164" s="29" t="s">
        <v>9180</v>
      </c>
      <c r="J164" s="29" t="s">
        <v>9221</v>
      </c>
      <c r="K164" s="29" t="s">
        <v>9218</v>
      </c>
      <c r="L164" s="29" t="s">
        <v>9223</v>
      </c>
    </row>
    <row r="165" spans="1:12">
      <c r="A165" s="28">
        <v>164</v>
      </c>
      <c r="B165" s="28" t="s">
        <v>8232</v>
      </c>
      <c r="C165" s="28" t="s">
        <v>8233</v>
      </c>
      <c r="D165" s="28" t="s">
        <v>9185</v>
      </c>
      <c r="E165" s="28" t="s">
        <v>9178</v>
      </c>
      <c r="F165" s="28"/>
      <c r="G165" s="28" t="s">
        <v>9562</v>
      </c>
      <c r="H165" s="28"/>
      <c r="I165" s="28" t="s">
        <v>9180</v>
      </c>
      <c r="J165" s="28" t="s">
        <v>9563</v>
      </c>
      <c r="K165" s="28" t="s">
        <v>9218</v>
      </c>
      <c r="L165" s="28" t="s">
        <v>9223</v>
      </c>
    </row>
    <row r="166" spans="1:12">
      <c r="A166" s="29">
        <v>165</v>
      </c>
      <c r="B166" s="29" t="s">
        <v>9001</v>
      </c>
      <c r="C166" s="29" t="s">
        <v>9564</v>
      </c>
      <c r="D166" s="29" t="s">
        <v>9185</v>
      </c>
      <c r="E166" s="29" t="s">
        <v>9178</v>
      </c>
      <c r="F166" s="29"/>
      <c r="G166" s="29" t="s">
        <v>9565</v>
      </c>
      <c r="H166" s="29"/>
      <c r="I166" s="29" t="s">
        <v>9180</v>
      </c>
      <c r="J166" s="29" t="s">
        <v>9477</v>
      </c>
      <c r="K166" s="29" t="s">
        <v>9218</v>
      </c>
      <c r="L166" s="29" t="s">
        <v>9189</v>
      </c>
    </row>
    <row r="167" spans="1:12">
      <c r="A167" s="28">
        <v>166</v>
      </c>
      <c r="B167" s="28" t="s">
        <v>6376</v>
      </c>
      <c r="C167" s="28" t="s">
        <v>9566</v>
      </c>
      <c r="D167" s="28" t="s">
        <v>9185</v>
      </c>
      <c r="E167" s="28" t="s">
        <v>9178</v>
      </c>
      <c r="F167" s="28"/>
      <c r="G167" s="28" t="s">
        <v>9567</v>
      </c>
      <c r="H167" s="28"/>
      <c r="I167" s="28" t="s">
        <v>9180</v>
      </c>
      <c r="J167" s="28" t="s">
        <v>9504</v>
      </c>
      <c r="K167" s="28" t="s">
        <v>9218</v>
      </c>
      <c r="L167" s="28" t="s">
        <v>9189</v>
      </c>
    </row>
    <row r="168" spans="1:12">
      <c r="A168" s="29">
        <v>167</v>
      </c>
      <c r="B168" s="29" t="s">
        <v>5827</v>
      </c>
      <c r="C168" s="29" t="s">
        <v>9568</v>
      </c>
      <c r="D168" s="29" t="s">
        <v>9185</v>
      </c>
      <c r="E168" s="29" t="s">
        <v>9178</v>
      </c>
      <c r="F168" s="29"/>
      <c r="G168" s="29" t="s">
        <v>9569</v>
      </c>
      <c r="H168" s="29"/>
      <c r="I168" s="29" t="s">
        <v>9180</v>
      </c>
      <c r="J168" s="29" t="s">
        <v>9315</v>
      </c>
      <c r="K168" s="29" t="s">
        <v>9218</v>
      </c>
      <c r="L168" s="29" t="s">
        <v>9189</v>
      </c>
    </row>
    <row r="169" spans="1:12">
      <c r="A169" s="28">
        <v>168</v>
      </c>
      <c r="B169" s="28" t="s">
        <v>9149</v>
      </c>
      <c r="C169" s="28" t="s">
        <v>9570</v>
      </c>
      <c r="D169" s="28" t="s">
        <v>9185</v>
      </c>
      <c r="E169" s="28" t="s">
        <v>9178</v>
      </c>
      <c r="F169" s="28"/>
      <c r="G169" s="28" t="s">
        <v>9571</v>
      </c>
      <c r="H169" s="28"/>
      <c r="I169" s="28" t="s">
        <v>9180</v>
      </c>
      <c r="J169" s="28" t="s">
        <v>9217</v>
      </c>
      <c r="K169" s="28" t="s">
        <v>9218</v>
      </c>
      <c r="L169" s="28" t="s">
        <v>9189</v>
      </c>
    </row>
    <row r="170" spans="1:12">
      <c r="A170" s="29">
        <v>169</v>
      </c>
      <c r="B170" s="29" t="s">
        <v>7705</v>
      </c>
      <c r="C170" s="29" t="s">
        <v>7706</v>
      </c>
      <c r="D170" s="29" t="s">
        <v>9185</v>
      </c>
      <c r="E170" s="29" t="s">
        <v>9178</v>
      </c>
      <c r="F170" s="29"/>
      <c r="G170" s="29" t="s">
        <v>9572</v>
      </c>
      <c r="H170" s="29"/>
      <c r="I170" s="29" t="s">
        <v>9180</v>
      </c>
      <c r="J170" s="29" t="s">
        <v>9573</v>
      </c>
      <c r="K170" s="29" t="s">
        <v>9218</v>
      </c>
      <c r="L170" s="29" t="s">
        <v>9223</v>
      </c>
    </row>
    <row r="171" spans="1:12">
      <c r="A171" s="28">
        <v>170</v>
      </c>
      <c r="B171" s="28" t="s">
        <v>5072</v>
      </c>
      <c r="C171" s="28" t="s">
        <v>9574</v>
      </c>
      <c r="D171" s="28" t="s">
        <v>9185</v>
      </c>
      <c r="E171" s="28" t="s">
        <v>9178</v>
      </c>
      <c r="F171" s="28"/>
      <c r="G171" s="28" t="s">
        <v>9575</v>
      </c>
      <c r="H171" s="28"/>
      <c r="I171" s="28" t="s">
        <v>9180</v>
      </c>
      <c r="J171" s="28" t="s">
        <v>9576</v>
      </c>
      <c r="K171" s="28" t="s">
        <v>9218</v>
      </c>
      <c r="L171" s="28" t="s">
        <v>9189</v>
      </c>
    </row>
    <row r="172" spans="1:12">
      <c r="A172" s="29">
        <v>171</v>
      </c>
      <c r="B172" s="29" t="s">
        <v>6386</v>
      </c>
      <c r="C172" s="29" t="s">
        <v>9577</v>
      </c>
      <c r="D172" s="29" t="s">
        <v>9185</v>
      </c>
      <c r="E172" s="29" t="s">
        <v>9178</v>
      </c>
      <c r="F172" s="29"/>
      <c r="G172" s="29" t="s">
        <v>9578</v>
      </c>
      <c r="H172" s="29"/>
      <c r="I172" s="29" t="s">
        <v>9180</v>
      </c>
      <c r="J172" s="29" t="s">
        <v>9579</v>
      </c>
      <c r="K172" s="29" t="s">
        <v>9218</v>
      </c>
      <c r="L172" s="29" t="s">
        <v>9189</v>
      </c>
    </row>
    <row r="173" spans="1:12">
      <c r="A173" s="28">
        <v>172</v>
      </c>
      <c r="B173" s="28" t="s">
        <v>6687</v>
      </c>
      <c r="C173" s="28" t="s">
        <v>9580</v>
      </c>
      <c r="D173" s="28" t="s">
        <v>9185</v>
      </c>
      <c r="E173" s="28" t="s">
        <v>9178</v>
      </c>
      <c r="F173" s="28"/>
      <c r="G173" s="28" t="s">
        <v>9581</v>
      </c>
      <c r="H173" s="28"/>
      <c r="I173" s="28" t="s">
        <v>9180</v>
      </c>
      <c r="J173" s="28" t="s">
        <v>9372</v>
      </c>
      <c r="K173" s="28" t="s">
        <v>9218</v>
      </c>
      <c r="L173" s="28" t="s">
        <v>9189</v>
      </c>
    </row>
    <row r="174" spans="1:12">
      <c r="A174" s="29">
        <v>173</v>
      </c>
      <c r="B174" s="29" t="s">
        <v>4037</v>
      </c>
      <c r="C174" s="29" t="s">
        <v>9582</v>
      </c>
      <c r="D174" s="29" t="s">
        <v>9185</v>
      </c>
      <c r="E174" s="29" t="s">
        <v>9178</v>
      </c>
      <c r="F174" s="29"/>
      <c r="G174" s="29" t="s">
        <v>9583</v>
      </c>
      <c r="H174" s="29"/>
      <c r="I174" s="29" t="s">
        <v>9180</v>
      </c>
      <c r="J174" s="29" t="s">
        <v>9584</v>
      </c>
      <c r="K174" s="29" t="s">
        <v>9218</v>
      </c>
      <c r="L174" s="29" t="s">
        <v>9189</v>
      </c>
    </row>
    <row r="175" spans="1:12">
      <c r="A175" s="27">
        <v>174</v>
      </c>
      <c r="B175" s="27" t="s">
        <v>6250</v>
      </c>
      <c r="C175" s="27" t="s">
        <v>6251</v>
      </c>
      <c r="D175" s="27" t="s">
        <v>9177</v>
      </c>
      <c r="E175" s="27" t="s">
        <v>9178</v>
      </c>
      <c r="F175" s="27"/>
      <c r="G175" s="27" t="s">
        <v>9585</v>
      </c>
      <c r="H175" s="27"/>
      <c r="I175" s="27" t="s">
        <v>9180</v>
      </c>
      <c r="J175" s="27" t="s">
        <v>9586</v>
      </c>
      <c r="K175" s="27" t="s">
        <v>9218</v>
      </c>
      <c r="L175" s="27" t="s">
        <v>9196</v>
      </c>
    </row>
    <row r="176" spans="1:12">
      <c r="A176" s="27">
        <v>175</v>
      </c>
      <c r="B176" s="27" t="s">
        <v>9107</v>
      </c>
      <c r="C176" s="27" t="s">
        <v>9108</v>
      </c>
      <c r="D176" s="27" t="s">
        <v>9177</v>
      </c>
      <c r="E176" s="27" t="s">
        <v>9178</v>
      </c>
      <c r="F176" s="27"/>
      <c r="G176" s="27" t="s">
        <v>9587</v>
      </c>
      <c r="H176" s="27"/>
      <c r="I176" s="27" t="s">
        <v>9180</v>
      </c>
      <c r="J176" s="27" t="s">
        <v>9239</v>
      </c>
      <c r="K176" s="27" t="s">
        <v>9218</v>
      </c>
      <c r="L176" s="27" t="s">
        <v>9183</v>
      </c>
    </row>
    <row r="177" spans="1:12">
      <c r="A177" s="28">
        <v>176</v>
      </c>
      <c r="B177" s="28" t="s">
        <v>1264</v>
      </c>
      <c r="C177" s="28" t="s">
        <v>9588</v>
      </c>
      <c r="D177" s="28" t="s">
        <v>9185</v>
      </c>
      <c r="E177" s="28" t="s">
        <v>9178</v>
      </c>
      <c r="F177" s="28"/>
      <c r="G177" s="28" t="s">
        <v>9589</v>
      </c>
      <c r="H177" s="28"/>
      <c r="I177" s="28" t="s">
        <v>9180</v>
      </c>
      <c r="J177" s="28" t="s">
        <v>9590</v>
      </c>
      <c r="K177" s="28" t="s">
        <v>9218</v>
      </c>
      <c r="L177" s="28" t="s">
        <v>9189</v>
      </c>
    </row>
    <row r="178" spans="1:12">
      <c r="A178" s="29">
        <v>177</v>
      </c>
      <c r="B178" s="29" t="s">
        <v>9052</v>
      </c>
      <c r="C178" s="29" t="s">
        <v>9591</v>
      </c>
      <c r="D178" s="29" t="s">
        <v>9185</v>
      </c>
      <c r="E178" s="29" t="s">
        <v>9178</v>
      </c>
      <c r="F178" s="29"/>
      <c r="G178" s="29" t="s">
        <v>9592</v>
      </c>
      <c r="H178" s="29"/>
      <c r="I178" s="29" t="s">
        <v>9180</v>
      </c>
      <c r="J178" s="29" t="s">
        <v>9221</v>
      </c>
      <c r="K178" s="29" t="s">
        <v>9218</v>
      </c>
      <c r="L178" s="29" t="s">
        <v>9189</v>
      </c>
    </row>
    <row r="179" spans="1:12">
      <c r="A179" s="28">
        <v>178</v>
      </c>
      <c r="B179" s="28" t="s">
        <v>1795</v>
      </c>
      <c r="C179" s="28" t="s">
        <v>9593</v>
      </c>
      <c r="D179" s="28" t="s">
        <v>9185</v>
      </c>
      <c r="E179" s="28" t="s">
        <v>9178</v>
      </c>
      <c r="F179" s="28"/>
      <c r="G179" s="28" t="s">
        <v>9594</v>
      </c>
      <c r="H179" s="28"/>
      <c r="I179" s="28" t="s">
        <v>9180</v>
      </c>
      <c r="J179" s="28" t="s">
        <v>9595</v>
      </c>
      <c r="K179" s="28" t="s">
        <v>9218</v>
      </c>
      <c r="L179" s="28" t="s">
        <v>9189</v>
      </c>
    </row>
    <row r="180" spans="1:12">
      <c r="A180" s="29">
        <v>179</v>
      </c>
      <c r="B180" s="29" t="s">
        <v>6741</v>
      </c>
      <c r="C180" s="29" t="s">
        <v>9596</v>
      </c>
      <c r="D180" s="29" t="s">
        <v>9185</v>
      </c>
      <c r="E180" s="29" t="s">
        <v>9178</v>
      </c>
      <c r="F180" s="29"/>
      <c r="G180" s="29" t="s">
        <v>9597</v>
      </c>
      <c r="H180" s="29"/>
      <c r="I180" s="29" t="s">
        <v>9180</v>
      </c>
      <c r="J180" s="29" t="s">
        <v>9322</v>
      </c>
      <c r="K180" s="29" t="s">
        <v>9218</v>
      </c>
      <c r="L180" s="29" t="s">
        <v>9223</v>
      </c>
    </row>
    <row r="181" spans="1:12">
      <c r="A181" s="27">
        <v>180</v>
      </c>
      <c r="B181" s="27" t="s">
        <v>4340</v>
      </c>
      <c r="C181" s="27" t="s">
        <v>9598</v>
      </c>
      <c r="D181" s="27" t="s">
        <v>9177</v>
      </c>
      <c r="E181" s="27" t="s">
        <v>9178</v>
      </c>
      <c r="F181" s="27"/>
      <c r="G181" s="27" t="s">
        <v>9599</v>
      </c>
      <c r="H181" s="27"/>
      <c r="I181" s="27" t="s">
        <v>9180</v>
      </c>
      <c r="J181" s="27" t="s">
        <v>9600</v>
      </c>
      <c r="K181" s="27" t="s">
        <v>9218</v>
      </c>
      <c r="L181" s="27" t="s">
        <v>9196</v>
      </c>
    </row>
    <row r="182" spans="1:12">
      <c r="A182" s="29">
        <v>181</v>
      </c>
      <c r="B182" s="29" t="s">
        <v>7161</v>
      </c>
      <c r="C182" s="29" t="s">
        <v>7162</v>
      </c>
      <c r="D182" s="29" t="s">
        <v>9185</v>
      </c>
      <c r="E182" s="29" t="s">
        <v>9178</v>
      </c>
      <c r="F182" s="29"/>
      <c r="G182" s="29" t="s">
        <v>9601</v>
      </c>
      <c r="H182" s="29"/>
      <c r="I182" s="29" t="s">
        <v>9180</v>
      </c>
      <c r="J182" s="29" t="s">
        <v>9573</v>
      </c>
      <c r="K182" s="29" t="s">
        <v>9218</v>
      </c>
      <c r="L182" s="29" t="s">
        <v>9223</v>
      </c>
    </row>
    <row r="183" spans="1:12">
      <c r="A183" s="28">
        <v>182</v>
      </c>
      <c r="B183" s="28" t="s">
        <v>2618</v>
      </c>
      <c r="C183" s="28" t="s">
        <v>9602</v>
      </c>
      <c r="D183" s="28" t="s">
        <v>9185</v>
      </c>
      <c r="E183" s="28" t="s">
        <v>9178</v>
      </c>
      <c r="F183" s="28"/>
      <c r="G183" s="28" t="s">
        <v>9603</v>
      </c>
      <c r="H183" s="28"/>
      <c r="I183" s="28" t="s">
        <v>9180</v>
      </c>
      <c r="J183" s="28" t="s">
        <v>9604</v>
      </c>
      <c r="K183" s="28" t="s">
        <v>9218</v>
      </c>
      <c r="L183" s="28" t="s">
        <v>9189</v>
      </c>
    </row>
    <row r="184" spans="1:12">
      <c r="A184" s="29">
        <v>183</v>
      </c>
      <c r="B184" s="29" t="s">
        <v>5397</v>
      </c>
      <c r="C184" s="29" t="s">
        <v>9193</v>
      </c>
      <c r="D184" s="29" t="s">
        <v>9185</v>
      </c>
      <c r="E184" s="29" t="s">
        <v>9178</v>
      </c>
      <c r="F184" s="29"/>
      <c r="G184" s="29" t="s">
        <v>9605</v>
      </c>
      <c r="H184" s="29"/>
      <c r="I184" s="29" t="s">
        <v>9180</v>
      </c>
      <c r="J184" s="29" t="s">
        <v>9606</v>
      </c>
      <c r="K184" s="29" t="s">
        <v>9218</v>
      </c>
      <c r="L184" s="29" t="s">
        <v>9189</v>
      </c>
    </row>
    <row r="185" spans="1:12">
      <c r="A185" s="27">
        <v>184</v>
      </c>
      <c r="B185" s="27" t="s">
        <v>4131</v>
      </c>
      <c r="C185" s="27" t="s">
        <v>4132</v>
      </c>
      <c r="D185" s="27" t="s">
        <v>9177</v>
      </c>
      <c r="E185" s="27" t="s">
        <v>9178</v>
      </c>
      <c r="F185" s="27"/>
      <c r="G185" s="27" t="s">
        <v>9607</v>
      </c>
      <c r="H185" s="27"/>
      <c r="I185" s="27" t="s">
        <v>9180</v>
      </c>
      <c r="J185" s="27" t="s">
        <v>9608</v>
      </c>
      <c r="K185" s="27" t="s">
        <v>9218</v>
      </c>
      <c r="L185" s="27" t="s">
        <v>9196</v>
      </c>
    </row>
    <row r="186" spans="1:12">
      <c r="A186" s="29">
        <v>185</v>
      </c>
      <c r="B186" s="29" t="s">
        <v>8489</v>
      </c>
      <c r="C186" s="29" t="s">
        <v>9609</v>
      </c>
      <c r="D186" s="29" t="s">
        <v>9185</v>
      </c>
      <c r="E186" s="29" t="s">
        <v>9178</v>
      </c>
      <c r="F186" s="29"/>
      <c r="G186" s="29" t="s">
        <v>9610</v>
      </c>
      <c r="H186" s="29"/>
      <c r="I186" s="29" t="s">
        <v>9180</v>
      </c>
      <c r="J186" s="29" t="s">
        <v>9611</v>
      </c>
      <c r="K186" s="29" t="s">
        <v>9218</v>
      </c>
      <c r="L186" s="29" t="s">
        <v>9189</v>
      </c>
    </row>
    <row r="187" spans="1:12">
      <c r="A187" s="28">
        <v>186</v>
      </c>
      <c r="B187" s="28" t="s">
        <v>3329</v>
      </c>
      <c r="C187" s="28" t="s">
        <v>9612</v>
      </c>
      <c r="D187" s="28" t="s">
        <v>9185</v>
      </c>
      <c r="E187" s="28" t="s">
        <v>9178</v>
      </c>
      <c r="F187" s="28"/>
      <c r="G187" s="28" t="s">
        <v>9613</v>
      </c>
      <c r="H187" s="28"/>
      <c r="I187" s="28" t="s">
        <v>9180</v>
      </c>
      <c r="J187" s="28" t="s">
        <v>9614</v>
      </c>
      <c r="K187" s="28" t="s">
        <v>9218</v>
      </c>
      <c r="L187" s="28" t="s">
        <v>9189</v>
      </c>
    </row>
    <row r="188" spans="1:12">
      <c r="A188" s="29">
        <v>187</v>
      </c>
      <c r="B188" s="29" t="s">
        <v>8324</v>
      </c>
      <c r="C188" s="29" t="s">
        <v>8325</v>
      </c>
      <c r="D188" s="29" t="s">
        <v>9185</v>
      </c>
      <c r="E188" s="29" t="s">
        <v>9178</v>
      </c>
      <c r="F188" s="29"/>
      <c r="G188" s="29" t="s">
        <v>9615</v>
      </c>
      <c r="H188" s="29" t="s">
        <v>9615</v>
      </c>
      <c r="I188" s="29" t="s">
        <v>9180</v>
      </c>
      <c r="J188" s="29" t="s">
        <v>9309</v>
      </c>
      <c r="K188" s="29" t="s">
        <v>9218</v>
      </c>
      <c r="L188" s="29" t="s">
        <v>9189</v>
      </c>
    </row>
    <row r="189" spans="1:12">
      <c r="A189" s="28">
        <v>188</v>
      </c>
      <c r="B189" s="28" t="s">
        <v>8321</v>
      </c>
      <c r="C189" s="28" t="s">
        <v>9471</v>
      </c>
      <c r="D189" s="28" t="s">
        <v>9185</v>
      </c>
      <c r="E189" s="28" t="s">
        <v>9178</v>
      </c>
      <c r="F189" s="28"/>
      <c r="G189" s="28" t="s">
        <v>9616</v>
      </c>
      <c r="H189" s="28" t="s">
        <v>9616</v>
      </c>
      <c r="I189" s="28" t="s">
        <v>9180</v>
      </c>
      <c r="J189" s="28" t="s">
        <v>9309</v>
      </c>
      <c r="K189" s="28" t="s">
        <v>9218</v>
      </c>
      <c r="L189" s="28" t="s">
        <v>9189</v>
      </c>
    </row>
    <row r="190" spans="1:12">
      <c r="A190" s="29">
        <v>189</v>
      </c>
      <c r="B190" s="29" t="s">
        <v>8303</v>
      </c>
      <c r="C190" s="29" t="s">
        <v>8304</v>
      </c>
      <c r="D190" s="29" t="s">
        <v>9185</v>
      </c>
      <c r="E190" s="29" t="s">
        <v>9178</v>
      </c>
      <c r="F190" s="29"/>
      <c r="G190" s="29" t="s">
        <v>9617</v>
      </c>
      <c r="H190" s="29" t="s">
        <v>9617</v>
      </c>
      <c r="I190" s="29" t="s">
        <v>9180</v>
      </c>
      <c r="J190" s="29" t="s">
        <v>9239</v>
      </c>
      <c r="K190" s="29" t="s">
        <v>9218</v>
      </c>
      <c r="L190" s="29" t="s">
        <v>9223</v>
      </c>
    </row>
    <row r="191" spans="1:12">
      <c r="A191" s="28">
        <v>190</v>
      </c>
      <c r="B191" s="28" t="s">
        <v>4817</v>
      </c>
      <c r="C191" s="28" t="s">
        <v>4818</v>
      </c>
      <c r="D191" s="28" t="s">
        <v>9185</v>
      </c>
      <c r="E191" s="28" t="s">
        <v>9178</v>
      </c>
      <c r="F191" s="28"/>
      <c r="G191" s="28" t="s">
        <v>9618</v>
      </c>
      <c r="H191" s="28"/>
      <c r="I191" s="28" t="s">
        <v>9180</v>
      </c>
      <c r="J191" s="28" t="s">
        <v>9619</v>
      </c>
      <c r="K191" s="28" t="s">
        <v>9218</v>
      </c>
      <c r="L191" s="28" t="s">
        <v>9223</v>
      </c>
    </row>
    <row r="192" spans="1:12">
      <c r="A192" s="29">
        <v>191</v>
      </c>
      <c r="B192" s="29" t="s">
        <v>8220</v>
      </c>
      <c r="C192" s="29" t="s">
        <v>8221</v>
      </c>
      <c r="D192" s="29" t="s">
        <v>9185</v>
      </c>
      <c r="E192" s="29" t="s">
        <v>9178</v>
      </c>
      <c r="F192" s="29"/>
      <c r="G192" s="29" t="s">
        <v>9620</v>
      </c>
      <c r="H192" s="29"/>
      <c r="I192" s="29" t="s">
        <v>9180</v>
      </c>
      <c r="J192" s="29" t="s">
        <v>9221</v>
      </c>
      <c r="K192" s="29" t="s">
        <v>9218</v>
      </c>
      <c r="L192" s="29" t="s">
        <v>9223</v>
      </c>
    </row>
    <row r="193" spans="1:12">
      <c r="A193" s="28">
        <v>192</v>
      </c>
      <c r="B193" s="28" t="s">
        <v>7987</v>
      </c>
      <c r="C193" s="28" t="s">
        <v>9621</v>
      </c>
      <c r="D193" s="28" t="s">
        <v>9185</v>
      </c>
      <c r="E193" s="28" t="s">
        <v>9178</v>
      </c>
      <c r="F193" s="28"/>
      <c r="G193" s="28" t="s">
        <v>9622</v>
      </c>
      <c r="H193" s="28"/>
      <c r="I193" s="28" t="s">
        <v>9180</v>
      </c>
      <c r="J193" s="28" t="s">
        <v>9221</v>
      </c>
      <c r="K193" s="28" t="s">
        <v>9218</v>
      </c>
      <c r="L193" s="28" t="s">
        <v>9189</v>
      </c>
    </row>
    <row r="194" spans="1:12">
      <c r="A194" s="29">
        <v>193</v>
      </c>
      <c r="B194" s="29" t="s">
        <v>9623</v>
      </c>
      <c r="C194" s="29" t="s">
        <v>9520</v>
      </c>
      <c r="D194" s="29" t="s">
        <v>9185</v>
      </c>
      <c r="E194" s="29" t="s">
        <v>9208</v>
      </c>
      <c r="F194" s="29"/>
      <c r="G194" s="29" t="s">
        <v>9624</v>
      </c>
      <c r="H194" s="29"/>
      <c r="I194" s="29" t="s">
        <v>9180</v>
      </c>
      <c r="J194" s="29" t="s">
        <v>9210</v>
      </c>
      <c r="K194" s="29" t="s">
        <v>9218</v>
      </c>
      <c r="L194" s="29" t="s">
        <v>9522</v>
      </c>
    </row>
    <row r="195" spans="1:12">
      <c r="A195" s="28">
        <v>194</v>
      </c>
      <c r="B195" s="28" t="s">
        <v>4713</v>
      </c>
      <c r="C195" s="28" t="s">
        <v>4714</v>
      </c>
      <c r="D195" s="28" t="s">
        <v>9185</v>
      </c>
      <c r="E195" s="28" t="s">
        <v>9178</v>
      </c>
      <c r="F195" s="28"/>
      <c r="G195" s="28" t="s">
        <v>9625</v>
      </c>
      <c r="H195" s="28"/>
      <c r="I195" s="28" t="s">
        <v>9180</v>
      </c>
      <c r="J195" s="28" t="s">
        <v>9626</v>
      </c>
      <c r="K195" s="28" t="s">
        <v>9218</v>
      </c>
      <c r="L195" s="28" t="s">
        <v>9223</v>
      </c>
    </row>
    <row r="196" spans="1:12">
      <c r="A196" s="29">
        <v>195</v>
      </c>
      <c r="B196" s="29" t="s">
        <v>7101</v>
      </c>
      <c r="C196" s="29" t="s">
        <v>9627</v>
      </c>
      <c r="D196" s="29" t="s">
        <v>9185</v>
      </c>
      <c r="E196" s="29" t="s">
        <v>9336</v>
      </c>
      <c r="F196" s="29"/>
      <c r="G196" s="29" t="s">
        <v>9628</v>
      </c>
      <c r="H196" s="29"/>
      <c r="I196" s="29" t="s">
        <v>9180</v>
      </c>
      <c r="J196" s="29" t="s">
        <v>9271</v>
      </c>
      <c r="K196" s="29" t="s">
        <v>9218</v>
      </c>
      <c r="L196" s="29" t="s">
        <v>9189</v>
      </c>
    </row>
    <row r="197" spans="1:12">
      <c r="A197" s="28">
        <v>196</v>
      </c>
      <c r="B197" s="28" t="s">
        <v>7111</v>
      </c>
      <c r="C197" s="28" t="s">
        <v>9629</v>
      </c>
      <c r="D197" s="28" t="s">
        <v>9185</v>
      </c>
      <c r="E197" s="28" t="s">
        <v>9178</v>
      </c>
      <c r="F197" s="28"/>
      <c r="G197" s="28" t="s">
        <v>9630</v>
      </c>
      <c r="H197" s="28"/>
      <c r="I197" s="28" t="s">
        <v>9180</v>
      </c>
      <c r="J197" s="28" t="s">
        <v>9192</v>
      </c>
      <c r="K197" s="28" t="s">
        <v>9218</v>
      </c>
      <c r="L197" s="28" t="s">
        <v>9189</v>
      </c>
    </row>
    <row r="198" spans="1:12">
      <c r="A198" s="29">
        <v>197</v>
      </c>
      <c r="B198" s="29" t="s">
        <v>1529</v>
      </c>
      <c r="C198" s="29" t="s">
        <v>9631</v>
      </c>
      <c r="D198" s="29" t="s">
        <v>9185</v>
      </c>
      <c r="E198" s="29" t="s">
        <v>9178</v>
      </c>
      <c r="F198" s="29"/>
      <c r="G198" s="29" t="s">
        <v>9632</v>
      </c>
      <c r="H198" s="29"/>
      <c r="I198" s="29" t="s">
        <v>9180</v>
      </c>
      <c r="J198" s="29" t="s">
        <v>9633</v>
      </c>
      <c r="K198" s="29" t="s">
        <v>9218</v>
      </c>
      <c r="L198" s="29" t="s">
        <v>9189</v>
      </c>
    </row>
    <row r="199" spans="1:12">
      <c r="A199" s="28">
        <v>198</v>
      </c>
      <c r="B199" s="28" t="s">
        <v>5873</v>
      </c>
      <c r="C199" s="28" t="s">
        <v>5874</v>
      </c>
      <c r="D199" s="28" t="s">
        <v>9185</v>
      </c>
      <c r="E199" s="28" t="s">
        <v>9178</v>
      </c>
      <c r="F199" s="28"/>
      <c r="G199" s="28" t="s">
        <v>9634</v>
      </c>
      <c r="H199" s="28" t="s">
        <v>9634</v>
      </c>
      <c r="I199" s="28" t="s">
        <v>9180</v>
      </c>
      <c r="J199" s="28" t="s">
        <v>9239</v>
      </c>
      <c r="K199" s="28" t="s">
        <v>9218</v>
      </c>
      <c r="L199" s="28" t="s">
        <v>9223</v>
      </c>
    </row>
    <row r="200" spans="1:12">
      <c r="A200" s="29">
        <v>199</v>
      </c>
      <c r="B200" s="29" t="s">
        <v>4142</v>
      </c>
      <c r="C200" s="29" t="s">
        <v>4143</v>
      </c>
      <c r="D200" s="29" t="s">
        <v>9185</v>
      </c>
      <c r="E200" s="29" t="s">
        <v>9178</v>
      </c>
      <c r="F200" s="29"/>
      <c r="G200" s="29" t="s">
        <v>9635</v>
      </c>
      <c r="H200" s="29"/>
      <c r="I200" s="29" t="s">
        <v>9180</v>
      </c>
      <c r="J200" s="29" t="s">
        <v>9636</v>
      </c>
      <c r="K200" s="29" t="s">
        <v>9218</v>
      </c>
      <c r="L200" s="29" t="s">
        <v>9189</v>
      </c>
    </row>
    <row r="201" spans="1:12">
      <c r="A201" s="28">
        <v>200</v>
      </c>
      <c r="B201" s="28" t="s">
        <v>6095</v>
      </c>
      <c r="C201" s="28" t="s">
        <v>6096</v>
      </c>
      <c r="D201" s="28" t="s">
        <v>9185</v>
      </c>
      <c r="E201" s="28" t="s">
        <v>9178</v>
      </c>
      <c r="F201" s="28"/>
      <c r="G201" s="28" t="s">
        <v>9637</v>
      </c>
      <c r="H201" s="28"/>
      <c r="I201" s="28" t="s">
        <v>9180</v>
      </c>
      <c r="J201" s="28" t="s">
        <v>9274</v>
      </c>
      <c r="K201" s="28" t="s">
        <v>9218</v>
      </c>
      <c r="L201" s="28" t="s">
        <v>9223</v>
      </c>
    </row>
    <row r="202" spans="1:12">
      <c r="A202" s="29">
        <v>201</v>
      </c>
      <c r="B202" s="29" t="s">
        <v>6711</v>
      </c>
      <c r="C202" s="29" t="s">
        <v>9638</v>
      </c>
      <c r="D202" s="29" t="s">
        <v>9185</v>
      </c>
      <c r="E202" s="29" t="s">
        <v>9178</v>
      </c>
      <c r="F202" s="29"/>
      <c r="G202" s="29" t="s">
        <v>9639</v>
      </c>
      <c r="H202" s="29"/>
      <c r="I202" s="29" t="s">
        <v>9180</v>
      </c>
      <c r="J202" s="29" t="s">
        <v>9315</v>
      </c>
      <c r="K202" s="29" t="s">
        <v>9218</v>
      </c>
      <c r="L202" s="29" t="s">
        <v>9189</v>
      </c>
    </row>
    <row r="203" spans="1:12">
      <c r="A203" s="28">
        <v>202</v>
      </c>
      <c r="B203" s="28" t="s">
        <v>6493</v>
      </c>
      <c r="C203" s="28" t="s">
        <v>9640</v>
      </c>
      <c r="D203" s="28" t="s">
        <v>9185</v>
      </c>
      <c r="E203" s="28" t="s">
        <v>9178</v>
      </c>
      <c r="F203" s="28"/>
      <c r="G203" s="28" t="s">
        <v>9641</v>
      </c>
      <c r="H203" s="28"/>
      <c r="I203" s="28" t="s">
        <v>9180</v>
      </c>
      <c r="J203" s="28" t="s">
        <v>9343</v>
      </c>
      <c r="K203" s="28" t="s">
        <v>9218</v>
      </c>
      <c r="L203" s="28" t="s">
        <v>9189</v>
      </c>
    </row>
    <row r="204" spans="1:12">
      <c r="A204" s="29">
        <v>203</v>
      </c>
      <c r="B204" s="29" t="s">
        <v>6497</v>
      </c>
      <c r="C204" s="29" t="s">
        <v>9642</v>
      </c>
      <c r="D204" s="29" t="s">
        <v>9185</v>
      </c>
      <c r="E204" s="29" t="s">
        <v>9178</v>
      </c>
      <c r="F204" s="29"/>
      <c r="G204" s="29" t="s">
        <v>9643</v>
      </c>
      <c r="H204" s="29"/>
      <c r="I204" s="29" t="s">
        <v>9180</v>
      </c>
      <c r="J204" s="29" t="s">
        <v>9644</v>
      </c>
      <c r="K204" s="29" t="s">
        <v>9218</v>
      </c>
      <c r="L204" s="29" t="s">
        <v>9189</v>
      </c>
    </row>
    <row r="205" spans="1:12">
      <c r="A205" s="27">
        <v>204</v>
      </c>
      <c r="B205" s="27" t="s">
        <v>1603</v>
      </c>
      <c r="C205" s="27" t="s">
        <v>9645</v>
      </c>
      <c r="D205" s="27" t="s">
        <v>9177</v>
      </c>
      <c r="E205" s="27" t="s">
        <v>9178</v>
      </c>
      <c r="F205" s="27"/>
      <c r="G205" s="27" t="s">
        <v>9646</v>
      </c>
      <c r="H205" s="27" t="s">
        <v>9646</v>
      </c>
      <c r="I205" s="27" t="s">
        <v>9180</v>
      </c>
      <c r="J205" s="27" t="s">
        <v>9647</v>
      </c>
      <c r="K205" s="27" t="s">
        <v>9218</v>
      </c>
      <c r="L205" s="27" t="s">
        <v>9196</v>
      </c>
    </row>
    <row r="206" spans="1:12">
      <c r="A206" s="29">
        <v>205</v>
      </c>
      <c r="B206" s="29" t="s">
        <v>6401</v>
      </c>
      <c r="C206" s="29" t="s">
        <v>9648</v>
      </c>
      <c r="D206" s="29" t="s">
        <v>9185</v>
      </c>
      <c r="E206" s="29" t="s">
        <v>9178</v>
      </c>
      <c r="F206" s="29"/>
      <c r="G206" s="29" t="s">
        <v>9649</v>
      </c>
      <c r="H206" s="29"/>
      <c r="I206" s="29" t="s">
        <v>9180</v>
      </c>
      <c r="J206" s="29" t="s">
        <v>9650</v>
      </c>
      <c r="K206" s="29" t="s">
        <v>9218</v>
      </c>
      <c r="L206" s="29" t="s">
        <v>9189</v>
      </c>
    </row>
    <row r="207" spans="1:12">
      <c r="A207" s="28">
        <v>206</v>
      </c>
      <c r="B207" s="28" t="s">
        <v>5017</v>
      </c>
      <c r="C207" s="28" t="s">
        <v>9651</v>
      </c>
      <c r="D207" s="28" t="s">
        <v>9185</v>
      </c>
      <c r="E207" s="28" t="s">
        <v>9178</v>
      </c>
      <c r="F207" s="28"/>
      <c r="G207" s="28" t="s">
        <v>9652</v>
      </c>
      <c r="H207" s="28"/>
      <c r="I207" s="28" t="s">
        <v>9180</v>
      </c>
      <c r="J207" s="28" t="s">
        <v>9434</v>
      </c>
      <c r="K207" s="28" t="s">
        <v>9218</v>
      </c>
      <c r="L207" s="28" t="s">
        <v>9189</v>
      </c>
    </row>
    <row r="208" spans="1:12">
      <c r="A208" s="29">
        <v>207</v>
      </c>
      <c r="B208" s="29" t="s">
        <v>908</v>
      </c>
      <c r="C208" s="29" t="s">
        <v>9653</v>
      </c>
      <c r="D208" s="29" t="s">
        <v>9185</v>
      </c>
      <c r="E208" s="29" t="s">
        <v>9178</v>
      </c>
      <c r="F208" s="29"/>
      <c r="G208" s="29" t="s">
        <v>9654</v>
      </c>
      <c r="H208" s="29"/>
      <c r="I208" s="29" t="s">
        <v>9180</v>
      </c>
      <c r="J208" s="29" t="s">
        <v>9655</v>
      </c>
      <c r="K208" s="29" t="s">
        <v>9218</v>
      </c>
      <c r="L208" s="29" t="s">
        <v>9189</v>
      </c>
    </row>
    <row r="209" spans="1:12">
      <c r="A209" s="28">
        <v>208</v>
      </c>
      <c r="B209" s="28" t="s">
        <v>2529</v>
      </c>
      <c r="C209" s="28" t="s">
        <v>9656</v>
      </c>
      <c r="D209" s="28" t="s">
        <v>9185</v>
      </c>
      <c r="E209" s="28" t="s">
        <v>9178</v>
      </c>
      <c r="F209" s="28"/>
      <c r="G209" s="28" t="s">
        <v>9657</v>
      </c>
      <c r="H209" s="28"/>
      <c r="I209" s="28" t="s">
        <v>9180</v>
      </c>
      <c r="J209" s="28" t="s">
        <v>9658</v>
      </c>
      <c r="K209" s="28" t="s">
        <v>9218</v>
      </c>
      <c r="L209" s="28" t="s">
        <v>9189</v>
      </c>
    </row>
    <row r="210" spans="1:12">
      <c r="A210" s="29">
        <v>209</v>
      </c>
      <c r="B210" s="29" t="s">
        <v>6485</v>
      </c>
      <c r="C210" s="29" t="s">
        <v>9659</v>
      </c>
      <c r="D210" s="29" t="s">
        <v>9185</v>
      </c>
      <c r="E210" s="29" t="s">
        <v>9178</v>
      </c>
      <c r="F210" s="29"/>
      <c r="G210" s="29" t="s">
        <v>9660</v>
      </c>
      <c r="H210" s="29"/>
      <c r="I210" s="29" t="s">
        <v>9180</v>
      </c>
      <c r="J210" s="29" t="s">
        <v>9312</v>
      </c>
      <c r="K210" s="29" t="s">
        <v>9218</v>
      </c>
      <c r="L210" s="29" t="s">
        <v>9189</v>
      </c>
    </row>
    <row r="211" spans="1:12">
      <c r="A211" s="28">
        <v>210</v>
      </c>
      <c r="B211" s="28" t="s">
        <v>6465</v>
      </c>
      <c r="C211" s="28"/>
      <c r="D211" s="28" t="s">
        <v>9185</v>
      </c>
      <c r="E211" s="28" t="s">
        <v>9178</v>
      </c>
      <c r="F211" s="28"/>
      <c r="G211" s="28" t="s">
        <v>9661</v>
      </c>
      <c r="H211" s="28"/>
      <c r="I211" s="28" t="s">
        <v>9180</v>
      </c>
      <c r="J211" s="28" t="s">
        <v>9322</v>
      </c>
      <c r="K211" s="28" t="s">
        <v>9218</v>
      </c>
      <c r="L211" s="28" t="s">
        <v>9223</v>
      </c>
    </row>
    <row r="212" spans="1:12">
      <c r="A212" s="29">
        <v>211</v>
      </c>
      <c r="B212" s="29" t="s">
        <v>4167</v>
      </c>
      <c r="C212" s="29" t="s">
        <v>4168</v>
      </c>
      <c r="D212" s="29" t="s">
        <v>9185</v>
      </c>
      <c r="E212" s="29" t="s">
        <v>9178</v>
      </c>
      <c r="F212" s="29"/>
      <c r="G212" s="29" t="s">
        <v>9662</v>
      </c>
      <c r="H212" s="29" t="s">
        <v>9662</v>
      </c>
      <c r="I212" s="29" t="s">
        <v>9180</v>
      </c>
      <c r="J212" s="29" t="s">
        <v>9663</v>
      </c>
      <c r="K212" s="29" t="s">
        <v>9218</v>
      </c>
      <c r="L212" s="29" t="s">
        <v>9223</v>
      </c>
    </row>
    <row r="213" spans="1:12">
      <c r="A213" s="27">
        <v>212</v>
      </c>
      <c r="B213" s="27" t="s">
        <v>6380</v>
      </c>
      <c r="C213" s="27" t="s">
        <v>6381</v>
      </c>
      <c r="D213" s="27" t="s">
        <v>9177</v>
      </c>
      <c r="E213" s="27" t="s">
        <v>9178</v>
      </c>
      <c r="F213" s="27"/>
      <c r="G213" s="27" t="s">
        <v>9664</v>
      </c>
      <c r="H213" s="27"/>
      <c r="I213" s="27" t="s">
        <v>9180</v>
      </c>
      <c r="J213" s="27" t="s">
        <v>9268</v>
      </c>
      <c r="K213" s="27" t="s">
        <v>9218</v>
      </c>
      <c r="L213" s="27" t="s">
        <v>9183</v>
      </c>
    </row>
    <row r="214" spans="1:12">
      <c r="A214" s="29">
        <v>213</v>
      </c>
      <c r="B214" s="29" t="s">
        <v>1524</v>
      </c>
      <c r="C214" s="29" t="s">
        <v>1525</v>
      </c>
      <c r="D214" s="29" t="s">
        <v>9185</v>
      </c>
      <c r="E214" s="29" t="s">
        <v>9178</v>
      </c>
      <c r="F214" s="29"/>
      <c r="G214" s="29" t="s">
        <v>9665</v>
      </c>
      <c r="H214" s="29"/>
      <c r="I214" s="29" t="s">
        <v>9180</v>
      </c>
      <c r="J214" s="29" t="s">
        <v>9666</v>
      </c>
      <c r="K214" s="29" t="s">
        <v>9218</v>
      </c>
      <c r="L214" s="29" t="s">
        <v>9223</v>
      </c>
    </row>
    <row r="215" spans="1:12">
      <c r="A215" s="28">
        <v>214</v>
      </c>
      <c r="B215" s="28" t="s">
        <v>6234</v>
      </c>
      <c r="C215" s="28" t="s">
        <v>9667</v>
      </c>
      <c r="D215" s="28" t="s">
        <v>9185</v>
      </c>
      <c r="E215" s="28" t="s">
        <v>9178</v>
      </c>
      <c r="F215" s="28"/>
      <c r="G215" s="28" t="s">
        <v>9668</v>
      </c>
      <c r="H215" s="28"/>
      <c r="I215" s="28" t="s">
        <v>9180</v>
      </c>
      <c r="J215" s="28" t="s">
        <v>9374</v>
      </c>
      <c r="K215" s="28" t="s">
        <v>9218</v>
      </c>
      <c r="L215" s="28" t="s">
        <v>9189</v>
      </c>
    </row>
    <row r="216" spans="1:12">
      <c r="A216" s="29">
        <v>215</v>
      </c>
      <c r="B216" s="29" t="s">
        <v>5751</v>
      </c>
      <c r="C216" s="29" t="s">
        <v>5752</v>
      </c>
      <c r="D216" s="29" t="s">
        <v>9185</v>
      </c>
      <c r="E216" s="29" t="s">
        <v>9178</v>
      </c>
      <c r="F216" s="29"/>
      <c r="G216" s="29" t="s">
        <v>9669</v>
      </c>
      <c r="H216" s="29"/>
      <c r="I216" s="29" t="s">
        <v>9180</v>
      </c>
      <c r="J216" s="29" t="s">
        <v>9670</v>
      </c>
      <c r="K216" s="29" t="s">
        <v>9218</v>
      </c>
      <c r="L216" s="29" t="s">
        <v>9223</v>
      </c>
    </row>
    <row r="217" spans="1:12">
      <c r="A217" s="28">
        <v>216</v>
      </c>
      <c r="B217" s="28" t="s">
        <v>4813</v>
      </c>
      <c r="C217" s="28" t="s">
        <v>4814</v>
      </c>
      <c r="D217" s="28" t="s">
        <v>9185</v>
      </c>
      <c r="E217" s="28" t="s">
        <v>9178</v>
      </c>
      <c r="F217" s="28"/>
      <c r="G217" s="28" t="s">
        <v>9671</v>
      </c>
      <c r="H217" s="28"/>
      <c r="I217" s="28" t="s">
        <v>9180</v>
      </c>
      <c r="J217" s="28" t="s">
        <v>9345</v>
      </c>
      <c r="K217" s="28" t="s">
        <v>9218</v>
      </c>
      <c r="L217" s="28" t="s">
        <v>9223</v>
      </c>
    </row>
    <row r="218" spans="1:12">
      <c r="A218" s="29">
        <v>217</v>
      </c>
      <c r="B218" s="29" t="s">
        <v>4171</v>
      </c>
      <c r="C218" s="29" t="s">
        <v>4172</v>
      </c>
      <c r="D218" s="29" t="s">
        <v>9185</v>
      </c>
      <c r="E218" s="29" t="s">
        <v>9178</v>
      </c>
      <c r="F218" s="29"/>
      <c r="G218" s="29" t="s">
        <v>9672</v>
      </c>
      <c r="H218" s="29"/>
      <c r="I218" s="29" t="s">
        <v>9180</v>
      </c>
      <c r="J218" s="29" t="s">
        <v>9673</v>
      </c>
      <c r="K218" s="29" t="s">
        <v>9218</v>
      </c>
      <c r="L218" s="29" t="s">
        <v>9223</v>
      </c>
    </row>
    <row r="219" spans="1:12">
      <c r="A219" s="28">
        <v>218</v>
      </c>
      <c r="B219" s="28" t="s">
        <v>6246</v>
      </c>
      <c r="C219" s="28" t="s">
        <v>9674</v>
      </c>
      <c r="D219" s="28" t="s">
        <v>9185</v>
      </c>
      <c r="E219" s="28" t="s">
        <v>9178</v>
      </c>
      <c r="F219" s="28"/>
      <c r="G219" s="28" t="s">
        <v>9675</v>
      </c>
      <c r="H219" s="28"/>
      <c r="I219" s="28" t="s">
        <v>9180</v>
      </c>
      <c r="J219" s="28" t="s">
        <v>9322</v>
      </c>
      <c r="K219" s="28" t="s">
        <v>9218</v>
      </c>
      <c r="L219" s="28" t="s">
        <v>9189</v>
      </c>
    </row>
    <row r="220" spans="1:12">
      <c r="A220" s="29">
        <v>219</v>
      </c>
      <c r="B220" s="29" t="s">
        <v>6230</v>
      </c>
      <c r="C220" s="29" t="s">
        <v>6231</v>
      </c>
      <c r="D220" s="29" t="s">
        <v>9185</v>
      </c>
      <c r="E220" s="29" t="s">
        <v>9178</v>
      </c>
      <c r="F220" s="29"/>
      <c r="G220" s="29" t="s">
        <v>9676</v>
      </c>
      <c r="H220" s="29"/>
      <c r="I220" s="29" t="s">
        <v>9180</v>
      </c>
      <c r="J220" s="29" t="s">
        <v>9322</v>
      </c>
      <c r="K220" s="29" t="s">
        <v>9218</v>
      </c>
      <c r="L220" s="29" t="s">
        <v>9189</v>
      </c>
    </row>
    <row r="221" spans="1:12">
      <c r="A221" s="28">
        <v>220</v>
      </c>
      <c r="B221" s="28" t="s">
        <v>6226</v>
      </c>
      <c r="C221" s="28" t="s">
        <v>9677</v>
      </c>
      <c r="D221" s="28" t="s">
        <v>9185</v>
      </c>
      <c r="E221" s="28" t="s">
        <v>9178</v>
      </c>
      <c r="F221" s="28"/>
      <c r="G221" s="28" t="s">
        <v>9678</v>
      </c>
      <c r="H221" s="28"/>
      <c r="I221" s="28" t="s">
        <v>9180</v>
      </c>
      <c r="J221" s="28" t="s">
        <v>9356</v>
      </c>
      <c r="K221" s="28" t="s">
        <v>9218</v>
      </c>
      <c r="L221" s="28" t="s">
        <v>9189</v>
      </c>
    </row>
    <row r="222" spans="1:12">
      <c r="A222" s="29">
        <v>221</v>
      </c>
      <c r="B222" s="29" t="s">
        <v>6222</v>
      </c>
      <c r="C222" s="29" t="s">
        <v>9679</v>
      </c>
      <c r="D222" s="29" t="s">
        <v>9185</v>
      </c>
      <c r="E222" s="29" t="s">
        <v>9178</v>
      </c>
      <c r="F222" s="29"/>
      <c r="G222" s="29" t="s">
        <v>9680</v>
      </c>
      <c r="H222" s="29"/>
      <c r="I222" s="29" t="s">
        <v>9180</v>
      </c>
      <c r="J222" s="29" t="s">
        <v>9681</v>
      </c>
      <c r="K222" s="29" t="s">
        <v>9218</v>
      </c>
      <c r="L222" s="29" t="s">
        <v>9189</v>
      </c>
    </row>
    <row r="223" spans="1:12">
      <c r="A223" s="28">
        <v>222</v>
      </c>
      <c r="B223" s="28" t="s">
        <v>6070</v>
      </c>
      <c r="C223" s="28" t="s">
        <v>9682</v>
      </c>
      <c r="D223" s="28" t="s">
        <v>9185</v>
      </c>
      <c r="E223" s="28" t="s">
        <v>9178</v>
      </c>
      <c r="F223" s="28"/>
      <c r="G223" s="28" t="s">
        <v>9683</v>
      </c>
      <c r="H223" s="28"/>
      <c r="I223" s="28" t="s">
        <v>9180</v>
      </c>
      <c r="J223" s="28" t="s">
        <v>9274</v>
      </c>
      <c r="K223" s="28" t="s">
        <v>9218</v>
      </c>
      <c r="L223" s="28" t="s">
        <v>9189</v>
      </c>
    </row>
    <row r="224" spans="1:12">
      <c r="A224" s="29">
        <v>223</v>
      </c>
      <c r="B224" s="29" t="s">
        <v>5322</v>
      </c>
      <c r="C224" s="29" t="s">
        <v>5323</v>
      </c>
      <c r="D224" s="29" t="s">
        <v>9185</v>
      </c>
      <c r="E224" s="29" t="s">
        <v>9178</v>
      </c>
      <c r="F224" s="29"/>
      <c r="G224" s="29" t="s">
        <v>9684</v>
      </c>
      <c r="H224" s="29"/>
      <c r="I224" s="29" t="s">
        <v>9180</v>
      </c>
      <c r="J224" s="29" t="s">
        <v>9222</v>
      </c>
      <c r="K224" s="29" t="s">
        <v>9218</v>
      </c>
      <c r="L224" s="29" t="s">
        <v>9223</v>
      </c>
    </row>
    <row r="225" spans="1:12">
      <c r="A225" s="28">
        <v>224</v>
      </c>
      <c r="B225" s="28" t="s">
        <v>1225</v>
      </c>
      <c r="C225" s="28" t="s">
        <v>9685</v>
      </c>
      <c r="D225" s="28" t="s">
        <v>9185</v>
      </c>
      <c r="E225" s="28" t="s">
        <v>9178</v>
      </c>
      <c r="F225" s="28"/>
      <c r="G225" s="28" t="s">
        <v>9686</v>
      </c>
      <c r="H225" s="28"/>
      <c r="I225" s="28" t="s">
        <v>9180</v>
      </c>
      <c r="J225" s="28" t="s">
        <v>9687</v>
      </c>
      <c r="K225" s="28" t="s">
        <v>9218</v>
      </c>
      <c r="L225" s="28" t="s">
        <v>9189</v>
      </c>
    </row>
    <row r="226" spans="1:12">
      <c r="A226" s="29">
        <v>225</v>
      </c>
      <c r="B226" s="29" t="s">
        <v>5967</v>
      </c>
      <c r="C226" s="29" t="s">
        <v>9688</v>
      </c>
      <c r="D226" s="29" t="s">
        <v>9185</v>
      </c>
      <c r="E226" s="29" t="s">
        <v>9208</v>
      </c>
      <c r="F226" s="29"/>
      <c r="G226" s="29" t="s">
        <v>9689</v>
      </c>
      <c r="H226" s="29"/>
      <c r="I226" s="29" t="s">
        <v>9180</v>
      </c>
      <c r="J226" s="29" t="s">
        <v>9611</v>
      </c>
      <c r="K226" s="29" t="s">
        <v>9218</v>
      </c>
      <c r="L226" s="29" t="s">
        <v>9522</v>
      </c>
    </row>
    <row r="227" spans="1:12">
      <c r="A227" s="27">
        <v>226</v>
      </c>
      <c r="B227" s="27" t="s">
        <v>1875</v>
      </c>
      <c r="C227" s="27" t="s">
        <v>9690</v>
      </c>
      <c r="D227" s="27" t="s">
        <v>9177</v>
      </c>
      <c r="E227" s="27" t="s">
        <v>9178</v>
      </c>
      <c r="F227" s="27"/>
      <c r="G227" s="27" t="s">
        <v>9691</v>
      </c>
      <c r="H227" s="27"/>
      <c r="I227" s="27" t="s">
        <v>9180</v>
      </c>
      <c r="J227" s="27" t="s">
        <v>9692</v>
      </c>
      <c r="K227" s="27" t="s">
        <v>9218</v>
      </c>
      <c r="L227" s="27" t="s">
        <v>9196</v>
      </c>
    </row>
    <row r="228" spans="1:12">
      <c r="A228" s="29">
        <v>227</v>
      </c>
      <c r="B228" s="29" t="s">
        <v>1320</v>
      </c>
      <c r="C228" s="29" t="s">
        <v>9693</v>
      </c>
      <c r="D228" s="29" t="s">
        <v>9185</v>
      </c>
      <c r="E228" s="29" t="s">
        <v>9178</v>
      </c>
      <c r="F228" s="29"/>
      <c r="G228" s="29" t="s">
        <v>9694</v>
      </c>
      <c r="H228" s="29"/>
      <c r="I228" s="29" t="s">
        <v>9180</v>
      </c>
      <c r="J228" s="29" t="s">
        <v>9695</v>
      </c>
      <c r="K228" s="29" t="s">
        <v>9218</v>
      </c>
      <c r="L228" s="29" t="s">
        <v>9189</v>
      </c>
    </row>
    <row r="229" spans="1:12">
      <c r="A229" s="28">
        <v>228</v>
      </c>
      <c r="B229" s="28" t="s">
        <v>2910</v>
      </c>
      <c r="C229" s="28" t="s">
        <v>9696</v>
      </c>
      <c r="D229" s="28" t="s">
        <v>9185</v>
      </c>
      <c r="E229" s="28" t="s">
        <v>9178</v>
      </c>
      <c r="F229" s="28"/>
      <c r="G229" s="28" t="s">
        <v>9697</v>
      </c>
      <c r="H229" s="28" t="s">
        <v>9697</v>
      </c>
      <c r="I229" s="28" t="s">
        <v>9180</v>
      </c>
      <c r="J229" s="28" t="s">
        <v>9698</v>
      </c>
      <c r="K229" s="28" t="s">
        <v>9218</v>
      </c>
      <c r="L229" s="28" t="s">
        <v>9189</v>
      </c>
    </row>
    <row r="230" spans="1:12">
      <c r="A230" s="29">
        <v>229</v>
      </c>
      <c r="B230" s="29" t="s">
        <v>2519</v>
      </c>
      <c r="C230" s="29" t="s">
        <v>9699</v>
      </c>
      <c r="D230" s="29" t="s">
        <v>9185</v>
      </c>
      <c r="E230" s="29" t="s">
        <v>9178</v>
      </c>
      <c r="F230" s="29"/>
      <c r="G230" s="29" t="s">
        <v>9700</v>
      </c>
      <c r="H230" s="29"/>
      <c r="I230" s="29" t="s">
        <v>9180</v>
      </c>
      <c r="J230" s="29" t="s">
        <v>9701</v>
      </c>
      <c r="K230" s="29" t="s">
        <v>9218</v>
      </c>
      <c r="L230" s="29" t="s">
        <v>9189</v>
      </c>
    </row>
    <row r="231" spans="1:12">
      <c r="A231" s="27">
        <v>230</v>
      </c>
      <c r="B231" s="27" t="s">
        <v>5003</v>
      </c>
      <c r="C231" s="27" t="s">
        <v>9702</v>
      </c>
      <c r="D231" s="27" t="s">
        <v>9177</v>
      </c>
      <c r="E231" s="27" t="s">
        <v>9178</v>
      </c>
      <c r="F231" s="27"/>
      <c r="G231" s="27" t="s">
        <v>9703</v>
      </c>
      <c r="H231" s="27"/>
      <c r="I231" s="27" t="s">
        <v>9180</v>
      </c>
      <c r="J231" s="27" t="s">
        <v>9431</v>
      </c>
      <c r="K231" s="27" t="s">
        <v>9218</v>
      </c>
      <c r="L231" s="27" t="s">
        <v>9196</v>
      </c>
    </row>
    <row r="232" spans="1:12">
      <c r="A232" s="29">
        <v>231</v>
      </c>
      <c r="B232" s="29" t="s">
        <v>5359</v>
      </c>
      <c r="C232" s="29" t="s">
        <v>5360</v>
      </c>
      <c r="D232" s="29" t="s">
        <v>9185</v>
      </c>
      <c r="E232" s="29" t="s">
        <v>9178</v>
      </c>
      <c r="F232" s="29"/>
      <c r="G232" s="29" t="s">
        <v>9704</v>
      </c>
      <c r="H232" s="29"/>
      <c r="I232" s="29" t="s">
        <v>9180</v>
      </c>
      <c r="J232" s="29" t="s">
        <v>9705</v>
      </c>
      <c r="K232" s="29" t="s">
        <v>9218</v>
      </c>
      <c r="L232" s="29" t="s">
        <v>9223</v>
      </c>
    </row>
    <row r="233" spans="1:12">
      <c r="A233" s="28">
        <v>232</v>
      </c>
      <c r="B233" s="28" t="s">
        <v>2337</v>
      </c>
      <c r="C233" s="28" t="s">
        <v>9706</v>
      </c>
      <c r="D233" s="28" t="s">
        <v>9185</v>
      </c>
      <c r="E233" s="28" t="s">
        <v>9178</v>
      </c>
      <c r="F233" s="28"/>
      <c r="G233" s="28" t="s">
        <v>9707</v>
      </c>
      <c r="H233" s="28"/>
      <c r="I233" s="28" t="s">
        <v>9180</v>
      </c>
      <c r="J233" s="28" t="s">
        <v>9708</v>
      </c>
      <c r="K233" s="28" t="s">
        <v>9218</v>
      </c>
      <c r="L233" s="28" t="s">
        <v>9189</v>
      </c>
    </row>
    <row r="234" spans="1:12">
      <c r="A234" s="29">
        <v>233</v>
      </c>
      <c r="B234" s="29" t="s">
        <v>5609</v>
      </c>
      <c r="C234" s="29" t="s">
        <v>9709</v>
      </c>
      <c r="D234" s="29" t="s">
        <v>9185</v>
      </c>
      <c r="E234" s="29" t="s">
        <v>9178</v>
      </c>
      <c r="F234" s="29"/>
      <c r="G234" s="29" t="s">
        <v>9710</v>
      </c>
      <c r="H234" s="29"/>
      <c r="I234" s="29" t="s">
        <v>9180</v>
      </c>
      <c r="J234" s="29" t="s">
        <v>9309</v>
      </c>
      <c r="K234" s="29" t="s">
        <v>9218</v>
      </c>
      <c r="L234" s="29" t="s">
        <v>9189</v>
      </c>
    </row>
    <row r="235" spans="1:12">
      <c r="A235" s="28">
        <v>234</v>
      </c>
      <c r="B235" s="28" t="s">
        <v>5597</v>
      </c>
      <c r="C235" s="28" t="s">
        <v>5598</v>
      </c>
      <c r="D235" s="28" t="s">
        <v>9185</v>
      </c>
      <c r="E235" s="28" t="s">
        <v>9178</v>
      </c>
      <c r="F235" s="28"/>
      <c r="G235" s="28" t="s">
        <v>9711</v>
      </c>
      <c r="H235" s="28"/>
      <c r="I235" s="28" t="s">
        <v>9180</v>
      </c>
      <c r="J235" s="28" t="s">
        <v>9239</v>
      </c>
      <c r="K235" s="28" t="s">
        <v>9218</v>
      </c>
      <c r="L235" s="28" t="s">
        <v>9223</v>
      </c>
    </row>
    <row r="236" spans="1:12">
      <c r="A236" s="29">
        <v>235</v>
      </c>
      <c r="B236" s="29" t="s">
        <v>5556</v>
      </c>
      <c r="C236" s="29" t="s">
        <v>9712</v>
      </c>
      <c r="D236" s="29" t="s">
        <v>9185</v>
      </c>
      <c r="E236" s="29" t="s">
        <v>9178</v>
      </c>
      <c r="F236" s="29"/>
      <c r="G236" s="29" t="s">
        <v>9713</v>
      </c>
      <c r="H236" s="29"/>
      <c r="I236" s="29" t="s">
        <v>9180</v>
      </c>
      <c r="J236" s="29" t="s">
        <v>9221</v>
      </c>
      <c r="K236" s="29" t="s">
        <v>9218</v>
      </c>
      <c r="L236" s="29" t="s">
        <v>9189</v>
      </c>
    </row>
    <row r="237" spans="1:12">
      <c r="A237" s="28">
        <v>236</v>
      </c>
      <c r="B237" s="28" t="s">
        <v>5326</v>
      </c>
      <c r="C237" s="28" t="s">
        <v>9714</v>
      </c>
      <c r="D237" s="28" t="s">
        <v>9185</v>
      </c>
      <c r="E237" s="28" t="s">
        <v>9178</v>
      </c>
      <c r="F237" s="28"/>
      <c r="G237" s="28" t="s">
        <v>9715</v>
      </c>
      <c r="H237" s="28"/>
      <c r="I237" s="28" t="s">
        <v>9180</v>
      </c>
      <c r="J237" s="28" t="s">
        <v>9716</v>
      </c>
      <c r="K237" s="28" t="s">
        <v>9218</v>
      </c>
      <c r="L237" s="28" t="s">
        <v>9189</v>
      </c>
    </row>
    <row r="238" spans="1:12">
      <c r="A238" s="29">
        <v>237</v>
      </c>
      <c r="B238" s="29" t="s">
        <v>5434</v>
      </c>
      <c r="C238" s="29" t="s">
        <v>9717</v>
      </c>
      <c r="D238" s="29" t="s">
        <v>9185</v>
      </c>
      <c r="E238" s="29" t="s">
        <v>9178</v>
      </c>
      <c r="F238" s="29"/>
      <c r="G238" s="29" t="s">
        <v>9718</v>
      </c>
      <c r="H238" s="29"/>
      <c r="I238" s="29" t="s">
        <v>9180</v>
      </c>
      <c r="J238" s="29" t="s">
        <v>9315</v>
      </c>
      <c r="K238" s="29" t="s">
        <v>9218</v>
      </c>
      <c r="L238" s="29" t="s">
        <v>9189</v>
      </c>
    </row>
    <row r="239" spans="1:12">
      <c r="A239" s="28">
        <v>238</v>
      </c>
      <c r="B239" s="28" t="s">
        <v>5330</v>
      </c>
      <c r="C239" s="28" t="s">
        <v>5331</v>
      </c>
      <c r="D239" s="28" t="s">
        <v>9185</v>
      </c>
      <c r="E239" s="28" t="s">
        <v>9208</v>
      </c>
      <c r="F239" s="28"/>
      <c r="G239" s="28" t="s">
        <v>9719</v>
      </c>
      <c r="H239" s="28"/>
      <c r="I239" s="28" t="s">
        <v>9180</v>
      </c>
      <c r="J239" s="28" t="s">
        <v>9221</v>
      </c>
      <c r="K239" s="28" t="s">
        <v>9218</v>
      </c>
      <c r="L239" s="28" t="s">
        <v>9212</v>
      </c>
    </row>
    <row r="240" spans="1:12">
      <c r="A240" s="29">
        <v>239</v>
      </c>
      <c r="B240" s="29" t="s">
        <v>5109</v>
      </c>
      <c r="C240" s="29" t="s">
        <v>5110</v>
      </c>
      <c r="D240" s="29" t="s">
        <v>9185</v>
      </c>
      <c r="E240" s="29" t="s">
        <v>9178</v>
      </c>
      <c r="F240" s="29"/>
      <c r="G240" s="29" t="s">
        <v>9720</v>
      </c>
      <c r="H240" s="29"/>
      <c r="I240" s="29" t="s">
        <v>9180</v>
      </c>
      <c r="J240" s="29" t="s">
        <v>9195</v>
      </c>
      <c r="K240" s="29" t="s">
        <v>9218</v>
      </c>
      <c r="L240" s="29" t="s">
        <v>9223</v>
      </c>
    </row>
    <row r="241" spans="1:12">
      <c r="A241" s="28">
        <v>240</v>
      </c>
      <c r="B241" s="28" t="s">
        <v>4328</v>
      </c>
      <c r="C241" s="28" t="s">
        <v>9693</v>
      </c>
      <c r="D241" s="28" t="s">
        <v>9185</v>
      </c>
      <c r="E241" s="28" t="s">
        <v>9178</v>
      </c>
      <c r="F241" s="28"/>
      <c r="G241" s="28" t="s">
        <v>9721</v>
      </c>
      <c r="H241" s="28"/>
      <c r="I241" s="28" t="s">
        <v>9180</v>
      </c>
      <c r="J241" s="28" t="s">
        <v>9187</v>
      </c>
      <c r="K241" s="28" t="s">
        <v>9218</v>
      </c>
      <c r="L241" s="28" t="s">
        <v>9189</v>
      </c>
    </row>
    <row r="242" spans="1:12">
      <c r="A242" s="29">
        <v>241</v>
      </c>
      <c r="B242" s="29" t="s">
        <v>5809</v>
      </c>
      <c r="C242" s="29" t="s">
        <v>5810</v>
      </c>
      <c r="D242" s="29" t="s">
        <v>9185</v>
      </c>
      <c r="E242" s="29" t="s">
        <v>9178</v>
      </c>
      <c r="F242" s="29"/>
      <c r="G242" s="29" t="s">
        <v>9722</v>
      </c>
      <c r="H242" s="29" t="s">
        <v>9722</v>
      </c>
      <c r="I242" s="29" t="s">
        <v>9180</v>
      </c>
      <c r="J242" s="29" t="s">
        <v>9268</v>
      </c>
      <c r="K242" s="29" t="s">
        <v>9218</v>
      </c>
      <c r="L242" s="29" t="s">
        <v>9223</v>
      </c>
    </row>
    <row r="243" spans="1:12">
      <c r="A243" s="27">
        <v>242</v>
      </c>
      <c r="B243" s="27" t="s">
        <v>5792</v>
      </c>
      <c r="C243" s="27" t="s">
        <v>9723</v>
      </c>
      <c r="D243" s="27" t="s">
        <v>9177</v>
      </c>
      <c r="E243" s="27" t="s">
        <v>9178</v>
      </c>
      <c r="F243" s="27"/>
      <c r="G243" s="27" t="s">
        <v>9724</v>
      </c>
      <c r="H243" s="27" t="s">
        <v>9724</v>
      </c>
      <c r="I243" s="27" t="s">
        <v>9180</v>
      </c>
      <c r="J243" s="27" t="s">
        <v>9343</v>
      </c>
      <c r="K243" s="27" t="s">
        <v>9218</v>
      </c>
      <c r="L243" s="27" t="s">
        <v>9196</v>
      </c>
    </row>
    <row r="244" spans="1:12">
      <c r="A244" s="27">
        <v>243</v>
      </c>
      <c r="B244" s="27" t="s">
        <v>2545</v>
      </c>
      <c r="C244" s="27" t="s">
        <v>9725</v>
      </c>
      <c r="D244" s="27" t="s">
        <v>9177</v>
      </c>
      <c r="E244" s="27" t="s">
        <v>9178</v>
      </c>
      <c r="F244" s="27"/>
      <c r="G244" s="27" t="s">
        <v>9726</v>
      </c>
      <c r="H244" s="27" t="s">
        <v>9726</v>
      </c>
      <c r="I244" s="27" t="s">
        <v>9180</v>
      </c>
      <c r="J244" s="27" t="s">
        <v>9370</v>
      </c>
      <c r="K244" s="27" t="s">
        <v>9218</v>
      </c>
      <c r="L244" s="27" t="s">
        <v>9196</v>
      </c>
    </row>
    <row r="245" spans="1:12">
      <c r="A245" s="27">
        <v>244</v>
      </c>
      <c r="B245" s="27" t="s">
        <v>2843</v>
      </c>
      <c r="C245" s="27" t="s">
        <v>2844</v>
      </c>
      <c r="D245" s="27" t="s">
        <v>9177</v>
      </c>
      <c r="E245" s="27" t="s">
        <v>9178</v>
      </c>
      <c r="F245" s="27"/>
      <c r="G245" s="27" t="s">
        <v>9727</v>
      </c>
      <c r="H245" s="27" t="s">
        <v>9727</v>
      </c>
      <c r="I245" s="27" t="s">
        <v>9180</v>
      </c>
      <c r="J245" s="27" t="s">
        <v>9370</v>
      </c>
      <c r="K245" s="27" t="s">
        <v>9218</v>
      </c>
      <c r="L245" s="27" t="s">
        <v>9196</v>
      </c>
    </row>
    <row r="246" spans="1:12">
      <c r="A246" s="27">
        <v>245</v>
      </c>
      <c r="B246" s="27" t="s">
        <v>5799</v>
      </c>
      <c r="C246" s="27" t="s">
        <v>9728</v>
      </c>
      <c r="D246" s="27" t="s">
        <v>9177</v>
      </c>
      <c r="E246" s="27" t="s">
        <v>9178</v>
      </c>
      <c r="F246" s="27"/>
      <c r="G246" s="27" t="s">
        <v>9729</v>
      </c>
      <c r="H246" s="27" t="s">
        <v>9729</v>
      </c>
      <c r="I246" s="27" t="s">
        <v>9180</v>
      </c>
      <c r="J246" s="27" t="s">
        <v>9343</v>
      </c>
      <c r="K246" s="27" t="s">
        <v>9218</v>
      </c>
      <c r="L246" s="27" t="s">
        <v>9196</v>
      </c>
    </row>
    <row r="247" spans="1:12">
      <c r="A247" s="27">
        <v>246</v>
      </c>
      <c r="B247" s="27" t="s">
        <v>5803</v>
      </c>
      <c r="C247" s="27" t="s">
        <v>9730</v>
      </c>
      <c r="D247" s="27" t="s">
        <v>9177</v>
      </c>
      <c r="E247" s="27" t="s">
        <v>9178</v>
      </c>
      <c r="F247" s="27"/>
      <c r="G247" s="27" t="s">
        <v>9731</v>
      </c>
      <c r="H247" s="27" t="s">
        <v>9731</v>
      </c>
      <c r="I247" s="27" t="s">
        <v>9180</v>
      </c>
      <c r="J247" s="27" t="s">
        <v>9315</v>
      </c>
      <c r="K247" s="27" t="s">
        <v>9218</v>
      </c>
      <c r="L247" s="27" t="s">
        <v>9196</v>
      </c>
    </row>
    <row r="248" spans="1:12">
      <c r="A248" s="27">
        <v>247</v>
      </c>
      <c r="B248" s="27" t="s">
        <v>5580</v>
      </c>
      <c r="C248" s="27" t="s">
        <v>9732</v>
      </c>
      <c r="D248" s="27" t="s">
        <v>9177</v>
      </c>
      <c r="E248" s="27" t="s">
        <v>9178</v>
      </c>
      <c r="F248" s="27"/>
      <c r="G248" s="27" t="s">
        <v>9733</v>
      </c>
      <c r="H248" s="27" t="s">
        <v>9733</v>
      </c>
      <c r="I248" s="27" t="s">
        <v>9180</v>
      </c>
      <c r="J248" s="27" t="s">
        <v>9322</v>
      </c>
      <c r="K248" s="27" t="s">
        <v>9218</v>
      </c>
      <c r="L248" s="27" t="s">
        <v>9196</v>
      </c>
    </row>
    <row r="249" spans="1:12">
      <c r="A249" s="28">
        <v>248</v>
      </c>
      <c r="B249" s="28" t="s">
        <v>5813</v>
      </c>
      <c r="C249" s="28" t="s">
        <v>9734</v>
      </c>
      <c r="D249" s="28" t="s">
        <v>9185</v>
      </c>
      <c r="E249" s="28" t="s">
        <v>9178</v>
      </c>
      <c r="F249" s="28"/>
      <c r="G249" s="28" t="s">
        <v>9735</v>
      </c>
      <c r="H249" s="28" t="s">
        <v>9735</v>
      </c>
      <c r="I249" s="28" t="s">
        <v>9180</v>
      </c>
      <c r="J249" s="28" t="s">
        <v>9356</v>
      </c>
      <c r="K249" s="28" t="s">
        <v>9218</v>
      </c>
      <c r="L249" s="28" t="s">
        <v>9189</v>
      </c>
    </row>
    <row r="250" spans="1:12">
      <c r="A250" s="27">
        <v>249</v>
      </c>
      <c r="B250" s="27" t="s">
        <v>5572</v>
      </c>
      <c r="C250" s="27" t="s">
        <v>5573</v>
      </c>
      <c r="D250" s="27" t="s">
        <v>9177</v>
      </c>
      <c r="E250" s="27" t="s">
        <v>9178</v>
      </c>
      <c r="F250" s="27"/>
      <c r="G250" s="27" t="s">
        <v>9736</v>
      </c>
      <c r="H250" s="27" t="s">
        <v>9736</v>
      </c>
      <c r="I250" s="27" t="s">
        <v>9180</v>
      </c>
      <c r="J250" s="27" t="s">
        <v>9322</v>
      </c>
      <c r="K250" s="27" t="s">
        <v>9218</v>
      </c>
      <c r="L250" s="27" t="s">
        <v>9196</v>
      </c>
    </row>
    <row r="251" spans="1:12">
      <c r="A251" s="27">
        <v>250</v>
      </c>
      <c r="B251" s="27" t="s">
        <v>5709</v>
      </c>
      <c r="C251" s="27" t="s">
        <v>9737</v>
      </c>
      <c r="D251" s="27" t="s">
        <v>9177</v>
      </c>
      <c r="E251" s="27" t="s">
        <v>9178</v>
      </c>
      <c r="F251" s="27"/>
      <c r="G251" s="27" t="s">
        <v>9738</v>
      </c>
      <c r="H251" s="27" t="s">
        <v>9738</v>
      </c>
      <c r="I251" s="27" t="s">
        <v>9180</v>
      </c>
      <c r="J251" s="27" t="s">
        <v>9322</v>
      </c>
      <c r="K251" s="27" t="s">
        <v>9218</v>
      </c>
      <c r="L251" s="27" t="s">
        <v>9196</v>
      </c>
    </row>
    <row r="252" spans="1:12">
      <c r="A252" s="29">
        <v>251</v>
      </c>
      <c r="B252" s="29" t="s">
        <v>5860</v>
      </c>
      <c r="C252" s="29" t="s">
        <v>9739</v>
      </c>
      <c r="D252" s="29" t="s">
        <v>9185</v>
      </c>
      <c r="E252" s="29" t="s">
        <v>9178</v>
      </c>
      <c r="F252" s="29"/>
      <c r="G252" s="29" t="s">
        <v>9740</v>
      </c>
      <c r="H252" s="29" t="s">
        <v>9740</v>
      </c>
      <c r="I252" s="29" t="s">
        <v>9180</v>
      </c>
      <c r="J252" s="29" t="s">
        <v>9343</v>
      </c>
      <c r="K252" s="29" t="s">
        <v>9218</v>
      </c>
      <c r="L252" s="29" t="s">
        <v>9189</v>
      </c>
    </row>
    <row r="253" spans="1:12">
      <c r="A253" s="28">
        <v>252</v>
      </c>
      <c r="B253" s="28" t="s">
        <v>5877</v>
      </c>
      <c r="C253" s="28" t="s">
        <v>9741</v>
      </c>
      <c r="D253" s="28" t="s">
        <v>9185</v>
      </c>
      <c r="E253" s="28" t="s">
        <v>9178</v>
      </c>
      <c r="F253" s="28"/>
      <c r="G253" s="28" t="s">
        <v>9742</v>
      </c>
      <c r="H253" s="28"/>
      <c r="I253" s="28" t="s">
        <v>9180</v>
      </c>
      <c r="J253" s="28" t="s">
        <v>9268</v>
      </c>
      <c r="K253" s="28" t="s">
        <v>9218</v>
      </c>
      <c r="L253" s="28" t="s">
        <v>9189</v>
      </c>
    </row>
    <row r="254" spans="1:12">
      <c r="A254" s="29">
        <v>253</v>
      </c>
      <c r="B254" s="29" t="s">
        <v>5990</v>
      </c>
      <c r="C254" s="29" t="s">
        <v>9743</v>
      </c>
      <c r="D254" s="29" t="s">
        <v>9185</v>
      </c>
      <c r="E254" s="29" t="s">
        <v>9178</v>
      </c>
      <c r="F254" s="29"/>
      <c r="G254" s="29" t="s">
        <v>9744</v>
      </c>
      <c r="H254" s="29"/>
      <c r="I254" s="29" t="s">
        <v>9180</v>
      </c>
      <c r="J254" s="29" t="s">
        <v>9268</v>
      </c>
      <c r="K254" s="29" t="s">
        <v>9218</v>
      </c>
      <c r="L254" s="29" t="s">
        <v>9189</v>
      </c>
    </row>
    <row r="255" spans="1:12">
      <c r="A255" s="28">
        <v>254</v>
      </c>
      <c r="B255" s="28" t="s">
        <v>6015</v>
      </c>
      <c r="C255" s="28" t="s">
        <v>9745</v>
      </c>
      <c r="D255" s="28" t="s">
        <v>9185</v>
      </c>
      <c r="E255" s="28" t="s">
        <v>9178</v>
      </c>
      <c r="F255" s="28"/>
      <c r="G255" s="28" t="s">
        <v>9746</v>
      </c>
      <c r="H255" s="28"/>
      <c r="I255" s="28" t="s">
        <v>9180</v>
      </c>
      <c r="J255" s="28" t="s">
        <v>9322</v>
      </c>
      <c r="K255" s="28" t="s">
        <v>9218</v>
      </c>
      <c r="L255" s="28" t="s">
        <v>9189</v>
      </c>
    </row>
    <row r="256" spans="1:12">
      <c r="A256" s="29">
        <v>255</v>
      </c>
      <c r="B256" s="29" t="s">
        <v>5885</v>
      </c>
      <c r="C256" s="29" t="s">
        <v>9747</v>
      </c>
      <c r="D256" s="29" t="s">
        <v>9185</v>
      </c>
      <c r="E256" s="29" t="s">
        <v>9208</v>
      </c>
      <c r="F256" s="29"/>
      <c r="G256" s="29" t="s">
        <v>9748</v>
      </c>
      <c r="H256" s="29"/>
      <c r="I256" s="29" t="s">
        <v>9180</v>
      </c>
      <c r="J256" s="29" t="s">
        <v>9356</v>
      </c>
      <c r="K256" s="29" t="s">
        <v>9218</v>
      </c>
      <c r="L256" s="29" t="s">
        <v>9522</v>
      </c>
    </row>
    <row r="257" spans="1:12">
      <c r="A257" s="28">
        <v>256</v>
      </c>
      <c r="B257" s="28" t="s">
        <v>9016</v>
      </c>
      <c r="C257" s="28" t="s">
        <v>9749</v>
      </c>
      <c r="D257" s="28" t="s">
        <v>9185</v>
      </c>
      <c r="E257" s="28" t="s">
        <v>9178</v>
      </c>
      <c r="F257" s="28"/>
      <c r="G257" s="28" t="s">
        <v>9750</v>
      </c>
      <c r="H257" s="28"/>
      <c r="I257" s="28" t="s">
        <v>9180</v>
      </c>
      <c r="J257" s="28" t="s">
        <v>9192</v>
      </c>
      <c r="K257" s="28" t="s">
        <v>9218</v>
      </c>
      <c r="L257" s="28" t="s">
        <v>9189</v>
      </c>
    </row>
    <row r="258" spans="1:12">
      <c r="A258" s="29">
        <v>257</v>
      </c>
      <c r="B258" s="29" t="s">
        <v>5097</v>
      </c>
      <c r="C258" s="29" t="s">
        <v>9751</v>
      </c>
      <c r="D258" s="29" t="s">
        <v>9185</v>
      </c>
      <c r="E258" s="29" t="s">
        <v>9178</v>
      </c>
      <c r="F258" s="29"/>
      <c r="G258" s="29" t="s">
        <v>9752</v>
      </c>
      <c r="H258" s="29"/>
      <c r="I258" s="29" t="s">
        <v>9180</v>
      </c>
      <c r="J258" s="29" t="s">
        <v>9202</v>
      </c>
      <c r="K258" s="29" t="s">
        <v>9218</v>
      </c>
      <c r="L258" s="29" t="s">
        <v>9189</v>
      </c>
    </row>
    <row r="259" spans="1:12">
      <c r="A259" s="27">
        <v>258</v>
      </c>
      <c r="B259" s="27" t="s">
        <v>4926</v>
      </c>
      <c r="C259" s="27" t="s">
        <v>4927</v>
      </c>
      <c r="D259" s="27" t="s">
        <v>9177</v>
      </c>
      <c r="E259" s="27" t="s">
        <v>9178</v>
      </c>
      <c r="F259" s="27"/>
      <c r="G259" s="27" t="s">
        <v>9753</v>
      </c>
      <c r="H259" s="27" t="s">
        <v>9753</v>
      </c>
      <c r="I259" s="27" t="s">
        <v>9180</v>
      </c>
      <c r="J259" s="27" t="s">
        <v>9754</v>
      </c>
      <c r="K259" s="27" t="s">
        <v>9218</v>
      </c>
      <c r="L259" s="27" t="s">
        <v>9183</v>
      </c>
    </row>
    <row r="260" spans="1:12">
      <c r="A260" s="27">
        <v>259</v>
      </c>
      <c r="B260" s="27" t="s">
        <v>4922</v>
      </c>
      <c r="C260" s="27" t="s">
        <v>9755</v>
      </c>
      <c r="D260" s="27" t="s">
        <v>9177</v>
      </c>
      <c r="E260" s="27" t="s">
        <v>9178</v>
      </c>
      <c r="F260" s="27"/>
      <c r="G260" s="27" t="s">
        <v>9756</v>
      </c>
      <c r="H260" s="27" t="s">
        <v>9756</v>
      </c>
      <c r="I260" s="27" t="s">
        <v>9180</v>
      </c>
      <c r="J260" s="27" t="s">
        <v>9757</v>
      </c>
      <c r="K260" s="27" t="s">
        <v>9218</v>
      </c>
      <c r="L260" s="27" t="s">
        <v>9196</v>
      </c>
    </row>
    <row r="261" spans="1:12">
      <c r="A261" s="27">
        <v>260</v>
      </c>
      <c r="B261" s="27" t="s">
        <v>4918</v>
      </c>
      <c r="C261" s="27" t="s">
        <v>9758</v>
      </c>
      <c r="D261" s="27" t="s">
        <v>9177</v>
      </c>
      <c r="E261" s="27" t="s">
        <v>9178</v>
      </c>
      <c r="F261" s="27"/>
      <c r="G261" s="27" t="s">
        <v>9759</v>
      </c>
      <c r="H261" s="27" t="s">
        <v>9759</v>
      </c>
      <c r="I261" s="27" t="s">
        <v>9180</v>
      </c>
      <c r="J261" s="27" t="s">
        <v>9760</v>
      </c>
      <c r="K261" s="27" t="s">
        <v>9218</v>
      </c>
      <c r="L261" s="27" t="s">
        <v>9196</v>
      </c>
    </row>
    <row r="262" spans="1:12">
      <c r="A262" s="27">
        <v>261</v>
      </c>
      <c r="B262" s="27" t="s">
        <v>2343</v>
      </c>
      <c r="C262" s="27" t="s">
        <v>9761</v>
      </c>
      <c r="D262" s="27" t="s">
        <v>9177</v>
      </c>
      <c r="E262" s="27" t="s">
        <v>9178</v>
      </c>
      <c r="F262" s="27"/>
      <c r="G262" s="27" t="s">
        <v>9762</v>
      </c>
      <c r="H262" s="27" t="s">
        <v>9762</v>
      </c>
      <c r="I262" s="27" t="s">
        <v>9180</v>
      </c>
      <c r="J262" s="27" t="s">
        <v>9763</v>
      </c>
      <c r="K262" s="27" t="s">
        <v>9218</v>
      </c>
      <c r="L262" s="27" t="s">
        <v>9196</v>
      </c>
    </row>
    <row r="263" spans="1:12">
      <c r="A263" s="28">
        <v>262</v>
      </c>
      <c r="B263" s="28" t="s">
        <v>4911</v>
      </c>
      <c r="C263" s="28" t="s">
        <v>9764</v>
      </c>
      <c r="D263" s="28" t="s">
        <v>9185</v>
      </c>
      <c r="E263" s="28" t="s">
        <v>9178</v>
      </c>
      <c r="F263" s="28"/>
      <c r="G263" s="28" t="s">
        <v>9765</v>
      </c>
      <c r="H263" s="28" t="s">
        <v>9765</v>
      </c>
      <c r="I263" s="28" t="s">
        <v>9180</v>
      </c>
      <c r="J263" s="28" t="s">
        <v>9766</v>
      </c>
      <c r="K263" s="28" t="s">
        <v>9218</v>
      </c>
      <c r="L263" s="28" t="s">
        <v>9189</v>
      </c>
    </row>
    <row r="264" spans="1:12">
      <c r="A264" s="29">
        <v>263</v>
      </c>
      <c r="B264" s="29" t="s">
        <v>1547</v>
      </c>
      <c r="C264" s="29" t="s">
        <v>9767</v>
      </c>
      <c r="D264" s="29" t="s">
        <v>9185</v>
      </c>
      <c r="E264" s="29" t="s">
        <v>9178</v>
      </c>
      <c r="F264" s="29"/>
      <c r="G264" s="29" t="s">
        <v>9768</v>
      </c>
      <c r="H264" s="29" t="s">
        <v>9768</v>
      </c>
      <c r="I264" s="29" t="s">
        <v>9180</v>
      </c>
      <c r="J264" s="29" t="s">
        <v>9769</v>
      </c>
      <c r="K264" s="29" t="s">
        <v>9218</v>
      </c>
      <c r="L264" s="29" t="s">
        <v>9189</v>
      </c>
    </row>
    <row r="265" spans="1:12">
      <c r="A265" s="28">
        <v>264</v>
      </c>
      <c r="B265" s="28" t="s">
        <v>1458</v>
      </c>
      <c r="C265" s="28" t="s">
        <v>1459</v>
      </c>
      <c r="D265" s="28" t="s">
        <v>9185</v>
      </c>
      <c r="E265" s="28" t="s">
        <v>9208</v>
      </c>
      <c r="F265" s="28"/>
      <c r="G265" s="28" t="s">
        <v>9770</v>
      </c>
      <c r="H265" s="28"/>
      <c r="I265" s="28" t="s">
        <v>9180</v>
      </c>
      <c r="J265" s="28" t="s">
        <v>9771</v>
      </c>
      <c r="K265" s="28" t="s">
        <v>9218</v>
      </c>
      <c r="L265" s="28" t="s">
        <v>9212</v>
      </c>
    </row>
    <row r="266" spans="1:12">
      <c r="A266" s="30">
        <v>265</v>
      </c>
      <c r="B266" s="30" t="s">
        <v>4675</v>
      </c>
      <c r="C266" s="30" t="s">
        <v>9772</v>
      </c>
      <c r="D266" s="30" t="s">
        <v>9177</v>
      </c>
      <c r="E266" s="30" t="s">
        <v>9208</v>
      </c>
      <c r="F266" s="30"/>
      <c r="G266" s="30" t="s">
        <v>9773</v>
      </c>
      <c r="H266" s="30" t="s">
        <v>9773</v>
      </c>
      <c r="I266" s="30" t="s">
        <v>9180</v>
      </c>
      <c r="J266" s="30" t="s">
        <v>9774</v>
      </c>
      <c r="K266" s="30" t="s">
        <v>9218</v>
      </c>
      <c r="L266" s="30" t="s">
        <v>9350</v>
      </c>
    </row>
    <row r="267" spans="1:12">
      <c r="A267" s="27">
        <v>266</v>
      </c>
      <c r="B267" s="27" t="s">
        <v>4886</v>
      </c>
      <c r="C267" s="27" t="s">
        <v>9775</v>
      </c>
      <c r="D267" s="27" t="s">
        <v>9177</v>
      </c>
      <c r="E267" s="27" t="s">
        <v>9178</v>
      </c>
      <c r="F267" s="27"/>
      <c r="G267" s="27" t="s">
        <v>9776</v>
      </c>
      <c r="H267" s="27" t="s">
        <v>9776</v>
      </c>
      <c r="I267" s="27" t="s">
        <v>9180</v>
      </c>
      <c r="J267" s="27" t="s">
        <v>9777</v>
      </c>
      <c r="K267" s="27" t="s">
        <v>9218</v>
      </c>
      <c r="L267" s="27" t="s">
        <v>9196</v>
      </c>
    </row>
    <row r="268" spans="1:12">
      <c r="A268" s="27">
        <v>267</v>
      </c>
      <c r="B268" s="27" t="s">
        <v>5043</v>
      </c>
      <c r="C268" s="27"/>
      <c r="D268" s="27" t="s">
        <v>9177</v>
      </c>
      <c r="E268" s="27" t="s">
        <v>9178</v>
      </c>
      <c r="F268" s="27"/>
      <c r="G268" s="27" t="s">
        <v>9778</v>
      </c>
      <c r="H268" s="27" t="s">
        <v>9778</v>
      </c>
      <c r="I268" s="27" t="s">
        <v>9180</v>
      </c>
      <c r="J268" s="27" t="s">
        <v>9779</v>
      </c>
      <c r="K268" s="27" t="s">
        <v>9218</v>
      </c>
      <c r="L268" s="27" t="s">
        <v>9183</v>
      </c>
    </row>
    <row r="269" spans="1:12">
      <c r="A269" s="28">
        <v>268</v>
      </c>
      <c r="B269" s="28" t="s">
        <v>4626</v>
      </c>
      <c r="C269" s="28" t="s">
        <v>4627</v>
      </c>
      <c r="D269" s="28" t="s">
        <v>9185</v>
      </c>
      <c r="E269" s="28" t="s">
        <v>9178</v>
      </c>
      <c r="F269" s="28"/>
      <c r="G269" s="28" t="s">
        <v>9780</v>
      </c>
      <c r="H269" s="28"/>
      <c r="I269" s="28" t="s">
        <v>9180</v>
      </c>
      <c r="J269" s="28" t="s">
        <v>9306</v>
      </c>
      <c r="K269" s="28" t="s">
        <v>9218</v>
      </c>
      <c r="L269" s="28" t="s">
        <v>9223</v>
      </c>
    </row>
    <row r="270" spans="1:12">
      <c r="A270" s="27">
        <v>269</v>
      </c>
      <c r="B270" s="27" t="s">
        <v>1442</v>
      </c>
      <c r="C270" s="27" t="s">
        <v>9781</v>
      </c>
      <c r="D270" s="27" t="s">
        <v>9177</v>
      </c>
      <c r="E270" s="27" t="s">
        <v>9178</v>
      </c>
      <c r="F270" s="27"/>
      <c r="G270" s="27" t="s">
        <v>9782</v>
      </c>
      <c r="H270" s="27" t="s">
        <v>9783</v>
      </c>
      <c r="I270" s="27" t="s">
        <v>9180</v>
      </c>
      <c r="J270" s="27" t="s">
        <v>9784</v>
      </c>
      <c r="K270" s="27" t="s">
        <v>9218</v>
      </c>
      <c r="L270" s="27" t="s">
        <v>9196</v>
      </c>
    </row>
    <row r="271" spans="1:12">
      <c r="A271" s="27">
        <v>270</v>
      </c>
      <c r="B271" s="27" t="s">
        <v>4934</v>
      </c>
      <c r="C271" s="27" t="s">
        <v>4935</v>
      </c>
      <c r="D271" s="27" t="s">
        <v>9177</v>
      </c>
      <c r="E271" s="27" t="s">
        <v>9178</v>
      </c>
      <c r="F271" s="27"/>
      <c r="G271" s="27" t="s">
        <v>9785</v>
      </c>
      <c r="H271" s="27" t="s">
        <v>9785</v>
      </c>
      <c r="I271" s="27" t="s">
        <v>9180</v>
      </c>
      <c r="J271" s="27" t="s">
        <v>9754</v>
      </c>
      <c r="K271" s="27" t="s">
        <v>9218</v>
      </c>
      <c r="L271" s="27" t="s">
        <v>9183</v>
      </c>
    </row>
    <row r="272" spans="1:12">
      <c r="A272" s="29">
        <v>271</v>
      </c>
      <c r="B272" s="29" t="s">
        <v>4765</v>
      </c>
      <c r="C272" s="29" t="s">
        <v>9786</v>
      </c>
      <c r="D272" s="29" t="s">
        <v>9185</v>
      </c>
      <c r="E272" s="29" t="s">
        <v>9178</v>
      </c>
      <c r="F272" s="29"/>
      <c r="G272" s="29" t="s">
        <v>9787</v>
      </c>
      <c r="H272" s="29"/>
      <c r="I272" s="29" t="s">
        <v>9180</v>
      </c>
      <c r="J272" s="29" t="s">
        <v>9788</v>
      </c>
      <c r="K272" s="29" t="s">
        <v>9218</v>
      </c>
      <c r="L272" s="29" t="s">
        <v>9189</v>
      </c>
    </row>
    <row r="273" spans="1:12">
      <c r="A273" s="28">
        <v>272</v>
      </c>
      <c r="B273" s="28" t="s">
        <v>1470</v>
      </c>
      <c r="C273" s="28"/>
      <c r="D273" s="28" t="s">
        <v>9185</v>
      </c>
      <c r="E273" s="28" t="s">
        <v>9178</v>
      </c>
      <c r="F273" s="28"/>
      <c r="G273" s="28" t="s">
        <v>9789</v>
      </c>
      <c r="H273" s="28"/>
      <c r="I273" s="28" t="s">
        <v>9180</v>
      </c>
      <c r="J273" s="28" t="s">
        <v>9222</v>
      </c>
      <c r="K273" s="28" t="s">
        <v>9218</v>
      </c>
      <c r="L273" s="28" t="s">
        <v>9223</v>
      </c>
    </row>
    <row r="274" spans="1:12">
      <c r="A274" s="29">
        <v>273</v>
      </c>
      <c r="B274" s="29" t="s">
        <v>4745</v>
      </c>
      <c r="C274" s="29" t="s">
        <v>9790</v>
      </c>
      <c r="D274" s="29" t="s">
        <v>9185</v>
      </c>
      <c r="E274" s="29" t="s">
        <v>9178</v>
      </c>
      <c r="F274" s="29"/>
      <c r="G274" s="29" t="s">
        <v>9791</v>
      </c>
      <c r="H274" s="29"/>
      <c r="I274" s="29" t="s">
        <v>9180</v>
      </c>
      <c r="J274" s="29" t="s">
        <v>9777</v>
      </c>
      <c r="K274" s="29" t="s">
        <v>9218</v>
      </c>
      <c r="L274" s="29" t="s">
        <v>9189</v>
      </c>
    </row>
    <row r="275" spans="1:12">
      <c r="A275" s="28">
        <v>274</v>
      </c>
      <c r="B275" s="28" t="s">
        <v>4332</v>
      </c>
      <c r="C275" s="28" t="s">
        <v>4333</v>
      </c>
      <c r="D275" s="28" t="s">
        <v>9185</v>
      </c>
      <c r="E275" s="28" t="s">
        <v>9208</v>
      </c>
      <c r="F275" s="28"/>
      <c r="G275" s="28" t="s">
        <v>9792</v>
      </c>
      <c r="H275" s="28"/>
      <c r="I275" s="28" t="s">
        <v>9180</v>
      </c>
      <c r="J275" s="28" t="s">
        <v>9466</v>
      </c>
      <c r="K275" s="28" t="s">
        <v>9218</v>
      </c>
      <c r="L275" s="28" t="s">
        <v>9212</v>
      </c>
    </row>
    <row r="276" spans="1:12">
      <c r="A276" s="27">
        <v>275</v>
      </c>
      <c r="B276" s="27" t="s">
        <v>4148</v>
      </c>
      <c r="C276" s="27" t="s">
        <v>9793</v>
      </c>
      <c r="D276" s="27" t="s">
        <v>9177</v>
      </c>
      <c r="E276" s="27" t="s">
        <v>9178</v>
      </c>
      <c r="F276" s="27"/>
      <c r="G276" s="27" t="s">
        <v>9794</v>
      </c>
      <c r="H276" s="27"/>
      <c r="I276" s="27" t="s">
        <v>9180</v>
      </c>
      <c r="J276" s="27" t="s">
        <v>9795</v>
      </c>
      <c r="K276" s="27" t="s">
        <v>9218</v>
      </c>
      <c r="L276" s="27" t="s">
        <v>9196</v>
      </c>
    </row>
    <row r="277" spans="1:12">
      <c r="A277" s="27">
        <v>276</v>
      </c>
      <c r="B277" s="27" t="s">
        <v>4152</v>
      </c>
      <c r="C277" s="27" t="s">
        <v>9796</v>
      </c>
      <c r="D277" s="27" t="s">
        <v>9177</v>
      </c>
      <c r="E277" s="27" t="s">
        <v>9178</v>
      </c>
      <c r="F277" s="27"/>
      <c r="G277" s="27" t="s">
        <v>9797</v>
      </c>
      <c r="H277" s="27"/>
      <c r="I277" s="27" t="s">
        <v>9180</v>
      </c>
      <c r="J277" s="27" t="s">
        <v>9795</v>
      </c>
      <c r="K277" s="27" t="s">
        <v>9218</v>
      </c>
      <c r="L277" s="27" t="s">
        <v>9196</v>
      </c>
    </row>
    <row r="278" spans="1:12">
      <c r="A278" s="29">
        <v>277</v>
      </c>
      <c r="B278" s="29" t="s">
        <v>4523</v>
      </c>
      <c r="C278" s="29" t="s">
        <v>9798</v>
      </c>
      <c r="D278" s="29" t="s">
        <v>9185</v>
      </c>
      <c r="E278" s="29" t="s">
        <v>9178</v>
      </c>
      <c r="F278" s="29"/>
      <c r="G278" s="29" t="s">
        <v>9799</v>
      </c>
      <c r="H278" s="29"/>
      <c r="I278" s="29" t="s">
        <v>9180</v>
      </c>
      <c r="J278" s="29" t="s">
        <v>9800</v>
      </c>
      <c r="K278" s="29" t="s">
        <v>9218</v>
      </c>
      <c r="L278" s="29" t="s">
        <v>9189</v>
      </c>
    </row>
    <row r="279" spans="1:12">
      <c r="A279" s="28">
        <v>278</v>
      </c>
      <c r="B279" s="28" t="s">
        <v>1175</v>
      </c>
      <c r="C279" s="28" t="s">
        <v>1176</v>
      </c>
      <c r="D279" s="28" t="s">
        <v>9185</v>
      </c>
      <c r="E279" s="28" t="s">
        <v>9178</v>
      </c>
      <c r="F279" s="28"/>
      <c r="G279" s="28" t="s">
        <v>9801</v>
      </c>
      <c r="H279" s="28"/>
      <c r="I279" s="28" t="s">
        <v>9180</v>
      </c>
      <c r="J279" s="28" t="s">
        <v>9802</v>
      </c>
      <c r="K279" s="28" t="s">
        <v>9218</v>
      </c>
      <c r="L279" s="28" t="s">
        <v>9223</v>
      </c>
    </row>
    <row r="280" spans="1:12">
      <c r="A280" s="29">
        <v>279</v>
      </c>
      <c r="B280" s="29" t="s">
        <v>4484</v>
      </c>
      <c r="C280" s="29" t="s">
        <v>9803</v>
      </c>
      <c r="D280" s="29" t="s">
        <v>9185</v>
      </c>
      <c r="E280" s="29" t="s">
        <v>9178</v>
      </c>
      <c r="F280" s="29"/>
      <c r="G280" s="29" t="s">
        <v>9804</v>
      </c>
      <c r="H280" s="29"/>
      <c r="I280" s="29" t="s">
        <v>9180</v>
      </c>
      <c r="J280" s="29" t="s">
        <v>9334</v>
      </c>
      <c r="K280" s="29" t="s">
        <v>9218</v>
      </c>
      <c r="L280" s="29" t="s">
        <v>9189</v>
      </c>
    </row>
    <row r="281" spans="1:12">
      <c r="A281" s="28">
        <v>280</v>
      </c>
      <c r="B281" s="28" t="s">
        <v>1551</v>
      </c>
      <c r="C281" s="28" t="s">
        <v>9805</v>
      </c>
      <c r="D281" s="28" t="s">
        <v>9185</v>
      </c>
      <c r="E281" s="28" t="s">
        <v>9178</v>
      </c>
      <c r="F281" s="28"/>
      <c r="G281" s="28" t="s">
        <v>9806</v>
      </c>
      <c r="H281" s="28"/>
      <c r="I281" s="28" t="s">
        <v>9180</v>
      </c>
      <c r="J281" s="28" t="s">
        <v>9807</v>
      </c>
      <c r="K281" s="28" t="s">
        <v>9218</v>
      </c>
      <c r="L281" s="28" t="s">
        <v>9189</v>
      </c>
    </row>
    <row r="282" spans="1:12">
      <c r="A282" s="27">
        <v>281</v>
      </c>
      <c r="B282" s="27" t="s">
        <v>2626</v>
      </c>
      <c r="C282" s="27" t="s">
        <v>9808</v>
      </c>
      <c r="D282" s="27" t="s">
        <v>9177</v>
      </c>
      <c r="E282" s="27" t="s">
        <v>9178</v>
      </c>
      <c r="F282" s="27"/>
      <c r="G282" s="27" t="s">
        <v>9809</v>
      </c>
      <c r="H282" s="27"/>
      <c r="I282" s="27" t="s">
        <v>9180</v>
      </c>
      <c r="J282" s="27" t="s">
        <v>9810</v>
      </c>
      <c r="K282" s="27" t="s">
        <v>9218</v>
      </c>
      <c r="L282" s="27" t="s">
        <v>9196</v>
      </c>
    </row>
    <row r="283" spans="1:12">
      <c r="A283" s="28">
        <v>282</v>
      </c>
      <c r="B283" s="28" t="s">
        <v>4198</v>
      </c>
      <c r="C283" s="28" t="s">
        <v>9811</v>
      </c>
      <c r="D283" s="28" t="s">
        <v>9185</v>
      </c>
      <c r="E283" s="28" t="s">
        <v>9178</v>
      </c>
      <c r="F283" s="28"/>
      <c r="G283" s="28" t="s">
        <v>9812</v>
      </c>
      <c r="H283" s="28"/>
      <c r="I283" s="28" t="s">
        <v>9180</v>
      </c>
      <c r="J283" s="28" t="s">
        <v>9334</v>
      </c>
      <c r="K283" s="28" t="s">
        <v>9218</v>
      </c>
      <c r="L283" s="28" t="s">
        <v>9189</v>
      </c>
    </row>
    <row r="284" spans="1:12">
      <c r="A284" s="27">
        <v>283</v>
      </c>
      <c r="B284" s="27" t="s">
        <v>2359</v>
      </c>
      <c r="C284" s="27" t="s">
        <v>9813</v>
      </c>
      <c r="D284" s="27" t="s">
        <v>9177</v>
      </c>
      <c r="E284" s="27" t="s">
        <v>9178</v>
      </c>
      <c r="F284" s="27"/>
      <c r="G284" s="27" t="s">
        <v>9814</v>
      </c>
      <c r="H284" s="27"/>
      <c r="I284" s="27" t="s">
        <v>9180</v>
      </c>
      <c r="J284" s="27" t="s">
        <v>9277</v>
      </c>
      <c r="K284" s="27" t="s">
        <v>9218</v>
      </c>
      <c r="L284" s="27" t="s">
        <v>9196</v>
      </c>
    </row>
    <row r="285" spans="1:12">
      <c r="A285" s="28">
        <v>284</v>
      </c>
      <c r="B285" s="28" t="s">
        <v>4436</v>
      </c>
      <c r="C285" s="28" t="s">
        <v>4437</v>
      </c>
      <c r="D285" s="28" t="s">
        <v>9185</v>
      </c>
      <c r="E285" s="28" t="s">
        <v>9178</v>
      </c>
      <c r="F285" s="28"/>
      <c r="G285" s="28" t="s">
        <v>9815</v>
      </c>
      <c r="H285" s="28"/>
      <c r="I285" s="28" t="s">
        <v>9180</v>
      </c>
      <c r="J285" s="28" t="s">
        <v>9816</v>
      </c>
      <c r="K285" s="28" t="s">
        <v>9218</v>
      </c>
      <c r="L285" s="28" t="s">
        <v>9223</v>
      </c>
    </row>
    <row r="286" spans="1:12">
      <c r="A286" s="29">
        <v>285</v>
      </c>
      <c r="B286" s="29" t="s">
        <v>3165</v>
      </c>
      <c r="C286" s="29" t="s">
        <v>9817</v>
      </c>
      <c r="D286" s="29" t="s">
        <v>9185</v>
      </c>
      <c r="E286" s="29" t="s">
        <v>9178</v>
      </c>
      <c r="F286" s="29"/>
      <c r="G286" s="29" t="s">
        <v>9818</v>
      </c>
      <c r="H286" s="29" t="s">
        <v>9818</v>
      </c>
      <c r="I286" s="29" t="s">
        <v>9180</v>
      </c>
      <c r="J286" s="29" t="s">
        <v>9819</v>
      </c>
      <c r="K286" s="29" t="s">
        <v>9218</v>
      </c>
      <c r="L286" s="29" t="s">
        <v>9189</v>
      </c>
    </row>
    <row r="287" spans="1:12">
      <c r="A287" s="27">
        <v>286</v>
      </c>
      <c r="B287" s="27" t="s">
        <v>4136</v>
      </c>
      <c r="C287" s="27" t="s">
        <v>9820</v>
      </c>
      <c r="D287" s="27" t="s">
        <v>9177</v>
      </c>
      <c r="E287" s="27" t="s">
        <v>9178</v>
      </c>
      <c r="F287" s="27"/>
      <c r="G287" s="27" t="s">
        <v>9821</v>
      </c>
      <c r="H287" s="27"/>
      <c r="I287" s="27" t="s">
        <v>9180</v>
      </c>
      <c r="J287" s="27" t="s">
        <v>9380</v>
      </c>
      <c r="K287" s="27" t="s">
        <v>9218</v>
      </c>
      <c r="L287" s="27" t="s">
        <v>9196</v>
      </c>
    </row>
    <row r="288" spans="1:12">
      <c r="A288" s="29">
        <v>287</v>
      </c>
      <c r="B288" s="29" t="s">
        <v>4121</v>
      </c>
      <c r="C288" s="29" t="s">
        <v>9822</v>
      </c>
      <c r="D288" s="29" t="s">
        <v>9185</v>
      </c>
      <c r="E288" s="29" t="s">
        <v>9178</v>
      </c>
      <c r="F288" s="29"/>
      <c r="G288" s="29" t="s">
        <v>9823</v>
      </c>
      <c r="H288" s="29"/>
      <c r="I288" s="29" t="s">
        <v>9180</v>
      </c>
      <c r="J288" s="29" t="s">
        <v>9380</v>
      </c>
      <c r="K288" s="29" t="s">
        <v>9218</v>
      </c>
      <c r="L288" s="29" t="s">
        <v>9189</v>
      </c>
    </row>
    <row r="289" spans="1:12">
      <c r="A289" s="28">
        <v>288</v>
      </c>
      <c r="B289" s="28" t="s">
        <v>430</v>
      </c>
      <c r="C289" s="28" t="s">
        <v>9824</v>
      </c>
      <c r="D289" s="28" t="s">
        <v>9185</v>
      </c>
      <c r="E289" s="28" t="s">
        <v>9178</v>
      </c>
      <c r="F289" s="28"/>
      <c r="G289" s="28" t="s">
        <v>9825</v>
      </c>
      <c r="H289" s="28"/>
      <c r="I289" s="28" t="s">
        <v>9180</v>
      </c>
      <c r="J289" s="28" t="s">
        <v>9826</v>
      </c>
      <c r="K289" s="28" t="s">
        <v>9218</v>
      </c>
      <c r="L289" s="28" t="s">
        <v>9189</v>
      </c>
    </row>
    <row r="290" spans="1:12">
      <c r="A290" s="29">
        <v>289</v>
      </c>
      <c r="B290" s="29" t="s">
        <v>4074</v>
      </c>
      <c r="C290" s="29" t="s">
        <v>9827</v>
      </c>
      <c r="D290" s="29" t="s">
        <v>9185</v>
      </c>
      <c r="E290" s="29" t="s">
        <v>9178</v>
      </c>
      <c r="F290" s="29"/>
      <c r="G290" s="29" t="s">
        <v>9828</v>
      </c>
      <c r="H290" s="29"/>
      <c r="I290" s="29" t="s">
        <v>9180</v>
      </c>
      <c r="J290" s="29" t="s">
        <v>9334</v>
      </c>
      <c r="K290" s="29" t="s">
        <v>9218</v>
      </c>
      <c r="L290" s="29" t="s">
        <v>9189</v>
      </c>
    </row>
    <row r="291" spans="1:12">
      <c r="A291" s="28">
        <v>290</v>
      </c>
      <c r="B291" s="28" t="s">
        <v>4061</v>
      </c>
      <c r="C291" s="28" t="s">
        <v>4062</v>
      </c>
      <c r="D291" s="28" t="s">
        <v>9185</v>
      </c>
      <c r="E291" s="28" t="s">
        <v>9178</v>
      </c>
      <c r="F291" s="28" t="s">
        <v>9829</v>
      </c>
      <c r="G291" s="28" t="s">
        <v>9830</v>
      </c>
      <c r="H291" s="28"/>
      <c r="I291" s="28" t="s">
        <v>9180</v>
      </c>
      <c r="J291" s="28" t="s">
        <v>9361</v>
      </c>
      <c r="K291" s="28" t="s">
        <v>9218</v>
      </c>
      <c r="L291" s="28" t="s">
        <v>9223</v>
      </c>
    </row>
    <row r="292" spans="1:12">
      <c r="A292" s="29">
        <v>291</v>
      </c>
      <c r="B292" s="29" t="s">
        <v>4057</v>
      </c>
      <c r="C292" s="29" t="s">
        <v>4058</v>
      </c>
      <c r="D292" s="29" t="s">
        <v>9185</v>
      </c>
      <c r="E292" s="29" t="s">
        <v>9178</v>
      </c>
      <c r="F292" s="29"/>
      <c r="G292" s="29" t="s">
        <v>9831</v>
      </c>
      <c r="H292" s="29"/>
      <c r="I292" s="29" t="s">
        <v>9180</v>
      </c>
      <c r="J292" s="29" t="s">
        <v>9832</v>
      </c>
      <c r="K292" s="29" t="s">
        <v>9218</v>
      </c>
      <c r="L292" s="29" t="s">
        <v>9223</v>
      </c>
    </row>
    <row r="293" spans="1:12">
      <c r="A293" s="28">
        <v>292</v>
      </c>
      <c r="B293" s="28" t="s">
        <v>2734</v>
      </c>
      <c r="C293" s="28" t="s">
        <v>9833</v>
      </c>
      <c r="D293" s="28" t="s">
        <v>9185</v>
      </c>
      <c r="E293" s="28" t="s">
        <v>9208</v>
      </c>
      <c r="F293" s="28"/>
      <c r="G293" s="28" t="s">
        <v>9834</v>
      </c>
      <c r="H293" s="28"/>
      <c r="I293" s="28" t="s">
        <v>9180</v>
      </c>
      <c r="J293" s="28" t="s">
        <v>9835</v>
      </c>
      <c r="K293" s="28" t="s">
        <v>9218</v>
      </c>
      <c r="L293" s="28" t="s">
        <v>9522</v>
      </c>
    </row>
    <row r="294" spans="1:12">
      <c r="A294" s="29">
        <v>293</v>
      </c>
      <c r="B294" s="29" t="s">
        <v>1680</v>
      </c>
      <c r="C294" s="29" t="s">
        <v>9836</v>
      </c>
      <c r="D294" s="29" t="s">
        <v>9185</v>
      </c>
      <c r="E294" s="29" t="s">
        <v>9178</v>
      </c>
      <c r="F294" s="29"/>
      <c r="G294" s="29" t="s">
        <v>9837</v>
      </c>
      <c r="H294" s="29"/>
      <c r="I294" s="29" t="s">
        <v>9180</v>
      </c>
      <c r="J294" s="29" t="s">
        <v>9774</v>
      </c>
      <c r="K294" s="29" t="s">
        <v>9218</v>
      </c>
      <c r="L294" s="29" t="s">
        <v>9189</v>
      </c>
    </row>
    <row r="295" spans="1:12">
      <c r="A295" s="28">
        <v>294</v>
      </c>
      <c r="B295" s="28" t="s">
        <v>2509</v>
      </c>
      <c r="C295" s="28" t="s">
        <v>9838</v>
      </c>
      <c r="D295" s="28" t="s">
        <v>9185</v>
      </c>
      <c r="E295" s="28" t="s">
        <v>9178</v>
      </c>
      <c r="F295" s="28"/>
      <c r="G295" s="28" t="s">
        <v>9839</v>
      </c>
      <c r="H295" s="28"/>
      <c r="I295" s="28" t="s">
        <v>9180</v>
      </c>
      <c r="J295" s="28" t="s">
        <v>9840</v>
      </c>
      <c r="K295" s="28" t="s">
        <v>9218</v>
      </c>
      <c r="L295" s="28" t="s">
        <v>9189</v>
      </c>
    </row>
    <row r="296" spans="1:12">
      <c r="A296" s="29">
        <v>295</v>
      </c>
      <c r="B296" s="29" t="s">
        <v>3967</v>
      </c>
      <c r="C296" s="29" t="s">
        <v>3968</v>
      </c>
      <c r="D296" s="29" t="s">
        <v>9185</v>
      </c>
      <c r="E296" s="29" t="s">
        <v>9178</v>
      </c>
      <c r="F296" s="29"/>
      <c r="G296" s="29" t="s">
        <v>9841</v>
      </c>
      <c r="H296" s="29" t="s">
        <v>9842</v>
      </c>
      <c r="I296" s="29" t="s">
        <v>9180</v>
      </c>
      <c r="J296" s="29" t="s">
        <v>9361</v>
      </c>
      <c r="K296" s="29" t="s">
        <v>9218</v>
      </c>
      <c r="L296" s="29" t="s">
        <v>9223</v>
      </c>
    </row>
    <row r="297" spans="1:12">
      <c r="A297" s="28">
        <v>296</v>
      </c>
      <c r="B297" s="28" t="s">
        <v>408</v>
      </c>
      <c r="C297" s="28" t="s">
        <v>9843</v>
      </c>
      <c r="D297" s="28" t="s">
        <v>9185</v>
      </c>
      <c r="E297" s="28" t="s">
        <v>9178</v>
      </c>
      <c r="F297" s="28"/>
      <c r="G297" s="28" t="s">
        <v>9844</v>
      </c>
      <c r="H297" s="28"/>
      <c r="I297" s="28" t="s">
        <v>9180</v>
      </c>
      <c r="J297" s="28" t="s">
        <v>9845</v>
      </c>
      <c r="K297" s="28" t="s">
        <v>9218</v>
      </c>
      <c r="L297" s="28" t="s">
        <v>9189</v>
      </c>
    </row>
    <row r="298" spans="1:12">
      <c r="A298" s="29">
        <v>297</v>
      </c>
      <c r="B298" s="29" t="s">
        <v>4017</v>
      </c>
      <c r="C298" s="29" t="s">
        <v>9846</v>
      </c>
      <c r="D298" s="29" t="s">
        <v>9185</v>
      </c>
      <c r="E298" s="29" t="s">
        <v>9178</v>
      </c>
      <c r="F298" s="29"/>
      <c r="G298" s="29" t="s">
        <v>9847</v>
      </c>
      <c r="H298" s="29"/>
      <c r="I298" s="29" t="s">
        <v>9180</v>
      </c>
      <c r="J298" s="29" t="s">
        <v>9334</v>
      </c>
      <c r="K298" s="29" t="s">
        <v>9218</v>
      </c>
      <c r="L298" s="29" t="s">
        <v>9189</v>
      </c>
    </row>
    <row r="299" spans="1:12">
      <c r="A299" s="28">
        <v>298</v>
      </c>
      <c r="B299" s="28" t="s">
        <v>4001</v>
      </c>
      <c r="C299" s="28" t="s">
        <v>9848</v>
      </c>
      <c r="D299" s="28" t="s">
        <v>9185</v>
      </c>
      <c r="E299" s="28" t="s">
        <v>9178</v>
      </c>
      <c r="F299" s="28"/>
      <c r="G299" s="28" t="s">
        <v>9849</v>
      </c>
      <c r="H299" s="28"/>
      <c r="I299" s="28" t="s">
        <v>9180</v>
      </c>
      <c r="J299" s="28" t="s">
        <v>9251</v>
      </c>
      <c r="K299" s="28" t="s">
        <v>9218</v>
      </c>
      <c r="L299" s="28" t="s">
        <v>9189</v>
      </c>
    </row>
    <row r="300" spans="1:12">
      <c r="A300" s="29">
        <v>299</v>
      </c>
      <c r="B300" s="29" t="s">
        <v>3850</v>
      </c>
      <c r="C300" s="29" t="s">
        <v>9850</v>
      </c>
      <c r="D300" s="29" t="s">
        <v>9185</v>
      </c>
      <c r="E300" s="29" t="s">
        <v>9178</v>
      </c>
      <c r="F300" s="29"/>
      <c r="G300" s="29" t="s">
        <v>9851</v>
      </c>
      <c r="H300" s="29"/>
      <c r="I300" s="29" t="s">
        <v>9180</v>
      </c>
      <c r="J300" s="29" t="s">
        <v>9852</v>
      </c>
      <c r="K300" s="29" t="s">
        <v>9218</v>
      </c>
      <c r="L300" s="29" t="s">
        <v>9189</v>
      </c>
    </row>
    <row r="301" spans="1:12">
      <c r="A301" s="28">
        <v>300</v>
      </c>
      <c r="B301" s="28" t="s">
        <v>2847</v>
      </c>
      <c r="C301" s="28" t="s">
        <v>9853</v>
      </c>
      <c r="D301" s="28" t="s">
        <v>9185</v>
      </c>
      <c r="E301" s="28" t="s">
        <v>9178</v>
      </c>
      <c r="F301" s="28"/>
      <c r="G301" s="28" t="s">
        <v>9854</v>
      </c>
      <c r="H301" s="28"/>
      <c r="I301" s="28" t="s">
        <v>9180</v>
      </c>
      <c r="J301" s="28" t="s">
        <v>9855</v>
      </c>
      <c r="K301" s="28" t="s">
        <v>9218</v>
      </c>
      <c r="L301" s="28" t="s">
        <v>9189</v>
      </c>
    </row>
    <row r="302" spans="1:12">
      <c r="A302" s="29">
        <v>301</v>
      </c>
      <c r="B302" s="29" t="s">
        <v>2780</v>
      </c>
      <c r="C302" s="29" t="s">
        <v>9856</v>
      </c>
      <c r="D302" s="29" t="s">
        <v>9185</v>
      </c>
      <c r="E302" s="29" t="s">
        <v>9178</v>
      </c>
      <c r="F302" s="29"/>
      <c r="G302" s="29" t="s">
        <v>9857</v>
      </c>
      <c r="H302" s="29"/>
      <c r="I302" s="29" t="s">
        <v>9180</v>
      </c>
      <c r="J302" s="29" t="s">
        <v>9858</v>
      </c>
      <c r="K302" s="29" t="s">
        <v>9218</v>
      </c>
      <c r="L302" s="29" t="s">
        <v>9189</v>
      </c>
    </row>
    <row r="303" spans="1:12">
      <c r="A303" s="28">
        <v>302</v>
      </c>
      <c r="B303" s="28" t="s">
        <v>3795</v>
      </c>
      <c r="C303" s="28" t="s">
        <v>9859</v>
      </c>
      <c r="D303" s="28" t="s">
        <v>9185</v>
      </c>
      <c r="E303" s="28" t="s">
        <v>9178</v>
      </c>
      <c r="F303" s="28"/>
      <c r="G303" s="28" t="s">
        <v>9860</v>
      </c>
      <c r="H303" s="28"/>
      <c r="I303" s="28" t="s">
        <v>9180</v>
      </c>
      <c r="J303" s="28" t="s">
        <v>9224</v>
      </c>
      <c r="K303" s="28" t="s">
        <v>9218</v>
      </c>
      <c r="L303" s="28" t="s">
        <v>9189</v>
      </c>
    </row>
    <row r="304" spans="1:12">
      <c r="A304" s="29">
        <v>303</v>
      </c>
      <c r="B304" s="29" t="s">
        <v>3879</v>
      </c>
      <c r="C304" s="29" t="s">
        <v>3880</v>
      </c>
      <c r="D304" s="29" t="s">
        <v>9185</v>
      </c>
      <c r="E304" s="29" t="s">
        <v>9208</v>
      </c>
      <c r="F304" s="29"/>
      <c r="G304" s="29" t="s">
        <v>9861</v>
      </c>
      <c r="H304" s="29" t="s">
        <v>9861</v>
      </c>
      <c r="I304" s="29" t="s">
        <v>9180</v>
      </c>
      <c r="J304" s="29" t="s">
        <v>9626</v>
      </c>
      <c r="K304" s="29" t="s">
        <v>9218</v>
      </c>
      <c r="L304" s="29" t="s">
        <v>9212</v>
      </c>
    </row>
    <row r="305" spans="1:12">
      <c r="A305" s="28">
        <v>304</v>
      </c>
      <c r="B305" s="28" t="s">
        <v>3525</v>
      </c>
      <c r="C305" s="28" t="s">
        <v>9862</v>
      </c>
      <c r="D305" s="28" t="s">
        <v>9185</v>
      </c>
      <c r="E305" s="28" t="s">
        <v>9178</v>
      </c>
      <c r="F305" s="28"/>
      <c r="G305" s="28" t="s">
        <v>9863</v>
      </c>
      <c r="H305" s="28"/>
      <c r="I305" s="28" t="s">
        <v>9180</v>
      </c>
      <c r="J305" s="28" t="s">
        <v>9224</v>
      </c>
      <c r="K305" s="28" t="s">
        <v>9218</v>
      </c>
      <c r="L305" s="28" t="s">
        <v>9189</v>
      </c>
    </row>
    <row r="306" spans="1:12">
      <c r="A306" s="29">
        <v>305</v>
      </c>
      <c r="B306" s="29" t="s">
        <v>3883</v>
      </c>
      <c r="C306" s="29" t="s">
        <v>3884</v>
      </c>
      <c r="D306" s="29" t="s">
        <v>9185</v>
      </c>
      <c r="E306" s="29" t="s">
        <v>9208</v>
      </c>
      <c r="F306" s="29"/>
      <c r="G306" s="29" t="s">
        <v>9864</v>
      </c>
      <c r="H306" s="29"/>
      <c r="I306" s="29" t="s">
        <v>9180</v>
      </c>
      <c r="J306" s="29" t="s">
        <v>9865</v>
      </c>
      <c r="K306" s="29" t="s">
        <v>9218</v>
      </c>
      <c r="L306" s="29" t="s">
        <v>9522</v>
      </c>
    </row>
    <row r="307" spans="1:12">
      <c r="A307" s="28">
        <v>306</v>
      </c>
      <c r="B307" s="28" t="s">
        <v>3873</v>
      </c>
      <c r="C307" s="28" t="s">
        <v>9866</v>
      </c>
      <c r="D307" s="28" t="s">
        <v>9185</v>
      </c>
      <c r="E307" s="28" t="s">
        <v>9208</v>
      </c>
      <c r="F307" s="28"/>
      <c r="G307" s="28" t="s">
        <v>9867</v>
      </c>
      <c r="H307" s="28"/>
      <c r="I307" s="28" t="s">
        <v>9180</v>
      </c>
      <c r="J307" s="28" t="s">
        <v>9334</v>
      </c>
      <c r="K307" s="28" t="s">
        <v>9218</v>
      </c>
      <c r="L307" s="28" t="s">
        <v>9522</v>
      </c>
    </row>
    <row r="308" spans="1:12">
      <c r="A308" s="27">
        <v>307</v>
      </c>
      <c r="B308" s="27" t="s">
        <v>2794</v>
      </c>
      <c r="C308" s="27" t="s">
        <v>2795</v>
      </c>
      <c r="D308" s="27" t="s">
        <v>9177</v>
      </c>
      <c r="E308" s="27" t="s">
        <v>9178</v>
      </c>
      <c r="F308" s="27"/>
      <c r="G308" s="27" t="s">
        <v>9868</v>
      </c>
      <c r="H308" s="27"/>
      <c r="I308" s="27" t="s">
        <v>9180</v>
      </c>
      <c r="J308" s="27" t="s">
        <v>9832</v>
      </c>
      <c r="K308" s="27" t="s">
        <v>9218</v>
      </c>
      <c r="L308" s="27" t="s">
        <v>9183</v>
      </c>
    </row>
    <row r="309" spans="1:12">
      <c r="A309" s="27">
        <v>308</v>
      </c>
      <c r="B309" s="27" t="s">
        <v>3685</v>
      </c>
      <c r="C309" s="27" t="s">
        <v>2795</v>
      </c>
      <c r="D309" s="27" t="s">
        <v>9177</v>
      </c>
      <c r="E309" s="27" t="s">
        <v>9178</v>
      </c>
      <c r="F309" s="27"/>
      <c r="G309" s="27" t="s">
        <v>9869</v>
      </c>
      <c r="H309" s="27"/>
      <c r="I309" s="27" t="s">
        <v>9180</v>
      </c>
      <c r="J309" s="27" t="s">
        <v>9626</v>
      </c>
      <c r="K309" s="27" t="s">
        <v>9218</v>
      </c>
      <c r="L309" s="27" t="s">
        <v>9183</v>
      </c>
    </row>
    <row r="310" spans="1:12">
      <c r="A310" s="27">
        <v>309</v>
      </c>
      <c r="B310" s="27" t="s">
        <v>9870</v>
      </c>
      <c r="C310" s="27" t="s">
        <v>2795</v>
      </c>
      <c r="D310" s="27" t="s">
        <v>9177</v>
      </c>
      <c r="E310" s="27" t="s">
        <v>9178</v>
      </c>
      <c r="F310" s="27"/>
      <c r="G310" s="27" t="s">
        <v>9871</v>
      </c>
      <c r="H310" s="27"/>
      <c r="I310" s="27" t="s">
        <v>9180</v>
      </c>
      <c r="J310" s="27" t="s">
        <v>9210</v>
      </c>
      <c r="K310" s="27" t="s">
        <v>9218</v>
      </c>
      <c r="L310" s="27" t="s">
        <v>9183</v>
      </c>
    </row>
    <row r="311" spans="1:12">
      <c r="A311" s="27">
        <v>310</v>
      </c>
      <c r="B311" s="27" t="s">
        <v>3517</v>
      </c>
      <c r="C311" s="27" t="s">
        <v>9872</v>
      </c>
      <c r="D311" s="27" t="s">
        <v>9177</v>
      </c>
      <c r="E311" s="27" t="s">
        <v>9178</v>
      </c>
      <c r="F311" s="27"/>
      <c r="G311" s="27" t="s">
        <v>9873</v>
      </c>
      <c r="H311" s="27"/>
      <c r="I311" s="27" t="s">
        <v>9180</v>
      </c>
      <c r="J311" s="27" t="s">
        <v>9202</v>
      </c>
      <c r="K311" s="27" t="s">
        <v>9218</v>
      </c>
      <c r="L311" s="27" t="s">
        <v>9196</v>
      </c>
    </row>
    <row r="312" spans="1:12">
      <c r="A312" s="30">
        <v>311</v>
      </c>
      <c r="B312" s="30" t="s">
        <v>9874</v>
      </c>
      <c r="C312" s="30" t="s">
        <v>9875</v>
      </c>
      <c r="D312" s="30" t="s">
        <v>9177</v>
      </c>
      <c r="E312" s="30" t="s">
        <v>9208</v>
      </c>
      <c r="F312" s="30"/>
      <c r="G312" s="30" t="s">
        <v>9876</v>
      </c>
      <c r="H312" s="30"/>
      <c r="I312" s="30" t="s">
        <v>9180</v>
      </c>
      <c r="J312" s="30" t="s">
        <v>9210</v>
      </c>
      <c r="K312" s="30" t="s">
        <v>9218</v>
      </c>
      <c r="L312" s="30" t="s">
        <v>9350</v>
      </c>
    </row>
    <row r="313" spans="1:12">
      <c r="A313" s="30">
        <v>312</v>
      </c>
      <c r="B313" s="30" t="s">
        <v>3820</v>
      </c>
      <c r="C313" s="30" t="s">
        <v>9877</v>
      </c>
      <c r="D313" s="30" t="s">
        <v>9177</v>
      </c>
      <c r="E313" s="30" t="s">
        <v>9208</v>
      </c>
      <c r="F313" s="30"/>
      <c r="G313" s="30" t="s">
        <v>9878</v>
      </c>
      <c r="H313" s="30"/>
      <c r="I313" s="30" t="s">
        <v>9180</v>
      </c>
      <c r="J313" s="30" t="s">
        <v>9334</v>
      </c>
      <c r="K313" s="30" t="s">
        <v>9218</v>
      </c>
      <c r="L313" s="30" t="s">
        <v>9350</v>
      </c>
    </row>
    <row r="314" spans="1:12">
      <c r="A314" s="30">
        <v>313</v>
      </c>
      <c r="B314" s="30" t="s">
        <v>882</v>
      </c>
      <c r="C314" s="30" t="s">
        <v>9879</v>
      </c>
      <c r="D314" s="30" t="s">
        <v>9177</v>
      </c>
      <c r="E314" s="30" t="s">
        <v>9208</v>
      </c>
      <c r="F314" s="30"/>
      <c r="G314" s="30" t="s">
        <v>9880</v>
      </c>
      <c r="H314" s="30"/>
      <c r="I314" s="30" t="s">
        <v>9180</v>
      </c>
      <c r="J314" s="30" t="s">
        <v>9881</v>
      </c>
      <c r="K314" s="30" t="s">
        <v>9218</v>
      </c>
      <c r="L314" s="30" t="s">
        <v>9350</v>
      </c>
    </row>
    <row r="315" spans="1:12">
      <c r="A315" s="28">
        <v>314</v>
      </c>
      <c r="B315" s="28" t="s">
        <v>3773</v>
      </c>
      <c r="C315" s="28" t="s">
        <v>9882</v>
      </c>
      <c r="D315" s="28" t="s">
        <v>9185</v>
      </c>
      <c r="E315" s="28" t="s">
        <v>9178</v>
      </c>
      <c r="F315" s="28"/>
      <c r="G315" s="28" t="s">
        <v>9883</v>
      </c>
      <c r="H315" s="28"/>
      <c r="I315" s="28" t="s">
        <v>9180</v>
      </c>
      <c r="J315" s="28" t="s">
        <v>9251</v>
      </c>
      <c r="K315" s="28" t="s">
        <v>9218</v>
      </c>
      <c r="L315" s="28" t="s">
        <v>9189</v>
      </c>
    </row>
    <row r="316" spans="1:12">
      <c r="A316" s="29">
        <v>315</v>
      </c>
      <c r="B316" s="29" t="s">
        <v>3777</v>
      </c>
      <c r="C316" s="29"/>
      <c r="D316" s="29" t="s">
        <v>9185</v>
      </c>
      <c r="E316" s="29" t="s">
        <v>9208</v>
      </c>
      <c r="F316" s="29"/>
      <c r="G316" s="29" t="s">
        <v>9884</v>
      </c>
      <c r="H316" s="29"/>
      <c r="I316" s="29" t="s">
        <v>9180</v>
      </c>
      <c r="J316" s="29" t="s">
        <v>9251</v>
      </c>
      <c r="K316" s="29" t="s">
        <v>9218</v>
      </c>
      <c r="L316" s="29" t="s">
        <v>9212</v>
      </c>
    </row>
    <row r="317" spans="1:12">
      <c r="A317" s="28">
        <v>316</v>
      </c>
      <c r="B317" s="28" t="s">
        <v>1543</v>
      </c>
      <c r="C317" s="28" t="s">
        <v>9885</v>
      </c>
      <c r="D317" s="28" t="s">
        <v>9185</v>
      </c>
      <c r="E317" s="28" t="s">
        <v>9178</v>
      </c>
      <c r="F317" s="28"/>
      <c r="G317" s="28" t="s">
        <v>9886</v>
      </c>
      <c r="H317" s="28"/>
      <c r="I317" s="28" t="s">
        <v>9180</v>
      </c>
      <c r="J317" s="28" t="s">
        <v>9887</v>
      </c>
      <c r="K317" s="28" t="s">
        <v>9218</v>
      </c>
      <c r="L317" s="28" t="s">
        <v>9189</v>
      </c>
    </row>
    <row r="318" spans="1:12">
      <c r="A318" s="29">
        <v>317</v>
      </c>
      <c r="B318" s="29" t="s">
        <v>3736</v>
      </c>
      <c r="C318" s="29" t="s">
        <v>9888</v>
      </c>
      <c r="D318" s="29" t="s">
        <v>9185</v>
      </c>
      <c r="E318" s="29" t="s">
        <v>9178</v>
      </c>
      <c r="F318" s="29"/>
      <c r="G318" s="29" t="s">
        <v>9889</v>
      </c>
      <c r="H318" s="29"/>
      <c r="I318" s="29" t="s">
        <v>9180</v>
      </c>
      <c r="J318" s="29" t="s">
        <v>9334</v>
      </c>
      <c r="K318" s="29" t="s">
        <v>9218</v>
      </c>
      <c r="L318" s="29" t="s">
        <v>9189</v>
      </c>
    </row>
    <row r="319" spans="1:12">
      <c r="A319" s="30">
        <v>318</v>
      </c>
      <c r="B319" s="30" t="s">
        <v>3716</v>
      </c>
      <c r="C319" s="30" t="s">
        <v>9890</v>
      </c>
      <c r="D319" s="30" t="s">
        <v>9177</v>
      </c>
      <c r="E319" s="30" t="s">
        <v>9208</v>
      </c>
      <c r="F319" s="30"/>
      <c r="G319" s="30" t="s">
        <v>9891</v>
      </c>
      <c r="H319" s="30"/>
      <c r="I319" s="30" t="s">
        <v>9180</v>
      </c>
      <c r="J319" s="30" t="s">
        <v>9892</v>
      </c>
      <c r="K319" s="30" t="s">
        <v>9218</v>
      </c>
      <c r="L319" s="30" t="s">
        <v>9350</v>
      </c>
    </row>
    <row r="320" spans="1:12">
      <c r="A320" s="29">
        <v>319</v>
      </c>
      <c r="B320" s="29" t="s">
        <v>3663</v>
      </c>
      <c r="C320" s="29" t="s">
        <v>3664</v>
      </c>
      <c r="D320" s="29" t="s">
        <v>9185</v>
      </c>
      <c r="E320" s="29" t="s">
        <v>9178</v>
      </c>
      <c r="F320" s="29"/>
      <c r="G320" s="29" t="s">
        <v>9893</v>
      </c>
      <c r="H320" s="29"/>
      <c r="I320" s="29" t="s">
        <v>9180</v>
      </c>
      <c r="J320" s="29" t="s">
        <v>9626</v>
      </c>
      <c r="K320" s="29" t="s">
        <v>9218</v>
      </c>
      <c r="L320" s="29" t="s">
        <v>9223</v>
      </c>
    </row>
    <row r="321" spans="1:12">
      <c r="A321" s="28">
        <v>320</v>
      </c>
      <c r="B321" s="28" t="s">
        <v>3655</v>
      </c>
      <c r="C321" s="28" t="s">
        <v>9894</v>
      </c>
      <c r="D321" s="28" t="s">
        <v>9185</v>
      </c>
      <c r="E321" s="28" t="s">
        <v>9178</v>
      </c>
      <c r="F321" s="28"/>
      <c r="G321" s="28" t="s">
        <v>9895</v>
      </c>
      <c r="H321" s="28"/>
      <c r="I321" s="28" t="s">
        <v>9180</v>
      </c>
      <c r="J321" s="28" t="s">
        <v>9334</v>
      </c>
      <c r="K321" s="28" t="s">
        <v>9218</v>
      </c>
      <c r="L321" s="28" t="s">
        <v>9189</v>
      </c>
    </row>
    <row r="322" spans="1:12">
      <c r="A322" s="29">
        <v>321</v>
      </c>
      <c r="B322" s="29" t="s">
        <v>9896</v>
      </c>
      <c r="C322" s="29" t="s">
        <v>9894</v>
      </c>
      <c r="D322" s="29" t="s">
        <v>9185</v>
      </c>
      <c r="E322" s="29" t="s">
        <v>9178</v>
      </c>
      <c r="F322" s="29"/>
      <c r="G322" s="29" t="s">
        <v>9897</v>
      </c>
      <c r="H322" s="29"/>
      <c r="I322" s="29" t="s">
        <v>9180</v>
      </c>
      <c r="J322" s="29" t="s">
        <v>9210</v>
      </c>
      <c r="K322" s="29" t="s">
        <v>9218</v>
      </c>
      <c r="L322" s="29" t="s">
        <v>9189</v>
      </c>
    </row>
    <row r="323" spans="1:12">
      <c r="A323" s="28">
        <v>322</v>
      </c>
      <c r="B323" s="28" t="s">
        <v>3648</v>
      </c>
      <c r="C323" s="28" t="s">
        <v>3649</v>
      </c>
      <c r="D323" s="28" t="s">
        <v>9185</v>
      </c>
      <c r="E323" s="28" t="s">
        <v>9178</v>
      </c>
      <c r="F323" s="28"/>
      <c r="G323" s="28" t="s">
        <v>9898</v>
      </c>
      <c r="H323" s="28"/>
      <c r="I323" s="28" t="s">
        <v>9180</v>
      </c>
      <c r="J323" s="28" t="s">
        <v>9626</v>
      </c>
      <c r="K323" s="28" t="s">
        <v>9218</v>
      </c>
      <c r="L323" s="28" t="s">
        <v>9223</v>
      </c>
    </row>
    <row r="324" spans="1:12">
      <c r="A324" s="29">
        <v>323</v>
      </c>
      <c r="B324" s="29" t="s">
        <v>3640</v>
      </c>
      <c r="C324" s="29" t="s">
        <v>9899</v>
      </c>
      <c r="D324" s="29" t="s">
        <v>9185</v>
      </c>
      <c r="E324" s="29" t="s">
        <v>9178</v>
      </c>
      <c r="F324" s="29"/>
      <c r="G324" s="29" t="s">
        <v>9900</v>
      </c>
      <c r="H324" s="29"/>
      <c r="I324" s="29" t="s">
        <v>9180</v>
      </c>
      <c r="J324" s="29" t="s">
        <v>9334</v>
      </c>
      <c r="K324" s="29" t="s">
        <v>9218</v>
      </c>
      <c r="L324" s="29" t="s">
        <v>9189</v>
      </c>
    </row>
    <row r="325" spans="1:12">
      <c r="A325" s="28">
        <v>324</v>
      </c>
      <c r="B325" s="28" t="s">
        <v>3606</v>
      </c>
      <c r="C325" s="28" t="s">
        <v>9901</v>
      </c>
      <c r="D325" s="28" t="s">
        <v>9185</v>
      </c>
      <c r="E325" s="28" t="s">
        <v>9178</v>
      </c>
      <c r="F325" s="28"/>
      <c r="G325" s="28" t="s">
        <v>9902</v>
      </c>
      <c r="H325" s="28"/>
      <c r="I325" s="28" t="s">
        <v>9180</v>
      </c>
      <c r="J325" s="28" t="s">
        <v>9334</v>
      </c>
      <c r="K325" s="28" t="s">
        <v>9218</v>
      </c>
      <c r="L325" s="28" t="s">
        <v>9189</v>
      </c>
    </row>
    <row r="326" spans="1:12">
      <c r="A326" s="29">
        <v>325</v>
      </c>
      <c r="B326" s="29" t="s">
        <v>3046</v>
      </c>
      <c r="C326" s="29" t="s">
        <v>9903</v>
      </c>
      <c r="D326" s="29" t="s">
        <v>9185</v>
      </c>
      <c r="E326" s="29" t="s">
        <v>9178</v>
      </c>
      <c r="F326" s="29"/>
      <c r="G326" s="29" t="s">
        <v>9904</v>
      </c>
      <c r="H326" s="29" t="s">
        <v>9904</v>
      </c>
      <c r="I326" s="29" t="s">
        <v>9180</v>
      </c>
      <c r="J326" s="29" t="s">
        <v>9795</v>
      </c>
      <c r="K326" s="29" t="s">
        <v>9218</v>
      </c>
      <c r="L326" s="29" t="s">
        <v>9189</v>
      </c>
    </row>
    <row r="327" spans="1:12">
      <c r="A327" s="28">
        <v>326</v>
      </c>
      <c r="B327" s="28" t="s">
        <v>3562</v>
      </c>
      <c r="C327" s="28" t="s">
        <v>3563</v>
      </c>
      <c r="D327" s="28" t="s">
        <v>9185</v>
      </c>
      <c r="E327" s="28" t="s">
        <v>9178</v>
      </c>
      <c r="F327" s="28"/>
      <c r="G327" s="28" t="s">
        <v>9905</v>
      </c>
      <c r="H327" s="28" t="s">
        <v>9905</v>
      </c>
      <c r="I327" s="28" t="s">
        <v>9180</v>
      </c>
      <c r="J327" s="28" t="s">
        <v>9626</v>
      </c>
      <c r="K327" s="28" t="s">
        <v>9218</v>
      </c>
      <c r="L327" s="28" t="s">
        <v>9223</v>
      </c>
    </row>
    <row r="328" spans="1:12">
      <c r="A328" s="29">
        <v>327</v>
      </c>
      <c r="B328" s="29" t="s">
        <v>3042</v>
      </c>
      <c r="C328" s="29" t="s">
        <v>9906</v>
      </c>
      <c r="D328" s="29" t="s">
        <v>9185</v>
      </c>
      <c r="E328" s="29" t="s">
        <v>9178</v>
      </c>
      <c r="F328" s="29"/>
      <c r="G328" s="29" t="s">
        <v>9907</v>
      </c>
      <c r="H328" s="29"/>
      <c r="I328" s="29" t="s">
        <v>9180</v>
      </c>
      <c r="J328" s="29" t="s">
        <v>9795</v>
      </c>
      <c r="K328" s="29" t="s">
        <v>9218</v>
      </c>
      <c r="L328" s="29" t="s">
        <v>9189</v>
      </c>
    </row>
    <row r="329" spans="1:12">
      <c r="A329" s="28">
        <v>328</v>
      </c>
      <c r="B329" s="28" t="s">
        <v>3550</v>
      </c>
      <c r="C329" s="28" t="s">
        <v>3551</v>
      </c>
      <c r="D329" s="28" t="s">
        <v>9185</v>
      </c>
      <c r="E329" s="28" t="s">
        <v>9178</v>
      </c>
      <c r="F329" s="28"/>
      <c r="G329" s="28" t="s">
        <v>9908</v>
      </c>
      <c r="H329" s="28"/>
      <c r="I329" s="28" t="s">
        <v>9180</v>
      </c>
      <c r="J329" s="28" t="s">
        <v>9626</v>
      </c>
      <c r="K329" s="28" t="s">
        <v>9218</v>
      </c>
      <c r="L329" s="28" t="s">
        <v>9223</v>
      </c>
    </row>
    <row r="330" spans="1:12">
      <c r="A330" s="29">
        <v>329</v>
      </c>
      <c r="B330" s="29" t="s">
        <v>175</v>
      </c>
      <c r="C330" s="29" t="s">
        <v>9909</v>
      </c>
      <c r="D330" s="29" t="s">
        <v>9185</v>
      </c>
      <c r="E330" s="29" t="s">
        <v>9178</v>
      </c>
      <c r="F330" s="29"/>
      <c r="G330" s="29" t="s">
        <v>9910</v>
      </c>
      <c r="H330" s="29"/>
      <c r="I330" s="29" t="s">
        <v>9180</v>
      </c>
      <c r="J330" s="29" t="s">
        <v>10400</v>
      </c>
      <c r="K330" s="29" t="s">
        <v>9218</v>
      </c>
      <c r="L330" s="29" t="s">
        <v>9189</v>
      </c>
    </row>
    <row r="331" spans="1:12">
      <c r="A331" s="28">
        <v>330</v>
      </c>
      <c r="B331" s="28" t="s">
        <v>3050</v>
      </c>
      <c r="C331" s="28" t="s">
        <v>9911</v>
      </c>
      <c r="D331" s="28" t="s">
        <v>9185</v>
      </c>
      <c r="E331" s="28" t="s">
        <v>9178</v>
      </c>
      <c r="F331" s="28"/>
      <c r="G331" s="28" t="s">
        <v>9912</v>
      </c>
      <c r="H331" s="28" t="s">
        <v>9912</v>
      </c>
      <c r="I331" s="28" t="s">
        <v>9180</v>
      </c>
      <c r="J331" s="28" t="s">
        <v>9795</v>
      </c>
      <c r="K331" s="28" t="s">
        <v>9218</v>
      </c>
      <c r="L331" s="28" t="s">
        <v>9189</v>
      </c>
    </row>
    <row r="332" spans="1:12">
      <c r="A332" s="29">
        <v>331</v>
      </c>
      <c r="B332" s="29" t="s">
        <v>538</v>
      </c>
      <c r="C332" s="29" t="s">
        <v>9913</v>
      </c>
      <c r="D332" s="29" t="s">
        <v>9185</v>
      </c>
      <c r="E332" s="29" t="s">
        <v>9178</v>
      </c>
      <c r="F332" s="29"/>
      <c r="G332" s="29" t="s">
        <v>9914</v>
      </c>
      <c r="H332" s="29" t="s">
        <v>9914</v>
      </c>
      <c r="I332" s="29" t="s">
        <v>9180</v>
      </c>
      <c r="J332" s="29" t="s">
        <v>9915</v>
      </c>
      <c r="K332" s="29" t="s">
        <v>9218</v>
      </c>
      <c r="L332" s="29" t="s">
        <v>9189</v>
      </c>
    </row>
    <row r="333" spans="1:12">
      <c r="A333" s="28">
        <v>332</v>
      </c>
      <c r="B333" s="28" t="s">
        <v>1462</v>
      </c>
      <c r="C333" s="28" t="s">
        <v>9916</v>
      </c>
      <c r="D333" s="28" t="s">
        <v>9185</v>
      </c>
      <c r="E333" s="28" t="s">
        <v>9178</v>
      </c>
      <c r="F333" s="28"/>
      <c r="G333" s="28" t="s">
        <v>9917</v>
      </c>
      <c r="H333" s="28" t="s">
        <v>9917</v>
      </c>
      <c r="I333" s="28" t="s">
        <v>9180</v>
      </c>
      <c r="J333" s="28" t="s">
        <v>9918</v>
      </c>
      <c r="K333" s="28" t="s">
        <v>9218</v>
      </c>
      <c r="L333" s="28" t="s">
        <v>9189</v>
      </c>
    </row>
    <row r="334" spans="1:12">
      <c r="A334" s="29">
        <v>333</v>
      </c>
      <c r="B334" s="29" t="s">
        <v>3371</v>
      </c>
      <c r="C334" s="29" t="s">
        <v>9919</v>
      </c>
      <c r="D334" s="29" t="s">
        <v>9185</v>
      </c>
      <c r="E334" s="29" t="s">
        <v>9178</v>
      </c>
      <c r="F334" s="29"/>
      <c r="G334" s="29" t="s">
        <v>9920</v>
      </c>
      <c r="H334" s="29" t="s">
        <v>9920</v>
      </c>
      <c r="I334" s="29" t="s">
        <v>9180</v>
      </c>
      <c r="J334" s="29" t="s">
        <v>9202</v>
      </c>
      <c r="K334" s="29" t="s">
        <v>9218</v>
      </c>
      <c r="L334" s="29" t="s">
        <v>9189</v>
      </c>
    </row>
    <row r="335" spans="1:12">
      <c r="A335" s="28">
        <v>334</v>
      </c>
      <c r="B335" s="28" t="s">
        <v>3224</v>
      </c>
      <c r="C335" s="28" t="s">
        <v>9921</v>
      </c>
      <c r="D335" s="28" t="s">
        <v>9185</v>
      </c>
      <c r="E335" s="28" t="s">
        <v>9178</v>
      </c>
      <c r="F335" s="28"/>
      <c r="G335" s="28" t="s">
        <v>9922</v>
      </c>
      <c r="H335" s="28"/>
      <c r="I335" s="28" t="s">
        <v>9180</v>
      </c>
      <c r="J335" s="28" t="s">
        <v>9202</v>
      </c>
      <c r="K335" s="28" t="s">
        <v>9218</v>
      </c>
      <c r="L335" s="28" t="s">
        <v>9189</v>
      </c>
    </row>
    <row r="336" spans="1:12">
      <c r="A336" s="29">
        <v>335</v>
      </c>
      <c r="B336" s="29" t="s">
        <v>2647</v>
      </c>
      <c r="C336" s="29" t="s">
        <v>9923</v>
      </c>
      <c r="D336" s="29" t="s">
        <v>9185</v>
      </c>
      <c r="E336" s="29" t="s">
        <v>9178</v>
      </c>
      <c r="F336" s="29"/>
      <c r="G336" s="29" t="s">
        <v>9924</v>
      </c>
      <c r="H336" s="29"/>
      <c r="I336" s="29" t="s">
        <v>9180</v>
      </c>
      <c r="J336" s="29" t="s">
        <v>9377</v>
      </c>
      <c r="K336" s="29" t="s">
        <v>9218</v>
      </c>
      <c r="L336" s="29" t="s">
        <v>9223</v>
      </c>
    </row>
    <row r="337" spans="1:12">
      <c r="A337" s="28">
        <v>336</v>
      </c>
      <c r="B337" s="28" t="s">
        <v>3273</v>
      </c>
      <c r="C337" s="28" t="s">
        <v>9925</v>
      </c>
      <c r="D337" s="28" t="s">
        <v>9185</v>
      </c>
      <c r="E337" s="28" t="s">
        <v>9178</v>
      </c>
      <c r="F337" s="28"/>
      <c r="G337" s="28" t="s">
        <v>9926</v>
      </c>
      <c r="H337" s="28" t="s">
        <v>9204</v>
      </c>
      <c r="I337" s="28" t="s">
        <v>9180</v>
      </c>
      <c r="J337" s="28" t="s">
        <v>9927</v>
      </c>
      <c r="K337" s="28" t="s">
        <v>9218</v>
      </c>
      <c r="L337" s="28" t="s">
        <v>9189</v>
      </c>
    </row>
    <row r="338" spans="1:12">
      <c r="A338" s="29">
        <v>337</v>
      </c>
      <c r="B338" s="29" t="s">
        <v>3277</v>
      </c>
      <c r="C338" s="29" t="s">
        <v>9928</v>
      </c>
      <c r="D338" s="29" t="s">
        <v>9185</v>
      </c>
      <c r="E338" s="29" t="s">
        <v>9178</v>
      </c>
      <c r="F338" s="29"/>
      <c r="G338" s="29" t="s">
        <v>9929</v>
      </c>
      <c r="H338" s="29" t="s">
        <v>9929</v>
      </c>
      <c r="I338" s="29" t="s">
        <v>9180</v>
      </c>
      <c r="J338" s="29" t="s">
        <v>9334</v>
      </c>
      <c r="K338" s="29" t="s">
        <v>9218</v>
      </c>
      <c r="L338" s="29" t="s">
        <v>9189</v>
      </c>
    </row>
    <row r="339" spans="1:12">
      <c r="A339" s="28">
        <v>338</v>
      </c>
      <c r="B339" s="28" t="s">
        <v>3265</v>
      </c>
      <c r="C339" s="28" t="s">
        <v>9930</v>
      </c>
      <c r="D339" s="28" t="s">
        <v>9185</v>
      </c>
      <c r="E339" s="28" t="s">
        <v>9178</v>
      </c>
      <c r="F339" s="28"/>
      <c r="G339" s="28" t="s">
        <v>9931</v>
      </c>
      <c r="H339" s="28"/>
      <c r="I339" s="28" t="s">
        <v>9180</v>
      </c>
      <c r="J339" s="28" t="s">
        <v>9202</v>
      </c>
      <c r="K339" s="28" t="s">
        <v>9218</v>
      </c>
      <c r="L339" s="28" t="s">
        <v>9189</v>
      </c>
    </row>
    <row r="340" spans="1:12">
      <c r="A340" s="29">
        <v>339</v>
      </c>
      <c r="B340" s="29" t="s">
        <v>1023</v>
      </c>
      <c r="C340" s="29" t="s">
        <v>9932</v>
      </c>
      <c r="D340" s="29" t="s">
        <v>9185</v>
      </c>
      <c r="E340" s="29" t="s">
        <v>9178</v>
      </c>
      <c r="F340" s="29"/>
      <c r="G340" s="29" t="s">
        <v>9933</v>
      </c>
      <c r="H340" s="29" t="s">
        <v>9933</v>
      </c>
      <c r="I340" s="29" t="s">
        <v>9180</v>
      </c>
      <c r="J340" s="29" t="s">
        <v>9934</v>
      </c>
      <c r="K340" s="29" t="s">
        <v>9218</v>
      </c>
      <c r="L340" s="29" t="s">
        <v>9189</v>
      </c>
    </row>
    <row r="341" spans="1:12">
      <c r="A341" s="28">
        <v>340</v>
      </c>
      <c r="B341" s="28" t="s">
        <v>1903</v>
      </c>
      <c r="C341" s="28" t="s">
        <v>9935</v>
      </c>
      <c r="D341" s="28" t="s">
        <v>9185</v>
      </c>
      <c r="E341" s="28" t="s">
        <v>9208</v>
      </c>
      <c r="F341" s="28"/>
      <c r="G341" s="28" t="s">
        <v>9936</v>
      </c>
      <c r="H341" s="28"/>
      <c r="I341" s="28" t="s">
        <v>9180</v>
      </c>
      <c r="J341" s="28" t="s">
        <v>9937</v>
      </c>
      <c r="K341" s="28" t="s">
        <v>9218</v>
      </c>
      <c r="L341" s="28" t="s">
        <v>9522</v>
      </c>
    </row>
    <row r="342" spans="1:12">
      <c r="A342" s="29">
        <v>341</v>
      </c>
      <c r="B342" s="29" t="s">
        <v>1637</v>
      </c>
      <c r="C342" s="29" t="s">
        <v>9938</v>
      </c>
      <c r="D342" s="29" t="s">
        <v>9185</v>
      </c>
      <c r="E342" s="29" t="s">
        <v>9178</v>
      </c>
      <c r="F342" s="29"/>
      <c r="G342" s="29" t="s">
        <v>9939</v>
      </c>
      <c r="H342" s="29"/>
      <c r="I342" s="29" t="s">
        <v>9180</v>
      </c>
      <c r="J342" s="29" t="s">
        <v>9940</v>
      </c>
      <c r="K342" s="29" t="s">
        <v>9218</v>
      </c>
      <c r="L342" s="29" t="s">
        <v>9189</v>
      </c>
    </row>
    <row r="343" spans="1:12">
      <c r="A343" s="28">
        <v>342</v>
      </c>
      <c r="B343" s="28" t="s">
        <v>3175</v>
      </c>
      <c r="C343" s="28" t="s">
        <v>9941</v>
      </c>
      <c r="D343" s="28" t="s">
        <v>9185</v>
      </c>
      <c r="E343" s="28" t="s">
        <v>9178</v>
      </c>
      <c r="F343" s="28"/>
      <c r="G343" s="28" t="s">
        <v>9942</v>
      </c>
      <c r="H343" s="28"/>
      <c r="I343" s="28" t="s">
        <v>9180</v>
      </c>
      <c r="J343" s="28" t="s">
        <v>9606</v>
      </c>
      <c r="K343" s="28" t="s">
        <v>9218</v>
      </c>
      <c r="L343" s="28" t="s">
        <v>9189</v>
      </c>
    </row>
    <row r="344" spans="1:12">
      <c r="A344" s="29">
        <v>343</v>
      </c>
      <c r="B344" s="29" t="s">
        <v>2650</v>
      </c>
      <c r="C344" s="29" t="s">
        <v>9943</v>
      </c>
      <c r="D344" s="29" t="s">
        <v>9185</v>
      </c>
      <c r="E344" s="29" t="s">
        <v>9178</v>
      </c>
      <c r="F344" s="29"/>
      <c r="G344" s="29" t="s">
        <v>9944</v>
      </c>
      <c r="H344" s="29"/>
      <c r="I344" s="29" t="s">
        <v>9180</v>
      </c>
      <c r="J344" s="29" t="s">
        <v>9945</v>
      </c>
      <c r="K344" s="29" t="s">
        <v>9218</v>
      </c>
      <c r="L344" s="29" t="s">
        <v>9189</v>
      </c>
    </row>
    <row r="345" spans="1:12">
      <c r="A345" s="28">
        <v>344</v>
      </c>
      <c r="B345" s="28" t="s">
        <v>1345</v>
      </c>
      <c r="C345" s="28" t="s">
        <v>9946</v>
      </c>
      <c r="D345" s="28" t="s">
        <v>9185</v>
      </c>
      <c r="E345" s="28" t="s">
        <v>9178</v>
      </c>
      <c r="F345" s="28"/>
      <c r="G345" s="28" t="s">
        <v>9947</v>
      </c>
      <c r="H345" s="28" t="s">
        <v>9947</v>
      </c>
      <c r="I345" s="28" t="s">
        <v>9180</v>
      </c>
      <c r="J345" s="28" t="s">
        <v>9584</v>
      </c>
      <c r="K345" s="28" t="s">
        <v>9218</v>
      </c>
      <c r="L345" s="28" t="s">
        <v>9189</v>
      </c>
    </row>
    <row r="346" spans="1:12">
      <c r="A346" s="29">
        <v>345</v>
      </c>
      <c r="B346" s="29" t="s">
        <v>2943</v>
      </c>
      <c r="C346" s="29" t="s">
        <v>9948</v>
      </c>
      <c r="D346" s="29" t="s">
        <v>9185</v>
      </c>
      <c r="E346" s="29" t="s">
        <v>9178</v>
      </c>
      <c r="F346" s="29"/>
      <c r="G346" s="29" t="s">
        <v>9949</v>
      </c>
      <c r="H346" s="29" t="s">
        <v>9949</v>
      </c>
      <c r="I346" s="29" t="s">
        <v>9180</v>
      </c>
      <c r="J346" s="29" t="s">
        <v>9950</v>
      </c>
      <c r="K346" s="29" t="s">
        <v>9218</v>
      </c>
      <c r="L346" s="29" t="s">
        <v>9189</v>
      </c>
    </row>
    <row r="347" spans="1:12">
      <c r="A347" s="28">
        <v>346</v>
      </c>
      <c r="B347" s="28" t="s">
        <v>1039</v>
      </c>
      <c r="C347" s="28" t="s">
        <v>9951</v>
      </c>
      <c r="D347" s="28" t="s">
        <v>9185</v>
      </c>
      <c r="E347" s="28" t="s">
        <v>9178</v>
      </c>
      <c r="F347" s="28"/>
      <c r="G347" s="28" t="s">
        <v>9952</v>
      </c>
      <c r="H347" s="28"/>
      <c r="I347" s="28" t="s">
        <v>9180</v>
      </c>
      <c r="J347" s="28" t="s">
        <v>9953</v>
      </c>
      <c r="K347" s="28" t="s">
        <v>9218</v>
      </c>
      <c r="L347" s="28" t="s">
        <v>9189</v>
      </c>
    </row>
    <row r="348" spans="1:12">
      <c r="A348" s="27">
        <v>347</v>
      </c>
      <c r="B348" s="27" t="s">
        <v>3075</v>
      </c>
      <c r="C348" s="27"/>
      <c r="D348" s="27" t="s">
        <v>9177</v>
      </c>
      <c r="E348" s="27" t="s">
        <v>9178</v>
      </c>
      <c r="F348" s="27"/>
      <c r="G348" s="27" t="s">
        <v>9954</v>
      </c>
      <c r="H348" s="27"/>
      <c r="I348" s="27" t="s">
        <v>9180</v>
      </c>
      <c r="J348" s="27" t="s">
        <v>9955</v>
      </c>
      <c r="K348" s="27" t="s">
        <v>9218</v>
      </c>
      <c r="L348" s="27" t="s">
        <v>9183</v>
      </c>
    </row>
    <row r="349" spans="1:12">
      <c r="A349" s="27">
        <v>348</v>
      </c>
      <c r="B349" s="27" t="s">
        <v>2205</v>
      </c>
      <c r="C349" s="27" t="s">
        <v>2206</v>
      </c>
      <c r="D349" s="27" t="s">
        <v>9177</v>
      </c>
      <c r="E349" s="27" t="s">
        <v>9178</v>
      </c>
      <c r="F349" s="27"/>
      <c r="G349" s="27" t="s">
        <v>9956</v>
      </c>
      <c r="H349" s="27"/>
      <c r="I349" s="27" t="s">
        <v>9180</v>
      </c>
      <c r="J349" s="27" t="s">
        <v>9754</v>
      </c>
      <c r="K349" s="27" t="s">
        <v>9218</v>
      </c>
      <c r="L349" s="27" t="s">
        <v>9183</v>
      </c>
    </row>
    <row r="350" spans="1:12">
      <c r="A350" s="27">
        <v>349</v>
      </c>
      <c r="B350" s="27" t="s">
        <v>3066</v>
      </c>
      <c r="C350" s="27"/>
      <c r="D350" s="27" t="s">
        <v>9177</v>
      </c>
      <c r="E350" s="27" t="s">
        <v>9178</v>
      </c>
      <c r="F350" s="27"/>
      <c r="G350" s="27" t="s">
        <v>9957</v>
      </c>
      <c r="H350" s="27"/>
      <c r="I350" s="27" t="s">
        <v>9180</v>
      </c>
      <c r="J350" s="27" t="s">
        <v>9380</v>
      </c>
      <c r="K350" s="27" t="s">
        <v>9218</v>
      </c>
      <c r="L350" s="27" t="s">
        <v>9183</v>
      </c>
    </row>
    <row r="351" spans="1:12">
      <c r="A351" s="28">
        <v>350</v>
      </c>
      <c r="B351" s="28" t="s">
        <v>1103</v>
      </c>
      <c r="C351" s="28" t="s">
        <v>9958</v>
      </c>
      <c r="D351" s="28" t="s">
        <v>9185</v>
      </c>
      <c r="E351" s="28" t="s">
        <v>9178</v>
      </c>
      <c r="F351" s="28"/>
      <c r="G351" s="28" t="s">
        <v>9959</v>
      </c>
      <c r="H351" s="28"/>
      <c r="I351" s="28" t="s">
        <v>9180</v>
      </c>
      <c r="J351" s="28" t="s">
        <v>9960</v>
      </c>
      <c r="K351" s="28" t="s">
        <v>9218</v>
      </c>
      <c r="L351" s="28" t="s">
        <v>9189</v>
      </c>
    </row>
    <row r="352" spans="1:12">
      <c r="A352" s="29">
        <v>351</v>
      </c>
      <c r="B352" s="29" t="s">
        <v>2327</v>
      </c>
      <c r="C352" s="29" t="s">
        <v>2328</v>
      </c>
      <c r="D352" s="29" t="s">
        <v>9185</v>
      </c>
      <c r="E352" s="29" t="s">
        <v>9178</v>
      </c>
      <c r="F352" s="29"/>
      <c r="G352" s="29" t="s">
        <v>9961</v>
      </c>
      <c r="H352" s="29"/>
      <c r="I352" s="29" t="s">
        <v>9180</v>
      </c>
      <c r="J352" s="29" t="s">
        <v>9962</v>
      </c>
      <c r="K352" s="29" t="s">
        <v>9218</v>
      </c>
      <c r="L352" s="29" t="s">
        <v>9189</v>
      </c>
    </row>
    <row r="353" spans="1:12">
      <c r="A353" s="28">
        <v>352</v>
      </c>
      <c r="B353" s="28" t="s">
        <v>955</v>
      </c>
      <c r="C353" s="28" t="s">
        <v>9963</v>
      </c>
      <c r="D353" s="28" t="s">
        <v>9185</v>
      </c>
      <c r="E353" s="28" t="s">
        <v>9336</v>
      </c>
      <c r="F353" s="28"/>
      <c r="G353" s="28" t="s">
        <v>9964</v>
      </c>
      <c r="H353" s="28"/>
      <c r="I353" s="28" t="s">
        <v>9180</v>
      </c>
      <c r="J353" s="28" t="s">
        <v>9965</v>
      </c>
      <c r="K353" s="28" t="s">
        <v>9218</v>
      </c>
      <c r="L353" s="28" t="s">
        <v>9189</v>
      </c>
    </row>
    <row r="354" spans="1:12">
      <c r="A354" s="29">
        <v>353</v>
      </c>
      <c r="B354" s="29" t="s">
        <v>3030</v>
      </c>
      <c r="C354" s="29" t="s">
        <v>9966</v>
      </c>
      <c r="D354" s="29" t="s">
        <v>9185</v>
      </c>
      <c r="E354" s="29" t="s">
        <v>9178</v>
      </c>
      <c r="F354" s="29"/>
      <c r="G354" s="29" t="s">
        <v>9967</v>
      </c>
      <c r="H354" s="29"/>
      <c r="I354" s="29" t="s">
        <v>9180</v>
      </c>
      <c r="J354" s="29" t="s">
        <v>9968</v>
      </c>
      <c r="K354" s="29" t="s">
        <v>9218</v>
      </c>
      <c r="L354" s="29" t="s">
        <v>9189</v>
      </c>
    </row>
    <row r="355" spans="1:12">
      <c r="A355" s="28">
        <v>354</v>
      </c>
      <c r="B355" s="28" t="s">
        <v>2987</v>
      </c>
      <c r="C355" s="28" t="s">
        <v>2988</v>
      </c>
      <c r="D355" s="28" t="s">
        <v>9185</v>
      </c>
      <c r="E355" s="28" t="s">
        <v>9178</v>
      </c>
      <c r="F355" s="28"/>
      <c r="G355" s="28" t="s">
        <v>9969</v>
      </c>
      <c r="H355" s="28" t="s">
        <v>9969</v>
      </c>
      <c r="I355" s="28" t="s">
        <v>9180</v>
      </c>
      <c r="J355" s="28" t="s">
        <v>9306</v>
      </c>
      <c r="K355" s="28" t="s">
        <v>9218</v>
      </c>
      <c r="L355" s="28" t="s">
        <v>9223</v>
      </c>
    </row>
    <row r="356" spans="1:12">
      <c r="A356" s="29">
        <v>355</v>
      </c>
      <c r="B356" s="29" t="s">
        <v>2022</v>
      </c>
      <c r="C356" s="29" t="s">
        <v>9970</v>
      </c>
      <c r="D356" s="29" t="s">
        <v>9185</v>
      </c>
      <c r="E356" s="29" t="s">
        <v>9178</v>
      </c>
      <c r="F356" s="29"/>
      <c r="G356" s="29" t="s">
        <v>9971</v>
      </c>
      <c r="H356" s="29" t="s">
        <v>9971</v>
      </c>
      <c r="I356" s="29" t="s">
        <v>9180</v>
      </c>
      <c r="J356" s="29" t="s">
        <v>9795</v>
      </c>
      <c r="K356" s="29" t="s">
        <v>9218</v>
      </c>
      <c r="L356" s="29" t="s">
        <v>9189</v>
      </c>
    </row>
    <row r="357" spans="1:12">
      <c r="A357" s="28">
        <v>356</v>
      </c>
      <c r="B357" s="28" t="s">
        <v>1555</v>
      </c>
      <c r="C357" s="28"/>
      <c r="D357" s="28" t="s">
        <v>9185</v>
      </c>
      <c r="E357" s="28" t="s">
        <v>9178</v>
      </c>
      <c r="F357" s="28"/>
      <c r="G357" s="28" t="s">
        <v>9972</v>
      </c>
      <c r="H357" s="28" t="s">
        <v>9972</v>
      </c>
      <c r="I357" s="28" t="s">
        <v>9180</v>
      </c>
      <c r="J357" s="28" t="s">
        <v>9973</v>
      </c>
      <c r="K357" s="28" t="s">
        <v>9218</v>
      </c>
      <c r="L357" s="28" t="s">
        <v>9223</v>
      </c>
    </row>
    <row r="358" spans="1:12">
      <c r="A358" s="29">
        <v>357</v>
      </c>
      <c r="B358" s="29" t="s">
        <v>2094</v>
      </c>
      <c r="C358" s="29" t="s">
        <v>9974</v>
      </c>
      <c r="D358" s="29" t="s">
        <v>9185</v>
      </c>
      <c r="E358" s="29" t="s">
        <v>9178</v>
      </c>
      <c r="F358" s="29"/>
      <c r="G358" s="29" t="s">
        <v>9975</v>
      </c>
      <c r="H358" s="29" t="s">
        <v>9975</v>
      </c>
      <c r="I358" s="29" t="s">
        <v>9180</v>
      </c>
      <c r="J358" s="29" t="s">
        <v>9962</v>
      </c>
      <c r="K358" s="29" t="s">
        <v>9218</v>
      </c>
      <c r="L358" s="29" t="s">
        <v>9189</v>
      </c>
    </row>
    <row r="359" spans="1:12">
      <c r="A359" s="27">
        <v>358</v>
      </c>
      <c r="B359" s="27" t="s">
        <v>1534</v>
      </c>
      <c r="C359" s="27" t="s">
        <v>9976</v>
      </c>
      <c r="D359" s="27" t="s">
        <v>9177</v>
      </c>
      <c r="E359" s="27" t="s">
        <v>9178</v>
      </c>
      <c r="F359" s="27"/>
      <c r="G359" s="27" t="s">
        <v>9977</v>
      </c>
      <c r="H359" s="27"/>
      <c r="I359" s="27" t="s">
        <v>9180</v>
      </c>
      <c r="J359" s="27" t="s">
        <v>9978</v>
      </c>
      <c r="K359" s="27" t="s">
        <v>9218</v>
      </c>
      <c r="L359" s="27" t="s">
        <v>9196</v>
      </c>
    </row>
    <row r="360" spans="1:12">
      <c r="A360" s="27">
        <v>359</v>
      </c>
      <c r="B360" s="27" t="s">
        <v>2150</v>
      </c>
      <c r="C360" s="27" t="s">
        <v>9979</v>
      </c>
      <c r="D360" s="27" t="s">
        <v>9177</v>
      </c>
      <c r="E360" s="27" t="s">
        <v>9178</v>
      </c>
      <c r="F360" s="27"/>
      <c r="G360" s="27" t="s">
        <v>9980</v>
      </c>
      <c r="H360" s="27"/>
      <c r="I360" s="27" t="s">
        <v>9180</v>
      </c>
      <c r="J360" s="27" t="s">
        <v>9962</v>
      </c>
      <c r="K360" s="27" t="s">
        <v>9218</v>
      </c>
      <c r="L360" s="27" t="s">
        <v>9196</v>
      </c>
    </row>
    <row r="361" spans="1:12">
      <c r="A361" s="28">
        <v>360</v>
      </c>
      <c r="B361" s="28" t="s">
        <v>2937</v>
      </c>
      <c r="C361" s="28" t="s">
        <v>9981</v>
      </c>
      <c r="D361" s="28" t="s">
        <v>9185</v>
      </c>
      <c r="E361" s="28" t="s">
        <v>9178</v>
      </c>
      <c r="F361" s="28"/>
      <c r="G361" s="28" t="s">
        <v>9982</v>
      </c>
      <c r="H361" s="28"/>
      <c r="I361" s="28" t="s">
        <v>9180</v>
      </c>
      <c r="J361" s="28" t="s">
        <v>9760</v>
      </c>
      <c r="K361" s="28" t="s">
        <v>9218</v>
      </c>
      <c r="L361" s="28" t="s">
        <v>9189</v>
      </c>
    </row>
    <row r="362" spans="1:12">
      <c r="A362" s="29">
        <v>361</v>
      </c>
      <c r="B362" s="29" t="s">
        <v>9983</v>
      </c>
      <c r="C362" s="29" t="s">
        <v>9984</v>
      </c>
      <c r="D362" s="29" t="s">
        <v>9185</v>
      </c>
      <c r="E362" s="29" t="s">
        <v>9178</v>
      </c>
      <c r="F362" s="29"/>
      <c r="G362" s="29" t="s">
        <v>9985</v>
      </c>
      <c r="H362" s="29"/>
      <c r="I362" s="29" t="s">
        <v>9180</v>
      </c>
      <c r="J362" s="29" t="s">
        <v>9210</v>
      </c>
      <c r="K362" s="29" t="s">
        <v>9218</v>
      </c>
      <c r="L362" s="29" t="s">
        <v>9189</v>
      </c>
    </row>
    <row r="363" spans="1:12">
      <c r="A363" s="28">
        <v>362</v>
      </c>
      <c r="B363" s="28" t="s">
        <v>2867</v>
      </c>
      <c r="C363" s="28" t="s">
        <v>9986</v>
      </c>
      <c r="D363" s="28" t="s">
        <v>9185</v>
      </c>
      <c r="E363" s="28" t="s">
        <v>9178</v>
      </c>
      <c r="F363" s="28"/>
      <c r="G363" s="28" t="s">
        <v>9987</v>
      </c>
      <c r="H363" s="28"/>
      <c r="I363" s="28" t="s">
        <v>9180</v>
      </c>
      <c r="J363" s="28" t="s">
        <v>9380</v>
      </c>
      <c r="K363" s="28" t="s">
        <v>9218</v>
      </c>
      <c r="L363" s="28" t="s">
        <v>9189</v>
      </c>
    </row>
    <row r="364" spans="1:12">
      <c r="A364" s="29">
        <v>363</v>
      </c>
      <c r="B364" s="29" t="s">
        <v>2871</v>
      </c>
      <c r="C364" s="29" t="s">
        <v>9988</v>
      </c>
      <c r="D364" s="29" t="s">
        <v>9185</v>
      </c>
      <c r="E364" s="29" t="s">
        <v>9178</v>
      </c>
      <c r="F364" s="29"/>
      <c r="G364" s="29" t="s">
        <v>9989</v>
      </c>
      <c r="H364" s="29"/>
      <c r="I364" s="29" t="s">
        <v>9180</v>
      </c>
      <c r="J364" s="29" t="s">
        <v>9380</v>
      </c>
      <c r="K364" s="29" t="s">
        <v>9218</v>
      </c>
      <c r="L364" s="29" t="s">
        <v>9189</v>
      </c>
    </row>
    <row r="365" spans="1:12">
      <c r="A365" s="27">
        <v>364</v>
      </c>
      <c r="B365" s="27" t="s">
        <v>79</v>
      </c>
      <c r="C365" s="27" t="s">
        <v>80</v>
      </c>
      <c r="D365" s="27" t="s">
        <v>9177</v>
      </c>
      <c r="E365" s="27" t="s">
        <v>9178</v>
      </c>
      <c r="F365" s="27"/>
      <c r="G365" s="27" t="s">
        <v>9990</v>
      </c>
      <c r="H365" s="27"/>
      <c r="I365" s="27" t="s">
        <v>9180</v>
      </c>
      <c r="J365" s="27" t="s">
        <v>12258</v>
      </c>
      <c r="K365" s="27" t="s">
        <v>9218</v>
      </c>
      <c r="L365" s="27" t="s">
        <v>9183</v>
      </c>
    </row>
    <row r="366" spans="1:12">
      <c r="A366" s="29">
        <v>365</v>
      </c>
      <c r="B366" s="29" t="s">
        <v>796</v>
      </c>
      <c r="C366" s="29" t="s">
        <v>9992</v>
      </c>
      <c r="D366" s="29" t="s">
        <v>9185</v>
      </c>
      <c r="E366" s="29" t="s">
        <v>9178</v>
      </c>
      <c r="F366" s="29"/>
      <c r="G366" s="29" t="s">
        <v>9993</v>
      </c>
      <c r="H366" s="29" t="s">
        <v>9993</v>
      </c>
      <c r="I366" s="29" t="s">
        <v>9180</v>
      </c>
      <c r="J366" s="29" t="s">
        <v>9994</v>
      </c>
      <c r="K366" s="29" t="s">
        <v>9218</v>
      </c>
      <c r="L366" s="29" t="s">
        <v>9189</v>
      </c>
    </row>
    <row r="367" spans="1:12">
      <c r="A367" s="28">
        <v>366</v>
      </c>
      <c r="B367" s="28" t="s">
        <v>2853</v>
      </c>
      <c r="C367" s="28" t="s">
        <v>9995</v>
      </c>
      <c r="D367" s="28" t="s">
        <v>9185</v>
      </c>
      <c r="E367" s="28" t="s">
        <v>9178</v>
      </c>
      <c r="F367" s="28"/>
      <c r="G367" s="28" t="s">
        <v>9996</v>
      </c>
      <c r="H367" s="28" t="s">
        <v>9996</v>
      </c>
      <c r="I367" s="28" t="s">
        <v>9180</v>
      </c>
      <c r="J367" s="28" t="s">
        <v>9380</v>
      </c>
      <c r="K367" s="28" t="s">
        <v>9218</v>
      </c>
      <c r="L367" s="28" t="s">
        <v>9189</v>
      </c>
    </row>
    <row r="368" spans="1:12">
      <c r="A368" s="29">
        <v>367</v>
      </c>
      <c r="B368" s="29" t="s">
        <v>269</v>
      </c>
      <c r="C368" s="29" t="s">
        <v>270</v>
      </c>
      <c r="D368" s="29" t="s">
        <v>9185</v>
      </c>
      <c r="E368" s="29" t="s">
        <v>9178</v>
      </c>
      <c r="F368" s="29"/>
      <c r="G368" s="29" t="s">
        <v>9997</v>
      </c>
      <c r="H368" s="29" t="s">
        <v>9997</v>
      </c>
      <c r="I368" s="29" t="s">
        <v>9180</v>
      </c>
      <c r="J368" s="29" t="s">
        <v>9998</v>
      </c>
      <c r="K368" s="29" t="s">
        <v>9218</v>
      </c>
      <c r="L368" s="29" t="s">
        <v>9223</v>
      </c>
    </row>
    <row r="369" spans="1:12">
      <c r="A369" s="27">
        <v>368</v>
      </c>
      <c r="B369" s="27" t="s">
        <v>2823</v>
      </c>
      <c r="C369" s="27" t="s">
        <v>9999</v>
      </c>
      <c r="D369" s="27" t="s">
        <v>9177</v>
      </c>
      <c r="E369" s="27" t="s">
        <v>9178</v>
      </c>
      <c r="F369" s="27"/>
      <c r="G369" s="27" t="s">
        <v>10000</v>
      </c>
      <c r="H369" s="27"/>
      <c r="I369" s="27" t="s">
        <v>9180</v>
      </c>
      <c r="J369" s="27" t="s">
        <v>9968</v>
      </c>
      <c r="K369" s="27" t="s">
        <v>9218</v>
      </c>
      <c r="L369" s="27" t="s">
        <v>9196</v>
      </c>
    </row>
    <row r="370" spans="1:12">
      <c r="A370" s="27">
        <v>369</v>
      </c>
      <c r="B370" s="27" t="s">
        <v>1243</v>
      </c>
      <c r="C370" s="27" t="s">
        <v>10001</v>
      </c>
      <c r="D370" s="27" t="s">
        <v>9177</v>
      </c>
      <c r="E370" s="27" t="s">
        <v>9178</v>
      </c>
      <c r="F370" s="27"/>
      <c r="G370" s="27" t="s">
        <v>10002</v>
      </c>
      <c r="H370" s="27"/>
      <c r="I370" s="27" t="s">
        <v>9180</v>
      </c>
      <c r="J370" s="27" t="s">
        <v>10003</v>
      </c>
      <c r="K370" s="27" t="s">
        <v>9218</v>
      </c>
      <c r="L370" s="27" t="s">
        <v>9196</v>
      </c>
    </row>
    <row r="371" spans="1:12">
      <c r="A371" s="27">
        <v>370</v>
      </c>
      <c r="B371" s="27" t="s">
        <v>2817</v>
      </c>
      <c r="C371" s="27" t="s">
        <v>10004</v>
      </c>
      <c r="D371" s="27" t="s">
        <v>9177</v>
      </c>
      <c r="E371" s="27" t="s">
        <v>9178</v>
      </c>
      <c r="F371" s="27"/>
      <c r="G371" s="27" t="s">
        <v>10005</v>
      </c>
      <c r="H371" s="27"/>
      <c r="I371" s="27" t="s">
        <v>9180</v>
      </c>
      <c r="J371" s="27" t="s">
        <v>9380</v>
      </c>
      <c r="K371" s="27" t="s">
        <v>9218</v>
      </c>
      <c r="L371" s="27" t="s">
        <v>9196</v>
      </c>
    </row>
    <row r="372" spans="1:12">
      <c r="A372" s="27">
        <v>371</v>
      </c>
      <c r="B372" s="27" t="s">
        <v>2698</v>
      </c>
      <c r="C372" s="27" t="s">
        <v>2699</v>
      </c>
      <c r="D372" s="27" t="s">
        <v>9177</v>
      </c>
      <c r="E372" s="27" t="s">
        <v>9178</v>
      </c>
      <c r="F372" s="27"/>
      <c r="G372" s="27" t="s">
        <v>10006</v>
      </c>
      <c r="H372" s="27"/>
      <c r="I372" s="27" t="s">
        <v>9180</v>
      </c>
      <c r="J372" s="27" t="s">
        <v>9626</v>
      </c>
      <c r="K372" s="27" t="s">
        <v>9218</v>
      </c>
      <c r="L372" s="27" t="s">
        <v>9183</v>
      </c>
    </row>
    <row r="373" spans="1:12">
      <c r="A373" s="27">
        <v>372</v>
      </c>
      <c r="B373" s="27" t="s">
        <v>2806</v>
      </c>
      <c r="C373" s="27" t="s">
        <v>10007</v>
      </c>
      <c r="D373" s="27" t="s">
        <v>9177</v>
      </c>
      <c r="E373" s="27" t="s">
        <v>9178</v>
      </c>
      <c r="F373" s="27"/>
      <c r="G373" s="27" t="s">
        <v>10008</v>
      </c>
      <c r="H373" s="27"/>
      <c r="I373" s="27" t="s">
        <v>9180</v>
      </c>
      <c r="J373" s="27" t="s">
        <v>9195</v>
      </c>
      <c r="K373" s="27" t="s">
        <v>9218</v>
      </c>
      <c r="L373" s="27" t="s">
        <v>9196</v>
      </c>
    </row>
    <row r="374" spans="1:12">
      <c r="A374" s="27">
        <v>373</v>
      </c>
      <c r="B374" s="27" t="s">
        <v>2802</v>
      </c>
      <c r="C374" s="27" t="s">
        <v>2803</v>
      </c>
      <c r="D374" s="27" t="s">
        <v>9177</v>
      </c>
      <c r="E374" s="27" t="s">
        <v>9178</v>
      </c>
      <c r="F374" s="27"/>
      <c r="G374" s="27" t="s">
        <v>10009</v>
      </c>
      <c r="H374" s="27"/>
      <c r="I374" s="27" t="s">
        <v>9180</v>
      </c>
      <c r="J374" s="27" t="s">
        <v>9754</v>
      </c>
      <c r="K374" s="27" t="s">
        <v>9218</v>
      </c>
      <c r="L374" s="27" t="s">
        <v>9183</v>
      </c>
    </row>
    <row r="375" spans="1:12">
      <c r="A375" s="27">
        <v>374</v>
      </c>
      <c r="B375" s="27" t="s">
        <v>1539</v>
      </c>
      <c r="C375" s="27" t="s">
        <v>1540</v>
      </c>
      <c r="D375" s="27" t="s">
        <v>9177</v>
      </c>
      <c r="E375" s="27" t="s">
        <v>9178</v>
      </c>
      <c r="F375" s="27"/>
      <c r="G375" s="27" t="s">
        <v>10010</v>
      </c>
      <c r="H375" s="27"/>
      <c r="I375" s="27" t="s">
        <v>9180</v>
      </c>
      <c r="J375" s="27" t="s">
        <v>10011</v>
      </c>
      <c r="K375" s="27" t="s">
        <v>9218</v>
      </c>
      <c r="L375" s="27" t="s">
        <v>9183</v>
      </c>
    </row>
    <row r="376" spans="1:12">
      <c r="A376" s="27">
        <v>375</v>
      </c>
      <c r="B376" s="27" t="s">
        <v>598</v>
      </c>
      <c r="C376" s="27" t="s">
        <v>10012</v>
      </c>
      <c r="D376" s="27" t="s">
        <v>9177</v>
      </c>
      <c r="E376" s="27" t="s">
        <v>9178</v>
      </c>
      <c r="F376" s="27"/>
      <c r="G376" s="27" t="s">
        <v>10013</v>
      </c>
      <c r="H376" s="27"/>
      <c r="I376" s="27" t="s">
        <v>9180</v>
      </c>
      <c r="J376" s="27" t="s">
        <v>10014</v>
      </c>
      <c r="K376" s="27" t="s">
        <v>9218</v>
      </c>
      <c r="L376" s="27" t="s">
        <v>9196</v>
      </c>
    </row>
    <row r="377" spans="1:12">
      <c r="A377" s="27">
        <v>376</v>
      </c>
      <c r="B377" s="27" t="s">
        <v>470</v>
      </c>
      <c r="C377" s="27" t="s">
        <v>10015</v>
      </c>
      <c r="D377" s="27" t="s">
        <v>9177</v>
      </c>
      <c r="E377" s="27" t="s">
        <v>9178</v>
      </c>
      <c r="F377" s="27"/>
      <c r="G377" s="27" t="s">
        <v>10016</v>
      </c>
      <c r="H377" s="27"/>
      <c r="I377" s="27" t="s">
        <v>9180</v>
      </c>
      <c r="J377" s="27" t="s">
        <v>9584</v>
      </c>
      <c r="K377" s="27" t="s">
        <v>9218</v>
      </c>
      <c r="L377" s="27" t="s">
        <v>9196</v>
      </c>
    </row>
    <row r="378" spans="1:12">
      <c r="A378" s="27">
        <v>377</v>
      </c>
      <c r="B378" s="27" t="s">
        <v>2154</v>
      </c>
      <c r="C378" s="27" t="s">
        <v>10017</v>
      </c>
      <c r="D378" s="27" t="s">
        <v>9177</v>
      </c>
      <c r="E378" s="27" t="s">
        <v>9178</v>
      </c>
      <c r="F378" s="27"/>
      <c r="G378" s="27" t="s">
        <v>10018</v>
      </c>
      <c r="H378" s="27"/>
      <c r="I378" s="27" t="s">
        <v>9180</v>
      </c>
      <c r="J378" s="27" t="s">
        <v>9962</v>
      </c>
      <c r="K378" s="27" t="s">
        <v>9218</v>
      </c>
      <c r="L378" s="27" t="s">
        <v>9196</v>
      </c>
    </row>
    <row r="379" spans="1:12">
      <c r="A379" s="27">
        <v>378</v>
      </c>
      <c r="B379" s="27" t="s">
        <v>2772</v>
      </c>
      <c r="C379" s="27" t="s">
        <v>10019</v>
      </c>
      <c r="D379" s="27" t="s">
        <v>9177</v>
      </c>
      <c r="E379" s="27" t="s">
        <v>9178</v>
      </c>
      <c r="F379" s="27"/>
      <c r="G379" s="27" t="s">
        <v>10020</v>
      </c>
      <c r="H379" s="27"/>
      <c r="I379" s="27" t="s">
        <v>9180</v>
      </c>
      <c r="J379" s="27" t="s">
        <v>9309</v>
      </c>
      <c r="K379" s="27" t="s">
        <v>9218</v>
      </c>
      <c r="L379" s="27" t="s">
        <v>9196</v>
      </c>
    </row>
    <row r="380" spans="1:12">
      <c r="A380" s="29">
        <v>379</v>
      </c>
      <c r="B380" s="29" t="s">
        <v>930</v>
      </c>
      <c r="C380" s="29" t="s">
        <v>931</v>
      </c>
      <c r="D380" s="29" t="s">
        <v>9185</v>
      </c>
      <c r="E380" s="29" t="s">
        <v>9178</v>
      </c>
      <c r="F380" s="29"/>
      <c r="G380" s="29" t="s">
        <v>10021</v>
      </c>
      <c r="H380" s="29"/>
      <c r="I380" s="29" t="s">
        <v>9180</v>
      </c>
      <c r="J380" s="29" t="s">
        <v>10022</v>
      </c>
      <c r="K380" s="29" t="s">
        <v>9218</v>
      </c>
      <c r="L380" s="29" t="s">
        <v>9223</v>
      </c>
    </row>
    <row r="381" spans="1:12">
      <c r="A381" s="28">
        <v>380</v>
      </c>
      <c r="B381" s="28" t="s">
        <v>2676</v>
      </c>
      <c r="C381" s="28" t="s">
        <v>10023</v>
      </c>
      <c r="D381" s="28" t="s">
        <v>9185</v>
      </c>
      <c r="E381" s="28" t="s">
        <v>9178</v>
      </c>
      <c r="F381" s="28"/>
      <c r="G381" s="28" t="s">
        <v>10024</v>
      </c>
      <c r="H381" s="28" t="s">
        <v>10024</v>
      </c>
      <c r="I381" s="28" t="s">
        <v>9180</v>
      </c>
      <c r="J381" s="28" t="s">
        <v>9380</v>
      </c>
      <c r="K381" s="28" t="s">
        <v>9218</v>
      </c>
      <c r="L381" s="28" t="s">
        <v>9189</v>
      </c>
    </row>
    <row r="382" spans="1:12">
      <c r="A382" s="29">
        <v>381</v>
      </c>
      <c r="B382" s="29" t="s">
        <v>2672</v>
      </c>
      <c r="C382" s="29" t="s">
        <v>2673</v>
      </c>
      <c r="D382" s="29" t="s">
        <v>9185</v>
      </c>
      <c r="E382" s="29" t="s">
        <v>9178</v>
      </c>
      <c r="F382" s="29"/>
      <c r="G382" s="29" t="s">
        <v>10025</v>
      </c>
      <c r="H382" s="29" t="s">
        <v>10025</v>
      </c>
      <c r="I382" s="29" t="s">
        <v>9180</v>
      </c>
      <c r="J382" s="29" t="s">
        <v>9832</v>
      </c>
      <c r="K382" s="29" t="s">
        <v>9218</v>
      </c>
      <c r="L382" s="29" t="s">
        <v>9223</v>
      </c>
    </row>
    <row r="383" spans="1:12">
      <c r="A383" s="28">
        <v>382</v>
      </c>
      <c r="B383" s="28" t="s">
        <v>894</v>
      </c>
      <c r="C383" s="28" t="s">
        <v>10026</v>
      </c>
      <c r="D383" s="28" t="s">
        <v>9185</v>
      </c>
      <c r="E383" s="28" t="s">
        <v>9178</v>
      </c>
      <c r="F383" s="28"/>
      <c r="G383" s="28" t="s">
        <v>10027</v>
      </c>
      <c r="H383" s="28"/>
      <c r="I383" s="28" t="s">
        <v>9180</v>
      </c>
      <c r="J383" s="28" t="s">
        <v>9998</v>
      </c>
      <c r="K383" s="28" t="s">
        <v>9218</v>
      </c>
      <c r="L383" s="28" t="s">
        <v>9223</v>
      </c>
    </row>
    <row r="384" spans="1:12">
      <c r="A384" s="29">
        <v>383</v>
      </c>
      <c r="B384" s="29" t="s">
        <v>2664</v>
      </c>
      <c r="C384" s="29" t="s">
        <v>10028</v>
      </c>
      <c r="D384" s="29" t="s">
        <v>9185</v>
      </c>
      <c r="E384" s="29" t="s">
        <v>9178</v>
      </c>
      <c r="F384" s="29"/>
      <c r="G384" s="29" t="s">
        <v>10029</v>
      </c>
      <c r="H384" s="29"/>
      <c r="I384" s="29" t="s">
        <v>9180</v>
      </c>
      <c r="J384" s="29" t="s">
        <v>9380</v>
      </c>
      <c r="K384" s="29" t="s">
        <v>9218</v>
      </c>
      <c r="L384" s="29" t="s">
        <v>9189</v>
      </c>
    </row>
    <row r="385" spans="1:12">
      <c r="A385" s="28">
        <v>384</v>
      </c>
      <c r="B385" s="28" t="s">
        <v>811</v>
      </c>
      <c r="C385" s="28" t="s">
        <v>812</v>
      </c>
      <c r="D385" s="28" t="s">
        <v>9185</v>
      </c>
      <c r="E385" s="28" t="s">
        <v>9178</v>
      </c>
      <c r="F385" s="28"/>
      <c r="G385" s="28" t="s">
        <v>10030</v>
      </c>
      <c r="H385" s="28"/>
      <c r="I385" s="28" t="s">
        <v>9180</v>
      </c>
      <c r="J385" s="28" t="s">
        <v>10031</v>
      </c>
      <c r="K385" s="28" t="s">
        <v>9218</v>
      </c>
      <c r="L385" s="28" t="s">
        <v>9223</v>
      </c>
    </row>
    <row r="386" spans="1:12">
      <c r="A386" s="29">
        <v>385</v>
      </c>
      <c r="B386" s="29" t="s">
        <v>2658</v>
      </c>
      <c r="C386" s="29" t="s">
        <v>10032</v>
      </c>
      <c r="D386" s="29" t="s">
        <v>9185</v>
      </c>
      <c r="E386" s="29" t="s">
        <v>9208</v>
      </c>
      <c r="F386" s="29"/>
      <c r="G386" s="29" t="s">
        <v>10033</v>
      </c>
      <c r="H386" s="29"/>
      <c r="I386" s="29" t="s">
        <v>9180</v>
      </c>
      <c r="J386" s="29" t="s">
        <v>9380</v>
      </c>
      <c r="K386" s="29" t="s">
        <v>9218</v>
      </c>
      <c r="L386" s="29" t="s">
        <v>9522</v>
      </c>
    </row>
    <row r="387" spans="1:12">
      <c r="A387" s="28">
        <v>386</v>
      </c>
      <c r="B387" s="28" t="s">
        <v>2635</v>
      </c>
      <c r="C387" s="28" t="s">
        <v>10034</v>
      </c>
      <c r="D387" s="28" t="s">
        <v>9185</v>
      </c>
      <c r="E387" s="28" t="s">
        <v>9178</v>
      </c>
      <c r="F387" s="28"/>
      <c r="G387" s="28" t="s">
        <v>10035</v>
      </c>
      <c r="H387" s="28"/>
      <c r="I387" s="28" t="s">
        <v>9180</v>
      </c>
      <c r="J387" s="28" t="s">
        <v>9788</v>
      </c>
      <c r="K387" s="28" t="s">
        <v>9218</v>
      </c>
      <c r="L387" s="28" t="s">
        <v>9189</v>
      </c>
    </row>
    <row r="388" spans="1:12">
      <c r="A388" s="29">
        <v>387</v>
      </c>
      <c r="B388" s="29" t="s">
        <v>2630</v>
      </c>
      <c r="C388" s="29" t="s">
        <v>2631</v>
      </c>
      <c r="D388" s="29" t="s">
        <v>9185</v>
      </c>
      <c r="E388" s="29" t="s">
        <v>9178</v>
      </c>
      <c r="F388" s="29"/>
      <c r="G388" s="29" t="s">
        <v>10036</v>
      </c>
      <c r="H388" s="29"/>
      <c r="I388" s="29" t="s">
        <v>9180</v>
      </c>
      <c r="J388" s="29" t="s">
        <v>9832</v>
      </c>
      <c r="K388" s="29" t="s">
        <v>9218</v>
      </c>
      <c r="L388" s="29" t="s">
        <v>9223</v>
      </c>
    </row>
    <row r="389" spans="1:12">
      <c r="A389" s="27">
        <v>388</v>
      </c>
      <c r="B389" s="27" t="s">
        <v>2614</v>
      </c>
      <c r="C389" s="27" t="s">
        <v>9436</v>
      </c>
      <c r="D389" s="27" t="s">
        <v>9177</v>
      </c>
      <c r="E389" s="27" t="s">
        <v>9178</v>
      </c>
      <c r="F389" s="27"/>
      <c r="G389" s="27" t="s">
        <v>10037</v>
      </c>
      <c r="H389" s="27" t="s">
        <v>10037</v>
      </c>
      <c r="I389" s="27" t="s">
        <v>9180</v>
      </c>
      <c r="J389" s="27" t="s">
        <v>9760</v>
      </c>
      <c r="K389" s="27" t="s">
        <v>9218</v>
      </c>
      <c r="L389" s="27" t="s">
        <v>9196</v>
      </c>
    </row>
    <row r="390" spans="1:12">
      <c r="A390" s="29">
        <v>389</v>
      </c>
      <c r="B390" s="29" t="s">
        <v>2610</v>
      </c>
      <c r="C390" s="29" t="s">
        <v>2611</v>
      </c>
      <c r="D390" s="29" t="s">
        <v>9185</v>
      </c>
      <c r="E390" s="29" t="s">
        <v>9178</v>
      </c>
      <c r="F390" s="29"/>
      <c r="G390" s="29" t="s">
        <v>10038</v>
      </c>
      <c r="H390" s="29" t="s">
        <v>10038</v>
      </c>
      <c r="I390" s="29" t="s">
        <v>9180</v>
      </c>
      <c r="J390" s="29" t="s">
        <v>9832</v>
      </c>
      <c r="K390" s="29" t="s">
        <v>9218</v>
      </c>
      <c r="L390" s="29" t="s">
        <v>9223</v>
      </c>
    </row>
    <row r="391" spans="1:12">
      <c r="A391" s="28">
        <v>390</v>
      </c>
      <c r="B391" s="28" t="s">
        <v>1422</v>
      </c>
      <c r="C391" s="28" t="s">
        <v>10039</v>
      </c>
      <c r="D391" s="28" t="s">
        <v>9185</v>
      </c>
      <c r="E391" s="28" t="s">
        <v>9178</v>
      </c>
      <c r="F391" s="28"/>
      <c r="G391" s="28" t="s">
        <v>10040</v>
      </c>
      <c r="H391" s="28" t="s">
        <v>10040</v>
      </c>
      <c r="I391" s="28" t="s">
        <v>9180</v>
      </c>
      <c r="J391" s="28" t="s">
        <v>10041</v>
      </c>
      <c r="K391" s="28" t="s">
        <v>9218</v>
      </c>
      <c r="L391" s="28" t="s">
        <v>9189</v>
      </c>
    </row>
    <row r="392" spans="1:12">
      <c r="A392" s="29">
        <v>391</v>
      </c>
      <c r="B392" s="29" t="s">
        <v>2537</v>
      </c>
      <c r="C392" s="29" t="s">
        <v>2538</v>
      </c>
      <c r="D392" s="29" t="s">
        <v>9185</v>
      </c>
      <c r="E392" s="29" t="s">
        <v>9178</v>
      </c>
      <c r="F392" s="29"/>
      <c r="G392" s="29" t="s">
        <v>10042</v>
      </c>
      <c r="H392" s="29"/>
      <c r="I392" s="29" t="s">
        <v>9180</v>
      </c>
      <c r="J392" s="29" t="s">
        <v>9626</v>
      </c>
      <c r="K392" s="29" t="s">
        <v>9218</v>
      </c>
      <c r="L392" s="29" t="s">
        <v>9223</v>
      </c>
    </row>
    <row r="393" spans="1:12">
      <c r="A393" s="28">
        <v>392</v>
      </c>
      <c r="B393" s="28" t="s">
        <v>2533</v>
      </c>
      <c r="C393" s="28" t="s">
        <v>10043</v>
      </c>
      <c r="D393" s="28" t="s">
        <v>9185</v>
      </c>
      <c r="E393" s="28" t="s">
        <v>9178</v>
      </c>
      <c r="F393" s="28"/>
      <c r="G393" s="28" t="s">
        <v>10044</v>
      </c>
      <c r="H393" s="28"/>
      <c r="I393" s="28" t="s">
        <v>9180</v>
      </c>
      <c r="J393" s="28" t="s">
        <v>9380</v>
      </c>
      <c r="K393" s="28" t="s">
        <v>9218</v>
      </c>
      <c r="L393" s="28" t="s">
        <v>9189</v>
      </c>
    </row>
    <row r="394" spans="1:12">
      <c r="A394" s="29">
        <v>393</v>
      </c>
      <c r="B394" s="29" t="s">
        <v>128</v>
      </c>
      <c r="C394" s="29" t="s">
        <v>10045</v>
      </c>
      <c r="D394" s="29" t="s">
        <v>9185</v>
      </c>
      <c r="E394" s="29" t="s">
        <v>9178</v>
      </c>
      <c r="F394" s="29"/>
      <c r="G394" s="29" t="s">
        <v>10046</v>
      </c>
      <c r="H394" s="29"/>
      <c r="I394" s="29" t="s">
        <v>9180</v>
      </c>
      <c r="J394" s="29" t="s">
        <v>9681</v>
      </c>
      <c r="K394" s="29" t="s">
        <v>9218</v>
      </c>
      <c r="L394" s="29" t="s">
        <v>9189</v>
      </c>
    </row>
    <row r="395" spans="1:12">
      <c r="A395" s="28">
        <v>394</v>
      </c>
      <c r="B395" s="28" t="s">
        <v>2016</v>
      </c>
      <c r="C395" s="28" t="s">
        <v>2017</v>
      </c>
      <c r="D395" s="28" t="s">
        <v>9185</v>
      </c>
      <c r="E395" s="28" t="s">
        <v>9178</v>
      </c>
      <c r="F395" s="28"/>
      <c r="G395" s="28" t="s">
        <v>10047</v>
      </c>
      <c r="H395" s="28"/>
      <c r="I395" s="28" t="s">
        <v>9180</v>
      </c>
      <c r="J395" s="28" t="s">
        <v>9962</v>
      </c>
      <c r="K395" s="28" t="s">
        <v>9218</v>
      </c>
      <c r="L395" s="28" t="s">
        <v>9189</v>
      </c>
    </row>
    <row r="396" spans="1:12">
      <c r="A396" s="29">
        <v>395</v>
      </c>
      <c r="B396" s="29" t="s">
        <v>2513</v>
      </c>
      <c r="C396" s="29" t="s">
        <v>10048</v>
      </c>
      <c r="D396" s="29" t="s">
        <v>9185</v>
      </c>
      <c r="E396" s="29" t="s">
        <v>9178</v>
      </c>
      <c r="F396" s="29"/>
      <c r="G396" s="29" t="s">
        <v>10049</v>
      </c>
      <c r="H396" s="29"/>
      <c r="I396" s="29" t="s">
        <v>9180</v>
      </c>
      <c r="J396" s="29" t="s">
        <v>9380</v>
      </c>
      <c r="K396" s="29" t="s">
        <v>9218</v>
      </c>
      <c r="L396" s="29" t="s">
        <v>9189</v>
      </c>
    </row>
    <row r="397" spans="1:12">
      <c r="A397" s="28">
        <v>396</v>
      </c>
      <c r="B397" s="28" t="s">
        <v>1229</v>
      </c>
      <c r="C397" s="28" t="s">
        <v>10050</v>
      </c>
      <c r="D397" s="28" t="s">
        <v>9185</v>
      </c>
      <c r="E397" s="28" t="s">
        <v>9178</v>
      </c>
      <c r="F397" s="28"/>
      <c r="G397" s="28" t="s">
        <v>10051</v>
      </c>
      <c r="H397" s="28"/>
      <c r="I397" s="28" t="s">
        <v>9180</v>
      </c>
      <c r="J397" s="28" t="s">
        <v>10052</v>
      </c>
      <c r="K397" s="28" t="s">
        <v>9218</v>
      </c>
      <c r="L397" s="28" t="s">
        <v>9189</v>
      </c>
    </row>
    <row r="398" spans="1:12">
      <c r="A398" s="29">
        <v>397</v>
      </c>
      <c r="B398" s="29" t="s">
        <v>627</v>
      </c>
      <c r="C398" s="29" t="s">
        <v>10053</v>
      </c>
      <c r="D398" s="29" t="s">
        <v>9185</v>
      </c>
      <c r="E398" s="29" t="s">
        <v>9178</v>
      </c>
      <c r="F398" s="29"/>
      <c r="G398" s="29" t="s">
        <v>10054</v>
      </c>
      <c r="H398" s="29" t="s">
        <v>10054</v>
      </c>
      <c r="I398" s="29" t="s">
        <v>9180</v>
      </c>
      <c r="J398" s="29" t="s">
        <v>9955</v>
      </c>
      <c r="K398" s="29" t="s">
        <v>9218</v>
      </c>
      <c r="L398" s="29" t="s">
        <v>9189</v>
      </c>
    </row>
    <row r="399" spans="1:12">
      <c r="A399" s="28">
        <v>398</v>
      </c>
      <c r="B399" s="28" t="s">
        <v>334</v>
      </c>
      <c r="C399" s="28" t="s">
        <v>10055</v>
      </c>
      <c r="D399" s="28" t="s">
        <v>9185</v>
      </c>
      <c r="E399" s="28" t="s">
        <v>9178</v>
      </c>
      <c r="F399" s="28"/>
      <c r="G399" s="28" t="s">
        <v>10056</v>
      </c>
      <c r="H399" s="28" t="s">
        <v>10056</v>
      </c>
      <c r="I399" s="28" t="s">
        <v>9180</v>
      </c>
      <c r="J399" s="28" t="s">
        <v>10057</v>
      </c>
      <c r="K399" s="28" t="s">
        <v>9218</v>
      </c>
      <c r="L399" s="28" t="s">
        <v>9189</v>
      </c>
    </row>
    <row r="400" spans="1:12">
      <c r="A400" s="27">
        <v>399</v>
      </c>
      <c r="B400" s="27" t="s">
        <v>2422</v>
      </c>
      <c r="C400" s="27" t="s">
        <v>10058</v>
      </c>
      <c r="D400" s="27" t="s">
        <v>9177</v>
      </c>
      <c r="E400" s="27" t="s">
        <v>9178</v>
      </c>
      <c r="F400" s="27"/>
      <c r="G400" s="27" t="s">
        <v>10059</v>
      </c>
      <c r="H400" s="27" t="s">
        <v>10059</v>
      </c>
      <c r="I400" s="27" t="s">
        <v>9180</v>
      </c>
      <c r="J400" s="27" t="s">
        <v>9251</v>
      </c>
      <c r="K400" s="27" t="s">
        <v>9218</v>
      </c>
      <c r="L400" s="27" t="s">
        <v>9196</v>
      </c>
    </row>
    <row r="401" spans="1:12">
      <c r="A401" s="28">
        <v>400</v>
      </c>
      <c r="B401" s="28" t="s">
        <v>2406</v>
      </c>
      <c r="C401" s="28" t="s">
        <v>2407</v>
      </c>
      <c r="D401" s="28" t="s">
        <v>9185</v>
      </c>
      <c r="E401" s="28" t="s">
        <v>9178</v>
      </c>
      <c r="F401" s="28"/>
      <c r="G401" s="28" t="s">
        <v>10060</v>
      </c>
      <c r="H401" s="28"/>
      <c r="I401" s="28" t="s">
        <v>9180</v>
      </c>
      <c r="J401" s="28" t="s">
        <v>9626</v>
      </c>
      <c r="K401" s="28" t="s">
        <v>9218</v>
      </c>
      <c r="L401" s="28" t="s">
        <v>9223</v>
      </c>
    </row>
    <row r="402" spans="1:12">
      <c r="A402" s="29">
        <v>401</v>
      </c>
      <c r="B402" s="29" t="s">
        <v>1951</v>
      </c>
      <c r="C402" s="29" t="s">
        <v>1952</v>
      </c>
      <c r="D402" s="29" t="s">
        <v>9185</v>
      </c>
      <c r="E402" s="29" t="s">
        <v>9208</v>
      </c>
      <c r="F402" s="29"/>
      <c r="G402" s="29" t="s">
        <v>10061</v>
      </c>
      <c r="H402" s="29"/>
      <c r="I402" s="29" t="s">
        <v>9180</v>
      </c>
      <c r="J402" s="29" t="s">
        <v>9466</v>
      </c>
      <c r="K402" s="29" t="s">
        <v>9218</v>
      </c>
      <c r="L402" s="29" t="s">
        <v>9212</v>
      </c>
    </row>
    <row r="403" spans="1:12">
      <c r="A403" s="28">
        <v>402</v>
      </c>
      <c r="B403" s="28" t="s">
        <v>2122</v>
      </c>
      <c r="C403" s="28" t="s">
        <v>2123</v>
      </c>
      <c r="D403" s="28" t="s">
        <v>9185</v>
      </c>
      <c r="E403" s="28" t="s">
        <v>9178</v>
      </c>
      <c r="F403" s="28"/>
      <c r="G403" s="28" t="s">
        <v>10062</v>
      </c>
      <c r="H403" s="28"/>
      <c r="I403" s="28" t="s">
        <v>9180</v>
      </c>
      <c r="J403" s="28" t="s">
        <v>10063</v>
      </c>
      <c r="K403" s="28" t="s">
        <v>9218</v>
      </c>
      <c r="L403" s="28" t="s">
        <v>9223</v>
      </c>
    </row>
    <row r="404" spans="1:12">
      <c r="A404" s="29">
        <v>403</v>
      </c>
      <c r="B404" s="29" t="s">
        <v>1474</v>
      </c>
      <c r="C404" s="29" t="s">
        <v>10064</v>
      </c>
      <c r="D404" s="29" t="s">
        <v>9185</v>
      </c>
      <c r="E404" s="29" t="s">
        <v>9178</v>
      </c>
      <c r="F404" s="29"/>
      <c r="G404" s="29" t="s">
        <v>10065</v>
      </c>
      <c r="H404" s="29"/>
      <c r="I404" s="29" t="s">
        <v>9180</v>
      </c>
      <c r="J404" s="29" t="s">
        <v>10066</v>
      </c>
      <c r="K404" s="29" t="s">
        <v>9218</v>
      </c>
      <c r="L404" s="29" t="s">
        <v>9189</v>
      </c>
    </row>
    <row r="405" spans="1:12">
      <c r="A405" s="27">
        <v>404</v>
      </c>
      <c r="B405" s="27" t="s">
        <v>2368</v>
      </c>
      <c r="C405" s="27" t="s">
        <v>10067</v>
      </c>
      <c r="D405" s="27" t="s">
        <v>9177</v>
      </c>
      <c r="E405" s="27" t="s">
        <v>9178</v>
      </c>
      <c r="F405" s="27"/>
      <c r="G405" s="27" t="s">
        <v>10068</v>
      </c>
      <c r="H405" s="27" t="s">
        <v>10068</v>
      </c>
      <c r="I405" s="27" t="s">
        <v>9180</v>
      </c>
      <c r="J405" s="27" t="s">
        <v>9334</v>
      </c>
      <c r="K405" s="27" t="s">
        <v>9218</v>
      </c>
      <c r="L405" s="27" t="s">
        <v>9196</v>
      </c>
    </row>
    <row r="406" spans="1:12">
      <c r="A406" s="29">
        <v>405</v>
      </c>
      <c r="B406" s="29" t="s">
        <v>2353</v>
      </c>
      <c r="C406" s="29" t="s">
        <v>10069</v>
      </c>
      <c r="D406" s="29" t="s">
        <v>9185</v>
      </c>
      <c r="E406" s="29" t="s">
        <v>9178</v>
      </c>
      <c r="F406" s="29"/>
      <c r="G406" s="29" t="s">
        <v>10070</v>
      </c>
      <c r="H406" s="29" t="s">
        <v>10051</v>
      </c>
      <c r="I406" s="29" t="s">
        <v>9180</v>
      </c>
      <c r="J406" s="29" t="s">
        <v>9334</v>
      </c>
      <c r="K406" s="29" t="s">
        <v>9218</v>
      </c>
      <c r="L406" s="29" t="s">
        <v>9189</v>
      </c>
    </row>
    <row r="407" spans="1:12">
      <c r="A407" s="28">
        <v>406</v>
      </c>
      <c r="B407" s="28" t="s">
        <v>1410</v>
      </c>
      <c r="C407" s="28" t="s">
        <v>10071</v>
      </c>
      <c r="D407" s="28" t="s">
        <v>9185</v>
      </c>
      <c r="E407" s="28" t="s">
        <v>9178</v>
      </c>
      <c r="F407" s="28"/>
      <c r="G407" s="28" t="s">
        <v>10072</v>
      </c>
      <c r="H407" s="28"/>
      <c r="I407" s="28" t="s">
        <v>9180</v>
      </c>
      <c r="J407" s="28" t="s">
        <v>9466</v>
      </c>
      <c r="K407" s="28" t="s">
        <v>9218</v>
      </c>
      <c r="L407" s="28" t="s">
        <v>9189</v>
      </c>
    </row>
    <row r="408" spans="1:12">
      <c r="A408" s="29">
        <v>407</v>
      </c>
      <c r="B408" s="29" t="s">
        <v>2277</v>
      </c>
      <c r="C408" s="29" t="s">
        <v>10073</v>
      </c>
      <c r="D408" s="29" t="s">
        <v>9185</v>
      </c>
      <c r="E408" s="29" t="s">
        <v>9178</v>
      </c>
      <c r="F408" s="29"/>
      <c r="G408" s="29" t="s">
        <v>10074</v>
      </c>
      <c r="H408" s="29"/>
      <c r="I408" s="29" t="s">
        <v>9180</v>
      </c>
      <c r="J408" s="29" t="s">
        <v>9334</v>
      </c>
      <c r="K408" s="29" t="s">
        <v>9218</v>
      </c>
      <c r="L408" s="29" t="s">
        <v>9189</v>
      </c>
    </row>
    <row r="409" spans="1:12">
      <c r="A409" s="28">
        <v>408</v>
      </c>
      <c r="B409" s="28" t="s">
        <v>2242</v>
      </c>
      <c r="C409" s="28" t="s">
        <v>2243</v>
      </c>
      <c r="D409" s="28" t="s">
        <v>9185</v>
      </c>
      <c r="E409" s="28" t="s">
        <v>9178</v>
      </c>
      <c r="F409" s="28"/>
      <c r="G409" s="28" t="s">
        <v>10075</v>
      </c>
      <c r="H409" s="28"/>
      <c r="I409" s="28" t="s">
        <v>9180</v>
      </c>
      <c r="J409" s="28" t="s">
        <v>10076</v>
      </c>
      <c r="K409" s="28" t="s">
        <v>9218</v>
      </c>
      <c r="L409" s="28" t="s">
        <v>9223</v>
      </c>
    </row>
    <row r="410" spans="1:12">
      <c r="A410" s="29">
        <v>409</v>
      </c>
      <c r="B410" s="29" t="s">
        <v>141</v>
      </c>
      <c r="C410" s="29" t="s">
        <v>10077</v>
      </c>
      <c r="D410" s="29" t="s">
        <v>9185</v>
      </c>
      <c r="E410" s="29" t="s">
        <v>9178</v>
      </c>
      <c r="F410" s="29"/>
      <c r="G410" s="29" t="s">
        <v>10078</v>
      </c>
      <c r="H410" s="29"/>
      <c r="I410" s="29" t="s">
        <v>9180</v>
      </c>
      <c r="J410" s="29" t="s">
        <v>9955</v>
      </c>
      <c r="K410" s="29" t="s">
        <v>9218</v>
      </c>
      <c r="L410" s="29" t="s">
        <v>9189</v>
      </c>
    </row>
    <row r="411" spans="1:12">
      <c r="A411" s="28">
        <v>410</v>
      </c>
      <c r="B411" s="28" t="s">
        <v>2164</v>
      </c>
      <c r="C411" s="28" t="s">
        <v>2165</v>
      </c>
      <c r="D411" s="28" t="s">
        <v>9185</v>
      </c>
      <c r="E411" s="28" t="s">
        <v>9178</v>
      </c>
      <c r="F411" s="28"/>
      <c r="G411" s="28" t="s">
        <v>10079</v>
      </c>
      <c r="H411" s="28"/>
      <c r="I411" s="28" t="s">
        <v>9180</v>
      </c>
      <c r="J411" s="28" t="s">
        <v>9626</v>
      </c>
      <c r="K411" s="28" t="s">
        <v>9218</v>
      </c>
      <c r="L411" s="28" t="s">
        <v>9223</v>
      </c>
    </row>
    <row r="412" spans="1:12">
      <c r="A412" s="29">
        <v>411</v>
      </c>
      <c r="B412" s="29" t="s">
        <v>878</v>
      </c>
      <c r="C412" s="29" t="s">
        <v>10080</v>
      </c>
      <c r="D412" s="29" t="s">
        <v>9185</v>
      </c>
      <c r="E412" s="29" t="s">
        <v>9178</v>
      </c>
      <c r="F412" s="29"/>
      <c r="G412" s="29" t="s">
        <v>10081</v>
      </c>
      <c r="H412" s="29"/>
      <c r="I412" s="29" t="s">
        <v>9180</v>
      </c>
      <c r="J412" s="29" t="s">
        <v>9962</v>
      </c>
      <c r="K412" s="29" t="s">
        <v>9218</v>
      </c>
      <c r="L412" s="29" t="s">
        <v>9189</v>
      </c>
    </row>
    <row r="413" spans="1:12">
      <c r="A413" s="28">
        <v>412</v>
      </c>
      <c r="B413" s="28" t="s">
        <v>1270</v>
      </c>
      <c r="C413" s="28" t="s">
        <v>10082</v>
      </c>
      <c r="D413" s="28" t="s">
        <v>9185</v>
      </c>
      <c r="E413" s="28" t="s">
        <v>9178</v>
      </c>
      <c r="F413" s="28"/>
      <c r="G413" s="28" t="s">
        <v>10083</v>
      </c>
      <c r="H413" s="28"/>
      <c r="I413" s="28" t="s">
        <v>9180</v>
      </c>
      <c r="J413" s="28" t="s">
        <v>10084</v>
      </c>
      <c r="K413" s="28" t="s">
        <v>9218</v>
      </c>
      <c r="L413" s="28" t="s">
        <v>9189</v>
      </c>
    </row>
    <row r="414" spans="1:12">
      <c r="A414" s="29">
        <v>413</v>
      </c>
      <c r="B414" s="29" t="s">
        <v>422</v>
      </c>
      <c r="C414" s="29" t="s">
        <v>423</v>
      </c>
      <c r="D414" s="29" t="s">
        <v>9185</v>
      </c>
      <c r="E414" s="29" t="s">
        <v>9178</v>
      </c>
      <c r="F414" s="29"/>
      <c r="G414" s="29" t="s">
        <v>10085</v>
      </c>
      <c r="H414" s="29"/>
      <c r="I414" s="29" t="s">
        <v>9180</v>
      </c>
      <c r="J414" s="29" t="s">
        <v>10086</v>
      </c>
      <c r="K414" s="29" t="s">
        <v>9218</v>
      </c>
      <c r="L414" s="29" t="s">
        <v>9223</v>
      </c>
    </row>
    <row r="415" spans="1:12">
      <c r="A415" s="28">
        <v>414</v>
      </c>
      <c r="B415" s="28" t="s">
        <v>1957</v>
      </c>
      <c r="C415" s="28" t="s">
        <v>1958</v>
      </c>
      <c r="D415" s="28" t="s">
        <v>9185</v>
      </c>
      <c r="E415" s="28" t="s">
        <v>9178</v>
      </c>
      <c r="F415" s="28"/>
      <c r="G415" s="28" t="s">
        <v>10087</v>
      </c>
      <c r="H415" s="28"/>
      <c r="I415" s="28" t="s">
        <v>9180</v>
      </c>
      <c r="J415" s="28" t="s">
        <v>10088</v>
      </c>
      <c r="K415" s="28" t="s">
        <v>9218</v>
      </c>
      <c r="L415" s="28" t="s">
        <v>9223</v>
      </c>
    </row>
    <row r="416" spans="1:12">
      <c r="A416" s="29">
        <v>415</v>
      </c>
      <c r="B416" s="29" t="s">
        <v>1971</v>
      </c>
      <c r="C416" s="29" t="s">
        <v>1972</v>
      </c>
      <c r="D416" s="29" t="s">
        <v>9185</v>
      </c>
      <c r="E416" s="29" t="s">
        <v>9178</v>
      </c>
      <c r="F416" s="29"/>
      <c r="G416" s="29" t="s">
        <v>10089</v>
      </c>
      <c r="H416" s="29"/>
      <c r="I416" s="29" t="s">
        <v>9180</v>
      </c>
      <c r="J416" s="29" t="s">
        <v>9626</v>
      </c>
      <c r="K416" s="29" t="s">
        <v>9218</v>
      </c>
      <c r="L416" s="29" t="s">
        <v>9223</v>
      </c>
    </row>
    <row r="417" spans="1:12">
      <c r="A417" s="28">
        <v>416</v>
      </c>
      <c r="B417" s="28" t="s">
        <v>1883</v>
      </c>
      <c r="C417" s="28" t="s">
        <v>10090</v>
      </c>
      <c r="D417" s="28" t="s">
        <v>9185</v>
      </c>
      <c r="E417" s="28" t="s">
        <v>9178</v>
      </c>
      <c r="F417" s="28"/>
      <c r="G417" s="28" t="s">
        <v>10091</v>
      </c>
      <c r="H417" s="28"/>
      <c r="I417" s="28" t="s">
        <v>9180</v>
      </c>
      <c r="J417" s="28" t="s">
        <v>10092</v>
      </c>
      <c r="K417" s="28" t="s">
        <v>9218</v>
      </c>
      <c r="L417" s="28" t="s">
        <v>9189</v>
      </c>
    </row>
    <row r="418" spans="1:12">
      <c r="A418" s="27">
        <v>417</v>
      </c>
      <c r="B418" s="27" t="s">
        <v>2742</v>
      </c>
      <c r="C418" s="27" t="s">
        <v>10093</v>
      </c>
      <c r="D418" s="27" t="s">
        <v>9177</v>
      </c>
      <c r="E418" s="27" t="s">
        <v>9178</v>
      </c>
      <c r="F418" s="27"/>
      <c r="G418" s="27" t="s">
        <v>10094</v>
      </c>
      <c r="H418" s="27"/>
      <c r="I418" s="27" t="s">
        <v>9180</v>
      </c>
      <c r="J418" s="27" t="s">
        <v>9968</v>
      </c>
      <c r="K418" s="27" t="s">
        <v>9218</v>
      </c>
      <c r="L418" s="27" t="s">
        <v>9196</v>
      </c>
    </row>
    <row r="419" spans="1:12">
      <c r="A419" s="28">
        <v>418</v>
      </c>
      <c r="B419" s="28" t="s">
        <v>2158</v>
      </c>
      <c r="C419" s="28" t="s">
        <v>10095</v>
      </c>
      <c r="D419" s="28" t="s">
        <v>9185</v>
      </c>
      <c r="E419" s="28" t="s">
        <v>9178</v>
      </c>
      <c r="F419" s="28"/>
      <c r="G419" s="28" t="s">
        <v>10096</v>
      </c>
      <c r="H419" s="28"/>
      <c r="I419" s="28" t="s">
        <v>9180</v>
      </c>
      <c r="J419" s="28" t="s">
        <v>9826</v>
      </c>
      <c r="K419" s="28" t="s">
        <v>9218</v>
      </c>
      <c r="L419" s="28" t="s">
        <v>9189</v>
      </c>
    </row>
    <row r="420" spans="1:12">
      <c r="A420" s="29">
        <v>419</v>
      </c>
      <c r="B420" s="29" t="s">
        <v>1773</v>
      </c>
      <c r="C420" s="29" t="s">
        <v>1774</v>
      </c>
      <c r="D420" s="29" t="s">
        <v>9185</v>
      </c>
      <c r="E420" s="29" t="s">
        <v>9178</v>
      </c>
      <c r="F420" s="29"/>
      <c r="G420" s="29" t="s">
        <v>10097</v>
      </c>
      <c r="H420" s="29"/>
      <c r="I420" s="29" t="s">
        <v>9180</v>
      </c>
      <c r="J420" s="29" t="s">
        <v>10098</v>
      </c>
      <c r="K420" s="29" t="s">
        <v>9218</v>
      </c>
      <c r="L420" s="29" t="s">
        <v>9223</v>
      </c>
    </row>
    <row r="421" spans="1:12">
      <c r="A421" s="27">
        <v>420</v>
      </c>
      <c r="B421" s="27" t="s">
        <v>862</v>
      </c>
      <c r="C421" s="27" t="s">
        <v>863</v>
      </c>
      <c r="D421" s="27" t="s">
        <v>9177</v>
      </c>
      <c r="E421" s="27" t="s">
        <v>9178</v>
      </c>
      <c r="F421" s="27"/>
      <c r="G421" s="27" t="s">
        <v>10099</v>
      </c>
      <c r="H421" s="27"/>
      <c r="I421" s="27" t="s">
        <v>9180</v>
      </c>
      <c r="J421" s="27" t="s">
        <v>9754</v>
      </c>
      <c r="K421" s="27" t="s">
        <v>9218</v>
      </c>
      <c r="L421" s="27" t="s">
        <v>9183</v>
      </c>
    </row>
    <row r="422" spans="1:12">
      <c r="A422" s="29">
        <v>421</v>
      </c>
      <c r="B422" s="29" t="s">
        <v>1897</v>
      </c>
      <c r="C422" s="29" t="s">
        <v>10100</v>
      </c>
      <c r="D422" s="29" t="s">
        <v>9185</v>
      </c>
      <c r="E422" s="29" t="s">
        <v>9178</v>
      </c>
      <c r="F422" s="29"/>
      <c r="G422" s="29" t="s">
        <v>10101</v>
      </c>
      <c r="H422" s="29"/>
      <c r="I422" s="29" t="s">
        <v>9180</v>
      </c>
      <c r="J422" s="29" t="s">
        <v>9205</v>
      </c>
      <c r="K422" s="29" t="s">
        <v>9218</v>
      </c>
      <c r="L422" s="29" t="s">
        <v>9189</v>
      </c>
    </row>
    <row r="423" spans="1:12">
      <c r="A423" s="28">
        <v>422</v>
      </c>
      <c r="B423" s="28" t="s">
        <v>1255</v>
      </c>
      <c r="C423" s="28" t="s">
        <v>10102</v>
      </c>
      <c r="D423" s="28" t="s">
        <v>9185</v>
      </c>
      <c r="E423" s="28" t="s">
        <v>9178</v>
      </c>
      <c r="F423" s="28"/>
      <c r="G423" s="28" t="s">
        <v>10103</v>
      </c>
      <c r="H423" s="28"/>
      <c r="I423" s="28" t="s">
        <v>9180</v>
      </c>
      <c r="J423" s="28" t="s">
        <v>9356</v>
      </c>
      <c r="K423" s="28" t="s">
        <v>9218</v>
      </c>
      <c r="L423" s="28" t="s">
        <v>9189</v>
      </c>
    </row>
    <row r="424" spans="1:12">
      <c r="A424" s="29">
        <v>423</v>
      </c>
      <c r="B424" s="29" t="s">
        <v>1251</v>
      </c>
      <c r="C424" s="29" t="s">
        <v>10104</v>
      </c>
      <c r="D424" s="29" t="s">
        <v>9185</v>
      </c>
      <c r="E424" s="29" t="s">
        <v>9178</v>
      </c>
      <c r="F424" s="29"/>
      <c r="G424" s="29" t="s">
        <v>10105</v>
      </c>
      <c r="H424" s="29"/>
      <c r="I424" s="29" t="s">
        <v>9180</v>
      </c>
      <c r="J424" s="29" t="s">
        <v>9239</v>
      </c>
      <c r="K424" s="29" t="s">
        <v>9218</v>
      </c>
      <c r="L424" s="29" t="s">
        <v>9189</v>
      </c>
    </row>
    <row r="425" spans="1:12">
      <c r="A425" s="28">
        <v>424</v>
      </c>
      <c r="B425" s="28" t="s">
        <v>898</v>
      </c>
      <c r="C425" s="28" t="s">
        <v>10106</v>
      </c>
      <c r="D425" s="28" t="s">
        <v>9185</v>
      </c>
      <c r="E425" s="28" t="s">
        <v>9178</v>
      </c>
      <c r="F425" s="28"/>
      <c r="G425" s="28" t="s">
        <v>10107</v>
      </c>
      <c r="H425" s="28"/>
      <c r="I425" s="28" t="s">
        <v>9180</v>
      </c>
      <c r="J425" s="28" t="s">
        <v>9377</v>
      </c>
      <c r="K425" s="28" t="s">
        <v>9218</v>
      </c>
      <c r="L425" s="28" t="s">
        <v>9223</v>
      </c>
    </row>
    <row r="426" spans="1:12">
      <c r="A426" s="29">
        <v>425</v>
      </c>
      <c r="B426" s="29" t="s">
        <v>1191</v>
      </c>
      <c r="C426" s="29" t="s">
        <v>10108</v>
      </c>
      <c r="D426" s="29" t="s">
        <v>9185</v>
      </c>
      <c r="E426" s="29" t="s">
        <v>9178</v>
      </c>
      <c r="F426" s="29"/>
      <c r="G426" s="29" t="s">
        <v>10109</v>
      </c>
      <c r="H426" s="29"/>
      <c r="I426" s="29" t="s">
        <v>9180</v>
      </c>
      <c r="J426" s="29" t="s">
        <v>9239</v>
      </c>
      <c r="K426" s="29" t="s">
        <v>9218</v>
      </c>
      <c r="L426" s="29" t="s">
        <v>9189</v>
      </c>
    </row>
    <row r="427" spans="1:12">
      <c r="A427" s="28">
        <v>426</v>
      </c>
      <c r="B427" s="28" t="s">
        <v>426</v>
      </c>
      <c r="C427" s="28" t="s">
        <v>10110</v>
      </c>
      <c r="D427" s="28" t="s">
        <v>9185</v>
      </c>
      <c r="E427" s="28" t="s">
        <v>9178</v>
      </c>
      <c r="F427" s="28"/>
      <c r="G427" s="28" t="s">
        <v>10111</v>
      </c>
      <c r="H427" s="28"/>
      <c r="I427" s="28" t="s">
        <v>9180</v>
      </c>
      <c r="J427" s="28" t="s">
        <v>10112</v>
      </c>
      <c r="K427" s="28" t="s">
        <v>9218</v>
      </c>
      <c r="L427" s="28" t="s">
        <v>9189</v>
      </c>
    </row>
    <row r="428" spans="1:12">
      <c r="A428" s="29">
        <v>427</v>
      </c>
      <c r="B428" s="29" t="s">
        <v>1584</v>
      </c>
      <c r="C428" s="29" t="s">
        <v>10113</v>
      </c>
      <c r="D428" s="29" t="s">
        <v>9185</v>
      </c>
      <c r="E428" s="29" t="s">
        <v>9208</v>
      </c>
      <c r="F428" s="29"/>
      <c r="G428" s="29" t="s">
        <v>10114</v>
      </c>
      <c r="H428" s="29"/>
      <c r="I428" s="29" t="s">
        <v>9180</v>
      </c>
      <c r="J428" s="29" t="s">
        <v>9205</v>
      </c>
      <c r="K428" s="29" t="s">
        <v>9218</v>
      </c>
      <c r="L428" s="29" t="s">
        <v>9522</v>
      </c>
    </row>
    <row r="429" spans="1:12">
      <c r="A429" s="28">
        <v>428</v>
      </c>
      <c r="B429" s="28" t="s">
        <v>1615</v>
      </c>
      <c r="C429" s="28" t="s">
        <v>1616</v>
      </c>
      <c r="D429" s="28" t="s">
        <v>9185</v>
      </c>
      <c r="E429" s="28" t="s">
        <v>9178</v>
      </c>
      <c r="F429" s="28"/>
      <c r="G429" s="28" t="s">
        <v>10115</v>
      </c>
      <c r="H429" s="28"/>
      <c r="I429" s="28" t="s">
        <v>9180</v>
      </c>
      <c r="J429" s="28" t="s">
        <v>9205</v>
      </c>
      <c r="K429" s="28" t="s">
        <v>9218</v>
      </c>
      <c r="L429" s="28" t="s">
        <v>9189</v>
      </c>
    </row>
    <row r="430" spans="1:12">
      <c r="A430" s="29">
        <v>429</v>
      </c>
      <c r="B430" s="29" t="s">
        <v>346</v>
      </c>
      <c r="C430" s="29" t="s">
        <v>347</v>
      </c>
      <c r="D430" s="29" t="s">
        <v>9185</v>
      </c>
      <c r="E430" s="29" t="s">
        <v>9178</v>
      </c>
      <c r="F430" s="29"/>
      <c r="G430" s="29" t="s">
        <v>10116</v>
      </c>
      <c r="H430" s="29"/>
      <c r="I430" s="29" t="s">
        <v>9180</v>
      </c>
      <c r="J430" s="29" t="s">
        <v>10117</v>
      </c>
      <c r="K430" s="29" t="s">
        <v>10136</v>
      </c>
      <c r="L430" s="29" t="s">
        <v>9223</v>
      </c>
    </row>
    <row r="431" spans="1:12">
      <c r="A431" s="30">
        <v>430</v>
      </c>
      <c r="B431" s="30" t="s">
        <v>1019</v>
      </c>
      <c r="C431" s="30" t="s">
        <v>10118</v>
      </c>
      <c r="D431" s="30" t="s">
        <v>9177</v>
      </c>
      <c r="E431" s="30" t="s">
        <v>9208</v>
      </c>
      <c r="F431" s="30"/>
      <c r="G431" s="30" t="s">
        <v>10119</v>
      </c>
      <c r="H431" s="30"/>
      <c r="I431" s="30" t="s">
        <v>9180</v>
      </c>
      <c r="J431" s="30" t="s">
        <v>9788</v>
      </c>
      <c r="K431" s="30" t="s">
        <v>10136</v>
      </c>
      <c r="L431" s="30" t="s">
        <v>9350</v>
      </c>
    </row>
    <row r="432" spans="1:12">
      <c r="A432" s="27">
        <v>431</v>
      </c>
      <c r="B432" s="27" t="s">
        <v>1005</v>
      </c>
      <c r="C432" s="27" t="s">
        <v>1006</v>
      </c>
      <c r="D432" s="27" t="s">
        <v>9177</v>
      </c>
      <c r="E432" s="27" t="s">
        <v>9178</v>
      </c>
      <c r="F432" s="27"/>
      <c r="G432" s="27" t="s">
        <v>10120</v>
      </c>
      <c r="H432" s="27"/>
      <c r="I432" s="27" t="s">
        <v>9180</v>
      </c>
      <c r="J432" s="27" t="s">
        <v>9955</v>
      </c>
      <c r="K432" s="27" t="s">
        <v>10136</v>
      </c>
      <c r="L432" s="27" t="s">
        <v>9196</v>
      </c>
    </row>
    <row r="433" spans="1:12">
      <c r="A433" s="27">
        <v>432</v>
      </c>
      <c r="B433" s="27" t="s">
        <v>1013</v>
      </c>
      <c r="C433" s="27" t="s">
        <v>10121</v>
      </c>
      <c r="D433" s="27" t="s">
        <v>9177</v>
      </c>
      <c r="E433" s="27" t="s">
        <v>9178</v>
      </c>
      <c r="F433" s="27"/>
      <c r="G433" s="27" t="s">
        <v>10122</v>
      </c>
      <c r="H433" s="27"/>
      <c r="I433" s="27" t="s">
        <v>9180</v>
      </c>
      <c r="J433" s="27" t="s">
        <v>9195</v>
      </c>
      <c r="K433" s="27" t="s">
        <v>10136</v>
      </c>
      <c r="L433" s="27" t="s">
        <v>9196</v>
      </c>
    </row>
    <row r="434" spans="1:12">
      <c r="A434" s="27">
        <v>433</v>
      </c>
      <c r="B434" s="27" t="s">
        <v>1009</v>
      </c>
      <c r="C434" s="27" t="s">
        <v>10123</v>
      </c>
      <c r="D434" s="27" t="s">
        <v>9177</v>
      </c>
      <c r="E434" s="27" t="s">
        <v>9178</v>
      </c>
      <c r="F434" s="27"/>
      <c r="G434" s="27" t="s">
        <v>10124</v>
      </c>
      <c r="H434" s="27"/>
      <c r="I434" s="27" t="s">
        <v>9180</v>
      </c>
      <c r="J434" s="27" t="s">
        <v>9334</v>
      </c>
      <c r="K434" s="27" t="s">
        <v>10136</v>
      </c>
      <c r="L434" s="27" t="s">
        <v>9196</v>
      </c>
    </row>
    <row r="435" spans="1:12">
      <c r="A435" s="27">
        <v>434</v>
      </c>
      <c r="B435" s="27" t="s">
        <v>807</v>
      </c>
      <c r="C435" s="27" t="s">
        <v>10125</v>
      </c>
      <c r="D435" s="27" t="s">
        <v>9177</v>
      </c>
      <c r="E435" s="27" t="s">
        <v>9178</v>
      </c>
      <c r="F435" s="27"/>
      <c r="G435" s="27" t="s">
        <v>10126</v>
      </c>
      <c r="H435" s="27"/>
      <c r="I435" s="27" t="s">
        <v>9180</v>
      </c>
      <c r="J435" s="27" t="s">
        <v>9334</v>
      </c>
      <c r="K435" s="27" t="s">
        <v>10136</v>
      </c>
      <c r="L435" s="27" t="s">
        <v>9196</v>
      </c>
    </row>
    <row r="436" spans="1:12">
      <c r="A436" s="29">
        <v>435</v>
      </c>
      <c r="B436" s="29" t="s">
        <v>803</v>
      </c>
      <c r="C436" s="29" t="s">
        <v>9923</v>
      </c>
      <c r="D436" s="29" t="s">
        <v>9185</v>
      </c>
      <c r="E436" s="29" t="s">
        <v>9178</v>
      </c>
      <c r="F436" s="29"/>
      <c r="G436" s="29" t="s">
        <v>10127</v>
      </c>
      <c r="H436" s="29"/>
      <c r="I436" s="29" t="s">
        <v>9180</v>
      </c>
      <c r="J436" s="29" t="s">
        <v>9626</v>
      </c>
      <c r="K436" s="29" t="s">
        <v>10136</v>
      </c>
      <c r="L436" s="29" t="s">
        <v>9223</v>
      </c>
    </row>
    <row r="437" spans="1:12">
      <c r="A437" s="30">
        <v>436</v>
      </c>
      <c r="B437" s="30" t="s">
        <v>784</v>
      </c>
      <c r="C437" s="30" t="s">
        <v>10128</v>
      </c>
      <c r="D437" s="30" t="s">
        <v>9177</v>
      </c>
      <c r="E437" s="30" t="s">
        <v>9208</v>
      </c>
      <c r="F437" s="30"/>
      <c r="G437" s="30" t="s">
        <v>10129</v>
      </c>
      <c r="H437" s="30"/>
      <c r="I437" s="30" t="s">
        <v>9180</v>
      </c>
      <c r="J437" s="30" t="s">
        <v>9777</v>
      </c>
      <c r="K437" s="30" t="s">
        <v>10136</v>
      </c>
      <c r="L437" s="30" t="s">
        <v>9350</v>
      </c>
    </row>
    <row r="438" spans="1:12">
      <c r="A438" s="29">
        <v>437</v>
      </c>
      <c r="B438" s="29" t="s">
        <v>764</v>
      </c>
      <c r="C438" s="29"/>
      <c r="D438" s="29" t="s">
        <v>9185</v>
      </c>
      <c r="E438" s="29" t="s">
        <v>9178</v>
      </c>
      <c r="F438" s="29"/>
      <c r="G438" s="29" t="s">
        <v>10130</v>
      </c>
      <c r="H438" s="29"/>
      <c r="I438" s="29" t="s">
        <v>9180</v>
      </c>
      <c r="J438" s="29" t="s">
        <v>9968</v>
      </c>
      <c r="K438" s="29" t="s">
        <v>10136</v>
      </c>
      <c r="L438" s="29" t="s">
        <v>9223</v>
      </c>
    </row>
    <row r="439" spans="1:12">
      <c r="A439" s="30">
        <v>438</v>
      </c>
      <c r="B439" s="30" t="s">
        <v>474</v>
      </c>
      <c r="C439" s="30" t="s">
        <v>10131</v>
      </c>
      <c r="D439" s="30" t="s">
        <v>9177</v>
      </c>
      <c r="E439" s="30" t="s">
        <v>9208</v>
      </c>
      <c r="F439" s="30"/>
      <c r="G439" s="30" t="s">
        <v>10132</v>
      </c>
      <c r="H439" s="30" t="s">
        <v>10132</v>
      </c>
      <c r="I439" s="30" t="s">
        <v>9180</v>
      </c>
      <c r="J439" s="30" t="s">
        <v>9298</v>
      </c>
      <c r="K439" s="30" t="s">
        <v>10136</v>
      </c>
      <c r="L439" s="30" t="s">
        <v>9350</v>
      </c>
    </row>
    <row r="440" spans="1:12">
      <c r="A440" s="30">
        <v>439</v>
      </c>
      <c r="B440" s="30" t="s">
        <v>466</v>
      </c>
      <c r="C440" s="30" t="s">
        <v>10133</v>
      </c>
      <c r="D440" s="30" t="s">
        <v>9177</v>
      </c>
      <c r="E440" s="30" t="s">
        <v>9208</v>
      </c>
      <c r="F440" s="30"/>
      <c r="G440" s="30" t="s">
        <v>10134</v>
      </c>
      <c r="H440" s="30" t="s">
        <v>10134</v>
      </c>
      <c r="I440" s="30" t="s">
        <v>9180</v>
      </c>
      <c r="J440" s="30" t="s">
        <v>10135</v>
      </c>
      <c r="K440" s="30" t="s">
        <v>10136</v>
      </c>
      <c r="L440" s="30" t="s">
        <v>9350</v>
      </c>
    </row>
    <row r="441" spans="1:12">
      <c r="A441" s="27">
        <v>440</v>
      </c>
      <c r="B441" s="27" t="s">
        <v>338</v>
      </c>
      <c r="C441" s="27" t="s">
        <v>339</v>
      </c>
      <c r="D441" s="27" t="s">
        <v>9177</v>
      </c>
      <c r="E441" s="27" t="s">
        <v>9178</v>
      </c>
      <c r="F441" s="27"/>
      <c r="G441" s="27" t="s">
        <v>10137</v>
      </c>
      <c r="H441" s="27"/>
      <c r="I441" s="27" t="s">
        <v>9180</v>
      </c>
      <c r="J441" s="27" t="s">
        <v>9361</v>
      </c>
      <c r="K441" s="27" t="s">
        <v>10136</v>
      </c>
      <c r="L441" s="27" t="s">
        <v>9183</v>
      </c>
    </row>
    <row r="442" spans="1:12">
      <c r="A442" s="29">
        <v>441</v>
      </c>
      <c r="B442" s="29" t="s">
        <v>1676</v>
      </c>
      <c r="C442" s="29" t="s">
        <v>10138</v>
      </c>
      <c r="D442" s="29" t="s">
        <v>9185</v>
      </c>
      <c r="E442" s="29" t="s">
        <v>9178</v>
      </c>
      <c r="F442" s="29"/>
      <c r="G442" s="29" t="s">
        <v>10139</v>
      </c>
      <c r="H442" s="29"/>
      <c r="I442" s="29" t="s">
        <v>9180</v>
      </c>
      <c r="J442" s="29" t="s">
        <v>9356</v>
      </c>
      <c r="K442" s="29" t="s">
        <v>10136</v>
      </c>
      <c r="L442" s="29" t="s">
        <v>9189</v>
      </c>
    </row>
    <row r="443" spans="1:12">
      <c r="A443" s="30">
        <v>442</v>
      </c>
      <c r="B443" s="30" t="s">
        <v>370</v>
      </c>
      <c r="C443" s="30" t="s">
        <v>10140</v>
      </c>
      <c r="D443" s="30" t="s">
        <v>9177</v>
      </c>
      <c r="E443" s="30" t="s">
        <v>9208</v>
      </c>
      <c r="F443" s="30"/>
      <c r="G443" s="30" t="s">
        <v>10141</v>
      </c>
      <c r="H443" s="30" t="s">
        <v>10141</v>
      </c>
      <c r="I443" s="30" t="s">
        <v>9180</v>
      </c>
      <c r="J443" s="30" t="s">
        <v>9251</v>
      </c>
      <c r="K443" s="30" t="s">
        <v>10136</v>
      </c>
      <c r="L443" s="30" t="s">
        <v>9350</v>
      </c>
    </row>
    <row r="444" spans="1:12">
      <c r="A444" s="30">
        <v>443</v>
      </c>
      <c r="B444" s="30" t="s">
        <v>378</v>
      </c>
      <c r="C444" s="30" t="s">
        <v>10142</v>
      </c>
      <c r="D444" s="30" t="s">
        <v>9177</v>
      </c>
      <c r="E444" s="30" t="s">
        <v>9208</v>
      </c>
      <c r="F444" s="30"/>
      <c r="G444" s="30" t="s">
        <v>10143</v>
      </c>
      <c r="H444" s="30" t="s">
        <v>10143</v>
      </c>
      <c r="I444" s="30" t="s">
        <v>9180</v>
      </c>
      <c r="J444" s="30" t="s">
        <v>9251</v>
      </c>
      <c r="K444" s="30" t="s">
        <v>10136</v>
      </c>
      <c r="L444" s="30" t="s">
        <v>9350</v>
      </c>
    </row>
    <row r="445" spans="1:12">
      <c r="A445" s="27">
        <v>444</v>
      </c>
      <c r="B445" s="27" t="s">
        <v>350</v>
      </c>
      <c r="C445" s="27" t="s">
        <v>10144</v>
      </c>
      <c r="D445" s="27" t="s">
        <v>9177</v>
      </c>
      <c r="E445" s="27" t="s">
        <v>9178</v>
      </c>
      <c r="F445" s="27"/>
      <c r="G445" s="27" t="s">
        <v>10145</v>
      </c>
      <c r="H445" s="27"/>
      <c r="I445" s="27" t="s">
        <v>9180</v>
      </c>
      <c r="J445" s="27" t="s">
        <v>9334</v>
      </c>
      <c r="K445" s="27" t="s">
        <v>10136</v>
      </c>
      <c r="L445" s="27" t="s">
        <v>9196</v>
      </c>
    </row>
    <row r="446" spans="1:12">
      <c r="A446" s="27">
        <v>445</v>
      </c>
      <c r="B446" s="27" t="s">
        <v>247</v>
      </c>
      <c r="C446" s="27" t="s">
        <v>10146</v>
      </c>
      <c r="D446" s="27" t="s">
        <v>9177</v>
      </c>
      <c r="E446" s="27" t="s">
        <v>9178</v>
      </c>
      <c r="F446" s="27"/>
      <c r="G446" s="27" t="s">
        <v>10147</v>
      </c>
      <c r="H446" s="27"/>
      <c r="I446" s="27" t="s">
        <v>9180</v>
      </c>
      <c r="J446" s="27" t="s">
        <v>9892</v>
      </c>
      <c r="K446" s="27" t="s">
        <v>10136</v>
      </c>
      <c r="L446" s="27" t="s">
        <v>9196</v>
      </c>
    </row>
    <row r="447" spans="1:12">
      <c r="A447" s="30">
        <v>446</v>
      </c>
      <c r="B447" s="30" t="s">
        <v>200</v>
      </c>
      <c r="C447" s="30" t="s">
        <v>10148</v>
      </c>
      <c r="D447" s="30" t="s">
        <v>9177</v>
      </c>
      <c r="E447" s="30" t="s">
        <v>9208</v>
      </c>
      <c r="F447" s="30"/>
      <c r="G447" s="30" t="s">
        <v>10149</v>
      </c>
      <c r="H447" s="30" t="s">
        <v>10149</v>
      </c>
      <c r="I447" s="30" t="s">
        <v>9180</v>
      </c>
      <c r="J447" s="30" t="s">
        <v>9298</v>
      </c>
      <c r="K447" s="30" t="s">
        <v>10136</v>
      </c>
      <c r="L447" s="30" t="s">
        <v>9350</v>
      </c>
    </row>
    <row r="448" spans="1:12">
      <c r="A448" s="27">
        <v>447</v>
      </c>
      <c r="B448" s="27" t="s">
        <v>97</v>
      </c>
      <c r="C448" s="27" t="s">
        <v>12259</v>
      </c>
      <c r="D448" s="27" t="s">
        <v>9177</v>
      </c>
      <c r="E448" s="27" t="s">
        <v>9178</v>
      </c>
      <c r="F448" s="27"/>
      <c r="G448" s="27" t="s">
        <v>12260</v>
      </c>
      <c r="H448" s="27"/>
      <c r="I448" s="27" t="s">
        <v>9180</v>
      </c>
      <c r="J448" s="27" t="s">
        <v>9202</v>
      </c>
      <c r="K448" s="27" t="s">
        <v>10136</v>
      </c>
      <c r="L448" s="27" t="s">
        <v>9196</v>
      </c>
    </row>
    <row r="449" spans="1:12">
      <c r="A449" s="28">
        <v>448</v>
      </c>
      <c r="B449" s="28" t="s">
        <v>924</v>
      </c>
      <c r="C449" s="28" t="s">
        <v>10150</v>
      </c>
      <c r="D449" s="28" t="s">
        <v>9185</v>
      </c>
      <c r="E449" s="28" t="s">
        <v>9178</v>
      </c>
      <c r="F449" s="28"/>
      <c r="G449" s="28" t="s">
        <v>10151</v>
      </c>
      <c r="H449" s="28"/>
      <c r="I449" s="28" t="s">
        <v>9180</v>
      </c>
      <c r="J449" s="28" t="s">
        <v>9968</v>
      </c>
      <c r="K449" s="28" t="s">
        <v>10136</v>
      </c>
      <c r="L449" s="28" t="s">
        <v>9189</v>
      </c>
    </row>
    <row r="450" spans="1:12">
      <c r="A450" s="29">
        <v>449</v>
      </c>
      <c r="B450" s="29" t="s">
        <v>942</v>
      </c>
      <c r="C450" s="29" t="s">
        <v>10152</v>
      </c>
      <c r="D450" s="29" t="s">
        <v>9185</v>
      </c>
      <c r="E450" s="29" t="s">
        <v>9178</v>
      </c>
      <c r="F450" s="29"/>
      <c r="G450" s="29" t="s">
        <v>10153</v>
      </c>
      <c r="H450" s="29"/>
      <c r="I450" s="29" t="s">
        <v>9180</v>
      </c>
      <c r="J450" s="29" t="s">
        <v>9390</v>
      </c>
      <c r="K450" s="29" t="s">
        <v>10136</v>
      </c>
      <c r="L450" s="29" t="s">
        <v>9189</v>
      </c>
    </row>
    <row r="451" spans="1:12">
      <c r="A451" s="27">
        <v>450</v>
      </c>
      <c r="B451" s="27" t="s">
        <v>273</v>
      </c>
      <c r="C451" s="27" t="s">
        <v>10154</v>
      </c>
      <c r="D451" s="27" t="s">
        <v>9177</v>
      </c>
      <c r="E451" s="27" t="s">
        <v>9178</v>
      </c>
      <c r="F451" s="27"/>
      <c r="G451" s="27" t="s">
        <v>10155</v>
      </c>
      <c r="H451" s="27"/>
      <c r="I451" s="27" t="s">
        <v>9180</v>
      </c>
      <c r="J451" s="27" t="s">
        <v>10156</v>
      </c>
      <c r="K451" s="27" t="s">
        <v>10136</v>
      </c>
      <c r="L451" s="27" t="s">
        <v>9196</v>
      </c>
    </row>
    <row r="452" spans="1:12">
      <c r="A452" s="30">
        <v>451</v>
      </c>
      <c r="B452" s="30" t="s">
        <v>133</v>
      </c>
      <c r="C452" s="30" t="s">
        <v>12261</v>
      </c>
      <c r="D452" s="30" t="s">
        <v>9177</v>
      </c>
      <c r="E452" s="30" t="s">
        <v>9208</v>
      </c>
      <c r="F452" s="30"/>
      <c r="G452" s="30" t="s">
        <v>12262</v>
      </c>
      <c r="H452" s="30"/>
      <c r="I452" s="30" t="s">
        <v>9180</v>
      </c>
      <c r="J452" s="30" t="s">
        <v>9334</v>
      </c>
      <c r="K452" s="30" t="s">
        <v>10136</v>
      </c>
      <c r="L452" s="30" t="s">
        <v>9350</v>
      </c>
    </row>
    <row r="453" spans="1:12">
      <c r="A453" s="30">
        <v>452</v>
      </c>
      <c r="B453" s="30" t="s">
        <v>374</v>
      </c>
      <c r="C453" s="30" t="s">
        <v>10157</v>
      </c>
      <c r="D453" s="30" t="s">
        <v>9177</v>
      </c>
      <c r="E453" s="30" t="s">
        <v>9208</v>
      </c>
      <c r="F453" s="30"/>
      <c r="G453" s="30" t="s">
        <v>10158</v>
      </c>
      <c r="H453" s="30" t="s">
        <v>10158</v>
      </c>
      <c r="I453" s="30" t="s">
        <v>9180</v>
      </c>
      <c r="J453" s="30" t="s">
        <v>9334</v>
      </c>
      <c r="K453" s="30" t="s">
        <v>10136</v>
      </c>
      <c r="L453" s="30" t="s">
        <v>9350</v>
      </c>
    </row>
    <row r="454" spans="1:12">
      <c r="A454" s="29">
        <v>453</v>
      </c>
      <c r="B454" s="29" t="s">
        <v>1879</v>
      </c>
      <c r="C454" s="29"/>
      <c r="D454" s="29" t="s">
        <v>9185</v>
      </c>
      <c r="E454" s="29" t="s">
        <v>9178</v>
      </c>
      <c r="F454" s="29"/>
      <c r="G454" s="29" t="s">
        <v>10159</v>
      </c>
      <c r="H454" s="29" t="s">
        <v>10159</v>
      </c>
      <c r="I454" s="29" t="s">
        <v>9180</v>
      </c>
      <c r="J454" s="29" t="s">
        <v>9779</v>
      </c>
      <c r="K454" s="29" t="s">
        <v>10136</v>
      </c>
      <c r="L454" s="29" t="s">
        <v>9223</v>
      </c>
    </row>
    <row r="455" spans="1:12">
      <c r="A455" s="28">
        <v>454</v>
      </c>
      <c r="B455" s="28" t="s">
        <v>12362</v>
      </c>
      <c r="C455" s="28" t="s">
        <v>10161</v>
      </c>
      <c r="D455" s="28" t="s">
        <v>9185</v>
      </c>
      <c r="E455" s="28" t="s">
        <v>9178</v>
      </c>
      <c r="F455" s="28"/>
      <c r="G455" s="28" t="s">
        <v>10162</v>
      </c>
      <c r="H455" s="28" t="s">
        <v>10163</v>
      </c>
      <c r="I455" s="28" t="s">
        <v>9180</v>
      </c>
      <c r="J455" s="28" t="s">
        <v>9626</v>
      </c>
      <c r="K455" s="28" t="s">
        <v>10136</v>
      </c>
      <c r="L455" s="28" t="s">
        <v>9223</v>
      </c>
    </row>
    <row r="456" spans="1:12">
      <c r="A456" s="30">
        <v>455</v>
      </c>
      <c r="B456" s="30" t="s">
        <v>10164</v>
      </c>
      <c r="C456" s="30" t="s">
        <v>10165</v>
      </c>
      <c r="D456" s="30" t="s">
        <v>9177</v>
      </c>
      <c r="E456" s="30" t="s">
        <v>9208</v>
      </c>
      <c r="F456" s="30"/>
      <c r="G456" s="30" t="s">
        <v>10166</v>
      </c>
      <c r="H456" s="30"/>
      <c r="I456" s="30" t="s">
        <v>9180</v>
      </c>
      <c r="J456" s="30" t="s">
        <v>9210</v>
      </c>
      <c r="K456" s="30" t="s">
        <v>10136</v>
      </c>
      <c r="L456" s="30" t="s">
        <v>9350</v>
      </c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D79C-1032-494B-85D1-56DBE5926985}">
  <dimension ref="A1:L479"/>
  <sheetViews>
    <sheetView workbookViewId="0">
      <selection sqref="A1:XFD1048576"/>
    </sheetView>
  </sheetViews>
  <sheetFormatPr baseColWidth="10" defaultColWidth="7.5" defaultRowHeight="15"/>
  <cols>
    <col min="1" max="1" width="4.1640625" customWidth="1"/>
    <col min="2" max="2" width="13.33203125" customWidth="1"/>
    <col min="3" max="3" width="16.6640625" customWidth="1"/>
    <col min="4" max="4" width="11.6640625" customWidth="1"/>
    <col min="5" max="5" width="15" customWidth="1"/>
    <col min="6" max="6" width="10" customWidth="1"/>
    <col min="7" max="8" width="11.6640625" customWidth="1"/>
    <col min="9" max="10" width="8.33203125" customWidth="1"/>
    <col min="11" max="11" width="11.6640625" customWidth="1"/>
    <col min="12" max="12" width="15" customWidth="1"/>
  </cols>
  <sheetData>
    <row r="1" spans="1:12" ht="28" customHeight="1">
      <c r="A1" s="26" t="s">
        <v>9165</v>
      </c>
      <c r="B1" s="26" t="s">
        <v>9166</v>
      </c>
      <c r="C1" s="26" t="s">
        <v>9167</v>
      </c>
      <c r="D1" s="26" t="s">
        <v>9168</v>
      </c>
      <c r="E1" s="26" t="s">
        <v>9169</v>
      </c>
      <c r="F1" s="26" t="s">
        <v>9170</v>
      </c>
      <c r="G1" s="26" t="s">
        <v>9171</v>
      </c>
      <c r="H1" s="26" t="s">
        <v>9172</v>
      </c>
      <c r="I1" s="26" t="s">
        <v>9173</v>
      </c>
      <c r="J1" s="26" t="s">
        <v>9174</v>
      </c>
      <c r="K1" s="26" t="s">
        <v>9175</v>
      </c>
      <c r="L1" s="26" t="s">
        <v>9176</v>
      </c>
    </row>
    <row r="2" spans="1:12">
      <c r="A2" s="27">
        <v>1</v>
      </c>
      <c r="B2" s="27" t="s">
        <v>4685</v>
      </c>
      <c r="C2" s="27" t="s">
        <v>4686</v>
      </c>
      <c r="D2" s="27" t="s">
        <v>11337</v>
      </c>
      <c r="E2" s="27" t="s">
        <v>9336</v>
      </c>
      <c r="F2" s="27"/>
      <c r="G2" s="27" t="s">
        <v>11338</v>
      </c>
      <c r="H2" s="27"/>
      <c r="I2" s="27" t="s">
        <v>9180</v>
      </c>
      <c r="J2" s="27" t="s">
        <v>11339</v>
      </c>
      <c r="K2" s="27" t="s">
        <v>9182</v>
      </c>
      <c r="L2" s="27" t="s">
        <v>9196</v>
      </c>
    </row>
    <row r="3" spans="1:12">
      <c r="A3" s="28">
        <v>2</v>
      </c>
      <c r="B3" s="28" t="s">
        <v>6821</v>
      </c>
      <c r="C3" s="28" t="s">
        <v>11340</v>
      </c>
      <c r="D3" s="28" t="s">
        <v>11341</v>
      </c>
      <c r="E3" s="28" t="s">
        <v>9336</v>
      </c>
      <c r="F3" s="28"/>
      <c r="G3" s="28" t="s">
        <v>11342</v>
      </c>
      <c r="H3" s="28"/>
      <c r="I3" s="28" t="s">
        <v>9180</v>
      </c>
      <c r="J3" s="28" t="s">
        <v>9230</v>
      </c>
      <c r="K3" s="28" t="s">
        <v>9182</v>
      </c>
      <c r="L3" s="28" t="s">
        <v>9189</v>
      </c>
    </row>
    <row r="4" spans="1:12">
      <c r="A4" s="29">
        <v>3</v>
      </c>
      <c r="B4" s="29" t="s">
        <v>450</v>
      </c>
      <c r="C4" s="29" t="s">
        <v>11343</v>
      </c>
      <c r="D4" s="29" t="s">
        <v>11341</v>
      </c>
      <c r="E4" s="29" t="s">
        <v>9336</v>
      </c>
      <c r="F4" s="29"/>
      <c r="G4" s="29" t="s">
        <v>11344</v>
      </c>
      <c r="H4" s="29"/>
      <c r="I4" s="29" t="s">
        <v>9180</v>
      </c>
      <c r="J4" s="29" t="s">
        <v>11345</v>
      </c>
      <c r="K4" s="29" t="s">
        <v>9182</v>
      </c>
      <c r="L4" s="29" t="s">
        <v>9189</v>
      </c>
    </row>
    <row r="5" spans="1:12">
      <c r="A5" s="27">
        <v>4</v>
      </c>
      <c r="B5" s="27" t="s">
        <v>6135</v>
      </c>
      <c r="C5" s="27" t="s">
        <v>11346</v>
      </c>
      <c r="D5" s="27" t="s">
        <v>11337</v>
      </c>
      <c r="E5" s="27" t="s">
        <v>10169</v>
      </c>
      <c r="F5" s="27"/>
      <c r="G5" s="27" t="s">
        <v>11347</v>
      </c>
      <c r="H5" s="27"/>
      <c r="I5" s="27" t="s">
        <v>9180</v>
      </c>
      <c r="J5" s="27" t="s">
        <v>9309</v>
      </c>
      <c r="K5" s="27" t="s">
        <v>9188</v>
      </c>
      <c r="L5" s="27" t="s">
        <v>9196</v>
      </c>
    </row>
    <row r="6" spans="1:12">
      <c r="A6" s="29">
        <v>5</v>
      </c>
      <c r="B6" s="29" t="s">
        <v>3989</v>
      </c>
      <c r="C6" s="29"/>
      <c r="D6" s="29" t="s">
        <v>11341</v>
      </c>
      <c r="E6" s="29" t="s">
        <v>9208</v>
      </c>
      <c r="F6" s="29"/>
      <c r="G6" s="29" t="s">
        <v>11348</v>
      </c>
      <c r="H6" s="29"/>
      <c r="I6" s="29" t="s">
        <v>9180</v>
      </c>
      <c r="J6" s="29" t="s">
        <v>9892</v>
      </c>
      <c r="K6" s="29" t="s">
        <v>9188</v>
      </c>
      <c r="L6" s="29" t="s">
        <v>9212</v>
      </c>
    </row>
    <row r="7" spans="1:12">
      <c r="A7" s="28">
        <v>6</v>
      </c>
      <c r="B7" s="28" t="s">
        <v>3973</v>
      </c>
      <c r="C7" s="28" t="s">
        <v>11349</v>
      </c>
      <c r="D7" s="28" t="s">
        <v>11341</v>
      </c>
      <c r="E7" s="28" t="s">
        <v>9336</v>
      </c>
      <c r="F7" s="28"/>
      <c r="G7" s="28" t="s">
        <v>11350</v>
      </c>
      <c r="H7" s="28"/>
      <c r="I7" s="28" t="s">
        <v>9180</v>
      </c>
      <c r="J7" s="28" t="s">
        <v>9892</v>
      </c>
      <c r="K7" s="28" t="s">
        <v>9188</v>
      </c>
      <c r="L7" s="28" t="s">
        <v>9189</v>
      </c>
    </row>
    <row r="8" spans="1:12">
      <c r="A8" s="27">
        <v>7</v>
      </c>
      <c r="B8" s="27" t="s">
        <v>11351</v>
      </c>
      <c r="C8" s="27" t="s">
        <v>11352</v>
      </c>
      <c r="D8" s="27" t="s">
        <v>11337</v>
      </c>
      <c r="E8" s="27" t="s">
        <v>9336</v>
      </c>
      <c r="F8" s="27"/>
      <c r="G8" s="27" t="s">
        <v>11353</v>
      </c>
      <c r="H8" s="27"/>
      <c r="I8" s="27" t="s">
        <v>9180</v>
      </c>
      <c r="J8" s="27" t="s">
        <v>9210</v>
      </c>
      <c r="K8" s="27" t="s">
        <v>9188</v>
      </c>
      <c r="L8" s="27" t="s">
        <v>9183</v>
      </c>
    </row>
    <row r="9" spans="1:12">
      <c r="A9" s="27">
        <v>8</v>
      </c>
      <c r="B9" s="27" t="s">
        <v>11354</v>
      </c>
      <c r="C9" s="27" t="s">
        <v>11355</v>
      </c>
      <c r="D9" s="27" t="s">
        <v>11337</v>
      </c>
      <c r="E9" s="27" t="s">
        <v>9336</v>
      </c>
      <c r="F9" s="27"/>
      <c r="G9" s="27" t="s">
        <v>11356</v>
      </c>
      <c r="H9" s="27"/>
      <c r="I9" s="27" t="s">
        <v>9180</v>
      </c>
      <c r="J9" s="27" t="s">
        <v>9210</v>
      </c>
      <c r="K9" s="27" t="s">
        <v>9188</v>
      </c>
      <c r="L9" s="27" t="s">
        <v>9183</v>
      </c>
    </row>
    <row r="10" spans="1:12">
      <c r="A10" s="29">
        <v>9</v>
      </c>
      <c r="B10" s="29" t="s">
        <v>7252</v>
      </c>
      <c r="C10" s="29" t="s">
        <v>11357</v>
      </c>
      <c r="D10" s="29" t="s">
        <v>11341</v>
      </c>
      <c r="E10" s="29" t="s">
        <v>9336</v>
      </c>
      <c r="F10" s="29"/>
      <c r="G10" s="29" t="s">
        <v>11358</v>
      </c>
      <c r="H10" s="29"/>
      <c r="I10" s="29" t="s">
        <v>9180</v>
      </c>
      <c r="J10" s="29" t="s">
        <v>10236</v>
      </c>
      <c r="K10" s="29" t="s">
        <v>9188</v>
      </c>
      <c r="L10" s="29" t="s">
        <v>9189</v>
      </c>
    </row>
    <row r="11" spans="1:12">
      <c r="A11" s="28">
        <v>10</v>
      </c>
      <c r="B11" s="28" t="s">
        <v>7406</v>
      </c>
      <c r="C11" s="28" t="s">
        <v>11359</v>
      </c>
      <c r="D11" s="28" t="s">
        <v>11341</v>
      </c>
      <c r="E11" s="28" t="s">
        <v>9336</v>
      </c>
      <c r="F11" s="28"/>
      <c r="G11" s="28" t="s">
        <v>11360</v>
      </c>
      <c r="H11" s="28"/>
      <c r="I11" s="28" t="s">
        <v>9180</v>
      </c>
      <c r="J11" s="28" t="s">
        <v>11361</v>
      </c>
      <c r="K11" s="28" t="s">
        <v>9211</v>
      </c>
      <c r="L11" s="28" t="s">
        <v>9189</v>
      </c>
    </row>
    <row r="12" spans="1:12">
      <c r="A12" s="29">
        <v>11</v>
      </c>
      <c r="B12" s="29" t="s">
        <v>7396</v>
      </c>
      <c r="C12" s="29" t="s">
        <v>11362</v>
      </c>
      <c r="D12" s="29" t="s">
        <v>11341</v>
      </c>
      <c r="E12" s="29" t="s">
        <v>9336</v>
      </c>
      <c r="F12" s="29"/>
      <c r="G12" s="29" t="s">
        <v>11363</v>
      </c>
      <c r="H12" s="29"/>
      <c r="I12" s="29" t="s">
        <v>9180</v>
      </c>
      <c r="J12" s="29" t="s">
        <v>10259</v>
      </c>
      <c r="K12" s="29" t="s">
        <v>9211</v>
      </c>
      <c r="L12" s="29" t="s">
        <v>9189</v>
      </c>
    </row>
    <row r="13" spans="1:12">
      <c r="A13" s="28">
        <v>12</v>
      </c>
      <c r="B13" s="28" t="s">
        <v>6799</v>
      </c>
      <c r="C13" s="28" t="s">
        <v>11364</v>
      </c>
      <c r="D13" s="28" t="s">
        <v>11341</v>
      </c>
      <c r="E13" s="28" t="s">
        <v>9336</v>
      </c>
      <c r="F13" s="28"/>
      <c r="G13" s="28" t="s">
        <v>11365</v>
      </c>
      <c r="H13" s="28"/>
      <c r="I13" s="28" t="s">
        <v>9180</v>
      </c>
      <c r="J13" s="28" t="s">
        <v>9221</v>
      </c>
      <c r="K13" s="28" t="s">
        <v>9211</v>
      </c>
      <c r="L13" s="28" t="s">
        <v>9189</v>
      </c>
    </row>
    <row r="14" spans="1:12">
      <c r="A14" s="29">
        <v>13</v>
      </c>
      <c r="B14" s="29" t="s">
        <v>7392</v>
      </c>
      <c r="C14" s="29" t="s">
        <v>11366</v>
      </c>
      <c r="D14" s="29" t="s">
        <v>11341</v>
      </c>
      <c r="E14" s="29" t="s">
        <v>9336</v>
      </c>
      <c r="F14" s="29"/>
      <c r="G14" s="29" t="s">
        <v>11367</v>
      </c>
      <c r="H14" s="29"/>
      <c r="I14" s="29" t="s">
        <v>9180</v>
      </c>
      <c r="J14" s="29" t="s">
        <v>9274</v>
      </c>
      <c r="K14" s="29" t="s">
        <v>9211</v>
      </c>
      <c r="L14" s="29" t="s">
        <v>9189</v>
      </c>
    </row>
    <row r="15" spans="1:12">
      <c r="A15" s="28">
        <v>14</v>
      </c>
      <c r="B15" s="28" t="s">
        <v>7282</v>
      </c>
      <c r="C15" s="28" t="s">
        <v>11368</v>
      </c>
      <c r="D15" s="28" t="s">
        <v>11341</v>
      </c>
      <c r="E15" s="28" t="s">
        <v>9336</v>
      </c>
      <c r="F15" s="28"/>
      <c r="G15" s="28" t="s">
        <v>11369</v>
      </c>
      <c r="H15" s="28"/>
      <c r="I15" s="28" t="s">
        <v>9180</v>
      </c>
      <c r="J15" s="28" t="s">
        <v>9217</v>
      </c>
      <c r="K15" s="28" t="s">
        <v>9211</v>
      </c>
      <c r="L15" s="28" t="s">
        <v>9189</v>
      </c>
    </row>
    <row r="16" spans="1:12">
      <c r="A16" s="29">
        <v>15</v>
      </c>
      <c r="B16" s="29" t="s">
        <v>7964</v>
      </c>
      <c r="C16" s="29" t="s">
        <v>11370</v>
      </c>
      <c r="D16" s="29" t="s">
        <v>11341</v>
      </c>
      <c r="E16" s="29" t="s">
        <v>9336</v>
      </c>
      <c r="F16" s="29"/>
      <c r="G16" s="29" t="s">
        <v>11371</v>
      </c>
      <c r="H16" s="29"/>
      <c r="I16" s="29" t="s">
        <v>9180</v>
      </c>
      <c r="J16" s="29" t="s">
        <v>9477</v>
      </c>
      <c r="K16" s="29" t="s">
        <v>9211</v>
      </c>
      <c r="L16" s="29" t="s">
        <v>9189</v>
      </c>
    </row>
    <row r="17" spans="1:12">
      <c r="A17" s="28">
        <v>16</v>
      </c>
      <c r="B17" s="28" t="s">
        <v>7370</v>
      </c>
      <c r="C17" s="28" t="s">
        <v>11372</v>
      </c>
      <c r="D17" s="28" t="s">
        <v>11341</v>
      </c>
      <c r="E17" s="28" t="s">
        <v>9336</v>
      </c>
      <c r="F17" s="28"/>
      <c r="G17" s="28" t="s">
        <v>11373</v>
      </c>
      <c r="H17" s="28"/>
      <c r="I17" s="28" t="s">
        <v>9180</v>
      </c>
      <c r="J17" s="28" t="s">
        <v>9309</v>
      </c>
      <c r="K17" s="28" t="s">
        <v>9211</v>
      </c>
      <c r="L17" s="28" t="s">
        <v>9189</v>
      </c>
    </row>
    <row r="18" spans="1:12">
      <c r="A18" s="29">
        <v>17</v>
      </c>
      <c r="B18" s="29" t="s">
        <v>11374</v>
      </c>
      <c r="C18" s="29" t="s">
        <v>11375</v>
      </c>
      <c r="D18" s="29" t="s">
        <v>11341</v>
      </c>
      <c r="E18" s="29" t="s">
        <v>9336</v>
      </c>
      <c r="F18" s="29"/>
      <c r="G18" s="29" t="s">
        <v>11376</v>
      </c>
      <c r="H18" s="29"/>
      <c r="I18" s="29" t="s">
        <v>9180</v>
      </c>
      <c r="J18" s="29" t="s">
        <v>9210</v>
      </c>
      <c r="K18" s="29" t="s">
        <v>9211</v>
      </c>
      <c r="L18" s="29" t="s">
        <v>9189</v>
      </c>
    </row>
    <row r="19" spans="1:12">
      <c r="A19" s="28">
        <v>18</v>
      </c>
      <c r="B19" s="28" t="s">
        <v>7960</v>
      </c>
      <c r="C19" s="28" t="s">
        <v>11377</v>
      </c>
      <c r="D19" s="28" t="s">
        <v>11341</v>
      </c>
      <c r="E19" s="28" t="s">
        <v>9336</v>
      </c>
      <c r="F19" s="28"/>
      <c r="G19" s="28" t="s">
        <v>11378</v>
      </c>
      <c r="H19" s="28"/>
      <c r="I19" s="28" t="s">
        <v>9180</v>
      </c>
      <c r="J19" s="28" t="s">
        <v>9477</v>
      </c>
      <c r="K19" s="28" t="s">
        <v>9211</v>
      </c>
      <c r="L19" s="28" t="s">
        <v>9189</v>
      </c>
    </row>
    <row r="20" spans="1:12">
      <c r="A20" s="29">
        <v>19</v>
      </c>
      <c r="B20" s="29" t="s">
        <v>7951</v>
      </c>
      <c r="C20" s="29" t="s">
        <v>11379</v>
      </c>
      <c r="D20" s="29" t="s">
        <v>11341</v>
      </c>
      <c r="E20" s="29" t="s">
        <v>9336</v>
      </c>
      <c r="F20" s="29"/>
      <c r="G20" s="29" t="s">
        <v>11380</v>
      </c>
      <c r="H20" s="29"/>
      <c r="I20" s="29" t="s">
        <v>9180</v>
      </c>
      <c r="J20" s="29" t="s">
        <v>9477</v>
      </c>
      <c r="K20" s="29" t="s">
        <v>9211</v>
      </c>
      <c r="L20" s="29" t="s">
        <v>9189</v>
      </c>
    </row>
    <row r="21" spans="1:12">
      <c r="A21" s="28">
        <v>20</v>
      </c>
      <c r="B21" s="28" t="s">
        <v>7938</v>
      </c>
      <c r="C21" s="28" t="s">
        <v>11381</v>
      </c>
      <c r="D21" s="28" t="s">
        <v>11341</v>
      </c>
      <c r="E21" s="28" t="s">
        <v>9336</v>
      </c>
      <c r="F21" s="28"/>
      <c r="G21" s="28" t="s">
        <v>12263</v>
      </c>
      <c r="H21" s="28"/>
      <c r="I21" s="28" t="s">
        <v>9180</v>
      </c>
      <c r="J21" s="28" t="s">
        <v>10236</v>
      </c>
      <c r="K21" s="28" t="s">
        <v>9211</v>
      </c>
      <c r="L21" s="28" t="s">
        <v>9189</v>
      </c>
    </row>
    <row r="22" spans="1:12">
      <c r="A22" s="29">
        <v>21</v>
      </c>
      <c r="B22" s="29" t="s">
        <v>6269</v>
      </c>
      <c r="C22" s="29" t="s">
        <v>11382</v>
      </c>
      <c r="D22" s="29" t="s">
        <v>11341</v>
      </c>
      <c r="E22" s="29" t="s">
        <v>9336</v>
      </c>
      <c r="F22" s="29"/>
      <c r="G22" s="29" t="s">
        <v>11383</v>
      </c>
      <c r="H22" s="29"/>
      <c r="I22" s="29" t="s">
        <v>9180</v>
      </c>
      <c r="J22" s="29" t="s">
        <v>11384</v>
      </c>
      <c r="K22" s="29" t="s">
        <v>9211</v>
      </c>
      <c r="L22" s="29" t="s">
        <v>9189</v>
      </c>
    </row>
    <row r="23" spans="1:12">
      <c r="A23" s="28">
        <v>22</v>
      </c>
      <c r="B23" s="28" t="s">
        <v>7049</v>
      </c>
      <c r="C23" s="28" t="s">
        <v>7050</v>
      </c>
      <c r="D23" s="28" t="s">
        <v>11341</v>
      </c>
      <c r="E23" s="28" t="s">
        <v>9336</v>
      </c>
      <c r="F23" s="28"/>
      <c r="G23" s="28" t="s">
        <v>11385</v>
      </c>
      <c r="H23" s="28"/>
      <c r="I23" s="28" t="s">
        <v>9180</v>
      </c>
      <c r="J23" s="28" t="s">
        <v>9274</v>
      </c>
      <c r="K23" s="28" t="s">
        <v>9211</v>
      </c>
      <c r="L23" s="28" t="s">
        <v>9223</v>
      </c>
    </row>
    <row r="24" spans="1:12">
      <c r="A24" s="29">
        <v>23</v>
      </c>
      <c r="B24" s="29" t="s">
        <v>166</v>
      </c>
      <c r="C24" s="29" t="s">
        <v>11386</v>
      </c>
      <c r="D24" s="29" t="s">
        <v>11341</v>
      </c>
      <c r="E24" s="29" t="s">
        <v>9336</v>
      </c>
      <c r="F24" s="29"/>
      <c r="G24" s="29" t="s">
        <v>12264</v>
      </c>
      <c r="H24" s="29"/>
      <c r="I24" s="29" t="s">
        <v>9180</v>
      </c>
      <c r="J24" s="29" t="s">
        <v>12265</v>
      </c>
      <c r="K24" s="29" t="s">
        <v>9211</v>
      </c>
      <c r="L24" s="29" t="s">
        <v>9189</v>
      </c>
    </row>
    <row r="25" spans="1:12">
      <c r="A25" s="28">
        <v>24</v>
      </c>
      <c r="B25" s="28" t="s">
        <v>7947</v>
      </c>
      <c r="C25" s="28" t="s">
        <v>11387</v>
      </c>
      <c r="D25" s="28" t="s">
        <v>11341</v>
      </c>
      <c r="E25" s="28" t="s">
        <v>9336</v>
      </c>
      <c r="F25" s="28"/>
      <c r="G25" s="28" t="s">
        <v>11388</v>
      </c>
      <c r="H25" s="28"/>
      <c r="I25" s="28" t="s">
        <v>9180</v>
      </c>
      <c r="J25" s="28" t="s">
        <v>9477</v>
      </c>
      <c r="K25" s="28" t="s">
        <v>9211</v>
      </c>
      <c r="L25" s="28" t="s">
        <v>9189</v>
      </c>
    </row>
    <row r="26" spans="1:12">
      <c r="A26" s="29">
        <v>25</v>
      </c>
      <c r="B26" s="29" t="s">
        <v>7167</v>
      </c>
      <c r="C26" s="29" t="s">
        <v>11389</v>
      </c>
      <c r="D26" s="29" t="s">
        <v>11341</v>
      </c>
      <c r="E26" s="29" t="s">
        <v>9336</v>
      </c>
      <c r="F26" s="29"/>
      <c r="G26" s="29" t="s">
        <v>11390</v>
      </c>
      <c r="H26" s="29"/>
      <c r="I26" s="29" t="s">
        <v>9180</v>
      </c>
      <c r="J26" s="29" t="s">
        <v>9230</v>
      </c>
      <c r="K26" s="29" t="s">
        <v>9211</v>
      </c>
      <c r="L26" s="29" t="s">
        <v>9189</v>
      </c>
    </row>
    <row r="27" spans="1:12">
      <c r="A27" s="28">
        <v>26</v>
      </c>
      <c r="B27" s="28" t="s">
        <v>7803</v>
      </c>
      <c r="C27" s="28" t="s">
        <v>11391</v>
      </c>
      <c r="D27" s="28" t="s">
        <v>11341</v>
      </c>
      <c r="E27" s="28" t="s">
        <v>9336</v>
      </c>
      <c r="F27" s="28"/>
      <c r="G27" s="28" t="s">
        <v>11392</v>
      </c>
      <c r="H27" s="28"/>
      <c r="I27" s="28" t="s">
        <v>9180</v>
      </c>
      <c r="J27" s="28" t="s">
        <v>11393</v>
      </c>
      <c r="K27" s="28" t="s">
        <v>9211</v>
      </c>
      <c r="L27" s="28" t="s">
        <v>9189</v>
      </c>
    </row>
    <row r="28" spans="1:12">
      <c r="A28" s="29">
        <v>27</v>
      </c>
      <c r="B28" s="29" t="s">
        <v>7813</v>
      </c>
      <c r="C28" s="29" t="s">
        <v>11394</v>
      </c>
      <c r="D28" s="29" t="s">
        <v>11341</v>
      </c>
      <c r="E28" s="29" t="s">
        <v>9336</v>
      </c>
      <c r="F28" s="29"/>
      <c r="G28" s="29" t="s">
        <v>11395</v>
      </c>
      <c r="H28" s="29"/>
      <c r="I28" s="29" t="s">
        <v>9180</v>
      </c>
      <c r="J28" s="29" t="s">
        <v>9477</v>
      </c>
      <c r="K28" s="29" t="s">
        <v>9211</v>
      </c>
      <c r="L28" s="29" t="s">
        <v>9189</v>
      </c>
    </row>
    <row r="29" spans="1:12">
      <c r="A29" s="28">
        <v>28</v>
      </c>
      <c r="B29" s="28" t="s">
        <v>7968</v>
      </c>
      <c r="C29" s="28" t="s">
        <v>11396</v>
      </c>
      <c r="D29" s="28" t="s">
        <v>11341</v>
      </c>
      <c r="E29" s="28" t="s">
        <v>9336</v>
      </c>
      <c r="F29" s="28"/>
      <c r="G29" s="28" t="s">
        <v>11397</v>
      </c>
      <c r="H29" s="28"/>
      <c r="I29" s="28" t="s">
        <v>9180</v>
      </c>
      <c r="J29" s="28" t="s">
        <v>9477</v>
      </c>
      <c r="K29" s="28" t="s">
        <v>9211</v>
      </c>
      <c r="L29" s="28" t="s">
        <v>9189</v>
      </c>
    </row>
    <row r="30" spans="1:12">
      <c r="A30" s="29">
        <v>29</v>
      </c>
      <c r="B30" s="29" t="s">
        <v>6846</v>
      </c>
      <c r="C30" s="29" t="s">
        <v>11398</v>
      </c>
      <c r="D30" s="29" t="s">
        <v>11341</v>
      </c>
      <c r="E30" s="29" t="s">
        <v>9336</v>
      </c>
      <c r="F30" s="29"/>
      <c r="G30" s="29" t="s">
        <v>11399</v>
      </c>
      <c r="H30" s="29"/>
      <c r="I30" s="29" t="s">
        <v>9180</v>
      </c>
      <c r="J30" s="29" t="s">
        <v>11400</v>
      </c>
      <c r="K30" s="29" t="s">
        <v>9211</v>
      </c>
      <c r="L30" s="29" t="s">
        <v>9189</v>
      </c>
    </row>
    <row r="31" spans="1:12">
      <c r="A31" s="28">
        <v>30</v>
      </c>
      <c r="B31" s="28" t="s">
        <v>6829</v>
      </c>
      <c r="C31" s="28" t="s">
        <v>6830</v>
      </c>
      <c r="D31" s="28" t="s">
        <v>11341</v>
      </c>
      <c r="E31" s="28" t="s">
        <v>9336</v>
      </c>
      <c r="F31" s="28"/>
      <c r="G31" s="28" t="s">
        <v>11401</v>
      </c>
      <c r="H31" s="28"/>
      <c r="I31" s="28" t="s">
        <v>9180</v>
      </c>
      <c r="J31" s="28" t="s">
        <v>9274</v>
      </c>
      <c r="K31" s="28" t="s">
        <v>9211</v>
      </c>
      <c r="L31" s="28" t="s">
        <v>9223</v>
      </c>
    </row>
    <row r="32" spans="1:12">
      <c r="A32" s="29">
        <v>31</v>
      </c>
      <c r="B32" s="29" t="s">
        <v>7569</v>
      </c>
      <c r="C32" s="29" t="s">
        <v>7570</v>
      </c>
      <c r="D32" s="29" t="s">
        <v>11341</v>
      </c>
      <c r="E32" s="29" t="s">
        <v>9336</v>
      </c>
      <c r="F32" s="29"/>
      <c r="G32" s="29" t="s">
        <v>11402</v>
      </c>
      <c r="H32" s="29"/>
      <c r="I32" s="29" t="s">
        <v>9180</v>
      </c>
      <c r="J32" s="29" t="s">
        <v>9708</v>
      </c>
      <c r="K32" s="29" t="s">
        <v>9211</v>
      </c>
      <c r="L32" s="29" t="s">
        <v>9223</v>
      </c>
    </row>
    <row r="33" spans="1:12">
      <c r="A33" s="28">
        <v>32</v>
      </c>
      <c r="B33" s="28" t="s">
        <v>6860</v>
      </c>
      <c r="C33" s="28" t="s">
        <v>11403</v>
      </c>
      <c r="D33" s="28" t="s">
        <v>11341</v>
      </c>
      <c r="E33" s="28" t="s">
        <v>9336</v>
      </c>
      <c r="F33" s="28"/>
      <c r="G33" s="28" t="s">
        <v>11404</v>
      </c>
      <c r="H33" s="28"/>
      <c r="I33" s="28" t="s">
        <v>9180</v>
      </c>
      <c r="J33" s="28" t="s">
        <v>11405</v>
      </c>
      <c r="K33" s="28" t="s">
        <v>9211</v>
      </c>
      <c r="L33" s="28" t="s">
        <v>9189</v>
      </c>
    </row>
    <row r="34" spans="1:12">
      <c r="A34" s="29">
        <v>33</v>
      </c>
      <c r="B34" s="29" t="s">
        <v>5136</v>
      </c>
      <c r="C34" s="29" t="s">
        <v>5137</v>
      </c>
      <c r="D34" s="29" t="s">
        <v>11341</v>
      </c>
      <c r="E34" s="29" t="s">
        <v>9336</v>
      </c>
      <c r="F34" s="29"/>
      <c r="G34" s="29" t="s">
        <v>11406</v>
      </c>
      <c r="H34" s="29"/>
      <c r="I34" s="29" t="s">
        <v>9180</v>
      </c>
      <c r="J34" s="29" t="s">
        <v>11407</v>
      </c>
      <c r="K34" s="29" t="s">
        <v>9211</v>
      </c>
      <c r="L34" s="29" t="s">
        <v>9223</v>
      </c>
    </row>
    <row r="35" spans="1:12">
      <c r="A35" s="28">
        <v>34</v>
      </c>
      <c r="B35" s="28" t="s">
        <v>6977</v>
      </c>
      <c r="C35" s="28" t="s">
        <v>6978</v>
      </c>
      <c r="D35" s="28" t="s">
        <v>11341</v>
      </c>
      <c r="E35" s="28" t="s">
        <v>9336</v>
      </c>
      <c r="F35" s="28"/>
      <c r="G35" s="28" t="s">
        <v>11408</v>
      </c>
      <c r="H35" s="28"/>
      <c r="I35" s="28" t="s">
        <v>9180</v>
      </c>
      <c r="J35" s="28" t="s">
        <v>9260</v>
      </c>
      <c r="K35" s="28" t="s">
        <v>9211</v>
      </c>
      <c r="L35" s="28" t="s">
        <v>9223</v>
      </c>
    </row>
    <row r="36" spans="1:12">
      <c r="A36" s="27">
        <v>35</v>
      </c>
      <c r="B36" s="27" t="s">
        <v>4538</v>
      </c>
      <c r="C36" s="27" t="s">
        <v>4539</v>
      </c>
      <c r="D36" s="27" t="s">
        <v>11337</v>
      </c>
      <c r="E36" s="27" t="s">
        <v>9336</v>
      </c>
      <c r="F36" s="27"/>
      <c r="G36" s="27" t="s">
        <v>11409</v>
      </c>
      <c r="H36" s="27" t="s">
        <v>11409</v>
      </c>
      <c r="I36" s="27" t="s">
        <v>9180</v>
      </c>
      <c r="J36" s="27" t="s">
        <v>9614</v>
      </c>
      <c r="K36" s="27" t="s">
        <v>9211</v>
      </c>
      <c r="L36" s="27" t="s">
        <v>9196</v>
      </c>
    </row>
    <row r="37" spans="1:12">
      <c r="A37" s="28">
        <v>36</v>
      </c>
      <c r="B37" s="28" t="s">
        <v>8006</v>
      </c>
      <c r="C37" s="28" t="s">
        <v>11410</v>
      </c>
      <c r="D37" s="28" t="s">
        <v>11341</v>
      </c>
      <c r="E37" s="28" t="s">
        <v>9336</v>
      </c>
      <c r="F37" s="28"/>
      <c r="G37" s="28" t="s">
        <v>11411</v>
      </c>
      <c r="H37" s="28"/>
      <c r="I37" s="28" t="s">
        <v>9180</v>
      </c>
      <c r="J37" s="28" t="s">
        <v>9650</v>
      </c>
      <c r="K37" s="28" t="s">
        <v>9211</v>
      </c>
      <c r="L37" s="28" t="s">
        <v>9189</v>
      </c>
    </row>
    <row r="38" spans="1:12">
      <c r="A38" s="27">
        <v>37</v>
      </c>
      <c r="B38" s="27" t="s">
        <v>5291</v>
      </c>
      <c r="C38" s="27" t="s">
        <v>5292</v>
      </c>
      <c r="D38" s="27" t="s">
        <v>11337</v>
      </c>
      <c r="E38" s="27" t="s">
        <v>9336</v>
      </c>
      <c r="F38" s="27"/>
      <c r="G38" s="27" t="s">
        <v>11412</v>
      </c>
      <c r="H38" s="27"/>
      <c r="I38" s="27" t="s">
        <v>9180</v>
      </c>
      <c r="J38" s="27" t="s">
        <v>10700</v>
      </c>
      <c r="K38" s="27" t="s">
        <v>9211</v>
      </c>
      <c r="L38" s="27" t="s">
        <v>9183</v>
      </c>
    </row>
    <row r="39" spans="1:12">
      <c r="A39" s="28">
        <v>38</v>
      </c>
      <c r="B39" s="28" t="s">
        <v>8002</v>
      </c>
      <c r="C39" s="28" t="s">
        <v>8003</v>
      </c>
      <c r="D39" s="28" t="s">
        <v>11341</v>
      </c>
      <c r="E39" s="28" t="s">
        <v>9336</v>
      </c>
      <c r="F39" s="28"/>
      <c r="G39" s="28" t="s">
        <v>11413</v>
      </c>
      <c r="H39" s="28"/>
      <c r="I39" s="28" t="s">
        <v>9180</v>
      </c>
      <c r="J39" s="28" t="s">
        <v>9221</v>
      </c>
      <c r="K39" s="28" t="s">
        <v>9211</v>
      </c>
      <c r="L39" s="28" t="s">
        <v>9223</v>
      </c>
    </row>
    <row r="40" spans="1:12">
      <c r="A40" s="29">
        <v>39</v>
      </c>
      <c r="B40" s="29" t="s">
        <v>8122</v>
      </c>
      <c r="C40" s="29" t="s">
        <v>8123</v>
      </c>
      <c r="D40" s="29" t="s">
        <v>11341</v>
      </c>
      <c r="E40" s="29" t="s">
        <v>9336</v>
      </c>
      <c r="F40" s="29"/>
      <c r="G40" s="29" t="s">
        <v>11414</v>
      </c>
      <c r="H40" s="29"/>
      <c r="I40" s="29" t="s">
        <v>9180</v>
      </c>
      <c r="J40" s="29" t="s">
        <v>9239</v>
      </c>
      <c r="K40" s="29" t="s">
        <v>9211</v>
      </c>
      <c r="L40" s="29" t="s">
        <v>9223</v>
      </c>
    </row>
    <row r="41" spans="1:12">
      <c r="A41" s="28">
        <v>40</v>
      </c>
      <c r="B41" s="28" t="s">
        <v>6864</v>
      </c>
      <c r="C41" s="28" t="s">
        <v>11415</v>
      </c>
      <c r="D41" s="28" t="s">
        <v>11341</v>
      </c>
      <c r="E41" s="28" t="s">
        <v>9336</v>
      </c>
      <c r="F41" s="28"/>
      <c r="G41" s="28" t="s">
        <v>11416</v>
      </c>
      <c r="H41" s="28"/>
      <c r="I41" s="28" t="s">
        <v>9180</v>
      </c>
      <c r="J41" s="28" t="s">
        <v>9221</v>
      </c>
      <c r="K41" s="28" t="s">
        <v>9211</v>
      </c>
      <c r="L41" s="28" t="s">
        <v>9223</v>
      </c>
    </row>
    <row r="42" spans="1:12">
      <c r="A42" s="29">
        <v>41</v>
      </c>
      <c r="B42" s="29" t="s">
        <v>6868</v>
      </c>
      <c r="C42" s="29" t="s">
        <v>6869</v>
      </c>
      <c r="D42" s="29" t="s">
        <v>11341</v>
      </c>
      <c r="E42" s="29" t="s">
        <v>9336</v>
      </c>
      <c r="F42" s="29"/>
      <c r="G42" s="29" t="s">
        <v>11417</v>
      </c>
      <c r="H42" s="29"/>
      <c r="I42" s="29" t="s">
        <v>9180</v>
      </c>
      <c r="J42" s="29" t="s">
        <v>9221</v>
      </c>
      <c r="K42" s="29" t="s">
        <v>9211</v>
      </c>
      <c r="L42" s="29" t="s">
        <v>9223</v>
      </c>
    </row>
    <row r="43" spans="1:12">
      <c r="A43" s="28">
        <v>42</v>
      </c>
      <c r="B43" s="28" t="s">
        <v>8128</v>
      </c>
      <c r="C43" s="28"/>
      <c r="D43" s="28" t="s">
        <v>11341</v>
      </c>
      <c r="E43" s="28" t="s">
        <v>9336</v>
      </c>
      <c r="F43" s="28"/>
      <c r="G43" s="28" t="s">
        <v>11418</v>
      </c>
      <c r="H43" s="28"/>
      <c r="I43" s="28" t="s">
        <v>9180</v>
      </c>
      <c r="J43" s="28" t="s">
        <v>9239</v>
      </c>
      <c r="K43" s="28" t="s">
        <v>9211</v>
      </c>
      <c r="L43" s="28" t="s">
        <v>9223</v>
      </c>
    </row>
    <row r="44" spans="1:12">
      <c r="A44" s="27">
        <v>43</v>
      </c>
      <c r="B44" s="27" t="s">
        <v>11419</v>
      </c>
      <c r="C44" s="27" t="s">
        <v>11420</v>
      </c>
      <c r="D44" s="27" t="s">
        <v>11337</v>
      </c>
      <c r="E44" s="27" t="s">
        <v>9336</v>
      </c>
      <c r="F44" s="27"/>
      <c r="G44" s="27" t="s">
        <v>11421</v>
      </c>
      <c r="H44" s="27"/>
      <c r="I44" s="27" t="s">
        <v>9180</v>
      </c>
      <c r="J44" s="27" t="s">
        <v>9210</v>
      </c>
      <c r="K44" s="27" t="s">
        <v>9211</v>
      </c>
      <c r="L44" s="27" t="s">
        <v>9183</v>
      </c>
    </row>
    <row r="45" spans="1:12">
      <c r="A45" s="28">
        <v>44</v>
      </c>
      <c r="B45" s="28" t="s">
        <v>7788</v>
      </c>
      <c r="C45" s="28"/>
      <c r="D45" s="28" t="s">
        <v>11341</v>
      </c>
      <c r="E45" s="28" t="s">
        <v>9336</v>
      </c>
      <c r="F45" s="28"/>
      <c r="G45" s="28" t="s">
        <v>11422</v>
      </c>
      <c r="H45" s="28"/>
      <c r="I45" s="28" t="s">
        <v>9180</v>
      </c>
      <c r="J45" s="28" t="s">
        <v>9650</v>
      </c>
      <c r="K45" s="28" t="s">
        <v>9211</v>
      </c>
      <c r="L45" s="28" t="s">
        <v>9223</v>
      </c>
    </row>
    <row r="46" spans="1:12">
      <c r="A46" s="29">
        <v>45</v>
      </c>
      <c r="B46" s="29" t="s">
        <v>8016</v>
      </c>
      <c r="C46" s="29" t="s">
        <v>11423</v>
      </c>
      <c r="D46" s="29" t="s">
        <v>11341</v>
      </c>
      <c r="E46" s="29" t="s">
        <v>9336</v>
      </c>
      <c r="F46" s="29"/>
      <c r="G46" s="29" t="s">
        <v>11424</v>
      </c>
      <c r="H46" s="29"/>
      <c r="I46" s="29" t="s">
        <v>9180</v>
      </c>
      <c r="J46" s="29" t="s">
        <v>9477</v>
      </c>
      <c r="K46" s="29" t="s">
        <v>9211</v>
      </c>
      <c r="L46" s="29" t="s">
        <v>9189</v>
      </c>
    </row>
    <row r="47" spans="1:12">
      <c r="A47" s="28">
        <v>46</v>
      </c>
      <c r="B47" s="28" t="s">
        <v>8118</v>
      </c>
      <c r="C47" s="28" t="s">
        <v>11425</v>
      </c>
      <c r="D47" s="28" t="s">
        <v>11341</v>
      </c>
      <c r="E47" s="28" t="s">
        <v>9336</v>
      </c>
      <c r="F47" s="28"/>
      <c r="G47" s="28" t="s">
        <v>11426</v>
      </c>
      <c r="H47" s="28"/>
      <c r="I47" s="28" t="s">
        <v>9180</v>
      </c>
      <c r="J47" s="28" t="s">
        <v>11427</v>
      </c>
      <c r="K47" s="28" t="s">
        <v>9211</v>
      </c>
      <c r="L47" s="28" t="s">
        <v>9189</v>
      </c>
    </row>
    <row r="48" spans="1:12">
      <c r="A48" s="29">
        <v>47</v>
      </c>
      <c r="B48" s="29" t="s">
        <v>7867</v>
      </c>
      <c r="C48" s="29" t="s">
        <v>11428</v>
      </c>
      <c r="D48" s="29" t="s">
        <v>11341</v>
      </c>
      <c r="E48" s="29" t="s">
        <v>9336</v>
      </c>
      <c r="F48" s="29"/>
      <c r="G48" s="29" t="s">
        <v>11429</v>
      </c>
      <c r="H48" s="29"/>
      <c r="I48" s="29" t="s">
        <v>9180</v>
      </c>
      <c r="J48" s="29" t="s">
        <v>9274</v>
      </c>
      <c r="K48" s="29" t="s">
        <v>9211</v>
      </c>
      <c r="L48" s="29" t="s">
        <v>9189</v>
      </c>
    </row>
    <row r="49" spans="1:12">
      <c r="A49" s="28">
        <v>48</v>
      </c>
      <c r="B49" s="28" t="s">
        <v>7318</v>
      </c>
      <c r="C49" s="28" t="s">
        <v>11430</v>
      </c>
      <c r="D49" s="28" t="s">
        <v>11341</v>
      </c>
      <c r="E49" s="28" t="s">
        <v>9336</v>
      </c>
      <c r="F49" s="28"/>
      <c r="G49" s="28" t="s">
        <v>11431</v>
      </c>
      <c r="H49" s="28"/>
      <c r="I49" s="28" t="s">
        <v>9180</v>
      </c>
      <c r="J49" s="28" t="s">
        <v>9390</v>
      </c>
      <c r="K49" s="28" t="s">
        <v>9211</v>
      </c>
      <c r="L49" s="28" t="s">
        <v>9189</v>
      </c>
    </row>
    <row r="50" spans="1:12">
      <c r="A50" s="29">
        <v>49</v>
      </c>
      <c r="B50" s="29" t="s">
        <v>7807</v>
      </c>
      <c r="C50" s="29" t="s">
        <v>7808</v>
      </c>
      <c r="D50" s="29" t="s">
        <v>11341</v>
      </c>
      <c r="E50" s="29" t="s">
        <v>9336</v>
      </c>
      <c r="F50" s="29"/>
      <c r="G50" s="29" t="s">
        <v>11432</v>
      </c>
      <c r="H50" s="29"/>
      <c r="I50" s="29" t="s">
        <v>9180</v>
      </c>
      <c r="J50" s="29" t="s">
        <v>9374</v>
      </c>
      <c r="K50" s="29" t="s">
        <v>9211</v>
      </c>
      <c r="L50" s="29" t="s">
        <v>9223</v>
      </c>
    </row>
    <row r="51" spans="1:12">
      <c r="A51" s="28">
        <v>50</v>
      </c>
      <c r="B51" s="28" t="s">
        <v>7972</v>
      </c>
      <c r="C51" s="28" t="s">
        <v>11433</v>
      </c>
      <c r="D51" s="28" t="s">
        <v>11341</v>
      </c>
      <c r="E51" s="28" t="s">
        <v>9336</v>
      </c>
      <c r="F51" s="28"/>
      <c r="G51" s="28" t="s">
        <v>11434</v>
      </c>
      <c r="H51" s="28"/>
      <c r="I51" s="28" t="s">
        <v>9180</v>
      </c>
      <c r="J51" s="28" t="s">
        <v>9477</v>
      </c>
      <c r="K51" s="28" t="s">
        <v>9211</v>
      </c>
      <c r="L51" s="28" t="s">
        <v>9189</v>
      </c>
    </row>
    <row r="52" spans="1:12">
      <c r="A52" s="29">
        <v>51</v>
      </c>
      <c r="B52" s="29" t="s">
        <v>7984</v>
      </c>
      <c r="C52" s="29" t="s">
        <v>11435</v>
      </c>
      <c r="D52" s="29" t="s">
        <v>11341</v>
      </c>
      <c r="E52" s="29" t="s">
        <v>9336</v>
      </c>
      <c r="F52" s="29"/>
      <c r="G52" s="29" t="s">
        <v>11436</v>
      </c>
      <c r="H52" s="29"/>
      <c r="I52" s="29" t="s">
        <v>9180</v>
      </c>
      <c r="J52" s="29" t="s">
        <v>10381</v>
      </c>
      <c r="K52" s="29" t="s">
        <v>9211</v>
      </c>
      <c r="L52" s="29" t="s">
        <v>9189</v>
      </c>
    </row>
    <row r="53" spans="1:12">
      <c r="A53" s="28">
        <v>52</v>
      </c>
      <c r="B53" s="28" t="s">
        <v>7188</v>
      </c>
      <c r="C53" s="28" t="s">
        <v>7189</v>
      </c>
      <c r="D53" s="28" t="s">
        <v>11341</v>
      </c>
      <c r="E53" s="28" t="s">
        <v>9336</v>
      </c>
      <c r="F53" s="28"/>
      <c r="G53" s="28" t="s">
        <v>11437</v>
      </c>
      <c r="H53" s="28"/>
      <c r="I53" s="28" t="s">
        <v>9180</v>
      </c>
      <c r="J53" s="28" t="s">
        <v>9322</v>
      </c>
      <c r="K53" s="28" t="s">
        <v>9211</v>
      </c>
      <c r="L53" s="28" t="s">
        <v>9223</v>
      </c>
    </row>
    <row r="54" spans="1:12">
      <c r="A54" s="29">
        <v>53</v>
      </c>
      <c r="B54" s="29" t="s">
        <v>7784</v>
      </c>
      <c r="C54" s="29" t="s">
        <v>11438</v>
      </c>
      <c r="D54" s="29" t="s">
        <v>11341</v>
      </c>
      <c r="E54" s="29" t="s">
        <v>9336</v>
      </c>
      <c r="F54" s="29"/>
      <c r="G54" s="29" t="s">
        <v>11439</v>
      </c>
      <c r="H54" s="29"/>
      <c r="I54" s="29" t="s">
        <v>9180</v>
      </c>
      <c r="J54" s="29" t="s">
        <v>11440</v>
      </c>
      <c r="K54" s="29" t="s">
        <v>9211</v>
      </c>
      <c r="L54" s="29" t="s">
        <v>9189</v>
      </c>
    </row>
    <row r="55" spans="1:12">
      <c r="A55" s="28">
        <v>54</v>
      </c>
      <c r="B55" s="28" t="s">
        <v>8136</v>
      </c>
      <c r="C55" s="28" t="s">
        <v>8137</v>
      </c>
      <c r="D55" s="28" t="s">
        <v>11341</v>
      </c>
      <c r="E55" s="28" t="s">
        <v>9336</v>
      </c>
      <c r="F55" s="28"/>
      <c r="G55" s="28" t="s">
        <v>11441</v>
      </c>
      <c r="H55" s="28"/>
      <c r="I55" s="28" t="s">
        <v>9180</v>
      </c>
      <c r="J55" s="28" t="s">
        <v>9239</v>
      </c>
      <c r="K55" s="28" t="s">
        <v>9211</v>
      </c>
      <c r="L55" s="28" t="s">
        <v>9223</v>
      </c>
    </row>
    <row r="56" spans="1:12">
      <c r="A56" s="29">
        <v>55</v>
      </c>
      <c r="B56" s="29" t="s">
        <v>7001</v>
      </c>
      <c r="C56" s="29" t="s">
        <v>7002</v>
      </c>
      <c r="D56" s="29" t="s">
        <v>11341</v>
      </c>
      <c r="E56" s="29" t="s">
        <v>9336</v>
      </c>
      <c r="F56" s="29"/>
      <c r="G56" s="29" t="s">
        <v>11442</v>
      </c>
      <c r="H56" s="29"/>
      <c r="I56" s="29" t="s">
        <v>9180</v>
      </c>
      <c r="J56" s="29" t="s">
        <v>9239</v>
      </c>
      <c r="K56" s="29" t="s">
        <v>9211</v>
      </c>
      <c r="L56" s="29" t="s">
        <v>9223</v>
      </c>
    </row>
    <row r="57" spans="1:12">
      <c r="A57" s="28">
        <v>56</v>
      </c>
      <c r="B57" s="28" t="s">
        <v>7980</v>
      </c>
      <c r="C57" s="28" t="s">
        <v>11443</v>
      </c>
      <c r="D57" s="28" t="s">
        <v>11341</v>
      </c>
      <c r="E57" s="28" t="s">
        <v>9336</v>
      </c>
      <c r="F57" s="28"/>
      <c r="G57" s="28" t="s">
        <v>11444</v>
      </c>
      <c r="H57" s="28"/>
      <c r="I57" s="28" t="s">
        <v>9180</v>
      </c>
      <c r="J57" s="28" t="s">
        <v>10381</v>
      </c>
      <c r="K57" s="28" t="s">
        <v>9211</v>
      </c>
      <c r="L57" s="28" t="s">
        <v>9189</v>
      </c>
    </row>
    <row r="58" spans="1:12">
      <c r="A58" s="29">
        <v>57</v>
      </c>
      <c r="B58" s="29" t="s">
        <v>2752</v>
      </c>
      <c r="C58" s="29" t="s">
        <v>11445</v>
      </c>
      <c r="D58" s="29" t="s">
        <v>11341</v>
      </c>
      <c r="E58" s="29" t="s">
        <v>9336</v>
      </c>
      <c r="F58" s="29"/>
      <c r="G58" s="29" t="s">
        <v>11446</v>
      </c>
      <c r="H58" s="29"/>
      <c r="I58" s="29" t="s">
        <v>9180</v>
      </c>
      <c r="J58" s="29" t="s">
        <v>11447</v>
      </c>
      <c r="K58" s="29" t="s">
        <v>9211</v>
      </c>
      <c r="L58" s="29" t="s">
        <v>9189</v>
      </c>
    </row>
    <row r="59" spans="1:12">
      <c r="A59" s="28">
        <v>58</v>
      </c>
      <c r="B59" s="28" t="s">
        <v>6872</v>
      </c>
      <c r="C59" s="28" t="s">
        <v>11448</v>
      </c>
      <c r="D59" s="28" t="s">
        <v>11341</v>
      </c>
      <c r="E59" s="28" t="s">
        <v>9336</v>
      </c>
      <c r="F59" s="28"/>
      <c r="G59" s="28" t="s">
        <v>11449</v>
      </c>
      <c r="H59" s="28"/>
      <c r="I59" s="28" t="s">
        <v>9180</v>
      </c>
      <c r="J59" s="28" t="s">
        <v>11427</v>
      </c>
      <c r="K59" s="28" t="s">
        <v>9211</v>
      </c>
      <c r="L59" s="28" t="s">
        <v>9189</v>
      </c>
    </row>
    <row r="60" spans="1:12">
      <c r="A60" s="29">
        <v>59</v>
      </c>
      <c r="B60" s="29" t="s">
        <v>6762</v>
      </c>
      <c r="C60" s="29" t="s">
        <v>11450</v>
      </c>
      <c r="D60" s="29" t="s">
        <v>11341</v>
      </c>
      <c r="E60" s="29" t="s">
        <v>9336</v>
      </c>
      <c r="F60" s="29"/>
      <c r="G60" s="29" t="s">
        <v>11451</v>
      </c>
      <c r="H60" s="29"/>
      <c r="I60" s="29" t="s">
        <v>9180</v>
      </c>
      <c r="J60" s="29" t="s">
        <v>9374</v>
      </c>
      <c r="K60" s="29" t="s">
        <v>9211</v>
      </c>
      <c r="L60" s="29" t="s">
        <v>9223</v>
      </c>
    </row>
    <row r="61" spans="1:12">
      <c r="A61" s="28">
        <v>60</v>
      </c>
      <c r="B61" s="28" t="s">
        <v>7175</v>
      </c>
      <c r="C61" s="28" t="s">
        <v>11452</v>
      </c>
      <c r="D61" s="28" t="s">
        <v>11341</v>
      </c>
      <c r="E61" s="28" t="s">
        <v>9336</v>
      </c>
      <c r="F61" s="28"/>
      <c r="G61" s="28" t="s">
        <v>11453</v>
      </c>
      <c r="H61" s="28"/>
      <c r="I61" s="28" t="s">
        <v>9180</v>
      </c>
      <c r="J61" s="28" t="s">
        <v>9217</v>
      </c>
      <c r="K61" s="28" t="s">
        <v>9211</v>
      </c>
      <c r="L61" s="28" t="s">
        <v>9189</v>
      </c>
    </row>
    <row r="62" spans="1:12">
      <c r="A62" s="29">
        <v>61</v>
      </c>
      <c r="B62" s="29" t="s">
        <v>8012</v>
      </c>
      <c r="C62" s="29" t="s">
        <v>11454</v>
      </c>
      <c r="D62" s="29" t="s">
        <v>11341</v>
      </c>
      <c r="E62" s="29" t="s">
        <v>9336</v>
      </c>
      <c r="F62" s="29"/>
      <c r="G62" s="29" t="s">
        <v>11455</v>
      </c>
      <c r="H62" s="29"/>
      <c r="I62" s="29" t="s">
        <v>9180</v>
      </c>
      <c r="J62" s="29" t="s">
        <v>9477</v>
      </c>
      <c r="K62" s="29" t="s">
        <v>9211</v>
      </c>
      <c r="L62" s="29" t="s">
        <v>9189</v>
      </c>
    </row>
    <row r="63" spans="1:12">
      <c r="A63" s="28">
        <v>62</v>
      </c>
      <c r="B63" s="28" t="s">
        <v>5374</v>
      </c>
      <c r="C63" s="28" t="s">
        <v>5375</v>
      </c>
      <c r="D63" s="28" t="s">
        <v>11341</v>
      </c>
      <c r="E63" s="28" t="s">
        <v>9336</v>
      </c>
      <c r="F63" s="28"/>
      <c r="G63" s="28" t="s">
        <v>11456</v>
      </c>
      <c r="H63" s="28"/>
      <c r="I63" s="28" t="s">
        <v>9180</v>
      </c>
      <c r="J63" s="28" t="s">
        <v>9221</v>
      </c>
      <c r="K63" s="28" t="s">
        <v>9211</v>
      </c>
      <c r="L63" s="28" t="s">
        <v>9223</v>
      </c>
    </row>
    <row r="64" spans="1:12">
      <c r="A64" s="29">
        <v>63</v>
      </c>
      <c r="B64" s="29" t="s">
        <v>4271</v>
      </c>
      <c r="C64" s="29" t="s">
        <v>11457</v>
      </c>
      <c r="D64" s="29" t="s">
        <v>11341</v>
      </c>
      <c r="E64" s="29" t="s">
        <v>9336</v>
      </c>
      <c r="F64" s="29"/>
      <c r="G64" s="29" t="s">
        <v>11458</v>
      </c>
      <c r="H64" s="29"/>
      <c r="I64" s="29" t="s">
        <v>9180</v>
      </c>
      <c r="J64" s="29" t="s">
        <v>11459</v>
      </c>
      <c r="K64" s="29" t="s">
        <v>9211</v>
      </c>
      <c r="L64" s="29" t="s">
        <v>9189</v>
      </c>
    </row>
    <row r="65" spans="1:12">
      <c r="A65" s="28">
        <v>64</v>
      </c>
      <c r="B65" s="28" t="s">
        <v>7226</v>
      </c>
      <c r="C65" s="28" t="s">
        <v>11460</v>
      </c>
      <c r="D65" s="28" t="s">
        <v>11341</v>
      </c>
      <c r="E65" s="28" t="s">
        <v>9336</v>
      </c>
      <c r="F65" s="28"/>
      <c r="G65" s="28" t="s">
        <v>11461</v>
      </c>
      <c r="H65" s="28"/>
      <c r="I65" s="28" t="s">
        <v>9180</v>
      </c>
      <c r="J65" s="28" t="s">
        <v>9374</v>
      </c>
      <c r="K65" s="28" t="s">
        <v>9211</v>
      </c>
      <c r="L65" s="28" t="s">
        <v>9189</v>
      </c>
    </row>
    <row r="66" spans="1:12">
      <c r="A66" s="29">
        <v>65</v>
      </c>
      <c r="B66" s="29" t="s">
        <v>11462</v>
      </c>
      <c r="C66" s="29" t="s">
        <v>11463</v>
      </c>
      <c r="D66" s="29" t="s">
        <v>11341</v>
      </c>
      <c r="E66" s="29" t="s">
        <v>9336</v>
      </c>
      <c r="F66" s="29"/>
      <c r="G66" s="29" t="s">
        <v>11464</v>
      </c>
      <c r="H66" s="29"/>
      <c r="I66" s="29" t="s">
        <v>9180</v>
      </c>
      <c r="J66" s="29" t="s">
        <v>9210</v>
      </c>
      <c r="K66" s="29" t="s">
        <v>9211</v>
      </c>
      <c r="L66" s="29" t="s">
        <v>9189</v>
      </c>
    </row>
    <row r="67" spans="1:12">
      <c r="A67" s="28">
        <v>66</v>
      </c>
      <c r="B67" s="28" t="s">
        <v>7827</v>
      </c>
      <c r="C67" s="28" t="s">
        <v>11465</v>
      </c>
      <c r="D67" s="28" t="s">
        <v>11341</v>
      </c>
      <c r="E67" s="28" t="s">
        <v>9336</v>
      </c>
      <c r="F67" s="28"/>
      <c r="G67" s="28" t="s">
        <v>11466</v>
      </c>
      <c r="H67" s="28"/>
      <c r="I67" s="28" t="s">
        <v>9180</v>
      </c>
      <c r="J67" s="28" t="s">
        <v>9271</v>
      </c>
      <c r="K67" s="28" t="s">
        <v>9211</v>
      </c>
      <c r="L67" s="28" t="s">
        <v>9189</v>
      </c>
    </row>
    <row r="68" spans="1:12">
      <c r="A68" s="29">
        <v>67</v>
      </c>
      <c r="B68" s="29" t="s">
        <v>1169</v>
      </c>
      <c r="C68" s="29"/>
      <c r="D68" s="29" t="s">
        <v>11341</v>
      </c>
      <c r="E68" s="29" t="s">
        <v>9336</v>
      </c>
      <c r="F68" s="29"/>
      <c r="G68" s="29" t="s">
        <v>11467</v>
      </c>
      <c r="H68" s="29"/>
      <c r="I68" s="29" t="s">
        <v>9180</v>
      </c>
      <c r="J68" s="29" t="s">
        <v>11468</v>
      </c>
      <c r="K68" s="29" t="s">
        <v>9211</v>
      </c>
      <c r="L68" s="29" t="s">
        <v>9223</v>
      </c>
    </row>
    <row r="69" spans="1:12">
      <c r="A69" s="28">
        <v>68</v>
      </c>
      <c r="B69" s="28" t="s">
        <v>5766</v>
      </c>
      <c r="C69" s="28" t="s">
        <v>11469</v>
      </c>
      <c r="D69" s="28" t="s">
        <v>11341</v>
      </c>
      <c r="E69" s="28" t="s">
        <v>9336</v>
      </c>
      <c r="F69" s="28"/>
      <c r="G69" s="28" t="s">
        <v>11470</v>
      </c>
      <c r="H69" s="28"/>
      <c r="I69" s="28" t="s">
        <v>9180</v>
      </c>
      <c r="J69" s="28" t="s">
        <v>9274</v>
      </c>
      <c r="K69" s="28" t="s">
        <v>9211</v>
      </c>
      <c r="L69" s="28" t="s">
        <v>9189</v>
      </c>
    </row>
    <row r="70" spans="1:12">
      <c r="A70" s="29">
        <v>69</v>
      </c>
      <c r="B70" s="29" t="s">
        <v>7817</v>
      </c>
      <c r="C70" s="29" t="s">
        <v>7818</v>
      </c>
      <c r="D70" s="29" t="s">
        <v>11341</v>
      </c>
      <c r="E70" s="29" t="s">
        <v>9336</v>
      </c>
      <c r="F70" s="29"/>
      <c r="G70" s="29" t="s">
        <v>11471</v>
      </c>
      <c r="H70" s="29"/>
      <c r="I70" s="29" t="s">
        <v>9180</v>
      </c>
      <c r="J70" s="29" t="s">
        <v>9221</v>
      </c>
      <c r="K70" s="29" t="s">
        <v>9211</v>
      </c>
      <c r="L70" s="29" t="s">
        <v>9223</v>
      </c>
    </row>
    <row r="71" spans="1:12">
      <c r="A71" s="28">
        <v>70</v>
      </c>
      <c r="B71" s="28" t="s">
        <v>8179</v>
      </c>
      <c r="C71" s="28" t="s">
        <v>8180</v>
      </c>
      <c r="D71" s="28" t="s">
        <v>11341</v>
      </c>
      <c r="E71" s="28" t="s">
        <v>9336</v>
      </c>
      <c r="F71" s="28"/>
      <c r="G71" s="28" t="s">
        <v>11472</v>
      </c>
      <c r="H71" s="28"/>
      <c r="I71" s="28" t="s">
        <v>9180</v>
      </c>
      <c r="J71" s="28" t="s">
        <v>9614</v>
      </c>
      <c r="K71" s="28" t="s">
        <v>9211</v>
      </c>
      <c r="L71" s="28" t="s">
        <v>9223</v>
      </c>
    </row>
    <row r="72" spans="1:12">
      <c r="A72" s="29">
        <v>71</v>
      </c>
      <c r="B72" s="29" t="s">
        <v>4825</v>
      </c>
      <c r="C72" s="29" t="s">
        <v>11473</v>
      </c>
      <c r="D72" s="29" t="s">
        <v>11341</v>
      </c>
      <c r="E72" s="29" t="s">
        <v>9336</v>
      </c>
      <c r="F72" s="29"/>
      <c r="G72" s="29" t="s">
        <v>11474</v>
      </c>
      <c r="H72" s="29"/>
      <c r="I72" s="29" t="s">
        <v>9180</v>
      </c>
      <c r="J72" s="29" t="s">
        <v>11475</v>
      </c>
      <c r="K72" s="29" t="s">
        <v>9211</v>
      </c>
      <c r="L72" s="29" t="s">
        <v>9189</v>
      </c>
    </row>
    <row r="73" spans="1:12">
      <c r="A73" s="28">
        <v>72</v>
      </c>
      <c r="B73" s="28" t="s">
        <v>5738</v>
      </c>
      <c r="C73" s="28" t="s">
        <v>11476</v>
      </c>
      <c r="D73" s="28" t="s">
        <v>11341</v>
      </c>
      <c r="E73" s="28" t="s">
        <v>9336</v>
      </c>
      <c r="F73" s="28"/>
      <c r="G73" s="28" t="s">
        <v>11477</v>
      </c>
      <c r="H73" s="28"/>
      <c r="I73" s="28" t="s">
        <v>9180</v>
      </c>
      <c r="J73" s="28" t="s">
        <v>9322</v>
      </c>
      <c r="K73" s="28" t="s">
        <v>9211</v>
      </c>
      <c r="L73" s="28" t="s">
        <v>9189</v>
      </c>
    </row>
    <row r="74" spans="1:12">
      <c r="A74" s="29">
        <v>73</v>
      </c>
      <c r="B74" s="29" t="s">
        <v>1756</v>
      </c>
      <c r="C74" s="29" t="s">
        <v>11478</v>
      </c>
      <c r="D74" s="29" t="s">
        <v>11341</v>
      </c>
      <c r="E74" s="29" t="s">
        <v>9336</v>
      </c>
      <c r="F74" s="29"/>
      <c r="G74" s="29" t="s">
        <v>11479</v>
      </c>
      <c r="H74" s="29"/>
      <c r="I74" s="29" t="s">
        <v>9180</v>
      </c>
      <c r="J74" s="29" t="s">
        <v>11480</v>
      </c>
      <c r="K74" s="29" t="s">
        <v>9211</v>
      </c>
      <c r="L74" s="29" t="s">
        <v>9189</v>
      </c>
    </row>
    <row r="75" spans="1:12">
      <c r="A75" s="28">
        <v>74</v>
      </c>
      <c r="B75" s="28" t="s">
        <v>7843</v>
      </c>
      <c r="C75" s="28" t="s">
        <v>7844</v>
      </c>
      <c r="D75" s="28" t="s">
        <v>11341</v>
      </c>
      <c r="E75" s="28" t="s">
        <v>9336</v>
      </c>
      <c r="F75" s="28"/>
      <c r="G75" s="28" t="s">
        <v>11481</v>
      </c>
      <c r="H75" s="28"/>
      <c r="I75" s="28" t="s">
        <v>9180</v>
      </c>
      <c r="J75" s="28" t="s">
        <v>9221</v>
      </c>
      <c r="K75" s="28" t="s">
        <v>9211</v>
      </c>
      <c r="L75" s="28" t="s">
        <v>9223</v>
      </c>
    </row>
    <row r="76" spans="1:12">
      <c r="A76" s="29">
        <v>75</v>
      </c>
      <c r="B76" s="29" t="s">
        <v>6132</v>
      </c>
      <c r="C76" s="29" t="s">
        <v>11482</v>
      </c>
      <c r="D76" s="29" t="s">
        <v>11341</v>
      </c>
      <c r="E76" s="29" t="s">
        <v>9336</v>
      </c>
      <c r="F76" s="29"/>
      <c r="G76" s="29" t="s">
        <v>11483</v>
      </c>
      <c r="H76" s="29"/>
      <c r="I76" s="29" t="s">
        <v>9180</v>
      </c>
      <c r="J76" s="29" t="s">
        <v>11484</v>
      </c>
      <c r="K76" s="29" t="s">
        <v>9211</v>
      </c>
      <c r="L76" s="29" t="s">
        <v>9189</v>
      </c>
    </row>
    <row r="77" spans="1:12">
      <c r="A77" s="28">
        <v>76</v>
      </c>
      <c r="B77" s="28" t="s">
        <v>5185</v>
      </c>
      <c r="C77" s="28" t="s">
        <v>11485</v>
      </c>
      <c r="D77" s="28" t="s">
        <v>11341</v>
      </c>
      <c r="E77" s="28" t="s">
        <v>9336</v>
      </c>
      <c r="F77" s="28"/>
      <c r="G77" s="28" t="s">
        <v>11486</v>
      </c>
      <c r="H77" s="28"/>
      <c r="I77" s="28" t="s">
        <v>9180</v>
      </c>
      <c r="J77" s="28" t="s">
        <v>11487</v>
      </c>
      <c r="K77" s="28" t="s">
        <v>9211</v>
      </c>
      <c r="L77" s="28" t="s">
        <v>9189</v>
      </c>
    </row>
    <row r="78" spans="1:12">
      <c r="A78" s="29">
        <v>77</v>
      </c>
      <c r="B78" s="29" t="s">
        <v>8132</v>
      </c>
      <c r="C78" s="29" t="s">
        <v>11488</v>
      </c>
      <c r="D78" s="29" t="s">
        <v>11341</v>
      </c>
      <c r="E78" s="29" t="s">
        <v>9336</v>
      </c>
      <c r="F78" s="29"/>
      <c r="G78" s="29" t="s">
        <v>11489</v>
      </c>
      <c r="H78" s="29"/>
      <c r="I78" s="29" t="s">
        <v>9180</v>
      </c>
      <c r="J78" s="29" t="s">
        <v>10236</v>
      </c>
      <c r="K78" s="29" t="s">
        <v>9211</v>
      </c>
      <c r="L78" s="29" t="s">
        <v>9189</v>
      </c>
    </row>
    <row r="79" spans="1:12">
      <c r="A79" s="28">
        <v>78</v>
      </c>
      <c r="B79" s="28" t="s">
        <v>4257</v>
      </c>
      <c r="C79" s="28" t="s">
        <v>4258</v>
      </c>
      <c r="D79" s="28" t="s">
        <v>11341</v>
      </c>
      <c r="E79" s="28" t="s">
        <v>9336</v>
      </c>
      <c r="F79" s="28"/>
      <c r="G79" s="28" t="s">
        <v>11490</v>
      </c>
      <c r="H79" s="28"/>
      <c r="I79" s="28" t="s">
        <v>9180</v>
      </c>
      <c r="J79" s="28" t="s">
        <v>11491</v>
      </c>
      <c r="K79" s="28" t="s">
        <v>9211</v>
      </c>
      <c r="L79" s="28" t="s">
        <v>9223</v>
      </c>
    </row>
    <row r="80" spans="1:12">
      <c r="A80" s="27">
        <v>79</v>
      </c>
      <c r="B80" s="27" t="s">
        <v>6983</v>
      </c>
      <c r="C80" s="27" t="s">
        <v>11492</v>
      </c>
      <c r="D80" s="27" t="s">
        <v>11337</v>
      </c>
      <c r="E80" s="27" t="s">
        <v>9336</v>
      </c>
      <c r="F80" s="27"/>
      <c r="G80" s="27" t="s">
        <v>11493</v>
      </c>
      <c r="H80" s="27"/>
      <c r="I80" s="27" t="s">
        <v>9180</v>
      </c>
      <c r="J80" s="27" t="s">
        <v>9315</v>
      </c>
      <c r="K80" s="27" t="s">
        <v>9211</v>
      </c>
      <c r="L80" s="27" t="s">
        <v>9196</v>
      </c>
    </row>
    <row r="81" spans="1:12">
      <c r="A81" s="28">
        <v>80</v>
      </c>
      <c r="B81" s="28" t="s">
        <v>7847</v>
      </c>
      <c r="C81" s="28" t="s">
        <v>11494</v>
      </c>
      <c r="D81" s="28" t="s">
        <v>11341</v>
      </c>
      <c r="E81" s="28" t="s">
        <v>9336</v>
      </c>
      <c r="F81" s="28"/>
      <c r="G81" s="28" t="s">
        <v>11495</v>
      </c>
      <c r="H81" s="28"/>
      <c r="I81" s="28" t="s">
        <v>9180</v>
      </c>
      <c r="J81" s="28" t="s">
        <v>9477</v>
      </c>
      <c r="K81" s="28" t="s">
        <v>9211</v>
      </c>
      <c r="L81" s="28" t="s">
        <v>9189</v>
      </c>
    </row>
    <row r="82" spans="1:12">
      <c r="A82" s="29">
        <v>81</v>
      </c>
      <c r="B82" s="29" t="s">
        <v>1907</v>
      </c>
      <c r="C82" s="29" t="s">
        <v>1908</v>
      </c>
      <c r="D82" s="29" t="s">
        <v>11341</v>
      </c>
      <c r="E82" s="29" t="s">
        <v>9336</v>
      </c>
      <c r="F82" s="29"/>
      <c r="G82" s="29" t="s">
        <v>11496</v>
      </c>
      <c r="H82" s="29"/>
      <c r="I82" s="29" t="s">
        <v>9180</v>
      </c>
      <c r="J82" s="29" t="s">
        <v>11497</v>
      </c>
      <c r="K82" s="29" t="s">
        <v>9211</v>
      </c>
      <c r="L82" s="29" t="s">
        <v>9223</v>
      </c>
    </row>
    <row r="83" spans="1:12">
      <c r="A83" s="28">
        <v>82</v>
      </c>
      <c r="B83" s="28" t="s">
        <v>6803</v>
      </c>
      <c r="C83" s="28" t="s">
        <v>11498</v>
      </c>
      <c r="D83" s="28" t="s">
        <v>11341</v>
      </c>
      <c r="E83" s="28" t="s">
        <v>9336</v>
      </c>
      <c r="F83" s="28"/>
      <c r="G83" s="28" t="s">
        <v>11499</v>
      </c>
      <c r="H83" s="28"/>
      <c r="I83" s="28" t="s">
        <v>9180</v>
      </c>
      <c r="J83" s="28" t="s">
        <v>9217</v>
      </c>
      <c r="K83" s="28" t="s">
        <v>9211</v>
      </c>
      <c r="L83" s="28" t="s">
        <v>9189</v>
      </c>
    </row>
    <row r="84" spans="1:12">
      <c r="A84" s="29">
        <v>83</v>
      </c>
      <c r="B84" s="29" t="s">
        <v>8153</v>
      </c>
      <c r="C84" s="29" t="s">
        <v>8154</v>
      </c>
      <c r="D84" s="29" t="s">
        <v>11341</v>
      </c>
      <c r="E84" s="29" t="s">
        <v>9336</v>
      </c>
      <c r="F84" s="29"/>
      <c r="G84" s="29" t="s">
        <v>11500</v>
      </c>
      <c r="H84" s="29"/>
      <c r="I84" s="29" t="s">
        <v>9180</v>
      </c>
      <c r="J84" s="29" t="s">
        <v>11501</v>
      </c>
      <c r="K84" s="29" t="s">
        <v>9211</v>
      </c>
      <c r="L84" s="29" t="s">
        <v>9223</v>
      </c>
    </row>
    <row r="85" spans="1:12">
      <c r="A85" s="28">
        <v>84</v>
      </c>
      <c r="B85" s="28" t="s">
        <v>7821</v>
      </c>
      <c r="C85" s="28" t="s">
        <v>11502</v>
      </c>
      <c r="D85" s="28" t="s">
        <v>11341</v>
      </c>
      <c r="E85" s="28" t="s">
        <v>9336</v>
      </c>
      <c r="F85" s="28"/>
      <c r="G85" s="28" t="s">
        <v>11503</v>
      </c>
      <c r="H85" s="28"/>
      <c r="I85" s="28" t="s">
        <v>9180</v>
      </c>
      <c r="J85" s="28" t="s">
        <v>10171</v>
      </c>
      <c r="K85" s="28" t="s">
        <v>9211</v>
      </c>
      <c r="L85" s="28" t="s">
        <v>9189</v>
      </c>
    </row>
    <row r="86" spans="1:12">
      <c r="A86" s="29">
        <v>85</v>
      </c>
      <c r="B86" s="29" t="s">
        <v>6883</v>
      </c>
      <c r="C86" s="29" t="s">
        <v>11504</v>
      </c>
      <c r="D86" s="29" t="s">
        <v>11341</v>
      </c>
      <c r="E86" s="29" t="s">
        <v>9336</v>
      </c>
      <c r="F86" s="29"/>
      <c r="G86" s="29" t="s">
        <v>11505</v>
      </c>
      <c r="H86" s="29"/>
      <c r="I86" s="29" t="s">
        <v>9180</v>
      </c>
      <c r="J86" s="29" t="s">
        <v>11506</v>
      </c>
      <c r="K86" s="29" t="s">
        <v>9211</v>
      </c>
      <c r="L86" s="29" t="s">
        <v>9189</v>
      </c>
    </row>
    <row r="87" spans="1:12">
      <c r="A87" s="28">
        <v>86</v>
      </c>
      <c r="B87" s="28" t="s">
        <v>8664</v>
      </c>
      <c r="C87" s="28" t="s">
        <v>11507</v>
      </c>
      <c r="D87" s="28" t="s">
        <v>11341</v>
      </c>
      <c r="E87" s="28" t="s">
        <v>9336</v>
      </c>
      <c r="F87" s="28"/>
      <c r="G87" s="28" t="s">
        <v>11508</v>
      </c>
      <c r="H87" s="28"/>
      <c r="I87" s="28" t="s">
        <v>9180</v>
      </c>
      <c r="J87" s="28" t="s">
        <v>11509</v>
      </c>
      <c r="K87" s="28" t="s">
        <v>9211</v>
      </c>
      <c r="L87" s="28" t="s">
        <v>9189</v>
      </c>
    </row>
    <row r="88" spans="1:12">
      <c r="A88" s="29">
        <v>87</v>
      </c>
      <c r="B88" s="29" t="s">
        <v>997</v>
      </c>
      <c r="C88" s="29" t="s">
        <v>11510</v>
      </c>
      <c r="D88" s="29" t="s">
        <v>11341</v>
      </c>
      <c r="E88" s="29" t="s">
        <v>9336</v>
      </c>
      <c r="F88" s="29"/>
      <c r="G88" s="29" t="s">
        <v>11511</v>
      </c>
      <c r="H88" s="29"/>
      <c r="I88" s="29" t="s">
        <v>9180</v>
      </c>
      <c r="J88" s="29" t="s">
        <v>11512</v>
      </c>
      <c r="K88" s="29" t="s">
        <v>9211</v>
      </c>
      <c r="L88" s="29" t="s">
        <v>9189</v>
      </c>
    </row>
    <row r="89" spans="1:12">
      <c r="A89" s="28">
        <v>88</v>
      </c>
      <c r="B89" s="28" t="s">
        <v>6120</v>
      </c>
      <c r="C89" s="28" t="s">
        <v>11513</v>
      </c>
      <c r="D89" s="28" t="s">
        <v>11341</v>
      </c>
      <c r="E89" s="28" t="s">
        <v>9336</v>
      </c>
      <c r="F89" s="28"/>
      <c r="G89" s="28" t="s">
        <v>11514</v>
      </c>
      <c r="H89" s="28"/>
      <c r="I89" s="28" t="s">
        <v>9180</v>
      </c>
      <c r="J89" s="28" t="s">
        <v>11440</v>
      </c>
      <c r="K89" s="28" t="s">
        <v>9211</v>
      </c>
      <c r="L89" s="28" t="s">
        <v>9189</v>
      </c>
    </row>
    <row r="90" spans="1:12">
      <c r="A90" s="29">
        <v>89</v>
      </c>
      <c r="B90" s="29" t="s">
        <v>8149</v>
      </c>
      <c r="C90" s="29" t="s">
        <v>8150</v>
      </c>
      <c r="D90" s="29" t="s">
        <v>11341</v>
      </c>
      <c r="E90" s="29" t="s">
        <v>9336</v>
      </c>
      <c r="F90" s="29"/>
      <c r="G90" s="29" t="s">
        <v>11515</v>
      </c>
      <c r="H90" s="29"/>
      <c r="I90" s="29" t="s">
        <v>9180</v>
      </c>
      <c r="J90" s="29" t="s">
        <v>9221</v>
      </c>
      <c r="K90" s="29" t="s">
        <v>9211</v>
      </c>
      <c r="L90" s="29" t="s">
        <v>9223</v>
      </c>
    </row>
    <row r="91" spans="1:12">
      <c r="A91" s="28">
        <v>90</v>
      </c>
      <c r="B91" s="28" t="s">
        <v>4618</v>
      </c>
      <c r="C91" s="28" t="s">
        <v>11516</v>
      </c>
      <c r="D91" s="28" t="s">
        <v>11341</v>
      </c>
      <c r="E91" s="28" t="s">
        <v>9336</v>
      </c>
      <c r="F91" s="28"/>
      <c r="G91" s="28" t="s">
        <v>11517</v>
      </c>
      <c r="H91" s="28"/>
      <c r="I91" s="28" t="s">
        <v>9180</v>
      </c>
      <c r="J91" s="28" t="s">
        <v>11518</v>
      </c>
      <c r="K91" s="28" t="s">
        <v>9211</v>
      </c>
      <c r="L91" s="28" t="s">
        <v>9223</v>
      </c>
    </row>
    <row r="92" spans="1:12">
      <c r="A92" s="29">
        <v>91</v>
      </c>
      <c r="B92" s="29" t="s">
        <v>6856</v>
      </c>
      <c r="C92" s="29" t="s">
        <v>6857</v>
      </c>
      <c r="D92" s="29" t="s">
        <v>11341</v>
      </c>
      <c r="E92" s="29" t="s">
        <v>9336</v>
      </c>
      <c r="F92" s="29"/>
      <c r="G92" s="29" t="s">
        <v>11519</v>
      </c>
      <c r="H92" s="29"/>
      <c r="I92" s="29" t="s">
        <v>9180</v>
      </c>
      <c r="J92" s="29" t="s">
        <v>9221</v>
      </c>
      <c r="K92" s="29" t="s">
        <v>9211</v>
      </c>
      <c r="L92" s="29" t="s">
        <v>9223</v>
      </c>
    </row>
    <row r="93" spans="1:12">
      <c r="A93" s="28">
        <v>92</v>
      </c>
      <c r="B93" s="28" t="s">
        <v>5725</v>
      </c>
      <c r="C93" s="28" t="s">
        <v>11520</v>
      </c>
      <c r="D93" s="28" t="s">
        <v>11341</v>
      </c>
      <c r="E93" s="28" t="s">
        <v>9336</v>
      </c>
      <c r="F93" s="28"/>
      <c r="G93" s="28" t="s">
        <v>11521</v>
      </c>
      <c r="H93" s="28"/>
      <c r="I93" s="28" t="s">
        <v>9180</v>
      </c>
      <c r="J93" s="28" t="s">
        <v>9221</v>
      </c>
      <c r="K93" s="28" t="s">
        <v>9211</v>
      </c>
      <c r="L93" s="28" t="s">
        <v>9189</v>
      </c>
    </row>
    <row r="94" spans="1:12">
      <c r="A94" s="29">
        <v>93</v>
      </c>
      <c r="B94" s="29" t="s">
        <v>7873</v>
      </c>
      <c r="C94" s="29" t="s">
        <v>11522</v>
      </c>
      <c r="D94" s="29" t="s">
        <v>11341</v>
      </c>
      <c r="E94" s="29" t="s">
        <v>9336</v>
      </c>
      <c r="F94" s="29"/>
      <c r="G94" s="29" t="s">
        <v>11523</v>
      </c>
      <c r="H94" s="29"/>
      <c r="I94" s="29" t="s">
        <v>9180</v>
      </c>
      <c r="J94" s="29" t="s">
        <v>9217</v>
      </c>
      <c r="K94" s="29" t="s">
        <v>9211</v>
      </c>
      <c r="L94" s="29" t="s">
        <v>9189</v>
      </c>
    </row>
    <row r="95" spans="1:12">
      <c r="A95" s="28">
        <v>94</v>
      </c>
      <c r="B95" s="28" t="s">
        <v>7344</v>
      </c>
      <c r="C95" s="28" t="s">
        <v>11524</v>
      </c>
      <c r="D95" s="28" t="s">
        <v>11341</v>
      </c>
      <c r="E95" s="28" t="s">
        <v>9336</v>
      </c>
      <c r="F95" s="28"/>
      <c r="G95" s="28" t="s">
        <v>11525</v>
      </c>
      <c r="H95" s="28"/>
      <c r="I95" s="28" t="s">
        <v>9180</v>
      </c>
      <c r="J95" s="28" t="s">
        <v>9221</v>
      </c>
      <c r="K95" s="28" t="s">
        <v>9211</v>
      </c>
      <c r="L95" s="28" t="s">
        <v>9189</v>
      </c>
    </row>
    <row r="96" spans="1:12">
      <c r="A96" s="29">
        <v>95</v>
      </c>
      <c r="B96" s="29" t="s">
        <v>5493</v>
      </c>
      <c r="C96" s="29" t="s">
        <v>11526</v>
      </c>
      <c r="D96" s="29" t="s">
        <v>11341</v>
      </c>
      <c r="E96" s="29" t="s">
        <v>9336</v>
      </c>
      <c r="F96" s="29"/>
      <c r="G96" s="29" t="s">
        <v>11527</v>
      </c>
      <c r="H96" s="29"/>
      <c r="I96" s="29" t="s">
        <v>9180</v>
      </c>
      <c r="J96" s="29" t="s">
        <v>10063</v>
      </c>
      <c r="K96" s="29" t="s">
        <v>9211</v>
      </c>
      <c r="L96" s="29" t="s">
        <v>9189</v>
      </c>
    </row>
    <row r="97" spans="1:12">
      <c r="A97" s="30">
        <v>96</v>
      </c>
      <c r="B97" s="30" t="s">
        <v>4067</v>
      </c>
      <c r="C97" s="30" t="s">
        <v>11528</v>
      </c>
      <c r="D97" s="30" t="s">
        <v>11337</v>
      </c>
      <c r="E97" s="30" t="s">
        <v>9208</v>
      </c>
      <c r="F97" s="30"/>
      <c r="G97" s="30" t="s">
        <v>11529</v>
      </c>
      <c r="H97" s="30" t="s">
        <v>11529</v>
      </c>
      <c r="I97" s="30" t="s">
        <v>9180</v>
      </c>
      <c r="J97" s="30" t="s">
        <v>9205</v>
      </c>
      <c r="K97" s="30" t="s">
        <v>9211</v>
      </c>
      <c r="L97" s="30" t="s">
        <v>9350</v>
      </c>
    </row>
    <row r="98" spans="1:12">
      <c r="A98" s="29">
        <v>97</v>
      </c>
      <c r="B98" s="29" t="s">
        <v>7943</v>
      </c>
      <c r="C98" s="29" t="s">
        <v>7944</v>
      </c>
      <c r="D98" s="29" t="s">
        <v>11341</v>
      </c>
      <c r="E98" s="29" t="s">
        <v>9336</v>
      </c>
      <c r="F98" s="29"/>
      <c r="G98" s="29" t="s">
        <v>11530</v>
      </c>
      <c r="H98" s="29"/>
      <c r="I98" s="29" t="s">
        <v>9180</v>
      </c>
      <c r="J98" s="29" t="s">
        <v>9239</v>
      </c>
      <c r="K98" s="29" t="s">
        <v>9211</v>
      </c>
      <c r="L98" s="29" t="s">
        <v>9223</v>
      </c>
    </row>
    <row r="99" spans="1:12">
      <c r="A99" s="28">
        <v>98</v>
      </c>
      <c r="B99" s="28" t="s">
        <v>7314</v>
      </c>
      <c r="C99" s="28" t="s">
        <v>7315</v>
      </c>
      <c r="D99" s="28" t="s">
        <v>11341</v>
      </c>
      <c r="E99" s="28" t="s">
        <v>9336</v>
      </c>
      <c r="F99" s="28"/>
      <c r="G99" s="28" t="s">
        <v>11531</v>
      </c>
      <c r="H99" s="28"/>
      <c r="I99" s="28" t="s">
        <v>9180</v>
      </c>
      <c r="J99" s="28" t="s">
        <v>9239</v>
      </c>
      <c r="K99" s="28" t="s">
        <v>9211</v>
      </c>
      <c r="L99" s="28" t="s">
        <v>9223</v>
      </c>
    </row>
    <row r="100" spans="1:12">
      <c r="A100" s="29">
        <v>99</v>
      </c>
      <c r="B100" s="29" t="s">
        <v>6517</v>
      </c>
      <c r="C100" s="29" t="s">
        <v>6518</v>
      </c>
      <c r="D100" s="29" t="s">
        <v>11341</v>
      </c>
      <c r="E100" s="29" t="s">
        <v>9336</v>
      </c>
      <c r="F100" s="29"/>
      <c r="G100" s="29" t="s">
        <v>11532</v>
      </c>
      <c r="H100" s="29"/>
      <c r="I100" s="29" t="s">
        <v>9180</v>
      </c>
      <c r="J100" s="29" t="s">
        <v>9573</v>
      </c>
      <c r="K100" s="29" t="s">
        <v>9211</v>
      </c>
      <c r="L100" s="29" t="s">
        <v>9223</v>
      </c>
    </row>
    <row r="101" spans="1:12">
      <c r="A101" s="28">
        <v>100</v>
      </c>
      <c r="B101" s="28" t="s">
        <v>4976</v>
      </c>
      <c r="C101" s="28" t="s">
        <v>11533</v>
      </c>
      <c r="D101" s="28" t="s">
        <v>11341</v>
      </c>
      <c r="E101" s="28" t="s">
        <v>9336</v>
      </c>
      <c r="F101" s="28"/>
      <c r="G101" s="28" t="s">
        <v>11534</v>
      </c>
      <c r="H101" s="28"/>
      <c r="I101" s="28" t="s">
        <v>9180</v>
      </c>
      <c r="J101" s="28" t="s">
        <v>11535</v>
      </c>
      <c r="K101" s="28" t="s">
        <v>9211</v>
      </c>
      <c r="L101" s="28" t="s">
        <v>9189</v>
      </c>
    </row>
    <row r="102" spans="1:12">
      <c r="A102" s="29">
        <v>101</v>
      </c>
      <c r="B102" s="29" t="s">
        <v>7831</v>
      </c>
      <c r="C102" s="29" t="s">
        <v>11536</v>
      </c>
      <c r="D102" s="29" t="s">
        <v>11341</v>
      </c>
      <c r="E102" s="29" t="s">
        <v>9336</v>
      </c>
      <c r="F102" s="29"/>
      <c r="G102" s="29" t="s">
        <v>11537</v>
      </c>
      <c r="H102" s="29"/>
      <c r="I102" s="29" t="s">
        <v>9180</v>
      </c>
      <c r="J102" s="29" t="s">
        <v>9221</v>
      </c>
      <c r="K102" s="29" t="s">
        <v>9211</v>
      </c>
      <c r="L102" s="29" t="s">
        <v>9189</v>
      </c>
    </row>
    <row r="103" spans="1:12">
      <c r="A103" s="28">
        <v>102</v>
      </c>
      <c r="B103" s="28" t="s">
        <v>1988</v>
      </c>
      <c r="C103" s="28" t="s">
        <v>11538</v>
      </c>
      <c r="D103" s="28" t="s">
        <v>11341</v>
      </c>
      <c r="E103" s="28" t="s">
        <v>9336</v>
      </c>
      <c r="F103" s="28"/>
      <c r="G103" s="28" t="s">
        <v>11539</v>
      </c>
      <c r="H103" s="28"/>
      <c r="I103" s="28" t="s">
        <v>9180</v>
      </c>
      <c r="J103" s="28" t="s">
        <v>11540</v>
      </c>
      <c r="K103" s="28" t="s">
        <v>9211</v>
      </c>
      <c r="L103" s="28" t="s">
        <v>9189</v>
      </c>
    </row>
    <row r="104" spans="1:12">
      <c r="A104" s="29">
        <v>103</v>
      </c>
      <c r="B104" s="29" t="s">
        <v>8140</v>
      </c>
      <c r="C104" s="29" t="s">
        <v>11541</v>
      </c>
      <c r="D104" s="29" t="s">
        <v>11341</v>
      </c>
      <c r="E104" s="29" t="s">
        <v>9336</v>
      </c>
      <c r="F104" s="29"/>
      <c r="G104" s="29" t="s">
        <v>11542</v>
      </c>
      <c r="H104" s="29"/>
      <c r="I104" s="29" t="s">
        <v>9180</v>
      </c>
      <c r="J104" s="29" t="s">
        <v>9221</v>
      </c>
      <c r="K104" s="29" t="s">
        <v>9211</v>
      </c>
      <c r="L104" s="29" t="s">
        <v>9189</v>
      </c>
    </row>
    <row r="105" spans="1:12">
      <c r="A105" s="28">
        <v>104</v>
      </c>
      <c r="B105" s="28" t="s">
        <v>7922</v>
      </c>
      <c r="C105" s="28" t="s">
        <v>11543</v>
      </c>
      <c r="D105" s="28" t="s">
        <v>11341</v>
      </c>
      <c r="E105" s="28" t="s">
        <v>9336</v>
      </c>
      <c r="F105" s="28"/>
      <c r="G105" s="28" t="s">
        <v>11544</v>
      </c>
      <c r="H105" s="28"/>
      <c r="I105" s="28" t="s">
        <v>9180</v>
      </c>
      <c r="J105" s="28" t="s">
        <v>9217</v>
      </c>
      <c r="K105" s="28" t="s">
        <v>9211</v>
      </c>
      <c r="L105" s="28" t="s">
        <v>9189</v>
      </c>
    </row>
    <row r="106" spans="1:12">
      <c r="A106" s="29">
        <v>105</v>
      </c>
      <c r="B106" s="29" t="s">
        <v>7926</v>
      </c>
      <c r="C106" s="29" t="s">
        <v>7927</v>
      </c>
      <c r="D106" s="29" t="s">
        <v>11341</v>
      </c>
      <c r="E106" s="29" t="s">
        <v>9336</v>
      </c>
      <c r="F106" s="29"/>
      <c r="G106" s="29" t="s">
        <v>11545</v>
      </c>
      <c r="H106" s="29"/>
      <c r="I106" s="29" t="s">
        <v>9180</v>
      </c>
      <c r="J106" s="29" t="s">
        <v>9239</v>
      </c>
      <c r="K106" s="29" t="s">
        <v>9211</v>
      </c>
      <c r="L106" s="29" t="s">
        <v>9223</v>
      </c>
    </row>
    <row r="107" spans="1:12">
      <c r="A107" s="28">
        <v>106</v>
      </c>
      <c r="B107" s="28" t="s">
        <v>7310</v>
      </c>
      <c r="C107" s="28" t="s">
        <v>11546</v>
      </c>
      <c r="D107" s="28" t="s">
        <v>11341</v>
      </c>
      <c r="E107" s="28" t="s">
        <v>9336</v>
      </c>
      <c r="F107" s="28"/>
      <c r="G107" s="28" t="s">
        <v>11547</v>
      </c>
      <c r="H107" s="28"/>
      <c r="I107" s="28" t="s">
        <v>9180</v>
      </c>
      <c r="J107" s="28" t="s">
        <v>9221</v>
      </c>
      <c r="K107" s="28" t="s">
        <v>9211</v>
      </c>
      <c r="L107" s="28" t="s">
        <v>9189</v>
      </c>
    </row>
    <row r="108" spans="1:12">
      <c r="A108" s="29">
        <v>107</v>
      </c>
      <c r="B108" s="29" t="s">
        <v>8175</v>
      </c>
      <c r="C108" s="29" t="s">
        <v>11548</v>
      </c>
      <c r="D108" s="29" t="s">
        <v>11341</v>
      </c>
      <c r="E108" s="29" t="s">
        <v>9336</v>
      </c>
      <c r="F108" s="29"/>
      <c r="G108" s="29" t="s">
        <v>11549</v>
      </c>
      <c r="H108" s="29"/>
      <c r="I108" s="29" t="s">
        <v>9180</v>
      </c>
      <c r="J108" s="29" t="s">
        <v>9217</v>
      </c>
      <c r="K108" s="29" t="s">
        <v>9211</v>
      </c>
      <c r="L108" s="29" t="s">
        <v>9189</v>
      </c>
    </row>
    <row r="109" spans="1:12">
      <c r="A109" s="28">
        <v>108</v>
      </c>
      <c r="B109" s="28" t="s">
        <v>8185</v>
      </c>
      <c r="C109" s="28" t="s">
        <v>8186</v>
      </c>
      <c r="D109" s="28" t="s">
        <v>11341</v>
      </c>
      <c r="E109" s="28" t="s">
        <v>9208</v>
      </c>
      <c r="F109" s="28" t="s">
        <v>11550</v>
      </c>
      <c r="G109" s="28" t="s">
        <v>11551</v>
      </c>
      <c r="H109" s="28"/>
      <c r="I109" s="28" t="s">
        <v>9180</v>
      </c>
      <c r="J109" s="28" t="s">
        <v>10646</v>
      </c>
      <c r="K109" s="28" t="s">
        <v>9211</v>
      </c>
      <c r="L109" s="28" t="s">
        <v>9212</v>
      </c>
    </row>
    <row r="110" spans="1:12">
      <c r="A110" s="29">
        <v>109</v>
      </c>
      <c r="B110" s="29" t="s">
        <v>4219</v>
      </c>
      <c r="C110" s="29" t="s">
        <v>11552</v>
      </c>
      <c r="D110" s="29" t="s">
        <v>11341</v>
      </c>
      <c r="E110" s="29" t="s">
        <v>9336</v>
      </c>
      <c r="F110" s="29"/>
      <c r="G110" s="29" t="s">
        <v>11553</v>
      </c>
      <c r="H110" s="29"/>
      <c r="I110" s="29" t="s">
        <v>9180</v>
      </c>
      <c r="J110" s="29" t="s">
        <v>11554</v>
      </c>
      <c r="K110" s="29" t="s">
        <v>9211</v>
      </c>
      <c r="L110" s="29" t="s">
        <v>9189</v>
      </c>
    </row>
    <row r="111" spans="1:12">
      <c r="A111" s="28">
        <v>110</v>
      </c>
      <c r="B111" s="28" t="s">
        <v>1482</v>
      </c>
      <c r="C111" s="28" t="s">
        <v>11555</v>
      </c>
      <c r="D111" s="28" t="s">
        <v>11341</v>
      </c>
      <c r="E111" s="28" t="s">
        <v>9336</v>
      </c>
      <c r="F111" s="28"/>
      <c r="G111" s="28" t="s">
        <v>11556</v>
      </c>
      <c r="H111" s="28"/>
      <c r="I111" s="28" t="s">
        <v>9180</v>
      </c>
      <c r="J111" s="28" t="s">
        <v>11557</v>
      </c>
      <c r="K111" s="28" t="s">
        <v>9211</v>
      </c>
      <c r="L111" s="28" t="s">
        <v>9189</v>
      </c>
    </row>
    <row r="112" spans="1:12">
      <c r="A112" s="29">
        <v>111</v>
      </c>
      <c r="B112" s="29" t="s">
        <v>4267</v>
      </c>
      <c r="C112" s="29" t="s">
        <v>4268</v>
      </c>
      <c r="D112" s="29" t="s">
        <v>11341</v>
      </c>
      <c r="E112" s="29" t="s">
        <v>9336</v>
      </c>
      <c r="F112" s="29"/>
      <c r="G112" s="29" t="s">
        <v>11558</v>
      </c>
      <c r="H112" s="29"/>
      <c r="I112" s="29" t="s">
        <v>9180</v>
      </c>
      <c r="J112" s="29" t="s">
        <v>11559</v>
      </c>
      <c r="K112" s="29" t="s">
        <v>9211</v>
      </c>
      <c r="L112" s="29" t="s">
        <v>9223</v>
      </c>
    </row>
    <row r="113" spans="1:12">
      <c r="A113" s="28">
        <v>112</v>
      </c>
      <c r="B113" s="28" t="s">
        <v>7835</v>
      </c>
      <c r="C113" s="28" t="s">
        <v>11560</v>
      </c>
      <c r="D113" s="28" t="s">
        <v>11341</v>
      </c>
      <c r="E113" s="28" t="s">
        <v>9336</v>
      </c>
      <c r="F113" s="28"/>
      <c r="G113" s="28" t="s">
        <v>11561</v>
      </c>
      <c r="H113" s="28"/>
      <c r="I113" s="28" t="s">
        <v>9180</v>
      </c>
      <c r="J113" s="28" t="s">
        <v>9563</v>
      </c>
      <c r="K113" s="28" t="s">
        <v>9211</v>
      </c>
      <c r="L113" s="28" t="s">
        <v>9189</v>
      </c>
    </row>
    <row r="114" spans="1:12">
      <c r="A114" s="29">
        <v>113</v>
      </c>
      <c r="B114" s="29" t="s">
        <v>7799</v>
      </c>
      <c r="C114" s="29" t="s">
        <v>7800</v>
      </c>
      <c r="D114" s="29" t="s">
        <v>11341</v>
      </c>
      <c r="E114" s="29" t="s">
        <v>9336</v>
      </c>
      <c r="F114" s="29"/>
      <c r="G114" s="29" t="s">
        <v>11562</v>
      </c>
      <c r="H114" s="29"/>
      <c r="I114" s="29" t="s">
        <v>9180</v>
      </c>
      <c r="J114" s="29" t="s">
        <v>9221</v>
      </c>
      <c r="K114" s="29" t="s">
        <v>9211</v>
      </c>
      <c r="L114" s="29" t="s">
        <v>9223</v>
      </c>
    </row>
    <row r="115" spans="1:12">
      <c r="A115" s="28">
        <v>114</v>
      </c>
      <c r="B115" s="28" t="s">
        <v>531</v>
      </c>
      <c r="C115" s="28" t="s">
        <v>532</v>
      </c>
      <c r="D115" s="28" t="s">
        <v>11341</v>
      </c>
      <c r="E115" s="28" t="s">
        <v>9336</v>
      </c>
      <c r="F115" s="28"/>
      <c r="G115" s="28" t="s">
        <v>11563</v>
      </c>
      <c r="H115" s="28"/>
      <c r="I115" s="28" t="s">
        <v>9180</v>
      </c>
      <c r="J115" s="28" t="s">
        <v>11564</v>
      </c>
      <c r="K115" s="28" t="s">
        <v>9211</v>
      </c>
      <c r="L115" s="28" t="s">
        <v>9223</v>
      </c>
    </row>
    <row r="116" spans="1:12">
      <c r="A116" s="29">
        <v>115</v>
      </c>
      <c r="B116" s="29" t="s">
        <v>6810</v>
      </c>
      <c r="C116" s="29" t="s">
        <v>11565</v>
      </c>
      <c r="D116" s="29" t="s">
        <v>11341</v>
      </c>
      <c r="E116" s="29" t="s">
        <v>9336</v>
      </c>
      <c r="F116" s="29"/>
      <c r="G116" s="29" t="s">
        <v>11566</v>
      </c>
      <c r="H116" s="29"/>
      <c r="I116" s="29" t="s">
        <v>9180</v>
      </c>
      <c r="J116" s="29" t="s">
        <v>9477</v>
      </c>
      <c r="K116" s="29" t="s">
        <v>9211</v>
      </c>
      <c r="L116" s="29" t="s">
        <v>9189</v>
      </c>
    </row>
    <row r="117" spans="1:12">
      <c r="A117" s="28">
        <v>116</v>
      </c>
      <c r="B117" s="28" t="s">
        <v>2467</v>
      </c>
      <c r="C117" s="28" t="s">
        <v>11567</v>
      </c>
      <c r="D117" s="28" t="s">
        <v>11341</v>
      </c>
      <c r="E117" s="28" t="s">
        <v>9336</v>
      </c>
      <c r="F117" s="28"/>
      <c r="G117" s="28" t="s">
        <v>11568</v>
      </c>
      <c r="H117" s="28"/>
      <c r="I117" s="28" t="s">
        <v>9180</v>
      </c>
      <c r="J117" s="28" t="s">
        <v>11569</v>
      </c>
      <c r="K117" s="28" t="s">
        <v>9211</v>
      </c>
      <c r="L117" s="28" t="s">
        <v>9189</v>
      </c>
    </row>
    <row r="118" spans="1:12">
      <c r="A118" s="29">
        <v>117</v>
      </c>
      <c r="B118" s="29" t="s">
        <v>6807</v>
      </c>
      <c r="C118" s="29" t="s">
        <v>11570</v>
      </c>
      <c r="D118" s="29" t="s">
        <v>11341</v>
      </c>
      <c r="E118" s="29" t="s">
        <v>9336</v>
      </c>
      <c r="F118" s="29"/>
      <c r="G118" s="29" t="s">
        <v>11571</v>
      </c>
      <c r="H118" s="29"/>
      <c r="I118" s="29" t="s">
        <v>9180</v>
      </c>
      <c r="J118" s="29" t="s">
        <v>9650</v>
      </c>
      <c r="K118" s="29" t="s">
        <v>9211</v>
      </c>
      <c r="L118" s="29" t="s">
        <v>9189</v>
      </c>
    </row>
    <row r="119" spans="1:12">
      <c r="A119" s="28">
        <v>118</v>
      </c>
      <c r="B119" s="28" t="s">
        <v>8431</v>
      </c>
      <c r="C119" s="28" t="s">
        <v>11572</v>
      </c>
      <c r="D119" s="28" t="s">
        <v>11341</v>
      </c>
      <c r="E119" s="28" t="s">
        <v>9336</v>
      </c>
      <c r="F119" s="28"/>
      <c r="G119" s="28" t="s">
        <v>11573</v>
      </c>
      <c r="H119" s="28"/>
      <c r="I119" s="28" t="s">
        <v>9180</v>
      </c>
      <c r="J119" s="28" t="s">
        <v>9477</v>
      </c>
      <c r="K119" s="28" t="s">
        <v>9211</v>
      </c>
      <c r="L119" s="28" t="s">
        <v>9189</v>
      </c>
    </row>
    <row r="120" spans="1:12">
      <c r="A120" s="29">
        <v>119</v>
      </c>
      <c r="B120" s="29" t="s">
        <v>8034</v>
      </c>
      <c r="C120" s="29" t="s">
        <v>11574</v>
      </c>
      <c r="D120" s="29" t="s">
        <v>11341</v>
      </c>
      <c r="E120" s="29" t="s">
        <v>9336</v>
      </c>
      <c r="F120" s="29"/>
      <c r="G120" s="29" t="s">
        <v>11575</v>
      </c>
      <c r="H120" s="29"/>
      <c r="I120" s="29" t="s">
        <v>9180</v>
      </c>
      <c r="J120" s="29" t="s">
        <v>9477</v>
      </c>
      <c r="K120" s="29" t="s">
        <v>9211</v>
      </c>
      <c r="L120" s="29" t="s">
        <v>9189</v>
      </c>
    </row>
    <row r="121" spans="1:12">
      <c r="A121" s="28">
        <v>120</v>
      </c>
      <c r="B121" s="28" t="s">
        <v>550</v>
      </c>
      <c r="C121" s="28" t="s">
        <v>551</v>
      </c>
      <c r="D121" s="28" t="s">
        <v>11341</v>
      </c>
      <c r="E121" s="28" t="s">
        <v>9336</v>
      </c>
      <c r="F121" s="28"/>
      <c r="G121" s="28" t="s">
        <v>11576</v>
      </c>
      <c r="H121" s="28"/>
      <c r="I121" s="28" t="s">
        <v>9180</v>
      </c>
      <c r="J121" s="28" t="s">
        <v>11577</v>
      </c>
      <c r="K121" s="28" t="s">
        <v>9211</v>
      </c>
      <c r="L121" s="28" t="s">
        <v>9223</v>
      </c>
    </row>
    <row r="122" spans="1:12">
      <c r="A122" s="27">
        <v>121</v>
      </c>
      <c r="B122" s="27" t="s">
        <v>1316</v>
      </c>
      <c r="C122" s="27" t="s">
        <v>11578</v>
      </c>
      <c r="D122" s="27" t="s">
        <v>11337</v>
      </c>
      <c r="E122" s="27" t="s">
        <v>9336</v>
      </c>
      <c r="F122" s="27"/>
      <c r="G122" s="27" t="s">
        <v>11579</v>
      </c>
      <c r="H122" s="27"/>
      <c r="I122" s="27" t="s">
        <v>9180</v>
      </c>
      <c r="J122" s="27" t="s">
        <v>11580</v>
      </c>
      <c r="K122" s="27" t="s">
        <v>9211</v>
      </c>
      <c r="L122" s="27" t="s">
        <v>9196</v>
      </c>
    </row>
    <row r="123" spans="1:12">
      <c r="A123" s="28">
        <v>122</v>
      </c>
      <c r="B123" s="28" t="s">
        <v>7719</v>
      </c>
      <c r="C123" s="28" t="s">
        <v>7720</v>
      </c>
      <c r="D123" s="28" t="s">
        <v>11341</v>
      </c>
      <c r="E123" s="28" t="s">
        <v>9336</v>
      </c>
      <c r="F123" s="28"/>
      <c r="G123" s="28" t="s">
        <v>11581</v>
      </c>
      <c r="H123" s="28"/>
      <c r="I123" s="28" t="s">
        <v>9180</v>
      </c>
      <c r="J123" s="28" t="s">
        <v>9239</v>
      </c>
      <c r="K123" s="28" t="s">
        <v>9211</v>
      </c>
      <c r="L123" s="28" t="s">
        <v>9223</v>
      </c>
    </row>
    <row r="124" spans="1:12">
      <c r="A124" s="29">
        <v>123</v>
      </c>
      <c r="B124" s="29" t="s">
        <v>4187</v>
      </c>
      <c r="C124" s="29" t="s">
        <v>4188</v>
      </c>
      <c r="D124" s="29" t="s">
        <v>11341</v>
      </c>
      <c r="E124" s="29" t="s">
        <v>9336</v>
      </c>
      <c r="F124" s="29"/>
      <c r="G124" s="29" t="s">
        <v>11582</v>
      </c>
      <c r="H124" s="29"/>
      <c r="I124" s="29" t="s">
        <v>9180</v>
      </c>
      <c r="J124" s="29" t="s">
        <v>11583</v>
      </c>
      <c r="K124" s="29" t="s">
        <v>9211</v>
      </c>
      <c r="L124" s="29" t="s">
        <v>9223</v>
      </c>
    </row>
    <row r="125" spans="1:12">
      <c r="A125" s="28">
        <v>124</v>
      </c>
      <c r="B125" s="28" t="s">
        <v>8064</v>
      </c>
      <c r="C125" s="28" t="s">
        <v>11584</v>
      </c>
      <c r="D125" s="28" t="s">
        <v>11341</v>
      </c>
      <c r="E125" s="28" t="s">
        <v>9336</v>
      </c>
      <c r="F125" s="28"/>
      <c r="G125" s="28" t="s">
        <v>11585</v>
      </c>
      <c r="H125" s="28"/>
      <c r="I125" s="28" t="s">
        <v>9180</v>
      </c>
      <c r="J125" s="28" t="s">
        <v>10236</v>
      </c>
      <c r="K125" s="28" t="s">
        <v>9211</v>
      </c>
      <c r="L125" s="28" t="s">
        <v>9189</v>
      </c>
    </row>
    <row r="126" spans="1:12">
      <c r="A126" s="29">
        <v>125</v>
      </c>
      <c r="B126" s="29" t="s">
        <v>2596</v>
      </c>
      <c r="C126" s="29" t="s">
        <v>11586</v>
      </c>
      <c r="D126" s="29" t="s">
        <v>11341</v>
      </c>
      <c r="E126" s="29" t="s">
        <v>9336</v>
      </c>
      <c r="F126" s="29"/>
      <c r="G126" s="29" t="s">
        <v>11587</v>
      </c>
      <c r="H126" s="29"/>
      <c r="I126" s="29" t="s">
        <v>9180</v>
      </c>
      <c r="J126" s="29" t="s">
        <v>11588</v>
      </c>
      <c r="K126" s="29" t="s">
        <v>9211</v>
      </c>
      <c r="L126" s="29" t="s">
        <v>9189</v>
      </c>
    </row>
    <row r="127" spans="1:12">
      <c r="A127" s="28">
        <v>126</v>
      </c>
      <c r="B127" s="28" t="s">
        <v>3228</v>
      </c>
      <c r="C127" s="28" t="s">
        <v>3229</v>
      </c>
      <c r="D127" s="28" t="s">
        <v>11341</v>
      </c>
      <c r="E127" s="28" t="s">
        <v>9336</v>
      </c>
      <c r="F127" s="28"/>
      <c r="G127" s="28" t="s">
        <v>11589</v>
      </c>
      <c r="H127" s="28"/>
      <c r="I127" s="28" t="s">
        <v>9180</v>
      </c>
      <c r="J127" s="28" t="s">
        <v>9763</v>
      </c>
      <c r="K127" s="28" t="s">
        <v>9211</v>
      </c>
      <c r="L127" s="28" t="s">
        <v>9223</v>
      </c>
    </row>
    <row r="128" spans="1:12">
      <c r="A128" s="29">
        <v>127</v>
      </c>
      <c r="B128" s="29" t="s">
        <v>6415</v>
      </c>
      <c r="C128" s="29" t="s">
        <v>11590</v>
      </c>
      <c r="D128" s="29" t="s">
        <v>11341</v>
      </c>
      <c r="E128" s="29" t="s">
        <v>9336</v>
      </c>
      <c r="F128" s="29"/>
      <c r="G128" s="29" t="s">
        <v>11591</v>
      </c>
      <c r="H128" s="29"/>
      <c r="I128" s="29" t="s">
        <v>9180</v>
      </c>
      <c r="J128" s="29" t="s">
        <v>9374</v>
      </c>
      <c r="K128" s="29" t="s">
        <v>9211</v>
      </c>
      <c r="L128" s="29" t="s">
        <v>9189</v>
      </c>
    </row>
    <row r="129" spans="1:12">
      <c r="A129" s="28">
        <v>128</v>
      </c>
      <c r="B129" s="28" t="s">
        <v>5178</v>
      </c>
      <c r="C129" s="28" t="s">
        <v>11592</v>
      </c>
      <c r="D129" s="28" t="s">
        <v>11341</v>
      </c>
      <c r="E129" s="28" t="s">
        <v>9336</v>
      </c>
      <c r="F129" s="28"/>
      <c r="G129" s="28" t="s">
        <v>11593</v>
      </c>
      <c r="H129" s="28"/>
      <c r="I129" s="28" t="s">
        <v>9180</v>
      </c>
      <c r="J129" s="28" t="s">
        <v>9256</v>
      </c>
      <c r="K129" s="28" t="s">
        <v>9211</v>
      </c>
      <c r="L129" s="28" t="s">
        <v>9189</v>
      </c>
    </row>
    <row r="130" spans="1:12">
      <c r="A130" s="29">
        <v>129</v>
      </c>
      <c r="B130" s="29" t="s">
        <v>8144</v>
      </c>
      <c r="C130" s="29" t="s">
        <v>8145</v>
      </c>
      <c r="D130" s="29" t="s">
        <v>11341</v>
      </c>
      <c r="E130" s="29" t="s">
        <v>9336</v>
      </c>
      <c r="F130" s="29"/>
      <c r="G130" s="29" t="s">
        <v>11594</v>
      </c>
      <c r="H130" s="29"/>
      <c r="I130" s="29" t="s">
        <v>9180</v>
      </c>
      <c r="J130" s="29" t="s">
        <v>9239</v>
      </c>
      <c r="K130" s="29" t="s">
        <v>9211</v>
      </c>
      <c r="L130" s="29" t="s">
        <v>9223</v>
      </c>
    </row>
    <row r="131" spans="1:12">
      <c r="A131" s="28">
        <v>130</v>
      </c>
      <c r="B131" s="28" t="s">
        <v>6124</v>
      </c>
      <c r="C131" s="28" t="s">
        <v>11595</v>
      </c>
      <c r="D131" s="28" t="s">
        <v>11341</v>
      </c>
      <c r="E131" s="28" t="s">
        <v>9336</v>
      </c>
      <c r="F131" s="28"/>
      <c r="G131" s="28" t="s">
        <v>11596</v>
      </c>
      <c r="H131" s="28"/>
      <c r="I131" s="28" t="s">
        <v>9180</v>
      </c>
      <c r="J131" s="28" t="s">
        <v>10700</v>
      </c>
      <c r="K131" s="28" t="s">
        <v>9211</v>
      </c>
      <c r="L131" s="28" t="s">
        <v>9223</v>
      </c>
    </row>
    <row r="132" spans="1:12">
      <c r="A132" s="29">
        <v>131</v>
      </c>
      <c r="B132" s="29" t="s">
        <v>2898</v>
      </c>
      <c r="C132" s="29" t="s">
        <v>2899</v>
      </c>
      <c r="D132" s="29" t="s">
        <v>11341</v>
      </c>
      <c r="E132" s="29" t="s">
        <v>9336</v>
      </c>
      <c r="F132" s="29"/>
      <c r="G132" s="29" t="s">
        <v>11597</v>
      </c>
      <c r="H132" s="29"/>
      <c r="I132" s="29" t="s">
        <v>9180</v>
      </c>
      <c r="J132" s="29" t="s">
        <v>11598</v>
      </c>
      <c r="K132" s="29" t="s">
        <v>9211</v>
      </c>
      <c r="L132" s="29" t="s">
        <v>9223</v>
      </c>
    </row>
    <row r="133" spans="1:12">
      <c r="A133" s="28">
        <v>132</v>
      </c>
      <c r="B133" s="28" t="s">
        <v>7725</v>
      </c>
      <c r="C133" s="28" t="s">
        <v>11599</v>
      </c>
      <c r="D133" s="28" t="s">
        <v>11341</v>
      </c>
      <c r="E133" s="28" t="s">
        <v>9336</v>
      </c>
      <c r="F133" s="28"/>
      <c r="G133" s="28" t="s">
        <v>11600</v>
      </c>
      <c r="H133" s="28"/>
      <c r="I133" s="28" t="s">
        <v>9180</v>
      </c>
      <c r="J133" s="28" t="s">
        <v>9353</v>
      </c>
      <c r="K133" s="28" t="s">
        <v>9211</v>
      </c>
      <c r="L133" s="28" t="s">
        <v>9189</v>
      </c>
    </row>
    <row r="134" spans="1:12">
      <c r="A134" s="29">
        <v>133</v>
      </c>
      <c r="B134" s="29" t="s">
        <v>8947</v>
      </c>
      <c r="C134" s="29" t="s">
        <v>11601</v>
      </c>
      <c r="D134" s="29" t="s">
        <v>11341</v>
      </c>
      <c r="E134" s="29" t="s">
        <v>9336</v>
      </c>
      <c r="F134" s="29"/>
      <c r="G134" s="29" t="s">
        <v>11602</v>
      </c>
      <c r="H134" s="29"/>
      <c r="I134" s="29" t="s">
        <v>9180</v>
      </c>
      <c r="J134" s="29" t="s">
        <v>9477</v>
      </c>
      <c r="K134" s="29" t="s">
        <v>9211</v>
      </c>
      <c r="L134" s="29" t="s">
        <v>9189</v>
      </c>
    </row>
    <row r="135" spans="1:12">
      <c r="A135" s="28">
        <v>134</v>
      </c>
      <c r="B135" s="28" t="s">
        <v>5903</v>
      </c>
      <c r="C135" s="28" t="s">
        <v>5904</v>
      </c>
      <c r="D135" s="28" t="s">
        <v>11341</v>
      </c>
      <c r="E135" s="28" t="s">
        <v>9336</v>
      </c>
      <c r="F135" s="28"/>
      <c r="G135" s="28" t="s">
        <v>11603</v>
      </c>
      <c r="H135" s="28"/>
      <c r="I135" s="28" t="s">
        <v>9180</v>
      </c>
      <c r="J135" s="28" t="s">
        <v>9222</v>
      </c>
      <c r="K135" s="28" t="s">
        <v>9211</v>
      </c>
      <c r="L135" s="28" t="s">
        <v>9223</v>
      </c>
    </row>
    <row r="136" spans="1:12">
      <c r="A136" s="29">
        <v>135</v>
      </c>
      <c r="B136" s="29" t="s">
        <v>3484</v>
      </c>
      <c r="C136" s="29" t="s">
        <v>11604</v>
      </c>
      <c r="D136" s="29" t="s">
        <v>11341</v>
      </c>
      <c r="E136" s="29" t="s">
        <v>9336</v>
      </c>
      <c r="F136" s="29"/>
      <c r="G136" s="29" t="s">
        <v>11605</v>
      </c>
      <c r="H136" s="29"/>
      <c r="I136" s="29" t="s">
        <v>9180</v>
      </c>
      <c r="J136" s="29" t="s">
        <v>11606</v>
      </c>
      <c r="K136" s="29" t="s">
        <v>9211</v>
      </c>
      <c r="L136" s="29" t="s">
        <v>9189</v>
      </c>
    </row>
    <row r="137" spans="1:12">
      <c r="A137" s="28">
        <v>136</v>
      </c>
      <c r="B137" s="28" t="s">
        <v>8859</v>
      </c>
      <c r="C137" s="28" t="s">
        <v>11607</v>
      </c>
      <c r="D137" s="28" t="s">
        <v>11341</v>
      </c>
      <c r="E137" s="28" t="s">
        <v>9336</v>
      </c>
      <c r="F137" s="28"/>
      <c r="G137" s="28" t="s">
        <v>11608</v>
      </c>
      <c r="H137" s="28"/>
      <c r="I137" s="28" t="s">
        <v>9180</v>
      </c>
      <c r="J137" s="28" t="s">
        <v>9477</v>
      </c>
      <c r="K137" s="28" t="s">
        <v>9211</v>
      </c>
      <c r="L137" s="28" t="s">
        <v>9189</v>
      </c>
    </row>
    <row r="138" spans="1:12">
      <c r="A138" s="29">
        <v>137</v>
      </c>
      <c r="B138" s="29" t="s">
        <v>1694</v>
      </c>
      <c r="C138" s="29" t="s">
        <v>11609</v>
      </c>
      <c r="D138" s="29" t="s">
        <v>11341</v>
      </c>
      <c r="E138" s="29" t="s">
        <v>9336</v>
      </c>
      <c r="F138" s="29"/>
      <c r="G138" s="29" t="s">
        <v>11610</v>
      </c>
      <c r="H138" s="29"/>
      <c r="I138" s="29" t="s">
        <v>9180</v>
      </c>
      <c r="J138" s="29" t="s">
        <v>11611</v>
      </c>
      <c r="K138" s="29" t="s">
        <v>9211</v>
      </c>
      <c r="L138" s="29" t="s">
        <v>9189</v>
      </c>
    </row>
    <row r="139" spans="1:12">
      <c r="A139" s="28">
        <v>138</v>
      </c>
      <c r="B139" s="28" t="s">
        <v>8907</v>
      </c>
      <c r="C139" s="28" t="s">
        <v>11612</v>
      </c>
      <c r="D139" s="28" t="s">
        <v>11341</v>
      </c>
      <c r="E139" s="28" t="s">
        <v>9336</v>
      </c>
      <c r="F139" s="28"/>
      <c r="G139" s="28" t="s">
        <v>11613</v>
      </c>
      <c r="H139" s="28"/>
      <c r="I139" s="28" t="s">
        <v>9180</v>
      </c>
      <c r="J139" s="28" t="s">
        <v>9217</v>
      </c>
      <c r="K139" s="28" t="s">
        <v>9211</v>
      </c>
      <c r="L139" s="28" t="s">
        <v>9189</v>
      </c>
    </row>
    <row r="140" spans="1:12">
      <c r="A140" s="29">
        <v>139</v>
      </c>
      <c r="B140" s="29" t="s">
        <v>6429</v>
      </c>
      <c r="C140" s="29" t="s">
        <v>6430</v>
      </c>
      <c r="D140" s="29" t="s">
        <v>11341</v>
      </c>
      <c r="E140" s="29" t="s">
        <v>9336</v>
      </c>
      <c r="F140" s="29"/>
      <c r="G140" s="29" t="s">
        <v>11614</v>
      </c>
      <c r="H140" s="29"/>
      <c r="I140" s="29" t="s">
        <v>9180</v>
      </c>
      <c r="J140" s="29" t="s">
        <v>10742</v>
      </c>
      <c r="K140" s="29" t="s">
        <v>9211</v>
      </c>
      <c r="L140" s="29" t="s">
        <v>9223</v>
      </c>
    </row>
    <row r="141" spans="1:12">
      <c r="A141" s="28">
        <v>140</v>
      </c>
      <c r="B141" s="28" t="s">
        <v>6813</v>
      </c>
      <c r="C141" s="28" t="s">
        <v>6814</v>
      </c>
      <c r="D141" s="28" t="s">
        <v>11341</v>
      </c>
      <c r="E141" s="28" t="s">
        <v>9336</v>
      </c>
      <c r="F141" s="28"/>
      <c r="G141" s="28" t="s">
        <v>11615</v>
      </c>
      <c r="H141" s="28"/>
      <c r="I141" s="28" t="s">
        <v>9180</v>
      </c>
      <c r="J141" s="28" t="s">
        <v>9573</v>
      </c>
      <c r="K141" s="28" t="s">
        <v>9211</v>
      </c>
      <c r="L141" s="28" t="s">
        <v>9223</v>
      </c>
    </row>
    <row r="142" spans="1:12">
      <c r="A142" s="29">
        <v>141</v>
      </c>
      <c r="B142" s="29" t="s">
        <v>1140</v>
      </c>
      <c r="C142" s="29" t="s">
        <v>11616</v>
      </c>
      <c r="D142" s="29" t="s">
        <v>11341</v>
      </c>
      <c r="E142" s="29" t="s">
        <v>9336</v>
      </c>
      <c r="F142" s="29"/>
      <c r="G142" s="29" t="s">
        <v>11617</v>
      </c>
      <c r="H142" s="29"/>
      <c r="I142" s="29" t="s">
        <v>9180</v>
      </c>
      <c r="J142" s="29" t="s">
        <v>11618</v>
      </c>
      <c r="K142" s="29" t="s">
        <v>9211</v>
      </c>
      <c r="L142" s="29" t="s">
        <v>9189</v>
      </c>
    </row>
    <row r="143" spans="1:12">
      <c r="A143" s="28">
        <v>142</v>
      </c>
      <c r="B143" s="28" t="s">
        <v>5146</v>
      </c>
      <c r="C143" s="28" t="s">
        <v>11619</v>
      </c>
      <c r="D143" s="28" t="s">
        <v>11341</v>
      </c>
      <c r="E143" s="28" t="s">
        <v>9336</v>
      </c>
      <c r="F143" s="28"/>
      <c r="G143" s="28" t="s">
        <v>11620</v>
      </c>
      <c r="H143" s="28"/>
      <c r="I143" s="28" t="s">
        <v>9180</v>
      </c>
      <c r="J143" s="28" t="s">
        <v>11621</v>
      </c>
      <c r="K143" s="28" t="s">
        <v>9211</v>
      </c>
      <c r="L143" s="28" t="s">
        <v>9189</v>
      </c>
    </row>
    <row r="144" spans="1:12">
      <c r="A144" s="29">
        <v>143</v>
      </c>
      <c r="B144" s="29" t="s">
        <v>4733</v>
      </c>
      <c r="C144" s="29" t="s">
        <v>4734</v>
      </c>
      <c r="D144" s="29" t="s">
        <v>11341</v>
      </c>
      <c r="E144" s="29" t="s">
        <v>9336</v>
      </c>
      <c r="F144" s="29"/>
      <c r="G144" s="29" t="s">
        <v>11622</v>
      </c>
      <c r="H144" s="29"/>
      <c r="I144" s="29" t="s">
        <v>9180</v>
      </c>
      <c r="J144" s="29" t="s">
        <v>11623</v>
      </c>
      <c r="K144" s="29" t="s">
        <v>9211</v>
      </c>
      <c r="L144" s="29" t="s">
        <v>9223</v>
      </c>
    </row>
    <row r="145" spans="1:12">
      <c r="A145" s="28">
        <v>144</v>
      </c>
      <c r="B145" s="28" t="s">
        <v>3365</v>
      </c>
      <c r="C145" s="28" t="s">
        <v>11624</v>
      </c>
      <c r="D145" s="28" t="s">
        <v>11341</v>
      </c>
      <c r="E145" s="28" t="s">
        <v>9336</v>
      </c>
      <c r="F145" s="28"/>
      <c r="G145" s="28" t="s">
        <v>11625</v>
      </c>
      <c r="H145" s="28"/>
      <c r="I145" s="28" t="s">
        <v>9180</v>
      </c>
      <c r="J145" s="28" t="s">
        <v>11626</v>
      </c>
      <c r="K145" s="28" t="s">
        <v>9211</v>
      </c>
      <c r="L145" s="28" t="s">
        <v>9189</v>
      </c>
    </row>
    <row r="146" spans="1:12">
      <c r="A146" s="29">
        <v>145</v>
      </c>
      <c r="B146" s="29" t="s">
        <v>3424</v>
      </c>
      <c r="C146" s="29" t="s">
        <v>3425</v>
      </c>
      <c r="D146" s="29" t="s">
        <v>11341</v>
      </c>
      <c r="E146" s="29" t="s">
        <v>9336</v>
      </c>
      <c r="F146" s="29"/>
      <c r="G146" s="29" t="s">
        <v>11627</v>
      </c>
      <c r="H146" s="29"/>
      <c r="I146" s="29" t="s">
        <v>9180</v>
      </c>
      <c r="J146" s="29" t="s">
        <v>9692</v>
      </c>
      <c r="K146" s="29" t="s">
        <v>9211</v>
      </c>
      <c r="L146" s="29" t="s">
        <v>9223</v>
      </c>
    </row>
    <row r="147" spans="1:12">
      <c r="A147" s="28">
        <v>146</v>
      </c>
      <c r="B147" s="28" t="s">
        <v>1516</v>
      </c>
      <c r="C147" s="28" t="s">
        <v>11628</v>
      </c>
      <c r="D147" s="28" t="s">
        <v>11341</v>
      </c>
      <c r="E147" s="28" t="s">
        <v>9336</v>
      </c>
      <c r="F147" s="28"/>
      <c r="G147" s="28" t="s">
        <v>11629</v>
      </c>
      <c r="H147" s="28"/>
      <c r="I147" s="28" t="s">
        <v>9180</v>
      </c>
      <c r="J147" s="28" t="s">
        <v>11630</v>
      </c>
      <c r="K147" s="28" t="s">
        <v>9211</v>
      </c>
      <c r="L147" s="28" t="s">
        <v>9189</v>
      </c>
    </row>
    <row r="148" spans="1:12">
      <c r="A148" s="29">
        <v>147</v>
      </c>
      <c r="B148" s="29" t="s">
        <v>4360</v>
      </c>
      <c r="C148" s="29" t="s">
        <v>4361</v>
      </c>
      <c r="D148" s="29" t="s">
        <v>11341</v>
      </c>
      <c r="E148" s="29" t="s">
        <v>9336</v>
      </c>
      <c r="F148" s="29"/>
      <c r="G148" s="29" t="s">
        <v>11631</v>
      </c>
      <c r="H148" s="29"/>
      <c r="I148" s="29" t="s">
        <v>9180</v>
      </c>
      <c r="J148" s="29" t="s">
        <v>11632</v>
      </c>
      <c r="K148" s="29" t="s">
        <v>9211</v>
      </c>
      <c r="L148" s="29" t="s">
        <v>9223</v>
      </c>
    </row>
    <row r="149" spans="1:12">
      <c r="A149" s="28">
        <v>148</v>
      </c>
      <c r="B149" s="28" t="s">
        <v>9159</v>
      </c>
      <c r="C149" s="28" t="s">
        <v>9160</v>
      </c>
      <c r="D149" s="28" t="s">
        <v>11341</v>
      </c>
      <c r="E149" s="28" t="s">
        <v>9336</v>
      </c>
      <c r="F149" s="28"/>
      <c r="G149" s="28" t="s">
        <v>11633</v>
      </c>
      <c r="H149" s="28"/>
      <c r="I149" s="28" t="s">
        <v>9180</v>
      </c>
      <c r="J149" s="28" t="s">
        <v>9239</v>
      </c>
      <c r="K149" s="28" t="s">
        <v>9211</v>
      </c>
      <c r="L149" s="28" t="s">
        <v>9223</v>
      </c>
    </row>
    <row r="150" spans="1:12">
      <c r="A150" s="29">
        <v>149</v>
      </c>
      <c r="B150" s="29" t="s">
        <v>1335</v>
      </c>
      <c r="C150" s="29" t="s">
        <v>1336</v>
      </c>
      <c r="D150" s="29" t="s">
        <v>11341</v>
      </c>
      <c r="E150" s="29" t="s">
        <v>9336</v>
      </c>
      <c r="F150" s="29"/>
      <c r="G150" s="29" t="s">
        <v>11634</v>
      </c>
      <c r="H150" s="29"/>
      <c r="I150" s="29" t="s">
        <v>9180</v>
      </c>
      <c r="J150" s="29" t="s">
        <v>11635</v>
      </c>
      <c r="K150" s="29" t="s">
        <v>9211</v>
      </c>
      <c r="L150" s="29" t="s">
        <v>9223</v>
      </c>
    </row>
    <row r="151" spans="1:12">
      <c r="A151" s="28">
        <v>150</v>
      </c>
      <c r="B151" s="28" t="s">
        <v>9155</v>
      </c>
      <c r="C151" s="28" t="s">
        <v>11636</v>
      </c>
      <c r="D151" s="28" t="s">
        <v>11341</v>
      </c>
      <c r="E151" s="28" t="s">
        <v>9336</v>
      </c>
      <c r="F151" s="28"/>
      <c r="G151" s="28" t="s">
        <v>11637</v>
      </c>
      <c r="H151" s="28"/>
      <c r="I151" s="28" t="s">
        <v>9180</v>
      </c>
      <c r="J151" s="28" t="s">
        <v>9306</v>
      </c>
      <c r="K151" s="28" t="s">
        <v>9211</v>
      </c>
      <c r="L151" s="28" t="s">
        <v>9189</v>
      </c>
    </row>
    <row r="152" spans="1:12">
      <c r="A152" s="29">
        <v>151</v>
      </c>
      <c r="B152" s="29" t="s">
        <v>846</v>
      </c>
      <c r="C152" s="29" t="s">
        <v>11638</v>
      </c>
      <c r="D152" s="29" t="s">
        <v>11341</v>
      </c>
      <c r="E152" s="29" t="s">
        <v>9336</v>
      </c>
      <c r="F152" s="29"/>
      <c r="G152" s="29" t="s">
        <v>11639</v>
      </c>
      <c r="H152" s="29"/>
      <c r="I152" s="29" t="s">
        <v>9180</v>
      </c>
      <c r="J152" s="29" t="s">
        <v>11640</v>
      </c>
      <c r="K152" s="29" t="s">
        <v>9211</v>
      </c>
      <c r="L152" s="29" t="s">
        <v>9189</v>
      </c>
    </row>
    <row r="153" spans="1:12">
      <c r="A153" s="28">
        <v>152</v>
      </c>
      <c r="B153" s="28" t="s">
        <v>9125</v>
      </c>
      <c r="C153" s="28" t="s">
        <v>11641</v>
      </c>
      <c r="D153" s="28" t="s">
        <v>11341</v>
      </c>
      <c r="E153" s="28" t="s">
        <v>9336</v>
      </c>
      <c r="F153" s="28"/>
      <c r="G153" s="28" t="s">
        <v>11642</v>
      </c>
      <c r="H153" s="28"/>
      <c r="I153" s="28" t="s">
        <v>9180</v>
      </c>
      <c r="J153" s="28" t="s">
        <v>11643</v>
      </c>
      <c r="K153" s="28" t="s">
        <v>9211</v>
      </c>
      <c r="L153" s="28" t="s">
        <v>9189</v>
      </c>
    </row>
    <row r="154" spans="1:12">
      <c r="A154" s="29">
        <v>153</v>
      </c>
      <c r="B154" s="29" t="s">
        <v>7996</v>
      </c>
      <c r="C154" s="29" t="s">
        <v>7997</v>
      </c>
      <c r="D154" s="29" t="s">
        <v>11341</v>
      </c>
      <c r="E154" s="29" t="s">
        <v>9336</v>
      </c>
      <c r="F154" s="29"/>
      <c r="G154" s="29" t="s">
        <v>11644</v>
      </c>
      <c r="H154" s="29"/>
      <c r="I154" s="29" t="s">
        <v>9180</v>
      </c>
      <c r="J154" s="29" t="s">
        <v>9606</v>
      </c>
      <c r="K154" s="29" t="s">
        <v>9211</v>
      </c>
      <c r="L154" s="29" t="s">
        <v>9223</v>
      </c>
    </row>
    <row r="155" spans="1:12">
      <c r="A155" s="28">
        <v>154</v>
      </c>
      <c r="B155" s="28" t="s">
        <v>6719</v>
      </c>
      <c r="C155" s="28" t="s">
        <v>6720</v>
      </c>
      <c r="D155" s="28" t="s">
        <v>11341</v>
      </c>
      <c r="E155" s="28" t="s">
        <v>9336</v>
      </c>
      <c r="F155" s="28"/>
      <c r="G155" s="28" t="s">
        <v>11645</v>
      </c>
      <c r="H155" s="28"/>
      <c r="I155" s="28" t="s">
        <v>9180</v>
      </c>
      <c r="J155" s="28" t="s">
        <v>9579</v>
      </c>
      <c r="K155" s="28" t="s">
        <v>9211</v>
      </c>
      <c r="L155" s="28" t="s">
        <v>9223</v>
      </c>
    </row>
    <row r="156" spans="1:12">
      <c r="A156" s="29">
        <v>155</v>
      </c>
      <c r="B156" s="29" t="s">
        <v>6541</v>
      </c>
      <c r="C156" s="29" t="s">
        <v>6542</v>
      </c>
      <c r="D156" s="29" t="s">
        <v>11341</v>
      </c>
      <c r="E156" s="29" t="s">
        <v>9336</v>
      </c>
      <c r="F156" s="29"/>
      <c r="G156" s="29" t="s">
        <v>11646</v>
      </c>
      <c r="H156" s="29"/>
      <c r="I156" s="29" t="s">
        <v>9180</v>
      </c>
      <c r="J156" s="29" t="s">
        <v>10746</v>
      </c>
      <c r="K156" s="29" t="s">
        <v>9211</v>
      </c>
      <c r="L156" s="29" t="s">
        <v>9223</v>
      </c>
    </row>
    <row r="157" spans="1:12">
      <c r="A157" s="28">
        <v>156</v>
      </c>
      <c r="B157" s="28" t="s">
        <v>4876</v>
      </c>
      <c r="C157" s="28" t="s">
        <v>11647</v>
      </c>
      <c r="D157" s="28" t="s">
        <v>11341</v>
      </c>
      <c r="E157" s="28" t="s">
        <v>9336</v>
      </c>
      <c r="F157" s="28"/>
      <c r="G157" s="28" t="s">
        <v>11648</v>
      </c>
      <c r="H157" s="28"/>
      <c r="I157" s="28" t="s">
        <v>9180</v>
      </c>
      <c r="J157" s="28" t="s">
        <v>11649</v>
      </c>
      <c r="K157" s="28" t="s">
        <v>9211</v>
      </c>
      <c r="L157" s="28" t="s">
        <v>9189</v>
      </c>
    </row>
    <row r="158" spans="1:12">
      <c r="A158" s="29">
        <v>157</v>
      </c>
      <c r="B158" s="29" t="s">
        <v>8042</v>
      </c>
      <c r="C158" s="29"/>
      <c r="D158" s="29" t="s">
        <v>11341</v>
      </c>
      <c r="E158" s="29" t="s">
        <v>9336</v>
      </c>
      <c r="F158" s="29"/>
      <c r="G158" s="29" t="s">
        <v>11650</v>
      </c>
      <c r="H158" s="29"/>
      <c r="I158" s="29" t="s">
        <v>9180</v>
      </c>
      <c r="J158" s="29" t="s">
        <v>10236</v>
      </c>
      <c r="K158" s="29" t="s">
        <v>9211</v>
      </c>
      <c r="L158" s="29" t="s">
        <v>9223</v>
      </c>
    </row>
    <row r="159" spans="1:12">
      <c r="A159" s="28">
        <v>158</v>
      </c>
      <c r="B159" s="28" t="s">
        <v>137</v>
      </c>
      <c r="C159" s="28" t="s">
        <v>138</v>
      </c>
      <c r="D159" s="28" t="s">
        <v>11341</v>
      </c>
      <c r="E159" s="28" t="s">
        <v>9336</v>
      </c>
      <c r="F159" s="28"/>
      <c r="G159" s="28" t="s">
        <v>11651</v>
      </c>
      <c r="H159" s="28"/>
      <c r="I159" s="28" t="s">
        <v>9180</v>
      </c>
      <c r="J159" s="28" t="s">
        <v>9356</v>
      </c>
      <c r="K159" s="28" t="s">
        <v>9211</v>
      </c>
      <c r="L159" s="28" t="s">
        <v>9223</v>
      </c>
    </row>
    <row r="160" spans="1:12">
      <c r="A160" s="29">
        <v>159</v>
      </c>
      <c r="B160" s="29" t="s">
        <v>394</v>
      </c>
      <c r="C160" s="29" t="s">
        <v>395</v>
      </c>
      <c r="D160" s="29" t="s">
        <v>11341</v>
      </c>
      <c r="E160" s="29" t="s">
        <v>9336</v>
      </c>
      <c r="F160" s="29"/>
      <c r="G160" s="29" t="s">
        <v>11652</v>
      </c>
      <c r="H160" s="29"/>
      <c r="I160" s="29" t="s">
        <v>9180</v>
      </c>
      <c r="J160" s="29" t="s">
        <v>11653</v>
      </c>
      <c r="K160" s="29" t="s">
        <v>9211</v>
      </c>
      <c r="L160" s="29" t="s">
        <v>9223</v>
      </c>
    </row>
    <row r="161" spans="1:12">
      <c r="A161" s="28">
        <v>160</v>
      </c>
      <c r="B161" s="28" t="s">
        <v>5417</v>
      </c>
      <c r="C161" s="28" t="s">
        <v>5418</v>
      </c>
      <c r="D161" s="28" t="s">
        <v>11341</v>
      </c>
      <c r="E161" s="28" t="s">
        <v>9336</v>
      </c>
      <c r="F161" s="28"/>
      <c r="G161" s="28" t="s">
        <v>11654</v>
      </c>
      <c r="H161" s="28"/>
      <c r="I161" s="28" t="s">
        <v>9180</v>
      </c>
      <c r="J161" s="28" t="s">
        <v>9222</v>
      </c>
      <c r="K161" s="28" t="s">
        <v>9211</v>
      </c>
      <c r="L161" s="28" t="s">
        <v>9223</v>
      </c>
    </row>
    <row r="162" spans="1:12">
      <c r="A162" s="29">
        <v>161</v>
      </c>
      <c r="B162" s="29" t="s">
        <v>8332</v>
      </c>
      <c r="C162" s="29" t="s">
        <v>11655</v>
      </c>
      <c r="D162" s="29" t="s">
        <v>11341</v>
      </c>
      <c r="E162" s="29" t="s">
        <v>9336</v>
      </c>
      <c r="F162" s="29"/>
      <c r="G162" s="29" t="s">
        <v>11656</v>
      </c>
      <c r="H162" s="29"/>
      <c r="I162" s="29" t="s">
        <v>9180</v>
      </c>
      <c r="J162" s="29" t="s">
        <v>9221</v>
      </c>
      <c r="K162" s="29" t="s">
        <v>9211</v>
      </c>
      <c r="L162" s="29" t="s">
        <v>9189</v>
      </c>
    </row>
    <row r="163" spans="1:12">
      <c r="A163" s="28">
        <v>162</v>
      </c>
      <c r="B163" s="28" t="s">
        <v>5755</v>
      </c>
      <c r="C163" s="28" t="s">
        <v>11657</v>
      </c>
      <c r="D163" s="28" t="s">
        <v>11341</v>
      </c>
      <c r="E163" s="28" t="s">
        <v>9336</v>
      </c>
      <c r="F163" s="28"/>
      <c r="G163" s="28" t="s">
        <v>11658</v>
      </c>
      <c r="H163" s="28"/>
      <c r="I163" s="28" t="s">
        <v>9180</v>
      </c>
      <c r="J163" s="28" t="s">
        <v>9606</v>
      </c>
      <c r="K163" s="28" t="s">
        <v>9211</v>
      </c>
      <c r="L163" s="28" t="s">
        <v>9189</v>
      </c>
    </row>
    <row r="164" spans="1:12">
      <c r="A164" s="27">
        <v>163</v>
      </c>
      <c r="B164" s="27" t="s">
        <v>8188</v>
      </c>
      <c r="C164" s="27" t="s">
        <v>11659</v>
      </c>
      <c r="D164" s="27" t="s">
        <v>11337</v>
      </c>
      <c r="E164" s="27" t="s">
        <v>9336</v>
      </c>
      <c r="F164" s="27"/>
      <c r="G164" s="27" t="s">
        <v>11660</v>
      </c>
      <c r="H164" s="27" t="s">
        <v>11660</v>
      </c>
      <c r="I164" s="27" t="s">
        <v>9180</v>
      </c>
      <c r="J164" s="27" t="s">
        <v>9222</v>
      </c>
      <c r="K164" s="27" t="s">
        <v>9211</v>
      </c>
      <c r="L164" s="27" t="s">
        <v>9183</v>
      </c>
    </row>
    <row r="165" spans="1:12">
      <c r="A165" s="28">
        <v>164</v>
      </c>
      <c r="B165" s="28" t="s">
        <v>7976</v>
      </c>
      <c r="C165" s="28" t="s">
        <v>11661</v>
      </c>
      <c r="D165" s="28" t="s">
        <v>11341</v>
      </c>
      <c r="E165" s="28" t="s">
        <v>9336</v>
      </c>
      <c r="F165" s="28"/>
      <c r="G165" s="28" t="s">
        <v>11662</v>
      </c>
      <c r="H165" s="28"/>
      <c r="I165" s="28" t="s">
        <v>9180</v>
      </c>
      <c r="J165" s="28" t="s">
        <v>9280</v>
      </c>
      <c r="K165" s="28" t="s">
        <v>9211</v>
      </c>
      <c r="L165" s="28" t="s">
        <v>9189</v>
      </c>
    </row>
    <row r="166" spans="1:12">
      <c r="A166" s="29">
        <v>165</v>
      </c>
      <c r="B166" s="29" t="s">
        <v>7930</v>
      </c>
      <c r="C166" s="29" t="s">
        <v>11663</v>
      </c>
      <c r="D166" s="29" t="s">
        <v>11341</v>
      </c>
      <c r="E166" s="29" t="s">
        <v>9336</v>
      </c>
      <c r="F166" s="29"/>
      <c r="G166" s="29" t="s">
        <v>11664</v>
      </c>
      <c r="H166" s="29"/>
      <c r="I166" s="29" t="s">
        <v>9180</v>
      </c>
      <c r="J166" s="29" t="s">
        <v>9221</v>
      </c>
      <c r="K166" s="29" t="s">
        <v>9211</v>
      </c>
      <c r="L166" s="29" t="s">
        <v>9189</v>
      </c>
    </row>
    <row r="167" spans="1:12">
      <c r="A167" s="28">
        <v>166</v>
      </c>
      <c r="B167" s="28" t="s">
        <v>6715</v>
      </c>
      <c r="C167" s="28" t="s">
        <v>11552</v>
      </c>
      <c r="D167" s="28" t="s">
        <v>11341</v>
      </c>
      <c r="E167" s="28" t="s">
        <v>9336</v>
      </c>
      <c r="F167" s="28"/>
      <c r="G167" s="28" t="s">
        <v>11665</v>
      </c>
      <c r="H167" s="28"/>
      <c r="I167" s="28" t="s">
        <v>9180</v>
      </c>
      <c r="J167" s="28" t="s">
        <v>9372</v>
      </c>
      <c r="K167" s="28" t="s">
        <v>9211</v>
      </c>
      <c r="L167" s="28" t="s">
        <v>9189</v>
      </c>
    </row>
    <row r="168" spans="1:12">
      <c r="A168" s="29">
        <v>167</v>
      </c>
      <c r="B168" s="29" t="s">
        <v>7774</v>
      </c>
      <c r="C168" s="29" t="s">
        <v>11666</v>
      </c>
      <c r="D168" s="29" t="s">
        <v>11341</v>
      </c>
      <c r="E168" s="29" t="s">
        <v>9336</v>
      </c>
      <c r="F168" s="29"/>
      <c r="G168" s="29" t="s">
        <v>11667</v>
      </c>
      <c r="H168" s="29"/>
      <c r="I168" s="29" t="s">
        <v>9180</v>
      </c>
      <c r="J168" s="29" t="s">
        <v>9274</v>
      </c>
      <c r="K168" s="29" t="s">
        <v>9211</v>
      </c>
      <c r="L168" s="29" t="s">
        <v>9189</v>
      </c>
    </row>
    <row r="169" spans="1:12">
      <c r="A169" s="28">
        <v>168</v>
      </c>
      <c r="B169" s="28" t="s">
        <v>3191</v>
      </c>
      <c r="C169" s="28" t="s">
        <v>11668</v>
      </c>
      <c r="D169" s="28" t="s">
        <v>11341</v>
      </c>
      <c r="E169" s="28" t="s">
        <v>9336</v>
      </c>
      <c r="F169" s="28"/>
      <c r="G169" s="28" t="s">
        <v>11669</v>
      </c>
      <c r="H169" s="28"/>
      <c r="I169" s="28" t="s">
        <v>9180</v>
      </c>
      <c r="J169" s="28" t="s">
        <v>11670</v>
      </c>
      <c r="K169" s="28" t="s">
        <v>9211</v>
      </c>
      <c r="L169" s="28" t="s">
        <v>9189</v>
      </c>
    </row>
    <row r="170" spans="1:12">
      <c r="A170" s="29">
        <v>169</v>
      </c>
      <c r="B170" s="29" t="s">
        <v>5122</v>
      </c>
      <c r="C170" s="29" t="s">
        <v>5123</v>
      </c>
      <c r="D170" s="29" t="s">
        <v>11341</v>
      </c>
      <c r="E170" s="29" t="s">
        <v>9336</v>
      </c>
      <c r="F170" s="29"/>
      <c r="G170" s="29" t="s">
        <v>11671</v>
      </c>
      <c r="H170" s="29"/>
      <c r="I170" s="29" t="s">
        <v>9180</v>
      </c>
      <c r="J170" s="29" t="s">
        <v>11672</v>
      </c>
      <c r="K170" s="29" t="s">
        <v>9211</v>
      </c>
      <c r="L170" s="29" t="s">
        <v>9223</v>
      </c>
    </row>
    <row r="171" spans="1:12">
      <c r="A171" s="28">
        <v>170</v>
      </c>
      <c r="B171" s="28" t="s">
        <v>4646</v>
      </c>
      <c r="C171" s="28" t="s">
        <v>4647</v>
      </c>
      <c r="D171" s="28" t="s">
        <v>11341</v>
      </c>
      <c r="E171" s="28" t="s">
        <v>9336</v>
      </c>
      <c r="F171" s="28"/>
      <c r="G171" s="28" t="s">
        <v>11673</v>
      </c>
      <c r="H171" s="28"/>
      <c r="I171" s="28" t="s">
        <v>9180</v>
      </c>
      <c r="J171" s="28" t="s">
        <v>11674</v>
      </c>
      <c r="K171" s="28" t="s">
        <v>9211</v>
      </c>
      <c r="L171" s="28" t="s">
        <v>9223</v>
      </c>
    </row>
    <row r="172" spans="1:12">
      <c r="A172" s="27">
        <v>171</v>
      </c>
      <c r="B172" s="27" t="s">
        <v>4566</v>
      </c>
      <c r="C172" s="27" t="s">
        <v>4567</v>
      </c>
      <c r="D172" s="27" t="s">
        <v>11337</v>
      </c>
      <c r="E172" s="27" t="s">
        <v>9336</v>
      </c>
      <c r="F172" s="27"/>
      <c r="G172" s="27" t="s">
        <v>11675</v>
      </c>
      <c r="H172" s="27"/>
      <c r="I172" s="27" t="s">
        <v>9180</v>
      </c>
      <c r="J172" s="27" t="s">
        <v>11676</v>
      </c>
      <c r="K172" s="27" t="s">
        <v>9211</v>
      </c>
      <c r="L172" s="27" t="s">
        <v>9196</v>
      </c>
    </row>
    <row r="173" spans="1:12">
      <c r="A173" s="27">
        <v>172</v>
      </c>
      <c r="B173" s="27" t="s">
        <v>4443</v>
      </c>
      <c r="C173" s="27" t="s">
        <v>4444</v>
      </c>
      <c r="D173" s="27" t="s">
        <v>11337</v>
      </c>
      <c r="E173" s="27" t="s">
        <v>9336</v>
      </c>
      <c r="F173" s="27"/>
      <c r="G173" s="27" t="s">
        <v>11677</v>
      </c>
      <c r="H173" s="27"/>
      <c r="I173" s="27" t="s">
        <v>9180</v>
      </c>
      <c r="J173" s="27" t="s">
        <v>11678</v>
      </c>
      <c r="K173" s="27" t="s">
        <v>9211</v>
      </c>
      <c r="L173" s="27" t="s">
        <v>9196</v>
      </c>
    </row>
    <row r="174" spans="1:12">
      <c r="A174" s="27">
        <v>173</v>
      </c>
      <c r="B174" s="27" t="s">
        <v>2600</v>
      </c>
      <c r="C174" s="27" t="s">
        <v>2601</v>
      </c>
      <c r="D174" s="27" t="s">
        <v>11337</v>
      </c>
      <c r="E174" s="27" t="s">
        <v>9336</v>
      </c>
      <c r="F174" s="27"/>
      <c r="G174" s="27" t="s">
        <v>11679</v>
      </c>
      <c r="H174" s="27" t="s">
        <v>11429</v>
      </c>
      <c r="I174" s="27" t="s">
        <v>9180</v>
      </c>
      <c r="J174" s="27" t="s">
        <v>9760</v>
      </c>
      <c r="K174" s="27" t="s">
        <v>9211</v>
      </c>
      <c r="L174" s="27" t="s">
        <v>9196</v>
      </c>
    </row>
    <row r="175" spans="1:12">
      <c r="A175" s="28">
        <v>174</v>
      </c>
      <c r="B175" s="28" t="s">
        <v>6792</v>
      </c>
      <c r="C175" s="28" t="s">
        <v>11680</v>
      </c>
      <c r="D175" s="28" t="s">
        <v>11341</v>
      </c>
      <c r="E175" s="28" t="s">
        <v>9336</v>
      </c>
      <c r="F175" s="28"/>
      <c r="G175" s="28" t="s">
        <v>11681</v>
      </c>
      <c r="H175" s="28"/>
      <c r="I175" s="28" t="s">
        <v>9180</v>
      </c>
      <c r="J175" s="28" t="s">
        <v>9274</v>
      </c>
      <c r="K175" s="28" t="s">
        <v>9211</v>
      </c>
      <c r="L175" s="28" t="s">
        <v>9189</v>
      </c>
    </row>
    <row r="176" spans="1:12">
      <c r="A176" s="29">
        <v>175</v>
      </c>
      <c r="B176" s="29" t="s">
        <v>6753</v>
      </c>
      <c r="C176" s="29" t="s">
        <v>11682</v>
      </c>
      <c r="D176" s="29" t="s">
        <v>11341</v>
      </c>
      <c r="E176" s="29" t="s">
        <v>9336</v>
      </c>
      <c r="F176" s="29"/>
      <c r="G176" s="29" t="s">
        <v>11683</v>
      </c>
      <c r="H176" s="29"/>
      <c r="I176" s="29" t="s">
        <v>9180</v>
      </c>
      <c r="J176" s="29" t="s">
        <v>9271</v>
      </c>
      <c r="K176" s="29" t="s">
        <v>9211</v>
      </c>
      <c r="L176" s="29" t="s">
        <v>9189</v>
      </c>
    </row>
    <row r="177" spans="1:12">
      <c r="A177" s="28">
        <v>176</v>
      </c>
      <c r="B177" s="28" t="s">
        <v>6745</v>
      </c>
      <c r="C177" s="28" t="s">
        <v>11684</v>
      </c>
      <c r="D177" s="28" t="s">
        <v>11341</v>
      </c>
      <c r="E177" s="28" t="s">
        <v>9336</v>
      </c>
      <c r="F177" s="28"/>
      <c r="G177" s="28" t="s">
        <v>11685</v>
      </c>
      <c r="H177" s="28"/>
      <c r="I177" s="28" t="s">
        <v>9180</v>
      </c>
      <c r="J177" s="28" t="s">
        <v>9390</v>
      </c>
      <c r="K177" s="28" t="s">
        <v>9211</v>
      </c>
      <c r="L177" s="28" t="s">
        <v>9189</v>
      </c>
    </row>
    <row r="178" spans="1:12">
      <c r="A178" s="29">
        <v>177</v>
      </c>
      <c r="B178" s="29" t="s">
        <v>6749</v>
      </c>
      <c r="C178" s="29" t="s">
        <v>11686</v>
      </c>
      <c r="D178" s="29" t="s">
        <v>11341</v>
      </c>
      <c r="E178" s="29" t="s">
        <v>9336</v>
      </c>
      <c r="F178" s="29"/>
      <c r="G178" s="29" t="s">
        <v>11687</v>
      </c>
      <c r="H178" s="29"/>
      <c r="I178" s="29" t="s">
        <v>9180</v>
      </c>
      <c r="J178" s="29" t="s">
        <v>9271</v>
      </c>
      <c r="K178" s="29" t="s">
        <v>9211</v>
      </c>
      <c r="L178" s="29" t="s">
        <v>9189</v>
      </c>
    </row>
    <row r="179" spans="1:12">
      <c r="A179" s="28">
        <v>178</v>
      </c>
      <c r="B179" s="28" t="s">
        <v>1512</v>
      </c>
      <c r="C179" s="28" t="s">
        <v>11688</v>
      </c>
      <c r="D179" s="28" t="s">
        <v>11341</v>
      </c>
      <c r="E179" s="28" t="s">
        <v>9336</v>
      </c>
      <c r="F179" s="28"/>
      <c r="G179" s="28" t="s">
        <v>11689</v>
      </c>
      <c r="H179" s="28"/>
      <c r="I179" s="28" t="s">
        <v>9180</v>
      </c>
      <c r="J179" s="28" t="s">
        <v>11690</v>
      </c>
      <c r="K179" s="28" t="s">
        <v>9211</v>
      </c>
      <c r="L179" s="28" t="s">
        <v>9189</v>
      </c>
    </row>
    <row r="180" spans="1:12">
      <c r="A180" s="29">
        <v>179</v>
      </c>
      <c r="B180" s="29" t="s">
        <v>4739</v>
      </c>
      <c r="C180" s="29" t="s">
        <v>11691</v>
      </c>
      <c r="D180" s="29" t="s">
        <v>11341</v>
      </c>
      <c r="E180" s="29" t="s">
        <v>9336</v>
      </c>
      <c r="F180" s="29"/>
      <c r="G180" s="29" t="s">
        <v>11692</v>
      </c>
      <c r="H180" s="29"/>
      <c r="I180" s="29" t="s">
        <v>9180</v>
      </c>
      <c r="J180" s="29" t="s">
        <v>9312</v>
      </c>
      <c r="K180" s="29" t="s">
        <v>9211</v>
      </c>
      <c r="L180" s="29" t="s">
        <v>9189</v>
      </c>
    </row>
    <row r="181" spans="1:12">
      <c r="A181" s="28">
        <v>180</v>
      </c>
      <c r="B181" s="28" t="s">
        <v>4964</v>
      </c>
      <c r="C181" s="28" t="s">
        <v>11693</v>
      </c>
      <c r="D181" s="28" t="s">
        <v>11341</v>
      </c>
      <c r="E181" s="28" t="s">
        <v>9336</v>
      </c>
      <c r="F181" s="28"/>
      <c r="G181" s="28" t="s">
        <v>11694</v>
      </c>
      <c r="H181" s="28"/>
      <c r="I181" s="28" t="s">
        <v>9180</v>
      </c>
      <c r="J181" s="28" t="s">
        <v>9434</v>
      </c>
      <c r="K181" s="28" t="s">
        <v>9211</v>
      </c>
      <c r="L181" s="28" t="s">
        <v>9189</v>
      </c>
    </row>
    <row r="182" spans="1:12">
      <c r="A182" s="29">
        <v>181</v>
      </c>
      <c r="B182" s="29" t="s">
        <v>1418</v>
      </c>
      <c r="C182" s="29" t="s">
        <v>11695</v>
      </c>
      <c r="D182" s="29" t="s">
        <v>11341</v>
      </c>
      <c r="E182" s="29" t="s">
        <v>9336</v>
      </c>
      <c r="F182" s="29"/>
      <c r="G182" s="29" t="s">
        <v>11696</v>
      </c>
      <c r="H182" s="29"/>
      <c r="I182" s="29" t="s">
        <v>9180</v>
      </c>
      <c r="J182" s="29" t="s">
        <v>11697</v>
      </c>
      <c r="K182" s="29" t="s">
        <v>9211</v>
      </c>
      <c r="L182" s="29" t="s">
        <v>9189</v>
      </c>
    </row>
    <row r="183" spans="1:12">
      <c r="A183" s="28">
        <v>182</v>
      </c>
      <c r="B183" s="28" t="s">
        <v>3305</v>
      </c>
      <c r="C183" s="28" t="s">
        <v>11698</v>
      </c>
      <c r="D183" s="28" t="s">
        <v>11341</v>
      </c>
      <c r="E183" s="28" t="s">
        <v>9336</v>
      </c>
      <c r="F183" s="28"/>
      <c r="G183" s="28" t="s">
        <v>11699</v>
      </c>
      <c r="H183" s="28"/>
      <c r="I183" s="28" t="s">
        <v>9180</v>
      </c>
      <c r="J183" s="28" t="s">
        <v>9412</v>
      </c>
      <c r="K183" s="28" t="s">
        <v>9211</v>
      </c>
      <c r="L183" s="28" t="s">
        <v>9189</v>
      </c>
    </row>
    <row r="184" spans="1:12">
      <c r="A184" s="29">
        <v>183</v>
      </c>
      <c r="B184" s="29" t="s">
        <v>6613</v>
      </c>
      <c r="C184" s="29" t="s">
        <v>11700</v>
      </c>
      <c r="D184" s="29" t="s">
        <v>11341</v>
      </c>
      <c r="E184" s="29" t="s">
        <v>9336</v>
      </c>
      <c r="F184" s="29"/>
      <c r="G184" s="29" t="s">
        <v>11701</v>
      </c>
      <c r="H184" s="29"/>
      <c r="I184" s="29" t="s">
        <v>9180</v>
      </c>
      <c r="J184" s="29" t="s">
        <v>9274</v>
      </c>
      <c r="K184" s="29" t="s">
        <v>9211</v>
      </c>
      <c r="L184" s="29" t="s">
        <v>9189</v>
      </c>
    </row>
    <row r="185" spans="1:12">
      <c r="A185" s="28">
        <v>184</v>
      </c>
      <c r="B185" s="28" t="s">
        <v>6599</v>
      </c>
      <c r="C185" s="28" t="s">
        <v>11702</v>
      </c>
      <c r="D185" s="28" t="s">
        <v>11341</v>
      </c>
      <c r="E185" s="28" t="s">
        <v>9336</v>
      </c>
      <c r="F185" s="28"/>
      <c r="G185" s="28" t="s">
        <v>11703</v>
      </c>
      <c r="H185" s="28"/>
      <c r="I185" s="28" t="s">
        <v>9180</v>
      </c>
      <c r="J185" s="28" t="s">
        <v>9274</v>
      </c>
      <c r="K185" s="28" t="s">
        <v>9211</v>
      </c>
      <c r="L185" s="28" t="s">
        <v>9189</v>
      </c>
    </row>
    <row r="186" spans="1:12">
      <c r="A186" s="29">
        <v>185</v>
      </c>
      <c r="B186" s="29" t="s">
        <v>4596</v>
      </c>
      <c r="C186" s="29" t="s">
        <v>11704</v>
      </c>
      <c r="D186" s="29" t="s">
        <v>11341</v>
      </c>
      <c r="E186" s="29" t="s">
        <v>9336</v>
      </c>
      <c r="F186" s="29"/>
      <c r="G186" s="29" t="s">
        <v>11705</v>
      </c>
      <c r="H186" s="29" t="s">
        <v>11705</v>
      </c>
      <c r="I186" s="29" t="s">
        <v>9180</v>
      </c>
      <c r="J186" s="29" t="s">
        <v>11706</v>
      </c>
      <c r="K186" s="29" t="s">
        <v>9211</v>
      </c>
      <c r="L186" s="29" t="s">
        <v>9189</v>
      </c>
    </row>
    <row r="187" spans="1:12">
      <c r="A187" s="28">
        <v>186</v>
      </c>
      <c r="B187" s="28" t="s">
        <v>3983</v>
      </c>
      <c r="C187" s="28" t="s">
        <v>11707</v>
      </c>
      <c r="D187" s="28" t="s">
        <v>11341</v>
      </c>
      <c r="E187" s="28" t="s">
        <v>9336</v>
      </c>
      <c r="F187" s="28"/>
      <c r="G187" s="28" t="s">
        <v>11708</v>
      </c>
      <c r="H187" s="28" t="s">
        <v>11708</v>
      </c>
      <c r="I187" s="28" t="s">
        <v>9180</v>
      </c>
      <c r="J187" s="28" t="s">
        <v>9965</v>
      </c>
      <c r="K187" s="28" t="s">
        <v>9211</v>
      </c>
      <c r="L187" s="28" t="s">
        <v>9189</v>
      </c>
    </row>
    <row r="188" spans="1:12">
      <c r="A188" s="29">
        <v>187</v>
      </c>
      <c r="B188" s="29" t="s">
        <v>6473</v>
      </c>
      <c r="C188" s="29" t="s">
        <v>11709</v>
      </c>
      <c r="D188" s="29" t="s">
        <v>11341</v>
      </c>
      <c r="E188" s="29" t="s">
        <v>9336</v>
      </c>
      <c r="F188" s="29"/>
      <c r="G188" s="29" t="s">
        <v>11710</v>
      </c>
      <c r="H188" s="29"/>
      <c r="I188" s="29" t="s">
        <v>9180</v>
      </c>
      <c r="J188" s="29" t="s">
        <v>9271</v>
      </c>
      <c r="K188" s="29" t="s">
        <v>9211</v>
      </c>
      <c r="L188" s="29" t="s">
        <v>9189</v>
      </c>
    </row>
    <row r="189" spans="1:12">
      <c r="A189" s="28">
        <v>188</v>
      </c>
      <c r="B189" s="28" t="s">
        <v>6461</v>
      </c>
      <c r="C189" s="28" t="s">
        <v>11711</v>
      </c>
      <c r="D189" s="28" t="s">
        <v>11341</v>
      </c>
      <c r="E189" s="28" t="s">
        <v>9336</v>
      </c>
      <c r="F189" s="28"/>
      <c r="G189" s="28" t="s">
        <v>11712</v>
      </c>
      <c r="H189" s="28"/>
      <c r="I189" s="28" t="s">
        <v>9180</v>
      </c>
      <c r="J189" s="28" t="s">
        <v>9274</v>
      </c>
      <c r="K189" s="28" t="s">
        <v>9211</v>
      </c>
      <c r="L189" s="28" t="s">
        <v>9223</v>
      </c>
    </row>
    <row r="190" spans="1:12">
      <c r="A190" s="29">
        <v>189</v>
      </c>
      <c r="B190" s="29" t="s">
        <v>5483</v>
      </c>
      <c r="C190" s="29" t="s">
        <v>5484</v>
      </c>
      <c r="D190" s="29" t="s">
        <v>11341</v>
      </c>
      <c r="E190" s="29" t="s">
        <v>9336</v>
      </c>
      <c r="F190" s="29"/>
      <c r="G190" s="29" t="s">
        <v>11713</v>
      </c>
      <c r="H190" s="29"/>
      <c r="I190" s="29" t="s">
        <v>9180</v>
      </c>
      <c r="J190" s="29" t="s">
        <v>11714</v>
      </c>
      <c r="K190" s="29" t="s">
        <v>9211</v>
      </c>
      <c r="L190" s="29" t="s">
        <v>9189</v>
      </c>
    </row>
    <row r="191" spans="1:12">
      <c r="A191" s="28">
        <v>190</v>
      </c>
      <c r="B191" s="28" t="s">
        <v>6449</v>
      </c>
      <c r="C191" s="28" t="s">
        <v>6450</v>
      </c>
      <c r="D191" s="28" t="s">
        <v>11341</v>
      </c>
      <c r="E191" s="28" t="s">
        <v>9336</v>
      </c>
      <c r="F191" s="28"/>
      <c r="G191" s="28" t="s">
        <v>11715</v>
      </c>
      <c r="H191" s="28"/>
      <c r="I191" s="28" t="s">
        <v>9180</v>
      </c>
      <c r="J191" s="28" t="s">
        <v>9274</v>
      </c>
      <c r="K191" s="28" t="s">
        <v>9211</v>
      </c>
      <c r="L191" s="28" t="s">
        <v>9223</v>
      </c>
    </row>
    <row r="192" spans="1:12">
      <c r="A192" s="29">
        <v>191</v>
      </c>
      <c r="B192" s="29" t="s">
        <v>6423</v>
      </c>
      <c r="C192" s="29" t="s">
        <v>11716</v>
      </c>
      <c r="D192" s="29" t="s">
        <v>11341</v>
      </c>
      <c r="E192" s="29" t="s">
        <v>9336</v>
      </c>
      <c r="F192" s="29"/>
      <c r="G192" s="29" t="s">
        <v>11717</v>
      </c>
      <c r="H192" s="29"/>
      <c r="I192" s="29" t="s">
        <v>9180</v>
      </c>
      <c r="J192" s="29" t="s">
        <v>9221</v>
      </c>
      <c r="K192" s="29" t="s">
        <v>9211</v>
      </c>
      <c r="L192" s="29" t="s">
        <v>9189</v>
      </c>
    </row>
    <row r="193" spans="1:12">
      <c r="A193" s="28">
        <v>192</v>
      </c>
      <c r="B193" s="28" t="s">
        <v>4759</v>
      </c>
      <c r="C193" s="28" t="s">
        <v>11718</v>
      </c>
      <c r="D193" s="28" t="s">
        <v>11341</v>
      </c>
      <c r="E193" s="28" t="s">
        <v>9336</v>
      </c>
      <c r="F193" s="28"/>
      <c r="G193" s="28" t="s">
        <v>11719</v>
      </c>
      <c r="H193" s="28"/>
      <c r="I193" s="28" t="s">
        <v>9180</v>
      </c>
      <c r="J193" s="28" t="s">
        <v>11720</v>
      </c>
      <c r="K193" s="28" t="s">
        <v>9211</v>
      </c>
      <c r="L193" s="28" t="s">
        <v>9189</v>
      </c>
    </row>
    <row r="194" spans="1:12">
      <c r="A194" s="29">
        <v>193</v>
      </c>
      <c r="B194" s="29" t="s">
        <v>6411</v>
      </c>
      <c r="C194" s="29" t="s">
        <v>6412</v>
      </c>
      <c r="D194" s="29" t="s">
        <v>11341</v>
      </c>
      <c r="E194" s="29" t="s">
        <v>9336</v>
      </c>
      <c r="F194" s="29"/>
      <c r="G194" s="29" t="s">
        <v>11721</v>
      </c>
      <c r="H194" s="29"/>
      <c r="I194" s="29" t="s">
        <v>9180</v>
      </c>
      <c r="J194" s="29" t="s">
        <v>10491</v>
      </c>
      <c r="K194" s="29" t="s">
        <v>9211</v>
      </c>
      <c r="L194" s="29" t="s">
        <v>9223</v>
      </c>
    </row>
    <row r="195" spans="1:12">
      <c r="A195" s="28">
        <v>194</v>
      </c>
      <c r="B195" s="28" t="s">
        <v>6407</v>
      </c>
      <c r="C195" s="28" t="s">
        <v>6408</v>
      </c>
      <c r="D195" s="28" t="s">
        <v>11341</v>
      </c>
      <c r="E195" s="28" t="s">
        <v>9336</v>
      </c>
      <c r="F195" s="28"/>
      <c r="G195" s="28" t="s">
        <v>11722</v>
      </c>
      <c r="H195" s="28"/>
      <c r="I195" s="28" t="s">
        <v>9180</v>
      </c>
      <c r="J195" s="28" t="s">
        <v>9274</v>
      </c>
      <c r="K195" s="28" t="s">
        <v>9211</v>
      </c>
      <c r="L195" s="28" t="s">
        <v>9223</v>
      </c>
    </row>
    <row r="196" spans="1:12">
      <c r="A196" s="29">
        <v>195</v>
      </c>
      <c r="B196" s="29" t="s">
        <v>6364</v>
      </c>
      <c r="C196" s="29" t="s">
        <v>11723</v>
      </c>
      <c r="D196" s="29" t="s">
        <v>11341</v>
      </c>
      <c r="E196" s="29" t="s">
        <v>9336</v>
      </c>
      <c r="F196" s="29"/>
      <c r="G196" s="29" t="s">
        <v>11724</v>
      </c>
      <c r="H196" s="29"/>
      <c r="I196" s="29" t="s">
        <v>9180</v>
      </c>
      <c r="J196" s="29" t="s">
        <v>9274</v>
      </c>
      <c r="K196" s="29" t="s">
        <v>9211</v>
      </c>
      <c r="L196" s="29" t="s">
        <v>9189</v>
      </c>
    </row>
    <row r="197" spans="1:12">
      <c r="A197" s="28">
        <v>196</v>
      </c>
      <c r="B197" s="28" t="s">
        <v>6358</v>
      </c>
      <c r="C197" s="28" t="s">
        <v>11725</v>
      </c>
      <c r="D197" s="28" t="s">
        <v>11341</v>
      </c>
      <c r="E197" s="28" t="s">
        <v>9336</v>
      </c>
      <c r="F197" s="28"/>
      <c r="G197" s="28" t="s">
        <v>11726</v>
      </c>
      <c r="H197" s="28"/>
      <c r="I197" s="28" t="s">
        <v>9180</v>
      </c>
      <c r="J197" s="28" t="s">
        <v>9280</v>
      </c>
      <c r="K197" s="28" t="s">
        <v>9211</v>
      </c>
      <c r="L197" s="28" t="s">
        <v>9223</v>
      </c>
    </row>
    <row r="198" spans="1:12">
      <c r="A198" s="29">
        <v>197</v>
      </c>
      <c r="B198" s="29" t="s">
        <v>6354</v>
      </c>
      <c r="C198" s="29" t="s">
        <v>11727</v>
      </c>
      <c r="D198" s="29" t="s">
        <v>11341</v>
      </c>
      <c r="E198" s="29" t="s">
        <v>9336</v>
      </c>
      <c r="F198" s="29"/>
      <c r="G198" s="29" t="s">
        <v>11728</v>
      </c>
      <c r="H198" s="29"/>
      <c r="I198" s="29" t="s">
        <v>9180</v>
      </c>
      <c r="J198" s="29" t="s">
        <v>9274</v>
      </c>
      <c r="K198" s="29" t="s">
        <v>9211</v>
      </c>
      <c r="L198" s="29" t="s">
        <v>9223</v>
      </c>
    </row>
    <row r="199" spans="1:12">
      <c r="A199" s="28">
        <v>198</v>
      </c>
      <c r="B199" s="28" t="s">
        <v>6203</v>
      </c>
      <c r="C199" s="28" t="s">
        <v>6204</v>
      </c>
      <c r="D199" s="28" t="s">
        <v>11341</v>
      </c>
      <c r="E199" s="28" t="s">
        <v>9336</v>
      </c>
      <c r="F199" s="28"/>
      <c r="G199" s="28" t="s">
        <v>11729</v>
      </c>
      <c r="H199" s="28"/>
      <c r="I199" s="28" t="s">
        <v>9180</v>
      </c>
      <c r="J199" s="28" t="s">
        <v>9280</v>
      </c>
      <c r="K199" s="28" t="s">
        <v>9211</v>
      </c>
      <c r="L199" s="28" t="s">
        <v>9223</v>
      </c>
    </row>
    <row r="200" spans="1:12">
      <c r="A200" s="29">
        <v>199</v>
      </c>
      <c r="B200" s="29" t="s">
        <v>6350</v>
      </c>
      <c r="C200" s="29" t="s">
        <v>6351</v>
      </c>
      <c r="D200" s="29" t="s">
        <v>11341</v>
      </c>
      <c r="E200" s="29" t="s">
        <v>9336</v>
      </c>
      <c r="F200" s="29"/>
      <c r="G200" s="29" t="s">
        <v>11730</v>
      </c>
      <c r="H200" s="29"/>
      <c r="I200" s="29" t="s">
        <v>9180</v>
      </c>
      <c r="J200" s="29" t="s">
        <v>9280</v>
      </c>
      <c r="K200" s="29" t="s">
        <v>9211</v>
      </c>
      <c r="L200" s="29" t="s">
        <v>9223</v>
      </c>
    </row>
    <row r="201" spans="1:12">
      <c r="A201" s="28">
        <v>200</v>
      </c>
      <c r="B201" s="28" t="s">
        <v>5823</v>
      </c>
      <c r="C201" s="28" t="s">
        <v>11731</v>
      </c>
      <c r="D201" s="28" t="s">
        <v>11341</v>
      </c>
      <c r="E201" s="28" t="s">
        <v>9336</v>
      </c>
      <c r="F201" s="28"/>
      <c r="G201" s="28" t="s">
        <v>11732</v>
      </c>
      <c r="H201" s="28"/>
      <c r="I201" s="28" t="s">
        <v>9180</v>
      </c>
      <c r="J201" s="28" t="s">
        <v>9606</v>
      </c>
      <c r="K201" s="28" t="s">
        <v>9211</v>
      </c>
      <c r="L201" s="28" t="s">
        <v>9189</v>
      </c>
    </row>
    <row r="202" spans="1:12">
      <c r="A202" s="29">
        <v>201</v>
      </c>
      <c r="B202" s="29" t="s">
        <v>4956</v>
      </c>
      <c r="C202" s="29" t="s">
        <v>11733</v>
      </c>
      <c r="D202" s="29" t="s">
        <v>11341</v>
      </c>
      <c r="E202" s="29" t="s">
        <v>9336</v>
      </c>
      <c r="F202" s="29"/>
      <c r="G202" s="29" t="s">
        <v>11734</v>
      </c>
      <c r="H202" s="29"/>
      <c r="I202" s="29" t="s">
        <v>9180</v>
      </c>
      <c r="J202" s="29" t="s">
        <v>11735</v>
      </c>
      <c r="K202" s="29" t="s">
        <v>9211</v>
      </c>
      <c r="L202" s="29" t="s">
        <v>9189</v>
      </c>
    </row>
    <row r="203" spans="1:12">
      <c r="A203" s="28">
        <v>202</v>
      </c>
      <c r="B203" s="28" t="s">
        <v>6262</v>
      </c>
      <c r="C203" s="28" t="s">
        <v>11736</v>
      </c>
      <c r="D203" s="28" t="s">
        <v>11341</v>
      </c>
      <c r="E203" s="28" t="s">
        <v>9336</v>
      </c>
      <c r="F203" s="28"/>
      <c r="G203" s="28" t="s">
        <v>11737</v>
      </c>
      <c r="H203" s="28"/>
      <c r="I203" s="28" t="s">
        <v>9180</v>
      </c>
      <c r="J203" s="28" t="s">
        <v>9274</v>
      </c>
      <c r="K203" s="28" t="s">
        <v>9211</v>
      </c>
      <c r="L203" s="28" t="s">
        <v>9189</v>
      </c>
    </row>
    <row r="204" spans="1:12">
      <c r="A204" s="29">
        <v>203</v>
      </c>
      <c r="B204" s="29" t="s">
        <v>6258</v>
      </c>
      <c r="C204" s="29" t="s">
        <v>6259</v>
      </c>
      <c r="D204" s="29" t="s">
        <v>11341</v>
      </c>
      <c r="E204" s="29" t="s">
        <v>9336</v>
      </c>
      <c r="F204" s="29"/>
      <c r="G204" s="29" t="s">
        <v>11738</v>
      </c>
      <c r="H204" s="29"/>
      <c r="I204" s="29" t="s">
        <v>9180</v>
      </c>
      <c r="J204" s="29" t="s">
        <v>10646</v>
      </c>
      <c r="K204" s="29" t="s">
        <v>9211</v>
      </c>
      <c r="L204" s="29" t="s">
        <v>9223</v>
      </c>
    </row>
    <row r="205" spans="1:12">
      <c r="A205" s="28">
        <v>204</v>
      </c>
      <c r="B205" s="28" t="s">
        <v>6254</v>
      </c>
      <c r="C205" s="28" t="s">
        <v>11739</v>
      </c>
      <c r="D205" s="28" t="s">
        <v>11341</v>
      </c>
      <c r="E205" s="28" t="s">
        <v>9336</v>
      </c>
      <c r="F205" s="28"/>
      <c r="G205" s="28" t="s">
        <v>11740</v>
      </c>
      <c r="H205" s="28"/>
      <c r="I205" s="28" t="s">
        <v>9180</v>
      </c>
      <c r="J205" s="28" t="s">
        <v>9312</v>
      </c>
      <c r="K205" s="28" t="s">
        <v>9211</v>
      </c>
      <c r="L205" s="28" t="s">
        <v>9189</v>
      </c>
    </row>
    <row r="206" spans="1:12">
      <c r="A206" s="29">
        <v>205</v>
      </c>
      <c r="B206" s="29" t="s">
        <v>1085</v>
      </c>
      <c r="C206" s="29"/>
      <c r="D206" s="29" t="s">
        <v>11341</v>
      </c>
      <c r="E206" s="29" t="s">
        <v>9336</v>
      </c>
      <c r="F206" s="29"/>
      <c r="G206" s="29" t="s">
        <v>11741</v>
      </c>
      <c r="H206" s="29"/>
      <c r="I206" s="29" t="s">
        <v>9180</v>
      </c>
      <c r="J206" s="29" t="s">
        <v>11742</v>
      </c>
      <c r="K206" s="29" t="s">
        <v>9211</v>
      </c>
      <c r="L206" s="29" t="s">
        <v>9223</v>
      </c>
    </row>
    <row r="207" spans="1:12">
      <c r="A207" s="28">
        <v>206</v>
      </c>
      <c r="B207" s="28" t="s">
        <v>4215</v>
      </c>
      <c r="C207" s="28" t="s">
        <v>11743</v>
      </c>
      <c r="D207" s="28" t="s">
        <v>11341</v>
      </c>
      <c r="E207" s="28" t="s">
        <v>9336</v>
      </c>
      <c r="F207" s="28"/>
      <c r="G207" s="28" t="s">
        <v>11744</v>
      </c>
      <c r="H207" s="28"/>
      <c r="I207" s="28" t="s">
        <v>9180</v>
      </c>
      <c r="J207" s="28" t="s">
        <v>9298</v>
      </c>
      <c r="K207" s="28" t="s">
        <v>9211</v>
      </c>
      <c r="L207" s="28" t="s">
        <v>9189</v>
      </c>
    </row>
    <row r="208" spans="1:12">
      <c r="A208" s="29">
        <v>207</v>
      </c>
      <c r="B208" s="29" t="s">
        <v>6116</v>
      </c>
      <c r="C208" s="29" t="s">
        <v>11745</v>
      </c>
      <c r="D208" s="29" t="s">
        <v>11341</v>
      </c>
      <c r="E208" s="29" t="s">
        <v>9336</v>
      </c>
      <c r="F208" s="29"/>
      <c r="G208" s="29" t="s">
        <v>11746</v>
      </c>
      <c r="H208" s="29"/>
      <c r="I208" s="29" t="s">
        <v>9180</v>
      </c>
      <c r="J208" s="29" t="s">
        <v>9477</v>
      </c>
      <c r="K208" s="29" t="s">
        <v>9211</v>
      </c>
      <c r="L208" s="29" t="s">
        <v>9189</v>
      </c>
    </row>
    <row r="209" spans="1:12">
      <c r="A209" s="28">
        <v>208</v>
      </c>
      <c r="B209" s="28" t="s">
        <v>6112</v>
      </c>
      <c r="C209" s="28" t="s">
        <v>6113</v>
      </c>
      <c r="D209" s="28" t="s">
        <v>11341</v>
      </c>
      <c r="E209" s="28" t="s">
        <v>9336</v>
      </c>
      <c r="F209" s="28"/>
      <c r="G209" s="28" t="s">
        <v>11747</v>
      </c>
      <c r="H209" s="28"/>
      <c r="I209" s="28" t="s">
        <v>9180</v>
      </c>
      <c r="J209" s="28" t="s">
        <v>9239</v>
      </c>
      <c r="K209" s="28" t="s">
        <v>9211</v>
      </c>
      <c r="L209" s="28" t="s">
        <v>9223</v>
      </c>
    </row>
    <row r="210" spans="1:12">
      <c r="A210" s="29">
        <v>209</v>
      </c>
      <c r="B210" s="29" t="s">
        <v>3313</v>
      </c>
      <c r="C210" s="29" t="s">
        <v>3314</v>
      </c>
      <c r="D210" s="29" t="s">
        <v>11341</v>
      </c>
      <c r="E210" s="29" t="s">
        <v>9336</v>
      </c>
      <c r="F210" s="29"/>
      <c r="G210" s="29" t="s">
        <v>11748</v>
      </c>
      <c r="H210" s="29"/>
      <c r="I210" s="29" t="s">
        <v>9180</v>
      </c>
      <c r="J210" s="29" t="s">
        <v>9195</v>
      </c>
      <c r="K210" s="29" t="s">
        <v>9211</v>
      </c>
      <c r="L210" s="29" t="s">
        <v>9223</v>
      </c>
    </row>
    <row r="211" spans="1:12">
      <c r="A211" s="27">
        <v>210</v>
      </c>
      <c r="B211" s="27" t="s">
        <v>6054</v>
      </c>
      <c r="C211" s="27" t="s">
        <v>6055</v>
      </c>
      <c r="D211" s="27" t="s">
        <v>11337</v>
      </c>
      <c r="E211" s="27" t="s">
        <v>9336</v>
      </c>
      <c r="F211" s="27"/>
      <c r="G211" s="27" t="s">
        <v>11749</v>
      </c>
      <c r="H211" s="27"/>
      <c r="I211" s="27" t="s">
        <v>9180</v>
      </c>
      <c r="J211" s="27" t="s">
        <v>9224</v>
      </c>
      <c r="K211" s="27" t="s">
        <v>9211</v>
      </c>
      <c r="L211" s="27" t="s">
        <v>9183</v>
      </c>
    </row>
    <row r="212" spans="1:12">
      <c r="A212" s="29">
        <v>211</v>
      </c>
      <c r="B212" s="29" t="s">
        <v>2090</v>
      </c>
      <c r="C212" s="29" t="s">
        <v>2091</v>
      </c>
      <c r="D212" s="29" t="s">
        <v>11341</v>
      </c>
      <c r="E212" s="29" t="s">
        <v>9336</v>
      </c>
      <c r="F212" s="29"/>
      <c r="G212" s="29" t="s">
        <v>11750</v>
      </c>
      <c r="H212" s="29"/>
      <c r="I212" s="29" t="s">
        <v>9180</v>
      </c>
      <c r="J212" s="29" t="s">
        <v>9235</v>
      </c>
      <c r="K212" s="29" t="s">
        <v>9211</v>
      </c>
      <c r="L212" s="29" t="s">
        <v>9223</v>
      </c>
    </row>
    <row r="213" spans="1:12">
      <c r="A213" s="28">
        <v>212</v>
      </c>
      <c r="B213" s="28" t="s">
        <v>5864</v>
      </c>
      <c r="C213" s="28" t="s">
        <v>11751</v>
      </c>
      <c r="D213" s="28" t="s">
        <v>11341</v>
      </c>
      <c r="E213" s="28" t="s">
        <v>9336</v>
      </c>
      <c r="F213" s="28" t="s">
        <v>11752</v>
      </c>
      <c r="G213" s="28" t="s">
        <v>11753</v>
      </c>
      <c r="H213" s="28" t="s">
        <v>11753</v>
      </c>
      <c r="I213" s="28" t="s">
        <v>9180</v>
      </c>
      <c r="J213" s="28" t="s">
        <v>9221</v>
      </c>
      <c r="K213" s="28" t="s">
        <v>9211</v>
      </c>
      <c r="L213" s="28" t="s">
        <v>9189</v>
      </c>
    </row>
    <row r="214" spans="1:12">
      <c r="A214" s="29">
        <v>213</v>
      </c>
      <c r="B214" s="29" t="s">
        <v>5974</v>
      </c>
      <c r="C214" s="29" t="s">
        <v>11754</v>
      </c>
      <c r="D214" s="29" t="s">
        <v>11341</v>
      </c>
      <c r="E214" s="29" t="s">
        <v>9208</v>
      </c>
      <c r="F214" s="29"/>
      <c r="G214" s="29" t="s">
        <v>11755</v>
      </c>
      <c r="H214" s="29"/>
      <c r="I214" s="29" t="s">
        <v>9180</v>
      </c>
      <c r="J214" s="29" t="s">
        <v>11643</v>
      </c>
      <c r="K214" s="29" t="s">
        <v>9211</v>
      </c>
      <c r="L214" s="29" t="s">
        <v>9522</v>
      </c>
    </row>
    <row r="215" spans="1:12">
      <c r="A215" s="28">
        <v>214</v>
      </c>
      <c r="B215" s="28" t="s">
        <v>2136</v>
      </c>
      <c r="C215" s="28" t="s">
        <v>3603</v>
      </c>
      <c r="D215" s="28" t="s">
        <v>11341</v>
      </c>
      <c r="E215" s="28" t="s">
        <v>9336</v>
      </c>
      <c r="F215" s="28"/>
      <c r="G215" s="28" t="s">
        <v>11756</v>
      </c>
      <c r="H215" s="28"/>
      <c r="I215" s="28" t="s">
        <v>9180</v>
      </c>
      <c r="J215" s="28" t="s">
        <v>9298</v>
      </c>
      <c r="K215" s="28" t="s">
        <v>9211</v>
      </c>
      <c r="L215" s="28" t="s">
        <v>9189</v>
      </c>
    </row>
    <row r="216" spans="1:12">
      <c r="A216" s="29">
        <v>215</v>
      </c>
      <c r="B216" s="29" t="s">
        <v>5832</v>
      </c>
      <c r="C216" s="29" t="s">
        <v>5833</v>
      </c>
      <c r="D216" s="29" t="s">
        <v>11341</v>
      </c>
      <c r="E216" s="29" t="s">
        <v>9336</v>
      </c>
      <c r="F216" s="29"/>
      <c r="G216" s="29" t="s">
        <v>11757</v>
      </c>
      <c r="H216" s="29"/>
      <c r="I216" s="29" t="s">
        <v>9180</v>
      </c>
      <c r="J216" s="29" t="s">
        <v>10646</v>
      </c>
      <c r="K216" s="29" t="s">
        <v>9211</v>
      </c>
      <c r="L216" s="29" t="s">
        <v>9223</v>
      </c>
    </row>
    <row r="217" spans="1:12">
      <c r="A217" s="28">
        <v>216</v>
      </c>
      <c r="B217" s="28" t="s">
        <v>4372</v>
      </c>
      <c r="C217" s="28" t="s">
        <v>11758</v>
      </c>
      <c r="D217" s="28" t="s">
        <v>11341</v>
      </c>
      <c r="E217" s="28" t="s">
        <v>9336</v>
      </c>
      <c r="F217" s="28"/>
      <c r="G217" s="28" t="s">
        <v>11759</v>
      </c>
      <c r="H217" s="28"/>
      <c r="I217" s="28" t="s">
        <v>9180</v>
      </c>
      <c r="J217" s="28" t="s">
        <v>11760</v>
      </c>
      <c r="K217" s="28" t="s">
        <v>9211</v>
      </c>
      <c r="L217" s="28" t="s">
        <v>9189</v>
      </c>
    </row>
    <row r="218" spans="1:12">
      <c r="A218" s="29">
        <v>217</v>
      </c>
      <c r="B218" s="29" t="s">
        <v>7374</v>
      </c>
      <c r="C218" s="29" t="s">
        <v>11761</v>
      </c>
      <c r="D218" s="29" t="s">
        <v>11341</v>
      </c>
      <c r="E218" s="29" t="s">
        <v>9336</v>
      </c>
      <c r="F218" s="29"/>
      <c r="G218" s="29" t="s">
        <v>11762</v>
      </c>
      <c r="H218" s="29"/>
      <c r="I218" s="29" t="s">
        <v>9180</v>
      </c>
      <c r="J218" s="29" t="s">
        <v>9361</v>
      </c>
      <c r="K218" s="29" t="s">
        <v>9211</v>
      </c>
      <c r="L218" s="29" t="s">
        <v>9223</v>
      </c>
    </row>
    <row r="219" spans="1:12">
      <c r="A219" s="28">
        <v>218</v>
      </c>
      <c r="B219" s="28" t="s">
        <v>5601</v>
      </c>
      <c r="C219" s="28" t="s">
        <v>11763</v>
      </c>
      <c r="D219" s="28" t="s">
        <v>11341</v>
      </c>
      <c r="E219" s="28" t="s">
        <v>9336</v>
      </c>
      <c r="F219" s="28"/>
      <c r="G219" s="28" t="s">
        <v>11764</v>
      </c>
      <c r="H219" s="28"/>
      <c r="I219" s="28" t="s">
        <v>9180</v>
      </c>
      <c r="J219" s="28" t="s">
        <v>9217</v>
      </c>
      <c r="K219" s="28" t="s">
        <v>9211</v>
      </c>
      <c r="L219" s="28" t="s">
        <v>9189</v>
      </c>
    </row>
    <row r="220" spans="1:12">
      <c r="A220" s="29">
        <v>219</v>
      </c>
      <c r="B220" s="29" t="s">
        <v>5543</v>
      </c>
      <c r="C220" s="29" t="s">
        <v>11765</v>
      </c>
      <c r="D220" s="29" t="s">
        <v>11341</v>
      </c>
      <c r="E220" s="29" t="s">
        <v>9336</v>
      </c>
      <c r="F220" s="29"/>
      <c r="G220" s="29" t="s">
        <v>11766</v>
      </c>
      <c r="H220" s="29"/>
      <c r="I220" s="29" t="s">
        <v>9180</v>
      </c>
      <c r="J220" s="29" t="s">
        <v>9309</v>
      </c>
      <c r="K220" s="29" t="s">
        <v>9211</v>
      </c>
      <c r="L220" s="29" t="s">
        <v>9189</v>
      </c>
    </row>
    <row r="221" spans="1:12">
      <c r="A221" s="28">
        <v>220</v>
      </c>
      <c r="B221" s="28" t="s">
        <v>1648</v>
      </c>
      <c r="C221" s="28" t="s">
        <v>11767</v>
      </c>
      <c r="D221" s="28" t="s">
        <v>11341</v>
      </c>
      <c r="E221" s="28" t="s">
        <v>9336</v>
      </c>
      <c r="F221" s="28" t="s">
        <v>11768</v>
      </c>
      <c r="G221" s="28" t="s">
        <v>11769</v>
      </c>
      <c r="H221" s="28"/>
      <c r="I221" s="28" t="s">
        <v>9180</v>
      </c>
      <c r="J221" s="28" t="s">
        <v>11770</v>
      </c>
      <c r="K221" s="28" t="s">
        <v>9211</v>
      </c>
      <c r="L221" s="28" t="s">
        <v>9189</v>
      </c>
    </row>
    <row r="222" spans="1:12">
      <c r="A222" s="29">
        <v>221</v>
      </c>
      <c r="B222" s="29" t="s">
        <v>5226</v>
      </c>
      <c r="C222" s="29" t="s">
        <v>11771</v>
      </c>
      <c r="D222" s="29" t="s">
        <v>11341</v>
      </c>
      <c r="E222" s="29" t="s">
        <v>9336</v>
      </c>
      <c r="F222" s="29"/>
      <c r="G222" s="29" t="s">
        <v>11772</v>
      </c>
      <c r="H222" s="29"/>
      <c r="I222" s="29" t="s">
        <v>9180</v>
      </c>
      <c r="J222" s="29" t="s">
        <v>9205</v>
      </c>
      <c r="K222" s="29" t="s">
        <v>9211</v>
      </c>
      <c r="L222" s="29" t="s">
        <v>9189</v>
      </c>
    </row>
    <row r="223" spans="1:12">
      <c r="A223" s="28">
        <v>222</v>
      </c>
      <c r="B223" s="28" t="s">
        <v>2592</v>
      </c>
      <c r="C223" s="28" t="s">
        <v>11773</v>
      </c>
      <c r="D223" s="28" t="s">
        <v>11341</v>
      </c>
      <c r="E223" s="28" t="s">
        <v>9336</v>
      </c>
      <c r="F223" s="28"/>
      <c r="G223" s="28" t="s">
        <v>11774</v>
      </c>
      <c r="H223" s="28"/>
      <c r="I223" s="28" t="s">
        <v>9180</v>
      </c>
      <c r="J223" s="28" t="s">
        <v>11775</v>
      </c>
      <c r="K223" s="28" t="s">
        <v>9211</v>
      </c>
      <c r="L223" s="28" t="s">
        <v>9189</v>
      </c>
    </row>
    <row r="224" spans="1:12">
      <c r="A224" s="29">
        <v>223</v>
      </c>
      <c r="B224" s="29" t="s">
        <v>759</v>
      </c>
      <c r="C224" s="29" t="s">
        <v>11776</v>
      </c>
      <c r="D224" s="29" t="s">
        <v>11341</v>
      </c>
      <c r="E224" s="29" t="s">
        <v>9336</v>
      </c>
      <c r="F224" s="29"/>
      <c r="G224" s="29" t="s">
        <v>11777</v>
      </c>
      <c r="H224" s="29"/>
      <c r="I224" s="29" t="s">
        <v>9180</v>
      </c>
      <c r="J224" s="29" t="s">
        <v>11778</v>
      </c>
      <c r="K224" s="29" t="s">
        <v>9211</v>
      </c>
      <c r="L224" s="29" t="s">
        <v>9189</v>
      </c>
    </row>
    <row r="225" spans="1:12">
      <c r="A225" s="28">
        <v>224</v>
      </c>
      <c r="B225" s="28" t="s">
        <v>11779</v>
      </c>
      <c r="C225" s="28" t="s">
        <v>5375</v>
      </c>
      <c r="D225" s="28" t="s">
        <v>11341</v>
      </c>
      <c r="E225" s="28" t="s">
        <v>9336</v>
      </c>
      <c r="F225" s="28"/>
      <c r="G225" s="28" t="s">
        <v>11780</v>
      </c>
      <c r="H225" s="28"/>
      <c r="I225" s="28" t="s">
        <v>9180</v>
      </c>
      <c r="J225" s="28" t="s">
        <v>9210</v>
      </c>
      <c r="K225" s="28" t="s">
        <v>9211</v>
      </c>
      <c r="L225" s="28" t="s">
        <v>9223</v>
      </c>
    </row>
    <row r="226" spans="1:12">
      <c r="A226" s="29">
        <v>225</v>
      </c>
      <c r="B226" s="29" t="s">
        <v>5364</v>
      </c>
      <c r="C226" s="29" t="s">
        <v>5365</v>
      </c>
      <c r="D226" s="29" t="s">
        <v>11341</v>
      </c>
      <c r="E226" s="29" t="s">
        <v>9336</v>
      </c>
      <c r="F226" s="29"/>
      <c r="G226" s="29" t="s">
        <v>11781</v>
      </c>
      <c r="H226" s="29"/>
      <c r="I226" s="29" t="s">
        <v>9180</v>
      </c>
      <c r="J226" s="29" t="s">
        <v>9239</v>
      </c>
      <c r="K226" s="29" t="s">
        <v>9211</v>
      </c>
      <c r="L226" s="29" t="s">
        <v>9223</v>
      </c>
    </row>
    <row r="227" spans="1:12">
      <c r="A227" s="28">
        <v>226</v>
      </c>
      <c r="B227" s="28" t="s">
        <v>5347</v>
      </c>
      <c r="C227" s="28" t="s">
        <v>11782</v>
      </c>
      <c r="D227" s="28" t="s">
        <v>11341</v>
      </c>
      <c r="E227" s="28" t="s">
        <v>9336</v>
      </c>
      <c r="F227" s="28"/>
      <c r="G227" s="28" t="s">
        <v>11783</v>
      </c>
      <c r="H227" s="28"/>
      <c r="I227" s="28" t="s">
        <v>9180</v>
      </c>
      <c r="J227" s="28" t="s">
        <v>9221</v>
      </c>
      <c r="K227" s="28" t="s">
        <v>9211</v>
      </c>
      <c r="L227" s="28" t="s">
        <v>9189</v>
      </c>
    </row>
    <row r="228" spans="1:12">
      <c r="A228" s="29">
        <v>227</v>
      </c>
      <c r="B228" s="29" t="s">
        <v>5281</v>
      </c>
      <c r="C228" s="29" t="s">
        <v>5282</v>
      </c>
      <c r="D228" s="29" t="s">
        <v>11341</v>
      </c>
      <c r="E228" s="29" t="s">
        <v>9336</v>
      </c>
      <c r="F228" s="29"/>
      <c r="G228" s="29" t="s">
        <v>11784</v>
      </c>
      <c r="H228" s="29"/>
      <c r="I228" s="29" t="s">
        <v>9180</v>
      </c>
      <c r="J228" s="29" t="s">
        <v>9239</v>
      </c>
      <c r="K228" s="29" t="s">
        <v>9211</v>
      </c>
      <c r="L228" s="29" t="s">
        <v>9223</v>
      </c>
    </row>
    <row r="229" spans="1:12">
      <c r="A229" s="28">
        <v>228</v>
      </c>
      <c r="B229" s="28" t="s">
        <v>3602</v>
      </c>
      <c r="C229" s="28" t="s">
        <v>3603</v>
      </c>
      <c r="D229" s="28" t="s">
        <v>11341</v>
      </c>
      <c r="E229" s="28" t="s">
        <v>9336</v>
      </c>
      <c r="F229" s="28"/>
      <c r="G229" s="28" t="s">
        <v>11785</v>
      </c>
      <c r="H229" s="28"/>
      <c r="I229" s="28" t="s">
        <v>9180</v>
      </c>
      <c r="J229" s="28" t="s">
        <v>9353</v>
      </c>
      <c r="K229" s="28" t="s">
        <v>9211</v>
      </c>
      <c r="L229" s="28" t="s">
        <v>9189</v>
      </c>
    </row>
    <row r="230" spans="1:12">
      <c r="A230" s="29">
        <v>229</v>
      </c>
      <c r="B230" s="29" t="s">
        <v>5195</v>
      </c>
      <c r="C230" s="29" t="s">
        <v>11786</v>
      </c>
      <c r="D230" s="29" t="s">
        <v>11341</v>
      </c>
      <c r="E230" s="29" t="s">
        <v>9336</v>
      </c>
      <c r="F230" s="29"/>
      <c r="G230" s="29" t="s">
        <v>11787</v>
      </c>
      <c r="H230" s="29"/>
      <c r="I230" s="29" t="s">
        <v>9180</v>
      </c>
      <c r="J230" s="29" t="s">
        <v>9353</v>
      </c>
      <c r="K230" s="29" t="s">
        <v>9211</v>
      </c>
      <c r="L230" s="29" t="s">
        <v>9189</v>
      </c>
    </row>
    <row r="231" spans="1:12">
      <c r="A231" s="28">
        <v>230</v>
      </c>
      <c r="B231" s="28" t="s">
        <v>5222</v>
      </c>
      <c r="C231" s="28" t="s">
        <v>11788</v>
      </c>
      <c r="D231" s="28" t="s">
        <v>11341</v>
      </c>
      <c r="E231" s="28" t="s">
        <v>9336</v>
      </c>
      <c r="F231" s="28"/>
      <c r="G231" s="28" t="s">
        <v>11789</v>
      </c>
      <c r="H231" s="28"/>
      <c r="I231" s="28" t="s">
        <v>9180</v>
      </c>
      <c r="J231" s="28" t="s">
        <v>9221</v>
      </c>
      <c r="K231" s="28" t="s">
        <v>9211</v>
      </c>
      <c r="L231" s="28" t="s">
        <v>9189</v>
      </c>
    </row>
    <row r="232" spans="1:12">
      <c r="A232" s="29">
        <v>231</v>
      </c>
      <c r="B232" s="29" t="s">
        <v>5218</v>
      </c>
      <c r="C232" s="29" t="s">
        <v>11790</v>
      </c>
      <c r="D232" s="29" t="s">
        <v>11341</v>
      </c>
      <c r="E232" s="29" t="s">
        <v>9336</v>
      </c>
      <c r="F232" s="29"/>
      <c r="G232" s="29" t="s">
        <v>11791</v>
      </c>
      <c r="H232" s="29" t="s">
        <v>11791</v>
      </c>
      <c r="I232" s="29" t="s">
        <v>9180</v>
      </c>
      <c r="J232" s="29" t="s">
        <v>9217</v>
      </c>
      <c r="K232" s="29" t="s">
        <v>9211</v>
      </c>
      <c r="L232" s="29" t="s">
        <v>9189</v>
      </c>
    </row>
    <row r="233" spans="1:12">
      <c r="A233" s="28">
        <v>232</v>
      </c>
      <c r="B233" s="28" t="s">
        <v>5089</v>
      </c>
      <c r="C233" s="28" t="s">
        <v>11792</v>
      </c>
      <c r="D233" s="28" t="s">
        <v>11341</v>
      </c>
      <c r="E233" s="28" t="s">
        <v>9336</v>
      </c>
      <c r="F233" s="28"/>
      <c r="G233" s="28" t="s">
        <v>11793</v>
      </c>
      <c r="H233" s="28"/>
      <c r="I233" s="28" t="s">
        <v>9180</v>
      </c>
      <c r="J233" s="28" t="s">
        <v>9217</v>
      </c>
      <c r="K233" s="28" t="s">
        <v>9211</v>
      </c>
      <c r="L233" s="28" t="s">
        <v>9189</v>
      </c>
    </row>
    <row r="234" spans="1:12">
      <c r="A234" s="29">
        <v>233</v>
      </c>
      <c r="B234" s="29" t="s">
        <v>5190</v>
      </c>
      <c r="C234" s="29" t="s">
        <v>11794</v>
      </c>
      <c r="D234" s="29" t="s">
        <v>11341</v>
      </c>
      <c r="E234" s="29" t="s">
        <v>9336</v>
      </c>
      <c r="F234" s="29"/>
      <c r="G234" s="29" t="s">
        <v>11795</v>
      </c>
      <c r="H234" s="29"/>
      <c r="I234" s="29" t="s">
        <v>9180</v>
      </c>
      <c r="J234" s="29" t="s">
        <v>9390</v>
      </c>
      <c r="K234" s="29" t="s">
        <v>9211</v>
      </c>
      <c r="L234" s="29" t="s">
        <v>9189</v>
      </c>
    </row>
    <row r="235" spans="1:12">
      <c r="A235" s="28">
        <v>234</v>
      </c>
      <c r="B235" s="28" t="s">
        <v>5078</v>
      </c>
      <c r="C235" s="28" t="s">
        <v>11796</v>
      </c>
      <c r="D235" s="28" t="s">
        <v>11341</v>
      </c>
      <c r="E235" s="28" t="s">
        <v>9336</v>
      </c>
      <c r="F235" s="28"/>
      <c r="G235" s="28" t="s">
        <v>11797</v>
      </c>
      <c r="H235" s="28"/>
      <c r="I235" s="28" t="s">
        <v>9180</v>
      </c>
      <c r="J235" s="28" t="s">
        <v>11798</v>
      </c>
      <c r="K235" s="28" t="s">
        <v>9211</v>
      </c>
      <c r="L235" s="28" t="s">
        <v>9189</v>
      </c>
    </row>
    <row r="236" spans="1:12">
      <c r="A236" s="29">
        <v>235</v>
      </c>
      <c r="B236" s="29" t="s">
        <v>8087</v>
      </c>
      <c r="C236" s="29" t="s">
        <v>8088</v>
      </c>
      <c r="D236" s="29" t="s">
        <v>11341</v>
      </c>
      <c r="E236" s="29" t="s">
        <v>9336</v>
      </c>
      <c r="F236" s="29"/>
      <c r="G236" s="29" t="s">
        <v>11799</v>
      </c>
      <c r="H236" s="29"/>
      <c r="I236" s="29" t="s">
        <v>9180</v>
      </c>
      <c r="J236" s="29" t="s">
        <v>9221</v>
      </c>
      <c r="K236" s="29" t="s">
        <v>9211</v>
      </c>
      <c r="L236" s="29" t="s">
        <v>9223</v>
      </c>
    </row>
    <row r="237" spans="1:12">
      <c r="A237" s="28">
        <v>236</v>
      </c>
      <c r="B237" s="28" t="s">
        <v>8101</v>
      </c>
      <c r="C237" s="28" t="s">
        <v>11800</v>
      </c>
      <c r="D237" s="28" t="s">
        <v>11341</v>
      </c>
      <c r="E237" s="28" t="s">
        <v>9336</v>
      </c>
      <c r="F237" s="28"/>
      <c r="G237" s="28" t="s">
        <v>11801</v>
      </c>
      <c r="H237" s="28"/>
      <c r="I237" s="28" t="s">
        <v>9180</v>
      </c>
      <c r="J237" s="28" t="s">
        <v>9477</v>
      </c>
      <c r="K237" s="28" t="s">
        <v>9211</v>
      </c>
      <c r="L237" s="28" t="s">
        <v>9189</v>
      </c>
    </row>
    <row r="238" spans="1:12">
      <c r="A238" s="29">
        <v>237</v>
      </c>
      <c r="B238" s="29" t="s">
        <v>6469</v>
      </c>
      <c r="C238" s="29" t="s">
        <v>11802</v>
      </c>
      <c r="D238" s="29" t="s">
        <v>11341</v>
      </c>
      <c r="E238" s="29" t="s">
        <v>9336</v>
      </c>
      <c r="F238" s="29"/>
      <c r="G238" s="29" t="s">
        <v>11803</v>
      </c>
      <c r="H238" s="29"/>
      <c r="I238" s="29" t="s">
        <v>9180</v>
      </c>
      <c r="J238" s="29" t="s">
        <v>9586</v>
      </c>
      <c r="K238" s="29" t="s">
        <v>9211</v>
      </c>
      <c r="L238" s="29" t="s">
        <v>9189</v>
      </c>
    </row>
    <row r="239" spans="1:12">
      <c r="A239" s="28">
        <v>238</v>
      </c>
      <c r="B239" s="28" t="s">
        <v>2720</v>
      </c>
      <c r="C239" s="28" t="s">
        <v>2721</v>
      </c>
      <c r="D239" s="28" t="s">
        <v>11341</v>
      </c>
      <c r="E239" s="28" t="s">
        <v>9336</v>
      </c>
      <c r="F239" s="28"/>
      <c r="G239" s="28" t="s">
        <v>11804</v>
      </c>
      <c r="H239" s="28"/>
      <c r="I239" s="28" t="s">
        <v>9180</v>
      </c>
      <c r="J239" s="28" t="s">
        <v>11805</v>
      </c>
      <c r="K239" s="28" t="s">
        <v>9211</v>
      </c>
      <c r="L239" s="28" t="s">
        <v>9223</v>
      </c>
    </row>
    <row r="240" spans="1:12">
      <c r="A240" s="29">
        <v>239</v>
      </c>
      <c r="B240" s="29" t="s">
        <v>8097</v>
      </c>
      <c r="C240" s="29" t="s">
        <v>8098</v>
      </c>
      <c r="D240" s="29" t="s">
        <v>11341</v>
      </c>
      <c r="E240" s="29" t="s">
        <v>9336</v>
      </c>
      <c r="F240" s="29"/>
      <c r="G240" s="29" t="s">
        <v>11806</v>
      </c>
      <c r="H240" s="29"/>
      <c r="I240" s="29" t="s">
        <v>9180</v>
      </c>
      <c r="J240" s="29" t="s">
        <v>9353</v>
      </c>
      <c r="K240" s="29" t="s">
        <v>9211</v>
      </c>
      <c r="L240" s="29" t="s">
        <v>9223</v>
      </c>
    </row>
    <row r="241" spans="1:12">
      <c r="A241" s="28">
        <v>240</v>
      </c>
      <c r="B241" s="28" t="s">
        <v>7326</v>
      </c>
      <c r="C241" s="28" t="s">
        <v>11807</v>
      </c>
      <c r="D241" s="28" t="s">
        <v>11341</v>
      </c>
      <c r="E241" s="28" t="s">
        <v>9336</v>
      </c>
      <c r="F241" s="28"/>
      <c r="G241" s="28" t="s">
        <v>11808</v>
      </c>
      <c r="H241" s="28"/>
      <c r="I241" s="28" t="s">
        <v>9180</v>
      </c>
      <c r="J241" s="28" t="s">
        <v>9221</v>
      </c>
      <c r="K241" s="28" t="s">
        <v>9211</v>
      </c>
      <c r="L241" s="28" t="s">
        <v>9189</v>
      </c>
    </row>
    <row r="242" spans="1:12">
      <c r="A242" s="27">
        <v>241</v>
      </c>
      <c r="B242" s="27" t="s">
        <v>4572</v>
      </c>
      <c r="C242" s="27" t="s">
        <v>4573</v>
      </c>
      <c r="D242" s="27" t="s">
        <v>11337</v>
      </c>
      <c r="E242" s="27" t="s">
        <v>9336</v>
      </c>
      <c r="F242" s="27"/>
      <c r="G242" s="27" t="s">
        <v>11809</v>
      </c>
      <c r="H242" s="27"/>
      <c r="I242" s="27" t="s">
        <v>9180</v>
      </c>
      <c r="J242" s="27" t="s">
        <v>11810</v>
      </c>
      <c r="K242" s="27" t="s">
        <v>9211</v>
      </c>
      <c r="L242" s="27" t="s">
        <v>9183</v>
      </c>
    </row>
    <row r="243" spans="1:12">
      <c r="A243" s="28">
        <v>242</v>
      </c>
      <c r="B243" s="28" t="s">
        <v>4275</v>
      </c>
      <c r="C243" s="28" t="s">
        <v>4276</v>
      </c>
      <c r="D243" s="28" t="s">
        <v>11341</v>
      </c>
      <c r="E243" s="28" t="s">
        <v>9336</v>
      </c>
      <c r="F243" s="28"/>
      <c r="G243" s="28" t="s">
        <v>11811</v>
      </c>
      <c r="H243" s="28" t="s">
        <v>11811</v>
      </c>
      <c r="I243" s="28" t="s">
        <v>9180</v>
      </c>
      <c r="J243" s="28" t="s">
        <v>11812</v>
      </c>
      <c r="K243" s="28" t="s">
        <v>9211</v>
      </c>
      <c r="L243" s="28" t="s">
        <v>9189</v>
      </c>
    </row>
    <row r="244" spans="1:12">
      <c r="A244" s="29">
        <v>243</v>
      </c>
      <c r="B244" s="29" t="s">
        <v>4930</v>
      </c>
      <c r="C244" s="29" t="s">
        <v>11813</v>
      </c>
      <c r="D244" s="29" t="s">
        <v>11341</v>
      </c>
      <c r="E244" s="29" t="s">
        <v>9336</v>
      </c>
      <c r="F244" s="29"/>
      <c r="G244" s="29" t="s">
        <v>11814</v>
      </c>
      <c r="H244" s="29" t="s">
        <v>11814</v>
      </c>
      <c r="I244" s="29" t="s">
        <v>9180</v>
      </c>
      <c r="J244" s="29" t="s">
        <v>9515</v>
      </c>
      <c r="K244" s="29" t="s">
        <v>9211</v>
      </c>
      <c r="L244" s="29" t="s">
        <v>9189</v>
      </c>
    </row>
    <row r="245" spans="1:12">
      <c r="A245" s="28">
        <v>244</v>
      </c>
      <c r="B245" s="28" t="s">
        <v>4793</v>
      </c>
      <c r="C245" s="28" t="s">
        <v>11815</v>
      </c>
      <c r="D245" s="28" t="s">
        <v>11341</v>
      </c>
      <c r="E245" s="28" t="s">
        <v>9336</v>
      </c>
      <c r="F245" s="28"/>
      <c r="G245" s="28" t="s">
        <v>11816</v>
      </c>
      <c r="H245" s="28"/>
      <c r="I245" s="28" t="s">
        <v>9180</v>
      </c>
      <c r="J245" s="28" t="s">
        <v>9515</v>
      </c>
      <c r="K245" s="28" t="s">
        <v>9211</v>
      </c>
      <c r="L245" s="28" t="s">
        <v>9189</v>
      </c>
    </row>
    <row r="246" spans="1:12">
      <c r="A246" s="29">
        <v>245</v>
      </c>
      <c r="B246" s="29" t="s">
        <v>4789</v>
      </c>
      <c r="C246" s="29" t="s">
        <v>4790</v>
      </c>
      <c r="D246" s="29" t="s">
        <v>11341</v>
      </c>
      <c r="E246" s="29" t="s">
        <v>9336</v>
      </c>
      <c r="F246" s="29"/>
      <c r="G246" s="29" t="s">
        <v>11817</v>
      </c>
      <c r="H246" s="29"/>
      <c r="I246" s="29" t="s">
        <v>9180</v>
      </c>
      <c r="J246" s="29" t="s">
        <v>10076</v>
      </c>
      <c r="K246" s="29" t="s">
        <v>9211</v>
      </c>
      <c r="L246" s="29" t="s">
        <v>9223</v>
      </c>
    </row>
    <row r="247" spans="1:12">
      <c r="A247" s="28">
        <v>246</v>
      </c>
      <c r="B247" s="28" t="s">
        <v>842</v>
      </c>
      <c r="C247" s="28" t="s">
        <v>11818</v>
      </c>
      <c r="D247" s="28" t="s">
        <v>11341</v>
      </c>
      <c r="E247" s="28" t="s">
        <v>9336</v>
      </c>
      <c r="F247" s="28"/>
      <c r="G247" s="28" t="s">
        <v>11819</v>
      </c>
      <c r="H247" s="28"/>
      <c r="I247" s="28" t="s">
        <v>9180</v>
      </c>
      <c r="J247" s="28" t="s">
        <v>9390</v>
      </c>
      <c r="K247" s="28" t="s">
        <v>9211</v>
      </c>
      <c r="L247" s="28" t="s">
        <v>9189</v>
      </c>
    </row>
    <row r="248" spans="1:12">
      <c r="A248" s="29">
        <v>247</v>
      </c>
      <c r="B248" s="29" t="s">
        <v>1035</v>
      </c>
      <c r="C248" s="29" t="s">
        <v>1036</v>
      </c>
      <c r="D248" s="29" t="s">
        <v>11341</v>
      </c>
      <c r="E248" s="29" t="s">
        <v>9336</v>
      </c>
      <c r="F248" s="29"/>
      <c r="G248" s="29" t="s">
        <v>11820</v>
      </c>
      <c r="H248" s="29"/>
      <c r="I248" s="29" t="s">
        <v>9180</v>
      </c>
      <c r="J248" s="29" t="s">
        <v>9195</v>
      </c>
      <c r="K248" s="29" t="s">
        <v>9211</v>
      </c>
      <c r="L248" s="29" t="s">
        <v>9189</v>
      </c>
    </row>
    <row r="249" spans="1:12">
      <c r="A249" s="28">
        <v>248</v>
      </c>
      <c r="B249" s="28" t="s">
        <v>1799</v>
      </c>
      <c r="C249" s="28" t="s">
        <v>1800</v>
      </c>
      <c r="D249" s="28" t="s">
        <v>11341</v>
      </c>
      <c r="E249" s="28" t="s">
        <v>9336</v>
      </c>
      <c r="F249" s="28"/>
      <c r="G249" s="28" t="s">
        <v>11821</v>
      </c>
      <c r="H249" s="28"/>
      <c r="I249" s="28" t="s">
        <v>9180</v>
      </c>
      <c r="J249" s="28" t="s">
        <v>11822</v>
      </c>
      <c r="K249" s="28" t="s">
        <v>9211</v>
      </c>
      <c r="L249" s="28" t="s">
        <v>9223</v>
      </c>
    </row>
    <row r="250" spans="1:12">
      <c r="A250" s="27">
        <v>249</v>
      </c>
      <c r="B250" s="27" t="s">
        <v>4667</v>
      </c>
      <c r="C250" s="27" t="s">
        <v>4668</v>
      </c>
      <c r="D250" s="27" t="s">
        <v>11337</v>
      </c>
      <c r="E250" s="27" t="s">
        <v>9336</v>
      </c>
      <c r="F250" s="27"/>
      <c r="G250" s="27" t="s">
        <v>11823</v>
      </c>
      <c r="H250" s="27" t="s">
        <v>11823</v>
      </c>
      <c r="I250" s="27" t="s">
        <v>9180</v>
      </c>
      <c r="J250" s="27" t="s">
        <v>9626</v>
      </c>
      <c r="K250" s="27" t="s">
        <v>9211</v>
      </c>
      <c r="L250" s="27" t="s">
        <v>9183</v>
      </c>
    </row>
    <row r="251" spans="1:12">
      <c r="A251" s="28">
        <v>250</v>
      </c>
      <c r="B251" s="28" t="s">
        <v>716</v>
      </c>
      <c r="C251" s="28" t="s">
        <v>11824</v>
      </c>
      <c r="D251" s="28" t="s">
        <v>11341</v>
      </c>
      <c r="E251" s="28" t="s">
        <v>9336</v>
      </c>
      <c r="F251" s="28"/>
      <c r="G251" s="28" t="s">
        <v>11825</v>
      </c>
      <c r="H251" s="28"/>
      <c r="I251" s="28" t="s">
        <v>9180</v>
      </c>
      <c r="J251" s="28" t="s">
        <v>11826</v>
      </c>
      <c r="K251" s="28" t="s">
        <v>9211</v>
      </c>
      <c r="L251" s="28" t="s">
        <v>9189</v>
      </c>
    </row>
    <row r="252" spans="1:12">
      <c r="A252" s="29">
        <v>251</v>
      </c>
      <c r="B252" s="29" t="s">
        <v>1744</v>
      </c>
      <c r="C252" s="29" t="s">
        <v>11827</v>
      </c>
      <c r="D252" s="29" t="s">
        <v>11341</v>
      </c>
      <c r="E252" s="29" t="s">
        <v>9336</v>
      </c>
      <c r="F252" s="29" t="s">
        <v>11828</v>
      </c>
      <c r="G252" s="29" t="s">
        <v>11829</v>
      </c>
      <c r="H252" s="29"/>
      <c r="I252" s="29" t="s">
        <v>9180</v>
      </c>
      <c r="J252" s="29" t="s">
        <v>11830</v>
      </c>
      <c r="K252" s="29" t="s">
        <v>9211</v>
      </c>
      <c r="L252" s="29" t="s">
        <v>9189</v>
      </c>
    </row>
    <row r="253" spans="1:12">
      <c r="A253" s="28">
        <v>252</v>
      </c>
      <c r="B253" s="28" t="s">
        <v>4640</v>
      </c>
      <c r="C253" s="28" t="s">
        <v>11831</v>
      </c>
      <c r="D253" s="28" t="s">
        <v>11341</v>
      </c>
      <c r="E253" s="28" t="s">
        <v>9336</v>
      </c>
      <c r="F253" s="28"/>
      <c r="G253" s="28" t="s">
        <v>11832</v>
      </c>
      <c r="H253" s="28"/>
      <c r="I253" s="28" t="s">
        <v>9180</v>
      </c>
      <c r="J253" s="28" t="s">
        <v>9251</v>
      </c>
      <c r="K253" s="28" t="s">
        <v>9211</v>
      </c>
      <c r="L253" s="28" t="s">
        <v>9189</v>
      </c>
    </row>
    <row r="254" spans="1:12">
      <c r="A254" s="29">
        <v>253</v>
      </c>
      <c r="B254" s="29" t="s">
        <v>4584</v>
      </c>
      <c r="C254" s="29" t="s">
        <v>4585</v>
      </c>
      <c r="D254" s="29" t="s">
        <v>11341</v>
      </c>
      <c r="E254" s="29" t="s">
        <v>9336</v>
      </c>
      <c r="F254" s="29"/>
      <c r="G254" s="29" t="s">
        <v>11833</v>
      </c>
      <c r="H254" s="29"/>
      <c r="I254" s="29" t="s">
        <v>9180</v>
      </c>
      <c r="J254" s="29" t="s">
        <v>9626</v>
      </c>
      <c r="K254" s="29" t="s">
        <v>9211</v>
      </c>
      <c r="L254" s="29" t="s">
        <v>9223</v>
      </c>
    </row>
    <row r="255" spans="1:12">
      <c r="A255" s="28">
        <v>254</v>
      </c>
      <c r="B255" s="28" t="s">
        <v>1791</v>
      </c>
      <c r="C255" s="28" t="s">
        <v>1792</v>
      </c>
      <c r="D255" s="28" t="s">
        <v>11341</v>
      </c>
      <c r="E255" s="28" t="s">
        <v>9336</v>
      </c>
      <c r="F255" s="28"/>
      <c r="G255" s="28" t="s">
        <v>11834</v>
      </c>
      <c r="H255" s="28"/>
      <c r="I255" s="28" t="s">
        <v>9180</v>
      </c>
      <c r="J255" s="28" t="s">
        <v>11835</v>
      </c>
      <c r="K255" s="28" t="s">
        <v>9211</v>
      </c>
      <c r="L255" s="28" t="s">
        <v>9223</v>
      </c>
    </row>
    <row r="256" spans="1:12">
      <c r="A256" s="29">
        <v>255</v>
      </c>
      <c r="B256" s="29" t="s">
        <v>1391</v>
      </c>
      <c r="C256" s="29" t="s">
        <v>11836</v>
      </c>
      <c r="D256" s="29" t="s">
        <v>11341</v>
      </c>
      <c r="E256" s="29" t="s">
        <v>9336</v>
      </c>
      <c r="F256" s="29"/>
      <c r="G256" s="29" t="s">
        <v>11837</v>
      </c>
      <c r="H256" s="29"/>
      <c r="I256" s="29" t="s">
        <v>9180</v>
      </c>
      <c r="J256" s="29" t="s">
        <v>11838</v>
      </c>
      <c r="K256" s="29" t="s">
        <v>9211</v>
      </c>
      <c r="L256" s="29" t="s">
        <v>9189</v>
      </c>
    </row>
    <row r="257" spans="1:12">
      <c r="A257" s="28">
        <v>256</v>
      </c>
      <c r="B257" s="28" t="s">
        <v>3722</v>
      </c>
      <c r="C257" s="28"/>
      <c r="D257" s="28" t="s">
        <v>11341</v>
      </c>
      <c r="E257" s="28" t="s">
        <v>9336</v>
      </c>
      <c r="F257" s="28"/>
      <c r="G257" s="28" t="s">
        <v>11839</v>
      </c>
      <c r="H257" s="28"/>
      <c r="I257" s="28" t="s">
        <v>9180</v>
      </c>
      <c r="J257" s="28" t="s">
        <v>9224</v>
      </c>
      <c r="K257" s="28" t="s">
        <v>9211</v>
      </c>
      <c r="L257" s="28" t="s">
        <v>9223</v>
      </c>
    </row>
    <row r="258" spans="1:12">
      <c r="A258" s="29">
        <v>257</v>
      </c>
      <c r="B258" s="29" t="s">
        <v>4560</v>
      </c>
      <c r="C258" s="29" t="s">
        <v>11840</v>
      </c>
      <c r="D258" s="29" t="s">
        <v>11341</v>
      </c>
      <c r="E258" s="29" t="s">
        <v>9336</v>
      </c>
      <c r="F258" s="29"/>
      <c r="G258" s="29" t="s">
        <v>11841</v>
      </c>
      <c r="H258" s="29"/>
      <c r="I258" s="29" t="s">
        <v>9180</v>
      </c>
      <c r="J258" s="29" t="s">
        <v>9334</v>
      </c>
      <c r="K258" s="29" t="s">
        <v>9211</v>
      </c>
      <c r="L258" s="29" t="s">
        <v>9189</v>
      </c>
    </row>
    <row r="259" spans="1:12">
      <c r="A259" s="28">
        <v>258</v>
      </c>
      <c r="B259" s="28" t="s">
        <v>4546</v>
      </c>
      <c r="C259" s="28" t="s">
        <v>11842</v>
      </c>
      <c r="D259" s="28" t="s">
        <v>11341</v>
      </c>
      <c r="E259" s="28" t="s">
        <v>9336</v>
      </c>
      <c r="F259" s="28"/>
      <c r="G259" s="28" t="s">
        <v>11843</v>
      </c>
      <c r="H259" s="28"/>
      <c r="I259" s="28" t="s">
        <v>9180</v>
      </c>
      <c r="J259" s="28" t="s">
        <v>9334</v>
      </c>
      <c r="K259" s="28" t="s">
        <v>9211</v>
      </c>
      <c r="L259" s="28" t="s">
        <v>9189</v>
      </c>
    </row>
    <row r="260" spans="1:12">
      <c r="A260" s="29">
        <v>259</v>
      </c>
      <c r="B260" s="29" t="s">
        <v>4542</v>
      </c>
      <c r="C260" s="29" t="s">
        <v>4543</v>
      </c>
      <c r="D260" s="29" t="s">
        <v>11341</v>
      </c>
      <c r="E260" s="29" t="s">
        <v>9336</v>
      </c>
      <c r="F260" s="29"/>
      <c r="G260" s="29" t="s">
        <v>11844</v>
      </c>
      <c r="H260" s="29"/>
      <c r="I260" s="29" t="s">
        <v>9180</v>
      </c>
      <c r="J260" s="29" t="s">
        <v>9626</v>
      </c>
      <c r="K260" s="29" t="s">
        <v>9211</v>
      </c>
      <c r="L260" s="29" t="s">
        <v>9223</v>
      </c>
    </row>
    <row r="261" spans="1:12">
      <c r="A261" s="28">
        <v>260</v>
      </c>
      <c r="B261" s="28" t="s">
        <v>631</v>
      </c>
      <c r="C261" s="28" t="s">
        <v>10208</v>
      </c>
      <c r="D261" s="28" t="s">
        <v>11341</v>
      </c>
      <c r="E261" s="28" t="s">
        <v>9336</v>
      </c>
      <c r="F261" s="28"/>
      <c r="G261" s="28" t="s">
        <v>11845</v>
      </c>
      <c r="H261" s="28"/>
      <c r="I261" s="28" t="s">
        <v>9180</v>
      </c>
      <c r="J261" s="28" t="s">
        <v>9614</v>
      </c>
      <c r="K261" s="28" t="s">
        <v>9211</v>
      </c>
      <c r="L261" s="28" t="s">
        <v>9189</v>
      </c>
    </row>
    <row r="262" spans="1:12">
      <c r="A262" s="29">
        <v>261</v>
      </c>
      <c r="B262" s="29" t="s">
        <v>4499</v>
      </c>
      <c r="C262" s="29" t="s">
        <v>4500</v>
      </c>
      <c r="D262" s="29" t="s">
        <v>11341</v>
      </c>
      <c r="E262" s="29" t="s">
        <v>9336</v>
      </c>
      <c r="F262" s="29"/>
      <c r="G262" s="29" t="s">
        <v>11846</v>
      </c>
      <c r="H262" s="29"/>
      <c r="I262" s="29" t="s">
        <v>9180</v>
      </c>
      <c r="J262" s="29" t="s">
        <v>9626</v>
      </c>
      <c r="K262" s="29" t="s">
        <v>9211</v>
      </c>
      <c r="L262" s="29" t="s">
        <v>9223</v>
      </c>
    </row>
    <row r="263" spans="1:12">
      <c r="A263" s="28">
        <v>262</v>
      </c>
      <c r="B263" s="28" t="s">
        <v>4495</v>
      </c>
      <c r="C263" s="28" t="s">
        <v>11847</v>
      </c>
      <c r="D263" s="28" t="s">
        <v>11341</v>
      </c>
      <c r="E263" s="28" t="s">
        <v>9336</v>
      </c>
      <c r="F263" s="28"/>
      <c r="G263" s="28" t="s">
        <v>11848</v>
      </c>
      <c r="H263" s="28"/>
      <c r="I263" s="28" t="s">
        <v>9180</v>
      </c>
      <c r="J263" s="28" t="s">
        <v>9334</v>
      </c>
      <c r="K263" s="28" t="s">
        <v>9211</v>
      </c>
      <c r="L263" s="28" t="s">
        <v>9189</v>
      </c>
    </row>
    <row r="264" spans="1:12">
      <c r="A264" s="27">
        <v>263</v>
      </c>
      <c r="B264" s="27" t="s">
        <v>4432</v>
      </c>
      <c r="C264" s="27" t="s">
        <v>4433</v>
      </c>
      <c r="D264" s="27" t="s">
        <v>11337</v>
      </c>
      <c r="E264" s="27" t="s">
        <v>9336</v>
      </c>
      <c r="F264" s="27"/>
      <c r="G264" s="27" t="s">
        <v>11849</v>
      </c>
      <c r="H264" s="27" t="s">
        <v>11849</v>
      </c>
      <c r="I264" s="27" t="s">
        <v>9180</v>
      </c>
      <c r="J264" s="27" t="s">
        <v>9361</v>
      </c>
      <c r="K264" s="27" t="s">
        <v>9211</v>
      </c>
      <c r="L264" s="27" t="s">
        <v>9183</v>
      </c>
    </row>
    <row r="265" spans="1:12">
      <c r="A265" s="28">
        <v>264</v>
      </c>
      <c r="B265" s="28" t="s">
        <v>2217</v>
      </c>
      <c r="C265" s="28"/>
      <c r="D265" s="28" t="s">
        <v>11341</v>
      </c>
      <c r="E265" s="28" t="s">
        <v>9208</v>
      </c>
      <c r="F265" s="28" t="s">
        <v>11850</v>
      </c>
      <c r="G265" s="28" t="s">
        <v>11851</v>
      </c>
      <c r="H265" s="28"/>
      <c r="I265" s="28" t="s">
        <v>9180</v>
      </c>
      <c r="J265" s="28" t="s">
        <v>10063</v>
      </c>
      <c r="K265" s="28" t="s">
        <v>9211</v>
      </c>
      <c r="L265" s="28" t="s">
        <v>9212</v>
      </c>
    </row>
    <row r="266" spans="1:12">
      <c r="A266" s="27">
        <v>265</v>
      </c>
      <c r="B266" s="27" t="s">
        <v>1832</v>
      </c>
      <c r="C266" s="27" t="s">
        <v>11852</v>
      </c>
      <c r="D266" s="27" t="s">
        <v>11337</v>
      </c>
      <c r="E266" s="27" t="s">
        <v>9336</v>
      </c>
      <c r="F266" s="27"/>
      <c r="G266" s="27" t="s">
        <v>11853</v>
      </c>
      <c r="H266" s="27"/>
      <c r="I266" s="27" t="s">
        <v>9180</v>
      </c>
      <c r="J266" s="27" t="s">
        <v>11854</v>
      </c>
      <c r="K266" s="27" t="s">
        <v>9211</v>
      </c>
      <c r="L266" s="27" t="s">
        <v>9196</v>
      </c>
    </row>
    <row r="267" spans="1:12">
      <c r="A267" s="28">
        <v>266</v>
      </c>
      <c r="B267" s="28" t="s">
        <v>4457</v>
      </c>
      <c r="C267" s="28" t="s">
        <v>4458</v>
      </c>
      <c r="D267" s="28" t="s">
        <v>11341</v>
      </c>
      <c r="E267" s="28" t="s">
        <v>9336</v>
      </c>
      <c r="F267" s="28"/>
      <c r="G267" s="28" t="s">
        <v>11855</v>
      </c>
      <c r="H267" s="28"/>
      <c r="I267" s="28" t="s">
        <v>9180</v>
      </c>
      <c r="J267" s="28" t="s">
        <v>11856</v>
      </c>
      <c r="K267" s="28" t="s">
        <v>9211</v>
      </c>
      <c r="L267" s="28" t="s">
        <v>9223</v>
      </c>
    </row>
    <row r="268" spans="1:12">
      <c r="A268" s="29">
        <v>267</v>
      </c>
      <c r="B268" s="29" t="s">
        <v>4453</v>
      </c>
      <c r="C268" s="29" t="s">
        <v>11857</v>
      </c>
      <c r="D268" s="29" t="s">
        <v>11341</v>
      </c>
      <c r="E268" s="29" t="s">
        <v>9336</v>
      </c>
      <c r="F268" s="29"/>
      <c r="G268" s="29" t="s">
        <v>11858</v>
      </c>
      <c r="H268" s="29"/>
      <c r="I268" s="29" t="s">
        <v>9180</v>
      </c>
      <c r="J268" s="29" t="s">
        <v>9800</v>
      </c>
      <c r="K268" s="29" t="s">
        <v>9211</v>
      </c>
      <c r="L268" s="29" t="s">
        <v>9189</v>
      </c>
    </row>
    <row r="269" spans="1:12">
      <c r="A269" s="28">
        <v>268</v>
      </c>
      <c r="B269" s="28" t="s">
        <v>2654</v>
      </c>
      <c r="C269" s="28" t="s">
        <v>11859</v>
      </c>
      <c r="D269" s="28" t="s">
        <v>11341</v>
      </c>
      <c r="E269" s="28" t="s">
        <v>9336</v>
      </c>
      <c r="F269" s="28"/>
      <c r="G269" s="28" t="s">
        <v>11860</v>
      </c>
      <c r="H269" s="28"/>
      <c r="I269" s="28" t="s">
        <v>9180</v>
      </c>
      <c r="J269" s="28" t="s">
        <v>9202</v>
      </c>
      <c r="K269" s="28" t="s">
        <v>9211</v>
      </c>
      <c r="L269" s="28" t="s">
        <v>9189</v>
      </c>
    </row>
    <row r="270" spans="1:12">
      <c r="A270" s="29">
        <v>269</v>
      </c>
      <c r="B270" s="29" t="s">
        <v>4428</v>
      </c>
      <c r="C270" s="29" t="s">
        <v>11861</v>
      </c>
      <c r="D270" s="29" t="s">
        <v>11341</v>
      </c>
      <c r="E270" s="29" t="s">
        <v>9336</v>
      </c>
      <c r="F270" s="29"/>
      <c r="G270" s="29" t="s">
        <v>11862</v>
      </c>
      <c r="H270" s="29"/>
      <c r="I270" s="29" t="s">
        <v>9180</v>
      </c>
      <c r="J270" s="29" t="s">
        <v>9892</v>
      </c>
      <c r="K270" s="29" t="s">
        <v>9211</v>
      </c>
      <c r="L270" s="29" t="s">
        <v>9189</v>
      </c>
    </row>
    <row r="271" spans="1:12">
      <c r="A271" s="28">
        <v>270</v>
      </c>
      <c r="B271" s="28" t="s">
        <v>3893</v>
      </c>
      <c r="C271" s="28" t="s">
        <v>11863</v>
      </c>
      <c r="D271" s="28" t="s">
        <v>11341</v>
      </c>
      <c r="E271" s="28" t="s">
        <v>9336</v>
      </c>
      <c r="F271" s="28"/>
      <c r="G271" s="28" t="s">
        <v>11864</v>
      </c>
      <c r="H271" s="28"/>
      <c r="I271" s="28" t="s">
        <v>9180</v>
      </c>
      <c r="J271" s="28" t="s">
        <v>9334</v>
      </c>
      <c r="K271" s="28" t="s">
        <v>9211</v>
      </c>
      <c r="L271" s="28" t="s">
        <v>9189</v>
      </c>
    </row>
    <row r="272" spans="1:12">
      <c r="A272" s="29">
        <v>271</v>
      </c>
      <c r="B272" s="29" t="s">
        <v>4245</v>
      </c>
      <c r="C272" s="29" t="s">
        <v>4246</v>
      </c>
      <c r="D272" s="29" t="s">
        <v>11341</v>
      </c>
      <c r="E272" s="29" t="s">
        <v>9336</v>
      </c>
      <c r="F272" s="29"/>
      <c r="G272" s="29" t="s">
        <v>11865</v>
      </c>
      <c r="H272" s="29"/>
      <c r="I272" s="29" t="s">
        <v>9180</v>
      </c>
      <c r="J272" s="29" t="s">
        <v>11866</v>
      </c>
      <c r="K272" s="29" t="s">
        <v>9211</v>
      </c>
      <c r="L272" s="29" t="s">
        <v>9223</v>
      </c>
    </row>
    <row r="273" spans="1:12">
      <c r="A273" s="28">
        <v>272</v>
      </c>
      <c r="B273" s="28" t="s">
        <v>3787</v>
      </c>
      <c r="C273" s="28" t="s">
        <v>11867</v>
      </c>
      <c r="D273" s="28" t="s">
        <v>11341</v>
      </c>
      <c r="E273" s="28" t="s">
        <v>9336</v>
      </c>
      <c r="F273" s="28"/>
      <c r="G273" s="28" t="s">
        <v>11868</v>
      </c>
      <c r="H273" s="28"/>
      <c r="I273" s="28" t="s">
        <v>9180</v>
      </c>
      <c r="J273" s="28" t="s">
        <v>9202</v>
      </c>
      <c r="K273" s="28" t="s">
        <v>9211</v>
      </c>
      <c r="L273" s="28" t="s">
        <v>9189</v>
      </c>
    </row>
    <row r="274" spans="1:12">
      <c r="A274" s="29">
        <v>273</v>
      </c>
      <c r="B274" s="29" t="s">
        <v>4013</v>
      </c>
      <c r="C274" s="29" t="s">
        <v>11869</v>
      </c>
      <c r="D274" s="29" t="s">
        <v>11341</v>
      </c>
      <c r="E274" s="29" t="s">
        <v>9336</v>
      </c>
      <c r="F274" s="29"/>
      <c r="G274" s="29" t="s">
        <v>11870</v>
      </c>
      <c r="H274" s="29"/>
      <c r="I274" s="29" t="s">
        <v>9180</v>
      </c>
      <c r="J274" s="29" t="s">
        <v>9202</v>
      </c>
      <c r="K274" s="29" t="s">
        <v>9211</v>
      </c>
      <c r="L274" s="29" t="s">
        <v>9189</v>
      </c>
    </row>
    <row r="275" spans="1:12">
      <c r="A275" s="28">
        <v>274</v>
      </c>
      <c r="B275" s="28" t="s">
        <v>4324</v>
      </c>
      <c r="C275" s="28" t="s">
        <v>4325</v>
      </c>
      <c r="D275" s="28" t="s">
        <v>11341</v>
      </c>
      <c r="E275" s="28" t="s">
        <v>9336</v>
      </c>
      <c r="F275" s="28" t="s">
        <v>11871</v>
      </c>
      <c r="G275" s="28" t="s">
        <v>11872</v>
      </c>
      <c r="H275" s="28"/>
      <c r="I275" s="28" t="s">
        <v>9180</v>
      </c>
      <c r="J275" s="28" t="s">
        <v>9832</v>
      </c>
      <c r="K275" s="28" t="s">
        <v>9211</v>
      </c>
      <c r="L275" s="28" t="s">
        <v>9223</v>
      </c>
    </row>
    <row r="276" spans="1:12">
      <c r="A276" s="29">
        <v>275</v>
      </c>
      <c r="B276" s="29" t="s">
        <v>3909</v>
      </c>
      <c r="C276" s="29" t="s">
        <v>3910</v>
      </c>
      <c r="D276" s="29" t="s">
        <v>11341</v>
      </c>
      <c r="E276" s="29" t="s">
        <v>9336</v>
      </c>
      <c r="F276" s="29"/>
      <c r="G276" s="29" t="s">
        <v>11873</v>
      </c>
      <c r="H276" s="29"/>
      <c r="I276" s="29" t="s">
        <v>9180</v>
      </c>
      <c r="J276" s="29" t="s">
        <v>10117</v>
      </c>
      <c r="K276" s="29" t="s">
        <v>9211</v>
      </c>
      <c r="L276" s="29" t="s">
        <v>9223</v>
      </c>
    </row>
    <row r="277" spans="1:12">
      <c r="A277" s="28">
        <v>276</v>
      </c>
      <c r="B277" s="28" t="s">
        <v>4253</v>
      </c>
      <c r="C277" s="28" t="s">
        <v>11874</v>
      </c>
      <c r="D277" s="28" t="s">
        <v>11341</v>
      </c>
      <c r="E277" s="28" t="s">
        <v>9336</v>
      </c>
      <c r="F277" s="28"/>
      <c r="G277" s="28" t="s">
        <v>11875</v>
      </c>
      <c r="H277" s="28"/>
      <c r="I277" s="28" t="s">
        <v>9180</v>
      </c>
      <c r="J277" s="28" t="s">
        <v>9262</v>
      </c>
      <c r="K277" s="28" t="s">
        <v>9211</v>
      </c>
      <c r="L277" s="28" t="s">
        <v>9189</v>
      </c>
    </row>
    <row r="278" spans="1:12">
      <c r="A278" s="29">
        <v>277</v>
      </c>
      <c r="B278" s="29" t="s">
        <v>4249</v>
      </c>
      <c r="C278" s="29" t="s">
        <v>11876</v>
      </c>
      <c r="D278" s="29" t="s">
        <v>11341</v>
      </c>
      <c r="E278" s="29" t="s">
        <v>9336</v>
      </c>
      <c r="F278" s="29"/>
      <c r="G278" s="29" t="s">
        <v>11877</v>
      </c>
      <c r="H278" s="29"/>
      <c r="I278" s="29" t="s">
        <v>9180</v>
      </c>
      <c r="J278" s="29" t="s">
        <v>9832</v>
      </c>
      <c r="K278" s="29" t="s">
        <v>9211</v>
      </c>
      <c r="L278" s="29" t="s">
        <v>9223</v>
      </c>
    </row>
    <row r="279" spans="1:12">
      <c r="A279" s="28">
        <v>278</v>
      </c>
      <c r="B279" s="28" t="s">
        <v>1081</v>
      </c>
      <c r="C279" s="28" t="s">
        <v>11878</v>
      </c>
      <c r="D279" s="28" t="s">
        <v>11341</v>
      </c>
      <c r="E279" s="28" t="s">
        <v>9336</v>
      </c>
      <c r="F279" s="28"/>
      <c r="G279" s="28" t="s">
        <v>11879</v>
      </c>
      <c r="H279" s="28"/>
      <c r="I279" s="28" t="s">
        <v>9180</v>
      </c>
      <c r="J279" s="28" t="s">
        <v>11880</v>
      </c>
      <c r="K279" s="28" t="s">
        <v>9211</v>
      </c>
      <c r="L279" s="28" t="s">
        <v>9189</v>
      </c>
    </row>
    <row r="280" spans="1:12">
      <c r="A280" s="29">
        <v>279</v>
      </c>
      <c r="B280" s="29" t="s">
        <v>4233</v>
      </c>
      <c r="C280" s="29" t="s">
        <v>11881</v>
      </c>
      <c r="D280" s="29" t="s">
        <v>11341</v>
      </c>
      <c r="E280" s="29" t="s">
        <v>9336</v>
      </c>
      <c r="F280" s="29"/>
      <c r="G280" s="29" t="s">
        <v>11882</v>
      </c>
      <c r="H280" s="29"/>
      <c r="I280" s="29" t="s">
        <v>9180</v>
      </c>
      <c r="J280" s="29" t="s">
        <v>9955</v>
      </c>
      <c r="K280" s="29" t="s">
        <v>9211</v>
      </c>
      <c r="L280" s="29" t="s">
        <v>9189</v>
      </c>
    </row>
    <row r="281" spans="1:12">
      <c r="A281" s="28">
        <v>280</v>
      </c>
      <c r="B281" s="28" t="s">
        <v>1588</v>
      </c>
      <c r="C281" s="28" t="s">
        <v>11883</v>
      </c>
      <c r="D281" s="28" t="s">
        <v>11341</v>
      </c>
      <c r="E281" s="28" t="s">
        <v>9336</v>
      </c>
      <c r="F281" s="28"/>
      <c r="G281" s="28" t="s">
        <v>11884</v>
      </c>
      <c r="H281" s="28"/>
      <c r="I281" s="28" t="s">
        <v>9180</v>
      </c>
      <c r="J281" s="28" t="s">
        <v>11885</v>
      </c>
      <c r="K281" s="28" t="s">
        <v>9211</v>
      </c>
      <c r="L281" s="28" t="s">
        <v>9189</v>
      </c>
    </row>
    <row r="282" spans="1:12">
      <c r="A282" s="29">
        <v>281</v>
      </c>
      <c r="B282" s="29" t="s">
        <v>4229</v>
      </c>
      <c r="C282" s="29" t="s">
        <v>4230</v>
      </c>
      <c r="D282" s="29" t="s">
        <v>11341</v>
      </c>
      <c r="E282" s="29" t="s">
        <v>9336</v>
      </c>
      <c r="F282" s="29"/>
      <c r="G282" s="29" t="s">
        <v>11886</v>
      </c>
      <c r="H282" s="29"/>
      <c r="I282" s="29" t="s">
        <v>9180</v>
      </c>
      <c r="J282" s="29" t="s">
        <v>9832</v>
      </c>
      <c r="K282" s="29" t="s">
        <v>9211</v>
      </c>
      <c r="L282" s="29" t="s">
        <v>9223</v>
      </c>
    </row>
    <row r="283" spans="1:12">
      <c r="A283" s="28">
        <v>282</v>
      </c>
      <c r="B283" s="28" t="s">
        <v>3744</v>
      </c>
      <c r="C283" s="28" t="s">
        <v>11887</v>
      </c>
      <c r="D283" s="28" t="s">
        <v>11341</v>
      </c>
      <c r="E283" s="28" t="s">
        <v>9336</v>
      </c>
      <c r="F283" s="28"/>
      <c r="G283" s="28" t="s">
        <v>11888</v>
      </c>
      <c r="H283" s="28"/>
      <c r="I283" s="28" t="s">
        <v>9180</v>
      </c>
      <c r="J283" s="28" t="s">
        <v>9795</v>
      </c>
      <c r="K283" s="28" t="s">
        <v>9211</v>
      </c>
      <c r="L283" s="28" t="s">
        <v>9189</v>
      </c>
    </row>
    <row r="284" spans="1:12">
      <c r="A284" s="29">
        <v>283</v>
      </c>
      <c r="B284" s="29" t="s">
        <v>4183</v>
      </c>
      <c r="C284" s="29" t="s">
        <v>11889</v>
      </c>
      <c r="D284" s="29" t="s">
        <v>11341</v>
      </c>
      <c r="E284" s="29" t="s">
        <v>9336</v>
      </c>
      <c r="F284" s="29"/>
      <c r="G284" s="29" t="s">
        <v>11890</v>
      </c>
      <c r="H284" s="29"/>
      <c r="I284" s="29" t="s">
        <v>9180</v>
      </c>
      <c r="J284" s="29" t="s">
        <v>9380</v>
      </c>
      <c r="K284" s="29" t="s">
        <v>9211</v>
      </c>
      <c r="L284" s="29" t="s">
        <v>9189</v>
      </c>
    </row>
    <row r="285" spans="1:12">
      <c r="A285" s="28">
        <v>284</v>
      </c>
      <c r="B285" s="28" t="s">
        <v>4088</v>
      </c>
      <c r="C285" s="28" t="s">
        <v>4089</v>
      </c>
      <c r="D285" s="28" t="s">
        <v>11341</v>
      </c>
      <c r="E285" s="28" t="s">
        <v>9336</v>
      </c>
      <c r="F285" s="28"/>
      <c r="G285" s="28" t="s">
        <v>11891</v>
      </c>
      <c r="H285" s="28"/>
      <c r="I285" s="28" t="s">
        <v>9180</v>
      </c>
      <c r="J285" s="28" t="s">
        <v>9832</v>
      </c>
      <c r="K285" s="28" t="s">
        <v>9211</v>
      </c>
      <c r="L285" s="28" t="s">
        <v>9223</v>
      </c>
    </row>
    <row r="286" spans="1:12">
      <c r="A286" s="29">
        <v>285</v>
      </c>
      <c r="B286" s="29" t="s">
        <v>3826</v>
      </c>
      <c r="C286" s="29" t="s">
        <v>11892</v>
      </c>
      <c r="D286" s="29" t="s">
        <v>11341</v>
      </c>
      <c r="E286" s="29" t="s">
        <v>9336</v>
      </c>
      <c r="F286" s="29"/>
      <c r="G286" s="29" t="s">
        <v>11893</v>
      </c>
      <c r="H286" s="29"/>
      <c r="I286" s="29" t="s">
        <v>9180</v>
      </c>
      <c r="J286" s="29" t="s">
        <v>9380</v>
      </c>
      <c r="K286" s="29" t="s">
        <v>9211</v>
      </c>
      <c r="L286" s="29" t="s">
        <v>9189</v>
      </c>
    </row>
    <row r="287" spans="1:12">
      <c r="A287" s="28">
        <v>286</v>
      </c>
      <c r="B287" s="28" t="s">
        <v>3834</v>
      </c>
      <c r="C287" s="28" t="s">
        <v>3835</v>
      </c>
      <c r="D287" s="28" t="s">
        <v>11341</v>
      </c>
      <c r="E287" s="28" t="s">
        <v>9336</v>
      </c>
      <c r="F287" s="28"/>
      <c r="G287" s="28" t="s">
        <v>11894</v>
      </c>
      <c r="H287" s="28"/>
      <c r="I287" s="28" t="s">
        <v>9180</v>
      </c>
      <c r="J287" s="28" t="s">
        <v>11895</v>
      </c>
      <c r="K287" s="28" t="s">
        <v>9211</v>
      </c>
      <c r="L287" s="28" t="s">
        <v>9223</v>
      </c>
    </row>
    <row r="288" spans="1:12">
      <c r="A288" s="29">
        <v>287</v>
      </c>
      <c r="B288" s="29" t="s">
        <v>11896</v>
      </c>
      <c r="C288" s="29" t="s">
        <v>4188</v>
      </c>
      <c r="D288" s="29" t="s">
        <v>11341</v>
      </c>
      <c r="E288" s="29" t="s">
        <v>9336</v>
      </c>
      <c r="F288" s="29"/>
      <c r="G288" s="29" t="s">
        <v>11897</v>
      </c>
      <c r="H288" s="29"/>
      <c r="I288" s="29" t="s">
        <v>9180</v>
      </c>
      <c r="J288" s="29" t="s">
        <v>9210</v>
      </c>
      <c r="K288" s="29" t="s">
        <v>9211</v>
      </c>
      <c r="L288" s="29" t="s">
        <v>9223</v>
      </c>
    </row>
    <row r="289" spans="1:12">
      <c r="A289" s="28">
        <v>288</v>
      </c>
      <c r="B289" s="28" t="s">
        <v>4195</v>
      </c>
      <c r="C289" s="28" t="s">
        <v>2739</v>
      </c>
      <c r="D289" s="28" t="s">
        <v>11341</v>
      </c>
      <c r="E289" s="28" t="s">
        <v>9336</v>
      </c>
      <c r="F289" s="28"/>
      <c r="G289" s="28" t="s">
        <v>11898</v>
      </c>
      <c r="H289" s="28"/>
      <c r="I289" s="28" t="s">
        <v>9180</v>
      </c>
      <c r="J289" s="28" t="s">
        <v>11899</v>
      </c>
      <c r="K289" s="28" t="s">
        <v>9211</v>
      </c>
      <c r="L289" s="28" t="s">
        <v>9223</v>
      </c>
    </row>
    <row r="290" spans="1:12">
      <c r="A290" s="29">
        <v>289</v>
      </c>
      <c r="B290" s="29" t="s">
        <v>4211</v>
      </c>
      <c r="C290" s="29" t="s">
        <v>11900</v>
      </c>
      <c r="D290" s="29" t="s">
        <v>11341</v>
      </c>
      <c r="E290" s="29" t="s">
        <v>9336</v>
      </c>
      <c r="F290" s="29"/>
      <c r="G290" s="29" t="s">
        <v>11901</v>
      </c>
      <c r="H290" s="29"/>
      <c r="I290" s="29" t="s">
        <v>9180</v>
      </c>
      <c r="J290" s="29" t="s">
        <v>9334</v>
      </c>
      <c r="K290" s="29" t="s">
        <v>9211</v>
      </c>
      <c r="L290" s="29" t="s">
        <v>9189</v>
      </c>
    </row>
    <row r="291" spans="1:12">
      <c r="A291" s="28">
        <v>290</v>
      </c>
      <c r="B291" s="28" t="s">
        <v>3901</v>
      </c>
      <c r="C291" s="28" t="s">
        <v>11902</v>
      </c>
      <c r="D291" s="28" t="s">
        <v>11341</v>
      </c>
      <c r="E291" s="28" t="s">
        <v>9336</v>
      </c>
      <c r="F291" s="28"/>
      <c r="G291" s="28" t="s">
        <v>11903</v>
      </c>
      <c r="H291" s="28"/>
      <c r="I291" s="28" t="s">
        <v>9180</v>
      </c>
      <c r="J291" s="28" t="s">
        <v>10063</v>
      </c>
      <c r="K291" s="28" t="s">
        <v>9211</v>
      </c>
      <c r="L291" s="28" t="s">
        <v>9223</v>
      </c>
    </row>
    <row r="292" spans="1:12">
      <c r="A292" s="29">
        <v>291</v>
      </c>
      <c r="B292" s="29" t="s">
        <v>3923</v>
      </c>
      <c r="C292" s="29" t="s">
        <v>11904</v>
      </c>
      <c r="D292" s="29" t="s">
        <v>11341</v>
      </c>
      <c r="E292" s="29" t="s">
        <v>9336</v>
      </c>
      <c r="F292" s="29"/>
      <c r="G292" s="29" t="s">
        <v>11905</v>
      </c>
      <c r="H292" s="29"/>
      <c r="I292" s="29" t="s">
        <v>9180</v>
      </c>
      <c r="J292" s="29" t="s">
        <v>9626</v>
      </c>
      <c r="K292" s="29" t="s">
        <v>9211</v>
      </c>
      <c r="L292" s="29" t="s">
        <v>9223</v>
      </c>
    </row>
    <row r="293" spans="1:12">
      <c r="A293" s="28">
        <v>292</v>
      </c>
      <c r="B293" s="28" t="s">
        <v>2076</v>
      </c>
      <c r="C293" s="28" t="s">
        <v>11906</v>
      </c>
      <c r="D293" s="28" t="s">
        <v>11341</v>
      </c>
      <c r="E293" s="28" t="s">
        <v>9336</v>
      </c>
      <c r="F293" s="28"/>
      <c r="G293" s="28" t="s">
        <v>11907</v>
      </c>
      <c r="H293" s="28"/>
      <c r="I293" s="28" t="s">
        <v>9180</v>
      </c>
      <c r="J293" s="28" t="s">
        <v>9277</v>
      </c>
      <c r="K293" s="28" t="s">
        <v>9211</v>
      </c>
      <c r="L293" s="28" t="s">
        <v>9189</v>
      </c>
    </row>
    <row r="294" spans="1:12">
      <c r="A294" s="29">
        <v>293</v>
      </c>
      <c r="B294" s="29" t="s">
        <v>3321</v>
      </c>
      <c r="C294" s="29" t="s">
        <v>11908</v>
      </c>
      <c r="D294" s="29" t="s">
        <v>11341</v>
      </c>
      <c r="E294" s="29" t="s">
        <v>9336</v>
      </c>
      <c r="F294" s="29"/>
      <c r="G294" s="29" t="s">
        <v>11909</v>
      </c>
      <c r="H294" s="29"/>
      <c r="I294" s="29" t="s">
        <v>9180</v>
      </c>
      <c r="J294" s="29" t="s">
        <v>9692</v>
      </c>
      <c r="K294" s="29" t="s">
        <v>9211</v>
      </c>
      <c r="L294" s="29" t="s">
        <v>9189</v>
      </c>
    </row>
    <row r="295" spans="1:12">
      <c r="A295" s="28">
        <v>294</v>
      </c>
      <c r="B295" s="28" t="s">
        <v>4096</v>
      </c>
      <c r="C295" s="28" t="s">
        <v>11910</v>
      </c>
      <c r="D295" s="28" t="s">
        <v>11341</v>
      </c>
      <c r="E295" s="28" t="s">
        <v>9336</v>
      </c>
      <c r="F295" s="28"/>
      <c r="G295" s="28" t="s">
        <v>11911</v>
      </c>
      <c r="H295" s="28"/>
      <c r="I295" s="28" t="s">
        <v>9180</v>
      </c>
      <c r="J295" s="28" t="s">
        <v>9892</v>
      </c>
      <c r="K295" s="28" t="s">
        <v>9211</v>
      </c>
      <c r="L295" s="28" t="s">
        <v>9189</v>
      </c>
    </row>
    <row r="296" spans="1:12">
      <c r="A296" s="29">
        <v>295</v>
      </c>
      <c r="B296" s="29" t="s">
        <v>4031</v>
      </c>
      <c r="C296" s="29" t="s">
        <v>11912</v>
      </c>
      <c r="D296" s="29" t="s">
        <v>11341</v>
      </c>
      <c r="E296" s="29" t="s">
        <v>9336</v>
      </c>
      <c r="F296" s="29"/>
      <c r="G296" s="29" t="s">
        <v>11913</v>
      </c>
      <c r="H296" s="29"/>
      <c r="I296" s="29" t="s">
        <v>9180</v>
      </c>
      <c r="J296" s="29" t="s">
        <v>11914</v>
      </c>
      <c r="K296" s="29" t="s">
        <v>9211</v>
      </c>
      <c r="L296" s="29" t="s">
        <v>9189</v>
      </c>
    </row>
    <row r="297" spans="1:12">
      <c r="A297" s="28">
        <v>296</v>
      </c>
      <c r="B297" s="28" t="s">
        <v>4045</v>
      </c>
      <c r="C297" s="28" t="s">
        <v>11915</v>
      </c>
      <c r="D297" s="28" t="s">
        <v>11341</v>
      </c>
      <c r="E297" s="28" t="s">
        <v>9336</v>
      </c>
      <c r="F297" s="28"/>
      <c r="G297" s="28" t="s">
        <v>11916</v>
      </c>
      <c r="H297" s="28"/>
      <c r="I297" s="28" t="s">
        <v>9180</v>
      </c>
      <c r="J297" s="28" t="s">
        <v>9334</v>
      </c>
      <c r="K297" s="28" t="s">
        <v>9211</v>
      </c>
      <c r="L297" s="28" t="s">
        <v>9189</v>
      </c>
    </row>
    <row r="298" spans="1:12">
      <c r="A298" s="29">
        <v>297</v>
      </c>
      <c r="B298" s="29" t="s">
        <v>3945</v>
      </c>
      <c r="C298" s="29" t="s">
        <v>11917</v>
      </c>
      <c r="D298" s="29" t="s">
        <v>11341</v>
      </c>
      <c r="E298" s="29" t="s">
        <v>9336</v>
      </c>
      <c r="F298" s="29"/>
      <c r="G298" s="29" t="s">
        <v>11918</v>
      </c>
      <c r="H298" s="29"/>
      <c r="I298" s="29" t="s">
        <v>9180</v>
      </c>
      <c r="J298" s="29" t="s">
        <v>9334</v>
      </c>
      <c r="K298" s="29" t="s">
        <v>9211</v>
      </c>
      <c r="L298" s="29" t="s">
        <v>9189</v>
      </c>
    </row>
    <row r="299" spans="1:12">
      <c r="A299" s="28">
        <v>298</v>
      </c>
      <c r="B299" s="28" t="s">
        <v>3941</v>
      </c>
      <c r="C299" s="28" t="s">
        <v>11919</v>
      </c>
      <c r="D299" s="28" t="s">
        <v>11341</v>
      </c>
      <c r="E299" s="28" t="s">
        <v>9336</v>
      </c>
      <c r="F299" s="28"/>
      <c r="G299" s="28" t="s">
        <v>11920</v>
      </c>
      <c r="H299" s="28"/>
      <c r="I299" s="28" t="s">
        <v>9180</v>
      </c>
      <c r="J299" s="28" t="s">
        <v>9217</v>
      </c>
      <c r="K299" s="28" t="s">
        <v>9211</v>
      </c>
      <c r="L299" s="28" t="s">
        <v>9189</v>
      </c>
    </row>
    <row r="300" spans="1:12">
      <c r="A300" s="29">
        <v>299</v>
      </c>
      <c r="B300" s="29" t="s">
        <v>1869</v>
      </c>
      <c r="C300" s="29" t="s">
        <v>11921</v>
      </c>
      <c r="D300" s="29" t="s">
        <v>11341</v>
      </c>
      <c r="E300" s="29" t="s">
        <v>9336</v>
      </c>
      <c r="F300" s="29"/>
      <c r="G300" s="29" t="s">
        <v>11922</v>
      </c>
      <c r="H300" s="29"/>
      <c r="I300" s="29" t="s">
        <v>9180</v>
      </c>
      <c r="J300" s="29" t="s">
        <v>9774</v>
      </c>
      <c r="K300" s="29" t="s">
        <v>9211</v>
      </c>
      <c r="L300" s="29" t="s">
        <v>9189</v>
      </c>
    </row>
    <row r="301" spans="1:12">
      <c r="A301" s="27">
        <v>300</v>
      </c>
      <c r="B301" s="27" t="s">
        <v>3088</v>
      </c>
      <c r="C301" s="27" t="s">
        <v>11923</v>
      </c>
      <c r="D301" s="27" t="s">
        <v>11337</v>
      </c>
      <c r="E301" s="27" t="s">
        <v>9336</v>
      </c>
      <c r="F301" s="27"/>
      <c r="G301" s="27" t="s">
        <v>11924</v>
      </c>
      <c r="H301" s="27"/>
      <c r="I301" s="27" t="s">
        <v>9180</v>
      </c>
      <c r="J301" s="27" t="s">
        <v>9795</v>
      </c>
      <c r="K301" s="27" t="s">
        <v>9211</v>
      </c>
      <c r="L301" s="27" t="s">
        <v>9196</v>
      </c>
    </row>
    <row r="302" spans="1:12">
      <c r="A302" s="29">
        <v>301</v>
      </c>
      <c r="B302" s="29" t="s">
        <v>3844</v>
      </c>
      <c r="C302" s="29" t="s">
        <v>11925</v>
      </c>
      <c r="D302" s="29" t="s">
        <v>11341</v>
      </c>
      <c r="E302" s="29" t="s">
        <v>9336</v>
      </c>
      <c r="F302" s="29"/>
      <c r="G302" s="29" t="s">
        <v>11926</v>
      </c>
      <c r="H302" s="29"/>
      <c r="I302" s="29" t="s">
        <v>9180</v>
      </c>
      <c r="J302" s="29" t="s">
        <v>9202</v>
      </c>
      <c r="K302" s="29" t="s">
        <v>9211</v>
      </c>
      <c r="L302" s="29" t="s">
        <v>9189</v>
      </c>
    </row>
    <row r="303" spans="1:12">
      <c r="A303" s="28">
        <v>302</v>
      </c>
      <c r="B303" s="28" t="s">
        <v>1716</v>
      </c>
      <c r="C303" s="28" t="s">
        <v>11927</v>
      </c>
      <c r="D303" s="28" t="s">
        <v>11341</v>
      </c>
      <c r="E303" s="28" t="s">
        <v>9336</v>
      </c>
      <c r="F303" s="28"/>
      <c r="G303" s="28" t="s">
        <v>11928</v>
      </c>
      <c r="H303" s="28"/>
      <c r="I303" s="28" t="s">
        <v>9180</v>
      </c>
      <c r="J303" s="28" t="s">
        <v>11929</v>
      </c>
      <c r="K303" s="28" t="s">
        <v>9211</v>
      </c>
      <c r="L303" s="28" t="s">
        <v>9189</v>
      </c>
    </row>
    <row r="304" spans="1:12">
      <c r="A304" s="29">
        <v>303</v>
      </c>
      <c r="B304" s="29" t="s">
        <v>3816</v>
      </c>
      <c r="C304" s="29" t="s">
        <v>3817</v>
      </c>
      <c r="D304" s="29" t="s">
        <v>11341</v>
      </c>
      <c r="E304" s="29" t="s">
        <v>9336</v>
      </c>
      <c r="F304" s="29"/>
      <c r="G304" s="29" t="s">
        <v>11930</v>
      </c>
      <c r="H304" s="29"/>
      <c r="I304" s="29" t="s">
        <v>9180</v>
      </c>
      <c r="J304" s="29" t="s">
        <v>9626</v>
      </c>
      <c r="K304" s="29" t="s">
        <v>9211</v>
      </c>
      <c r="L304" s="29" t="s">
        <v>9223</v>
      </c>
    </row>
    <row r="305" spans="1:12">
      <c r="A305" s="28">
        <v>304</v>
      </c>
      <c r="B305" s="28" t="s">
        <v>3799</v>
      </c>
      <c r="C305" s="28" t="s">
        <v>11931</v>
      </c>
      <c r="D305" s="28" t="s">
        <v>11341</v>
      </c>
      <c r="E305" s="28" t="s">
        <v>9208</v>
      </c>
      <c r="F305" s="28"/>
      <c r="G305" s="28" t="s">
        <v>11932</v>
      </c>
      <c r="H305" s="28"/>
      <c r="I305" s="28" t="s">
        <v>9180</v>
      </c>
      <c r="J305" s="28" t="s">
        <v>9280</v>
      </c>
      <c r="K305" s="28" t="s">
        <v>9211</v>
      </c>
      <c r="L305" s="28" t="s">
        <v>9522</v>
      </c>
    </row>
    <row r="306" spans="1:12">
      <c r="A306" s="29">
        <v>305</v>
      </c>
      <c r="B306" s="29" t="s">
        <v>3791</v>
      </c>
      <c r="C306" s="29" t="s">
        <v>3792</v>
      </c>
      <c r="D306" s="29" t="s">
        <v>11341</v>
      </c>
      <c r="E306" s="29" t="s">
        <v>9208</v>
      </c>
      <c r="F306" s="29"/>
      <c r="G306" s="29" t="s">
        <v>11933</v>
      </c>
      <c r="H306" s="29"/>
      <c r="I306" s="29" t="s">
        <v>9180</v>
      </c>
      <c r="J306" s="29" t="s">
        <v>9626</v>
      </c>
      <c r="K306" s="29" t="s">
        <v>9211</v>
      </c>
      <c r="L306" s="29" t="s">
        <v>9212</v>
      </c>
    </row>
    <row r="307" spans="1:12">
      <c r="A307" s="28">
        <v>306</v>
      </c>
      <c r="B307" s="28" t="s">
        <v>2702</v>
      </c>
      <c r="C307" s="28" t="s">
        <v>2703</v>
      </c>
      <c r="D307" s="28" t="s">
        <v>11341</v>
      </c>
      <c r="E307" s="28" t="s">
        <v>9336</v>
      </c>
      <c r="F307" s="28"/>
      <c r="G307" s="28" t="s">
        <v>11934</v>
      </c>
      <c r="H307" s="28"/>
      <c r="I307" s="28" t="s">
        <v>9180</v>
      </c>
      <c r="J307" s="28" t="s">
        <v>9998</v>
      </c>
      <c r="K307" s="28" t="s">
        <v>9211</v>
      </c>
      <c r="L307" s="28" t="s">
        <v>9223</v>
      </c>
    </row>
    <row r="308" spans="1:12">
      <c r="A308" s="29">
        <v>307</v>
      </c>
      <c r="B308" s="29" t="s">
        <v>502</v>
      </c>
      <c r="C308" s="29" t="s">
        <v>503</v>
      </c>
      <c r="D308" s="29" t="s">
        <v>11341</v>
      </c>
      <c r="E308" s="29" t="s">
        <v>9208</v>
      </c>
      <c r="F308" s="29"/>
      <c r="G308" s="29" t="s">
        <v>11935</v>
      </c>
      <c r="H308" s="29"/>
      <c r="I308" s="29" t="s">
        <v>9180</v>
      </c>
      <c r="J308" s="29" t="s">
        <v>11936</v>
      </c>
      <c r="K308" s="29" t="s">
        <v>9211</v>
      </c>
      <c r="L308" s="29" t="s">
        <v>9212</v>
      </c>
    </row>
    <row r="309" spans="1:12">
      <c r="A309" s="28">
        <v>308</v>
      </c>
      <c r="B309" s="28" t="s">
        <v>498</v>
      </c>
      <c r="C309" s="28" t="s">
        <v>11937</v>
      </c>
      <c r="D309" s="28" t="s">
        <v>11341</v>
      </c>
      <c r="E309" s="28" t="s">
        <v>9208</v>
      </c>
      <c r="F309" s="28"/>
      <c r="G309" s="28" t="s">
        <v>11938</v>
      </c>
      <c r="H309" s="28"/>
      <c r="I309" s="28" t="s">
        <v>9180</v>
      </c>
      <c r="J309" s="28" t="s">
        <v>11939</v>
      </c>
      <c r="K309" s="28" t="s">
        <v>9211</v>
      </c>
      <c r="L309" s="28" t="s">
        <v>9522</v>
      </c>
    </row>
    <row r="310" spans="1:12">
      <c r="A310" s="29">
        <v>309</v>
      </c>
      <c r="B310" s="29" t="s">
        <v>3078</v>
      </c>
      <c r="C310" s="29" t="s">
        <v>3079</v>
      </c>
      <c r="D310" s="29" t="s">
        <v>11341</v>
      </c>
      <c r="E310" s="29" t="s">
        <v>9336</v>
      </c>
      <c r="F310" s="29"/>
      <c r="G310" s="29" t="s">
        <v>11940</v>
      </c>
      <c r="H310" s="29"/>
      <c r="I310" s="29" t="s">
        <v>9180</v>
      </c>
      <c r="J310" s="29" t="s">
        <v>11941</v>
      </c>
      <c r="K310" s="29" t="s">
        <v>9211</v>
      </c>
      <c r="L310" s="29" t="s">
        <v>9223</v>
      </c>
    </row>
    <row r="311" spans="1:12">
      <c r="A311" s="28">
        <v>310</v>
      </c>
      <c r="B311" s="28" t="s">
        <v>2827</v>
      </c>
      <c r="C311" s="28" t="s">
        <v>2828</v>
      </c>
      <c r="D311" s="28" t="s">
        <v>11341</v>
      </c>
      <c r="E311" s="28" t="s">
        <v>9336</v>
      </c>
      <c r="F311" s="28"/>
      <c r="G311" s="28" t="s">
        <v>11942</v>
      </c>
      <c r="H311" s="28"/>
      <c r="I311" s="28" t="s">
        <v>9180</v>
      </c>
      <c r="J311" s="28" t="s">
        <v>9380</v>
      </c>
      <c r="K311" s="28" t="s">
        <v>9211</v>
      </c>
      <c r="L311" s="28" t="s">
        <v>9189</v>
      </c>
    </row>
    <row r="312" spans="1:12">
      <c r="A312" s="29">
        <v>311</v>
      </c>
      <c r="B312" s="29" t="s">
        <v>1807</v>
      </c>
      <c r="C312" s="29" t="s">
        <v>1808</v>
      </c>
      <c r="D312" s="29" t="s">
        <v>11341</v>
      </c>
      <c r="E312" s="29" t="s">
        <v>9336</v>
      </c>
      <c r="F312" s="29"/>
      <c r="G312" s="29" t="s">
        <v>11943</v>
      </c>
      <c r="H312" s="29"/>
      <c r="I312" s="29" t="s">
        <v>9180</v>
      </c>
      <c r="J312" s="29" t="s">
        <v>9918</v>
      </c>
      <c r="K312" s="29" t="s">
        <v>9211</v>
      </c>
      <c r="L312" s="29" t="s">
        <v>9189</v>
      </c>
    </row>
    <row r="313" spans="1:12">
      <c r="A313" s="27">
        <v>312</v>
      </c>
      <c r="B313" s="27" t="s">
        <v>2746</v>
      </c>
      <c r="C313" s="27" t="s">
        <v>11944</v>
      </c>
      <c r="D313" s="27" t="s">
        <v>11337</v>
      </c>
      <c r="E313" s="27" t="s">
        <v>9336</v>
      </c>
      <c r="F313" s="27"/>
      <c r="G313" s="27" t="s">
        <v>11945</v>
      </c>
      <c r="H313" s="27"/>
      <c r="I313" s="27" t="s">
        <v>9180</v>
      </c>
      <c r="J313" s="27" t="s">
        <v>9380</v>
      </c>
      <c r="K313" s="27" t="s">
        <v>9211</v>
      </c>
      <c r="L313" s="27" t="s">
        <v>9196</v>
      </c>
    </row>
    <row r="314" spans="1:12">
      <c r="A314" s="29">
        <v>313</v>
      </c>
      <c r="B314" s="29" t="s">
        <v>2738</v>
      </c>
      <c r="C314" s="29" t="s">
        <v>2739</v>
      </c>
      <c r="D314" s="29" t="s">
        <v>11341</v>
      </c>
      <c r="E314" s="29" t="s">
        <v>9336</v>
      </c>
      <c r="F314" s="29"/>
      <c r="G314" s="29" t="s">
        <v>11946</v>
      </c>
      <c r="H314" s="29"/>
      <c r="I314" s="29" t="s">
        <v>9180</v>
      </c>
      <c r="J314" s="29" t="s">
        <v>11899</v>
      </c>
      <c r="K314" s="29" t="s">
        <v>9211</v>
      </c>
      <c r="L314" s="29" t="s">
        <v>9223</v>
      </c>
    </row>
    <row r="315" spans="1:12">
      <c r="A315" s="28">
        <v>314</v>
      </c>
      <c r="B315" s="28" t="s">
        <v>11947</v>
      </c>
      <c r="C315" s="28" t="s">
        <v>5137</v>
      </c>
      <c r="D315" s="28" t="s">
        <v>11341</v>
      </c>
      <c r="E315" s="28" t="s">
        <v>9336</v>
      </c>
      <c r="F315" s="28"/>
      <c r="G315" s="28" t="s">
        <v>11948</v>
      </c>
      <c r="H315" s="28"/>
      <c r="I315" s="28" t="s">
        <v>9180</v>
      </c>
      <c r="J315" s="28" t="s">
        <v>9210</v>
      </c>
      <c r="K315" s="28" t="s">
        <v>9211</v>
      </c>
      <c r="L315" s="28" t="s">
        <v>9223</v>
      </c>
    </row>
    <row r="316" spans="1:12">
      <c r="A316" s="29">
        <v>315</v>
      </c>
      <c r="B316" s="29" t="s">
        <v>11949</v>
      </c>
      <c r="C316" s="29" t="s">
        <v>11950</v>
      </c>
      <c r="D316" s="29" t="s">
        <v>11341</v>
      </c>
      <c r="E316" s="29" t="s">
        <v>9336</v>
      </c>
      <c r="F316" s="29"/>
      <c r="G316" s="29" t="s">
        <v>11951</v>
      </c>
      <c r="H316" s="29"/>
      <c r="I316" s="29" t="s">
        <v>9180</v>
      </c>
      <c r="J316" s="29" t="s">
        <v>9210</v>
      </c>
      <c r="K316" s="29" t="s">
        <v>9211</v>
      </c>
      <c r="L316" s="29" t="s">
        <v>9189</v>
      </c>
    </row>
    <row r="317" spans="1:12">
      <c r="A317" s="28">
        <v>316</v>
      </c>
      <c r="B317" s="28" t="s">
        <v>2712</v>
      </c>
      <c r="C317" s="28" t="s">
        <v>2713</v>
      </c>
      <c r="D317" s="28" t="s">
        <v>11341</v>
      </c>
      <c r="E317" s="28" t="s">
        <v>9336</v>
      </c>
      <c r="F317" s="28"/>
      <c r="G317" s="28" t="s">
        <v>11952</v>
      </c>
      <c r="H317" s="28"/>
      <c r="I317" s="28" t="s">
        <v>9180</v>
      </c>
      <c r="J317" s="28" t="s">
        <v>9832</v>
      </c>
      <c r="K317" s="28" t="s">
        <v>9211</v>
      </c>
      <c r="L317" s="28" t="s">
        <v>9223</v>
      </c>
    </row>
    <row r="318" spans="1:12">
      <c r="A318" s="29">
        <v>317</v>
      </c>
      <c r="B318" s="29" t="s">
        <v>1369</v>
      </c>
      <c r="C318" s="29" t="s">
        <v>1370</v>
      </c>
      <c r="D318" s="29" t="s">
        <v>11341</v>
      </c>
      <c r="E318" s="29" t="s">
        <v>9336</v>
      </c>
      <c r="F318" s="29"/>
      <c r="G318" s="29" t="s">
        <v>11953</v>
      </c>
      <c r="H318" s="29"/>
      <c r="I318" s="29" t="s">
        <v>9180</v>
      </c>
      <c r="J318" s="29" t="s">
        <v>11954</v>
      </c>
      <c r="K318" s="29" t="s">
        <v>9211</v>
      </c>
      <c r="L318" s="29" t="s">
        <v>9189</v>
      </c>
    </row>
    <row r="319" spans="1:12">
      <c r="A319" s="27">
        <v>318</v>
      </c>
      <c r="B319" s="27" t="s">
        <v>1787</v>
      </c>
      <c r="C319" s="27" t="s">
        <v>11955</v>
      </c>
      <c r="D319" s="27" t="s">
        <v>11337</v>
      </c>
      <c r="E319" s="27" t="s">
        <v>9336</v>
      </c>
      <c r="F319" s="27"/>
      <c r="G319" s="27" t="s">
        <v>11956</v>
      </c>
      <c r="H319" s="27" t="s">
        <v>11956</v>
      </c>
      <c r="I319" s="27" t="s">
        <v>9180</v>
      </c>
      <c r="J319" s="27" t="s">
        <v>11957</v>
      </c>
      <c r="K319" s="27" t="s">
        <v>9211</v>
      </c>
      <c r="L319" s="27" t="s">
        <v>9196</v>
      </c>
    </row>
    <row r="320" spans="1:12">
      <c r="A320" s="29">
        <v>319</v>
      </c>
      <c r="B320" s="29" t="s">
        <v>3669</v>
      </c>
      <c r="C320" s="29" t="s">
        <v>11958</v>
      </c>
      <c r="D320" s="29" t="s">
        <v>11341</v>
      </c>
      <c r="E320" s="29" t="s">
        <v>9336</v>
      </c>
      <c r="F320" s="29"/>
      <c r="G320" s="29" t="s">
        <v>11959</v>
      </c>
      <c r="H320" s="29"/>
      <c r="I320" s="29" t="s">
        <v>9180</v>
      </c>
      <c r="J320" s="29" t="s">
        <v>11076</v>
      </c>
      <c r="K320" s="29" t="s">
        <v>9211</v>
      </c>
      <c r="L320" s="29" t="s">
        <v>9189</v>
      </c>
    </row>
    <row r="321" spans="1:12">
      <c r="A321" s="28">
        <v>320</v>
      </c>
      <c r="B321" s="28" t="s">
        <v>3644</v>
      </c>
      <c r="C321" s="28" t="s">
        <v>3645</v>
      </c>
      <c r="D321" s="28" t="s">
        <v>11341</v>
      </c>
      <c r="E321" s="28" t="s">
        <v>9336</v>
      </c>
      <c r="F321" s="28"/>
      <c r="G321" s="28" t="s">
        <v>11960</v>
      </c>
      <c r="H321" s="28"/>
      <c r="I321" s="28" t="s">
        <v>9180</v>
      </c>
      <c r="J321" s="28" t="s">
        <v>9626</v>
      </c>
      <c r="K321" s="28" t="s">
        <v>9211</v>
      </c>
      <c r="L321" s="28" t="s">
        <v>9223</v>
      </c>
    </row>
    <row r="322" spans="1:12">
      <c r="A322" s="29">
        <v>321</v>
      </c>
      <c r="B322" s="29" t="s">
        <v>3622</v>
      </c>
      <c r="C322" s="29" t="s">
        <v>11961</v>
      </c>
      <c r="D322" s="29" t="s">
        <v>11341</v>
      </c>
      <c r="E322" s="29" t="s">
        <v>9336</v>
      </c>
      <c r="F322" s="29"/>
      <c r="G322" s="29" t="s">
        <v>11962</v>
      </c>
      <c r="H322" s="29"/>
      <c r="I322" s="29" t="s">
        <v>9180</v>
      </c>
      <c r="J322" s="29" t="s">
        <v>9280</v>
      </c>
      <c r="K322" s="29" t="s">
        <v>9211</v>
      </c>
      <c r="L322" s="29" t="s">
        <v>9189</v>
      </c>
    </row>
    <row r="323" spans="1:12">
      <c r="A323" s="28">
        <v>322</v>
      </c>
      <c r="B323" s="28" t="s">
        <v>3317</v>
      </c>
      <c r="C323" s="28" t="s">
        <v>3318</v>
      </c>
      <c r="D323" s="28" t="s">
        <v>11341</v>
      </c>
      <c r="E323" s="28" t="s">
        <v>9336</v>
      </c>
      <c r="F323" s="28"/>
      <c r="G323" s="28" t="s">
        <v>11963</v>
      </c>
      <c r="H323" s="28"/>
      <c r="I323" s="28" t="s">
        <v>9180</v>
      </c>
      <c r="J323" s="28" t="s">
        <v>10063</v>
      </c>
      <c r="K323" s="28" t="s">
        <v>9211</v>
      </c>
      <c r="L323" s="28" t="s">
        <v>9223</v>
      </c>
    </row>
    <row r="324" spans="1:12">
      <c r="A324" s="29">
        <v>323</v>
      </c>
      <c r="B324" s="29" t="s">
        <v>3614</v>
      </c>
      <c r="C324" s="29" t="s">
        <v>11964</v>
      </c>
      <c r="D324" s="29" t="s">
        <v>11341</v>
      </c>
      <c r="E324" s="29" t="s">
        <v>9336</v>
      </c>
      <c r="F324" s="29"/>
      <c r="G324" s="29" t="s">
        <v>11965</v>
      </c>
      <c r="H324" s="29"/>
      <c r="I324" s="29" t="s">
        <v>9180</v>
      </c>
      <c r="J324" s="29" t="s">
        <v>9202</v>
      </c>
      <c r="K324" s="29" t="s">
        <v>9211</v>
      </c>
      <c r="L324" s="29" t="s">
        <v>9189</v>
      </c>
    </row>
    <row r="325" spans="1:12">
      <c r="A325" s="28">
        <v>324</v>
      </c>
      <c r="B325" s="28" t="s">
        <v>3610</v>
      </c>
      <c r="C325" s="28" t="s">
        <v>3611</v>
      </c>
      <c r="D325" s="28" t="s">
        <v>11341</v>
      </c>
      <c r="E325" s="28" t="s">
        <v>9336</v>
      </c>
      <c r="F325" s="28"/>
      <c r="G325" s="28" t="s">
        <v>11966</v>
      </c>
      <c r="H325" s="28"/>
      <c r="I325" s="28" t="s">
        <v>9180</v>
      </c>
      <c r="J325" s="28" t="s">
        <v>9626</v>
      </c>
      <c r="K325" s="28" t="s">
        <v>9211</v>
      </c>
      <c r="L325" s="28" t="s">
        <v>9223</v>
      </c>
    </row>
    <row r="326" spans="1:12">
      <c r="A326" s="29">
        <v>325</v>
      </c>
      <c r="B326" s="29" t="s">
        <v>11967</v>
      </c>
      <c r="C326" s="29" t="s">
        <v>11968</v>
      </c>
      <c r="D326" s="29" t="s">
        <v>11341</v>
      </c>
      <c r="E326" s="29" t="s">
        <v>9336</v>
      </c>
      <c r="F326" s="29"/>
      <c r="G326" s="29" t="s">
        <v>11759</v>
      </c>
      <c r="H326" s="29" t="s">
        <v>11969</v>
      </c>
      <c r="I326" s="29" t="s">
        <v>9180</v>
      </c>
      <c r="J326" s="29" t="s">
        <v>9210</v>
      </c>
      <c r="K326" s="29" t="s">
        <v>9211</v>
      </c>
      <c r="L326" s="29" t="s">
        <v>9189</v>
      </c>
    </row>
    <row r="327" spans="1:12">
      <c r="A327" s="28">
        <v>326</v>
      </c>
      <c r="B327" s="28" t="s">
        <v>60</v>
      </c>
      <c r="C327" s="28" t="s">
        <v>11968</v>
      </c>
      <c r="D327" s="28" t="s">
        <v>11341</v>
      </c>
      <c r="E327" s="28" t="s">
        <v>9336</v>
      </c>
      <c r="F327" s="28"/>
      <c r="G327" s="28" t="s">
        <v>11970</v>
      </c>
      <c r="H327" s="28"/>
      <c r="I327" s="28" t="s">
        <v>9180</v>
      </c>
      <c r="J327" s="28" t="s">
        <v>9277</v>
      </c>
      <c r="K327" s="28" t="s">
        <v>9211</v>
      </c>
      <c r="L327" s="28" t="s">
        <v>9189</v>
      </c>
    </row>
    <row r="328" spans="1:12">
      <c r="A328" s="29">
        <v>327</v>
      </c>
      <c r="B328" s="29" t="s">
        <v>3576</v>
      </c>
      <c r="C328" s="29" t="s">
        <v>3577</v>
      </c>
      <c r="D328" s="29" t="s">
        <v>11341</v>
      </c>
      <c r="E328" s="29" t="s">
        <v>9336</v>
      </c>
      <c r="F328" s="29"/>
      <c r="G328" s="29" t="s">
        <v>11971</v>
      </c>
      <c r="H328" s="29"/>
      <c r="I328" s="29" t="s">
        <v>9180</v>
      </c>
      <c r="J328" s="29" t="s">
        <v>9832</v>
      </c>
      <c r="K328" s="29" t="s">
        <v>9211</v>
      </c>
      <c r="L328" s="29" t="s">
        <v>9223</v>
      </c>
    </row>
    <row r="329" spans="1:12">
      <c r="A329" s="27">
        <v>328</v>
      </c>
      <c r="B329" s="27" t="s">
        <v>3568</v>
      </c>
      <c r="C329" s="27" t="s">
        <v>11972</v>
      </c>
      <c r="D329" s="27" t="s">
        <v>11337</v>
      </c>
      <c r="E329" s="27" t="s">
        <v>9336</v>
      </c>
      <c r="F329" s="27"/>
      <c r="G329" s="27" t="s">
        <v>11973</v>
      </c>
      <c r="H329" s="27"/>
      <c r="I329" s="27" t="s">
        <v>9180</v>
      </c>
      <c r="J329" s="27" t="s">
        <v>11076</v>
      </c>
      <c r="K329" s="27" t="s">
        <v>9211</v>
      </c>
      <c r="L329" s="27" t="s">
        <v>9196</v>
      </c>
    </row>
    <row r="330" spans="1:12">
      <c r="A330" s="29">
        <v>329</v>
      </c>
      <c r="B330" s="29" t="s">
        <v>3558</v>
      </c>
      <c r="C330" s="29" t="s">
        <v>11974</v>
      </c>
      <c r="D330" s="29" t="s">
        <v>11341</v>
      </c>
      <c r="E330" s="29" t="s">
        <v>9336</v>
      </c>
      <c r="F330" s="29"/>
      <c r="G330" s="29" t="s">
        <v>11975</v>
      </c>
      <c r="H330" s="29"/>
      <c r="I330" s="29" t="s">
        <v>9180</v>
      </c>
      <c r="J330" s="29" t="s">
        <v>9334</v>
      </c>
      <c r="K330" s="29" t="s">
        <v>9211</v>
      </c>
      <c r="L330" s="29" t="s">
        <v>9189</v>
      </c>
    </row>
    <row r="331" spans="1:12">
      <c r="A331" s="28">
        <v>330</v>
      </c>
      <c r="B331" s="28" t="s">
        <v>3529</v>
      </c>
      <c r="C331" s="28" t="s">
        <v>11976</v>
      </c>
      <c r="D331" s="28" t="s">
        <v>11341</v>
      </c>
      <c r="E331" s="28" t="s">
        <v>9336</v>
      </c>
      <c r="F331" s="28"/>
      <c r="G331" s="28" t="s">
        <v>11977</v>
      </c>
      <c r="H331" s="28"/>
      <c r="I331" s="28" t="s">
        <v>9180</v>
      </c>
      <c r="J331" s="28" t="s">
        <v>9334</v>
      </c>
      <c r="K331" s="28" t="s">
        <v>9211</v>
      </c>
      <c r="L331" s="28" t="s">
        <v>9189</v>
      </c>
    </row>
    <row r="332" spans="1:12">
      <c r="A332" s="29">
        <v>331</v>
      </c>
      <c r="B332" s="29" t="s">
        <v>3430</v>
      </c>
      <c r="C332" s="29" t="s">
        <v>3431</v>
      </c>
      <c r="D332" s="29" t="s">
        <v>11341</v>
      </c>
      <c r="E332" s="29" t="s">
        <v>9336</v>
      </c>
      <c r="F332" s="29"/>
      <c r="G332" s="29" t="s">
        <v>11978</v>
      </c>
      <c r="H332" s="29"/>
      <c r="I332" s="29" t="s">
        <v>9180</v>
      </c>
      <c r="J332" s="29" t="s">
        <v>10076</v>
      </c>
      <c r="K332" s="29" t="s">
        <v>9211</v>
      </c>
      <c r="L332" s="29" t="s">
        <v>9223</v>
      </c>
    </row>
    <row r="333" spans="1:12">
      <c r="A333" s="28">
        <v>332</v>
      </c>
      <c r="B333" s="28" t="s">
        <v>622</v>
      </c>
      <c r="C333" s="28" t="s">
        <v>11979</v>
      </c>
      <c r="D333" s="28" t="s">
        <v>11341</v>
      </c>
      <c r="E333" s="28" t="s">
        <v>9336</v>
      </c>
      <c r="F333" s="28"/>
      <c r="G333" s="28" t="s">
        <v>11980</v>
      </c>
      <c r="H333" s="28"/>
      <c r="I333" s="28" t="s">
        <v>9180</v>
      </c>
      <c r="J333" s="28" t="s">
        <v>11981</v>
      </c>
      <c r="K333" s="28" t="s">
        <v>9211</v>
      </c>
      <c r="L333" s="28" t="s">
        <v>9189</v>
      </c>
    </row>
    <row r="334" spans="1:12">
      <c r="A334" s="29">
        <v>333</v>
      </c>
      <c r="B334" s="29" t="s">
        <v>3500</v>
      </c>
      <c r="C334" s="29" t="s">
        <v>11982</v>
      </c>
      <c r="D334" s="29" t="s">
        <v>11341</v>
      </c>
      <c r="E334" s="29" t="s">
        <v>9336</v>
      </c>
      <c r="F334" s="29"/>
      <c r="G334" s="29" t="s">
        <v>11983</v>
      </c>
      <c r="H334" s="29"/>
      <c r="I334" s="29" t="s">
        <v>9180</v>
      </c>
      <c r="J334" s="29" t="s">
        <v>9892</v>
      </c>
      <c r="K334" s="29" t="s">
        <v>9211</v>
      </c>
      <c r="L334" s="29" t="s">
        <v>9189</v>
      </c>
    </row>
    <row r="335" spans="1:12">
      <c r="A335" s="28">
        <v>334</v>
      </c>
      <c r="B335" s="28" t="s">
        <v>3467</v>
      </c>
      <c r="C335" s="28" t="s">
        <v>11984</v>
      </c>
      <c r="D335" s="28" t="s">
        <v>11341</v>
      </c>
      <c r="E335" s="28" t="s">
        <v>9336</v>
      </c>
      <c r="F335" s="28"/>
      <c r="G335" s="28" t="s">
        <v>11985</v>
      </c>
      <c r="H335" s="28"/>
      <c r="I335" s="28" t="s">
        <v>9180</v>
      </c>
      <c r="J335" s="28" t="s">
        <v>9892</v>
      </c>
      <c r="K335" s="28" t="s">
        <v>9211</v>
      </c>
      <c r="L335" s="28" t="s">
        <v>9189</v>
      </c>
    </row>
    <row r="336" spans="1:12">
      <c r="A336" s="29">
        <v>335</v>
      </c>
      <c r="B336" s="29" t="s">
        <v>3459</v>
      </c>
      <c r="C336" s="29" t="s">
        <v>11986</v>
      </c>
      <c r="D336" s="29" t="s">
        <v>11341</v>
      </c>
      <c r="E336" s="29" t="s">
        <v>9336</v>
      </c>
      <c r="F336" s="29"/>
      <c r="G336" s="29" t="s">
        <v>11987</v>
      </c>
      <c r="H336" s="29"/>
      <c r="I336" s="29" t="s">
        <v>9180</v>
      </c>
      <c r="J336" s="29" t="s">
        <v>9217</v>
      </c>
      <c r="K336" s="29" t="s">
        <v>9211</v>
      </c>
      <c r="L336" s="29" t="s">
        <v>9189</v>
      </c>
    </row>
    <row r="337" spans="1:12">
      <c r="A337" s="28">
        <v>336</v>
      </c>
      <c r="B337" s="28" t="s">
        <v>234</v>
      </c>
      <c r="C337" s="28" t="s">
        <v>11988</v>
      </c>
      <c r="D337" s="28" t="s">
        <v>11341</v>
      </c>
      <c r="E337" s="28" t="s">
        <v>9336</v>
      </c>
      <c r="F337" s="28"/>
      <c r="G337" s="28" t="s">
        <v>11989</v>
      </c>
      <c r="H337" s="28"/>
      <c r="I337" s="28" t="s">
        <v>9180</v>
      </c>
      <c r="J337" s="28" t="s">
        <v>9224</v>
      </c>
      <c r="K337" s="28" t="s">
        <v>9211</v>
      </c>
      <c r="L337" s="28" t="s">
        <v>9189</v>
      </c>
    </row>
    <row r="338" spans="1:12">
      <c r="A338" s="29">
        <v>337</v>
      </c>
      <c r="B338" s="29" t="s">
        <v>3349</v>
      </c>
      <c r="C338" s="29" t="s">
        <v>3350</v>
      </c>
      <c r="D338" s="29" t="s">
        <v>11341</v>
      </c>
      <c r="E338" s="29" t="s">
        <v>9336</v>
      </c>
      <c r="F338" s="29"/>
      <c r="G338" s="29" t="s">
        <v>11990</v>
      </c>
      <c r="H338" s="29"/>
      <c r="I338" s="29" t="s">
        <v>9180</v>
      </c>
      <c r="J338" s="29" t="s">
        <v>9361</v>
      </c>
      <c r="K338" s="29" t="s">
        <v>9211</v>
      </c>
      <c r="L338" s="29" t="s">
        <v>9223</v>
      </c>
    </row>
    <row r="339" spans="1:12">
      <c r="A339" s="28">
        <v>338</v>
      </c>
      <c r="B339" s="28" t="s">
        <v>3441</v>
      </c>
      <c r="C339" s="28" t="s">
        <v>11991</v>
      </c>
      <c r="D339" s="28" t="s">
        <v>11341</v>
      </c>
      <c r="E339" s="28" t="s">
        <v>9336</v>
      </c>
      <c r="F339" s="28"/>
      <c r="G339" s="28" t="s">
        <v>11992</v>
      </c>
      <c r="H339" s="28"/>
      <c r="I339" s="28" t="s">
        <v>9180</v>
      </c>
      <c r="J339" s="28" t="s">
        <v>9334</v>
      </c>
      <c r="K339" s="28" t="s">
        <v>9211</v>
      </c>
      <c r="L339" s="28" t="s">
        <v>9189</v>
      </c>
    </row>
    <row r="340" spans="1:12">
      <c r="A340" s="29">
        <v>339</v>
      </c>
      <c r="B340" s="29" t="s">
        <v>2904</v>
      </c>
      <c r="C340" s="29" t="s">
        <v>2905</v>
      </c>
      <c r="D340" s="29" t="s">
        <v>11341</v>
      </c>
      <c r="E340" s="29" t="s">
        <v>9336</v>
      </c>
      <c r="F340" s="29"/>
      <c r="G340" s="29" t="s">
        <v>11993</v>
      </c>
      <c r="H340" s="29"/>
      <c r="I340" s="29" t="s">
        <v>9180</v>
      </c>
      <c r="J340" s="29" t="s">
        <v>9998</v>
      </c>
      <c r="K340" s="29" t="s">
        <v>9211</v>
      </c>
      <c r="L340" s="29" t="s">
        <v>9223</v>
      </c>
    </row>
    <row r="341" spans="1:12">
      <c r="A341" s="27">
        <v>340</v>
      </c>
      <c r="B341" s="27" t="s">
        <v>2585</v>
      </c>
      <c r="C341" s="27" t="s">
        <v>11994</v>
      </c>
      <c r="D341" s="27" t="s">
        <v>11337</v>
      </c>
      <c r="E341" s="27" t="s">
        <v>9336</v>
      </c>
      <c r="F341" s="27"/>
      <c r="G341" s="27" t="s">
        <v>11995</v>
      </c>
      <c r="H341" s="27"/>
      <c r="I341" s="27" t="s">
        <v>9180</v>
      </c>
      <c r="J341" s="27" t="s">
        <v>9795</v>
      </c>
      <c r="K341" s="27" t="s">
        <v>9211</v>
      </c>
      <c r="L341" s="27" t="s">
        <v>9196</v>
      </c>
    </row>
    <row r="342" spans="1:12">
      <c r="A342" s="30">
        <v>341</v>
      </c>
      <c r="B342" s="30" t="s">
        <v>3333</v>
      </c>
      <c r="C342" s="30" t="s">
        <v>11996</v>
      </c>
      <c r="D342" s="30" t="s">
        <v>11337</v>
      </c>
      <c r="E342" s="30" t="s">
        <v>9208</v>
      </c>
      <c r="F342" s="30"/>
      <c r="G342" s="30" t="s">
        <v>11997</v>
      </c>
      <c r="H342" s="30"/>
      <c r="I342" s="30" t="s">
        <v>9180</v>
      </c>
      <c r="J342" s="30" t="s">
        <v>9334</v>
      </c>
      <c r="K342" s="30" t="s">
        <v>9211</v>
      </c>
      <c r="L342" s="30" t="s">
        <v>9350</v>
      </c>
    </row>
    <row r="343" spans="1:12">
      <c r="A343" s="28">
        <v>342</v>
      </c>
      <c r="B343" s="28" t="s">
        <v>3295</v>
      </c>
      <c r="C343" s="28" t="s">
        <v>3296</v>
      </c>
      <c r="D343" s="28" t="s">
        <v>11341</v>
      </c>
      <c r="E343" s="28" t="s">
        <v>9208</v>
      </c>
      <c r="F343" s="28"/>
      <c r="G343" s="28" t="s">
        <v>11998</v>
      </c>
      <c r="H343" s="28"/>
      <c r="I343" s="28" t="s">
        <v>9180</v>
      </c>
      <c r="J343" s="28" t="s">
        <v>9626</v>
      </c>
      <c r="K343" s="28" t="s">
        <v>9211</v>
      </c>
      <c r="L343" s="28" t="s">
        <v>9212</v>
      </c>
    </row>
    <row r="344" spans="1:12">
      <c r="A344" s="27">
        <v>343</v>
      </c>
      <c r="B344" s="27" t="s">
        <v>3239</v>
      </c>
      <c r="C344" s="27" t="s">
        <v>11999</v>
      </c>
      <c r="D344" s="27" t="s">
        <v>11337</v>
      </c>
      <c r="E344" s="27" t="s">
        <v>9336</v>
      </c>
      <c r="F344" s="27"/>
      <c r="G344" s="27" t="s">
        <v>12000</v>
      </c>
      <c r="H344" s="27"/>
      <c r="I344" s="27" t="s">
        <v>9180</v>
      </c>
      <c r="J344" s="27" t="s">
        <v>9334</v>
      </c>
      <c r="K344" s="27" t="s">
        <v>9211</v>
      </c>
      <c r="L344" s="27" t="s">
        <v>9196</v>
      </c>
    </row>
    <row r="345" spans="1:12">
      <c r="A345" s="28">
        <v>344</v>
      </c>
      <c r="B345" s="28" t="s">
        <v>1752</v>
      </c>
      <c r="C345" s="28" t="s">
        <v>12001</v>
      </c>
      <c r="D345" s="28" t="s">
        <v>11341</v>
      </c>
      <c r="E345" s="28" t="s">
        <v>9208</v>
      </c>
      <c r="F345" s="28"/>
      <c r="G345" s="28" t="s">
        <v>12002</v>
      </c>
      <c r="H345" s="28"/>
      <c r="I345" s="28" t="s">
        <v>9180</v>
      </c>
      <c r="J345" s="28" t="s">
        <v>9390</v>
      </c>
      <c r="K345" s="28" t="s">
        <v>9211</v>
      </c>
      <c r="L345" s="28" t="s">
        <v>9522</v>
      </c>
    </row>
    <row r="346" spans="1:12">
      <c r="A346" s="29">
        <v>345</v>
      </c>
      <c r="B346" s="29" t="s">
        <v>3209</v>
      </c>
      <c r="C346" s="29" t="s">
        <v>3210</v>
      </c>
      <c r="D346" s="29" t="s">
        <v>11341</v>
      </c>
      <c r="E346" s="29" t="s">
        <v>9208</v>
      </c>
      <c r="F346" s="29"/>
      <c r="G346" s="29" t="s">
        <v>12003</v>
      </c>
      <c r="H346" s="29"/>
      <c r="I346" s="29" t="s">
        <v>9180</v>
      </c>
      <c r="J346" s="29" t="s">
        <v>9832</v>
      </c>
      <c r="K346" s="29" t="s">
        <v>9211</v>
      </c>
      <c r="L346" s="29" t="s">
        <v>9212</v>
      </c>
    </row>
    <row r="347" spans="1:12">
      <c r="A347" s="28">
        <v>346</v>
      </c>
      <c r="B347" s="28" t="s">
        <v>3213</v>
      </c>
      <c r="C347" s="28" t="s">
        <v>12004</v>
      </c>
      <c r="D347" s="28" t="s">
        <v>11341</v>
      </c>
      <c r="E347" s="28" t="s">
        <v>9208</v>
      </c>
      <c r="F347" s="28"/>
      <c r="G347" s="28" t="s">
        <v>12005</v>
      </c>
      <c r="H347" s="28"/>
      <c r="I347" s="28" t="s">
        <v>9180</v>
      </c>
      <c r="J347" s="28" t="s">
        <v>11076</v>
      </c>
      <c r="K347" s="28" t="s">
        <v>9211</v>
      </c>
      <c r="L347" s="28" t="s">
        <v>9522</v>
      </c>
    </row>
    <row r="348" spans="1:12">
      <c r="A348" s="29">
        <v>347</v>
      </c>
      <c r="B348" s="29" t="s">
        <v>1365</v>
      </c>
      <c r="C348" s="29" t="s">
        <v>12006</v>
      </c>
      <c r="D348" s="29" t="s">
        <v>11341</v>
      </c>
      <c r="E348" s="29" t="s">
        <v>9336</v>
      </c>
      <c r="F348" s="29"/>
      <c r="G348" s="29" t="s">
        <v>12007</v>
      </c>
      <c r="H348" s="29"/>
      <c r="I348" s="29" t="s">
        <v>9180</v>
      </c>
      <c r="J348" s="29" t="s">
        <v>12008</v>
      </c>
      <c r="K348" s="29" t="s">
        <v>9211</v>
      </c>
      <c r="L348" s="29" t="s">
        <v>9189</v>
      </c>
    </row>
    <row r="349" spans="1:12">
      <c r="A349" s="28">
        <v>348</v>
      </c>
      <c r="B349" s="28" t="s">
        <v>1843</v>
      </c>
      <c r="C349" s="28" t="s">
        <v>12009</v>
      </c>
      <c r="D349" s="28" t="s">
        <v>11341</v>
      </c>
      <c r="E349" s="28" t="s">
        <v>9336</v>
      </c>
      <c r="F349" s="28"/>
      <c r="G349" s="28" t="s">
        <v>12010</v>
      </c>
      <c r="H349" s="28"/>
      <c r="I349" s="28" t="s">
        <v>9180</v>
      </c>
      <c r="J349" s="28" t="s">
        <v>10540</v>
      </c>
      <c r="K349" s="28" t="s">
        <v>9211</v>
      </c>
      <c r="L349" s="28" t="s">
        <v>9189</v>
      </c>
    </row>
    <row r="350" spans="1:12">
      <c r="A350" s="29">
        <v>349</v>
      </c>
      <c r="B350" s="29" t="s">
        <v>326</v>
      </c>
      <c r="C350" s="29" t="s">
        <v>12011</v>
      </c>
      <c r="D350" s="29" t="s">
        <v>11341</v>
      </c>
      <c r="E350" s="29" t="s">
        <v>9208</v>
      </c>
      <c r="F350" s="29"/>
      <c r="G350" s="29" t="s">
        <v>12012</v>
      </c>
      <c r="H350" s="29"/>
      <c r="I350" s="29" t="s">
        <v>9180</v>
      </c>
      <c r="J350" s="29" t="s">
        <v>12013</v>
      </c>
      <c r="K350" s="29" t="s">
        <v>9211</v>
      </c>
      <c r="L350" s="29" t="s">
        <v>9522</v>
      </c>
    </row>
    <row r="351" spans="1:12">
      <c r="A351" s="28">
        <v>350</v>
      </c>
      <c r="B351" s="28" t="s">
        <v>3142</v>
      </c>
      <c r="C351" s="28" t="s">
        <v>3143</v>
      </c>
      <c r="D351" s="28" t="s">
        <v>11341</v>
      </c>
      <c r="E351" s="28" t="s">
        <v>9208</v>
      </c>
      <c r="F351" s="28" t="s">
        <v>12014</v>
      </c>
      <c r="G351" s="28" t="s">
        <v>12015</v>
      </c>
      <c r="H351" s="28"/>
      <c r="I351" s="28" t="s">
        <v>9180</v>
      </c>
      <c r="J351" s="28" t="s">
        <v>9832</v>
      </c>
      <c r="K351" s="28" t="s">
        <v>9211</v>
      </c>
      <c r="L351" s="28" t="s">
        <v>9212</v>
      </c>
    </row>
    <row r="352" spans="1:12">
      <c r="A352" s="29">
        <v>351</v>
      </c>
      <c r="B352" s="29" t="s">
        <v>3134</v>
      </c>
      <c r="C352" s="29" t="s">
        <v>12016</v>
      </c>
      <c r="D352" s="29" t="s">
        <v>11341</v>
      </c>
      <c r="E352" s="29" t="s">
        <v>9208</v>
      </c>
      <c r="F352" s="29"/>
      <c r="G352" s="29" t="s">
        <v>12017</v>
      </c>
      <c r="H352" s="29"/>
      <c r="I352" s="29" t="s">
        <v>9180</v>
      </c>
      <c r="J352" s="29" t="s">
        <v>9380</v>
      </c>
      <c r="K352" s="29" t="s">
        <v>9211</v>
      </c>
      <c r="L352" s="29" t="s">
        <v>9522</v>
      </c>
    </row>
    <row r="353" spans="1:12">
      <c r="A353" s="28">
        <v>352</v>
      </c>
      <c r="B353" s="28" t="s">
        <v>3120</v>
      </c>
      <c r="C353" s="28" t="s">
        <v>3121</v>
      </c>
      <c r="D353" s="28" t="s">
        <v>11341</v>
      </c>
      <c r="E353" s="28" t="s">
        <v>9336</v>
      </c>
      <c r="F353" s="28"/>
      <c r="G353" s="28" t="s">
        <v>12018</v>
      </c>
      <c r="H353" s="28"/>
      <c r="I353" s="28" t="s">
        <v>9180</v>
      </c>
      <c r="J353" s="28" t="s">
        <v>9832</v>
      </c>
      <c r="K353" s="28" t="s">
        <v>9211</v>
      </c>
      <c r="L353" s="28" t="s">
        <v>9223</v>
      </c>
    </row>
    <row r="354" spans="1:12">
      <c r="A354" s="29">
        <v>353</v>
      </c>
      <c r="B354" s="29" t="s">
        <v>3106</v>
      </c>
      <c r="C354" s="29" t="s">
        <v>12019</v>
      </c>
      <c r="D354" s="29" t="s">
        <v>11341</v>
      </c>
      <c r="E354" s="29" t="s">
        <v>9336</v>
      </c>
      <c r="F354" s="29"/>
      <c r="G354" s="29" t="s">
        <v>12020</v>
      </c>
      <c r="H354" s="29"/>
      <c r="I354" s="29" t="s">
        <v>9180</v>
      </c>
      <c r="J354" s="29" t="s">
        <v>9968</v>
      </c>
      <c r="K354" s="29" t="s">
        <v>9211</v>
      </c>
      <c r="L354" s="29" t="s">
        <v>9189</v>
      </c>
    </row>
    <row r="355" spans="1:12">
      <c r="A355" s="28">
        <v>354</v>
      </c>
      <c r="B355" s="28" t="s">
        <v>1045</v>
      </c>
      <c r="C355" s="28" t="s">
        <v>1046</v>
      </c>
      <c r="D355" s="28" t="s">
        <v>11341</v>
      </c>
      <c r="E355" s="28" t="s">
        <v>9336</v>
      </c>
      <c r="F355" s="28"/>
      <c r="G355" s="28" t="s">
        <v>12021</v>
      </c>
      <c r="H355" s="28"/>
      <c r="I355" s="28" t="s">
        <v>9180</v>
      </c>
      <c r="J355" s="28" t="s">
        <v>9754</v>
      </c>
      <c r="K355" s="28" t="s">
        <v>9211</v>
      </c>
      <c r="L355" s="28" t="s">
        <v>9223</v>
      </c>
    </row>
    <row r="356" spans="1:12">
      <c r="A356" s="29">
        <v>355</v>
      </c>
      <c r="B356" s="29" t="s">
        <v>3008</v>
      </c>
      <c r="C356" s="29" t="s">
        <v>3009</v>
      </c>
      <c r="D356" s="29" t="s">
        <v>11341</v>
      </c>
      <c r="E356" s="29" t="s">
        <v>9336</v>
      </c>
      <c r="F356" s="29"/>
      <c r="G356" s="29" t="s">
        <v>12022</v>
      </c>
      <c r="H356" s="29"/>
      <c r="I356" s="29" t="s">
        <v>9180</v>
      </c>
      <c r="J356" s="29" t="s">
        <v>9832</v>
      </c>
      <c r="K356" s="29" t="s">
        <v>9211</v>
      </c>
      <c r="L356" s="29" t="s">
        <v>9223</v>
      </c>
    </row>
    <row r="357" spans="1:12">
      <c r="A357" s="28">
        <v>356</v>
      </c>
      <c r="B357" s="28" t="s">
        <v>3012</v>
      </c>
      <c r="C357" s="28" t="s">
        <v>12023</v>
      </c>
      <c r="D357" s="28" t="s">
        <v>11341</v>
      </c>
      <c r="E357" s="28" t="s">
        <v>9336</v>
      </c>
      <c r="F357" s="28"/>
      <c r="G357" s="28" t="s">
        <v>12024</v>
      </c>
      <c r="H357" s="28"/>
      <c r="I357" s="28" t="s">
        <v>9180</v>
      </c>
      <c r="J357" s="28" t="s">
        <v>9955</v>
      </c>
      <c r="K357" s="28" t="s">
        <v>9211</v>
      </c>
      <c r="L357" s="28" t="s">
        <v>9189</v>
      </c>
    </row>
    <row r="358" spans="1:12">
      <c r="A358" s="29">
        <v>357</v>
      </c>
      <c r="B358" s="29" t="s">
        <v>3004</v>
      </c>
      <c r="C358" s="29" t="s">
        <v>3005</v>
      </c>
      <c r="D358" s="29" t="s">
        <v>11341</v>
      </c>
      <c r="E358" s="29" t="s">
        <v>9336</v>
      </c>
      <c r="F358" s="29"/>
      <c r="G358" s="29" t="s">
        <v>12025</v>
      </c>
      <c r="H358" s="29"/>
      <c r="I358" s="29" t="s">
        <v>9180</v>
      </c>
      <c r="J358" s="29" t="s">
        <v>9832</v>
      </c>
      <c r="K358" s="29" t="s">
        <v>9211</v>
      </c>
      <c r="L358" s="29" t="s">
        <v>9223</v>
      </c>
    </row>
    <row r="359" spans="1:12">
      <c r="A359" s="28">
        <v>358</v>
      </c>
      <c r="B359" s="28" t="s">
        <v>2142</v>
      </c>
      <c r="C359" s="28" t="s">
        <v>2143</v>
      </c>
      <c r="D359" s="28" t="s">
        <v>11341</v>
      </c>
      <c r="E359" s="28" t="s">
        <v>9336</v>
      </c>
      <c r="F359" s="28"/>
      <c r="G359" s="28" t="s">
        <v>12026</v>
      </c>
      <c r="H359" s="28"/>
      <c r="I359" s="28" t="s">
        <v>9180</v>
      </c>
      <c r="J359" s="28" t="s">
        <v>9991</v>
      </c>
      <c r="K359" s="28" t="s">
        <v>9211</v>
      </c>
      <c r="L359" s="28" t="s">
        <v>9223</v>
      </c>
    </row>
    <row r="360" spans="1:12">
      <c r="A360" s="29">
        <v>359</v>
      </c>
      <c r="B360" s="29" t="s">
        <v>1803</v>
      </c>
      <c r="C360" s="29" t="s">
        <v>12027</v>
      </c>
      <c r="D360" s="29" t="s">
        <v>11341</v>
      </c>
      <c r="E360" s="29" t="s">
        <v>9336</v>
      </c>
      <c r="F360" s="29"/>
      <c r="G360" s="29" t="s">
        <v>12028</v>
      </c>
      <c r="H360" s="29"/>
      <c r="I360" s="29" t="s">
        <v>9180</v>
      </c>
      <c r="J360" s="29" t="s">
        <v>11697</v>
      </c>
      <c r="K360" s="29" t="s">
        <v>9211</v>
      </c>
      <c r="L360" s="29" t="s">
        <v>9189</v>
      </c>
    </row>
    <row r="361" spans="1:12">
      <c r="A361" s="28">
        <v>360</v>
      </c>
      <c r="B361" s="28" t="s">
        <v>2914</v>
      </c>
      <c r="C361" s="28" t="s">
        <v>12029</v>
      </c>
      <c r="D361" s="28" t="s">
        <v>11341</v>
      </c>
      <c r="E361" s="28" t="s">
        <v>9336</v>
      </c>
      <c r="F361" s="28"/>
      <c r="G361" s="28" t="s">
        <v>12030</v>
      </c>
      <c r="H361" s="28"/>
      <c r="I361" s="28" t="s">
        <v>9180</v>
      </c>
      <c r="J361" s="28" t="s">
        <v>12031</v>
      </c>
      <c r="K361" s="28" t="s">
        <v>9211</v>
      </c>
      <c r="L361" s="28" t="s">
        <v>9189</v>
      </c>
    </row>
    <row r="362" spans="1:12">
      <c r="A362" s="27">
        <v>361</v>
      </c>
      <c r="B362" s="27" t="s">
        <v>2926</v>
      </c>
      <c r="C362" s="27" t="s">
        <v>1926</v>
      </c>
      <c r="D362" s="27" t="s">
        <v>11337</v>
      </c>
      <c r="E362" s="27" t="s">
        <v>9336</v>
      </c>
      <c r="F362" s="27"/>
      <c r="G362" s="27" t="s">
        <v>12032</v>
      </c>
      <c r="H362" s="27"/>
      <c r="I362" s="27" t="s">
        <v>9180</v>
      </c>
      <c r="J362" s="27" t="s">
        <v>9832</v>
      </c>
      <c r="K362" s="27" t="s">
        <v>9211</v>
      </c>
      <c r="L362" s="27" t="s">
        <v>9183</v>
      </c>
    </row>
    <row r="363" spans="1:12">
      <c r="A363" s="28">
        <v>362</v>
      </c>
      <c r="B363" s="28" t="s">
        <v>2929</v>
      </c>
      <c r="C363" s="28" t="s">
        <v>12033</v>
      </c>
      <c r="D363" s="28" t="s">
        <v>11341</v>
      </c>
      <c r="E363" s="28" t="s">
        <v>9336</v>
      </c>
      <c r="F363" s="28"/>
      <c r="G363" s="28" t="s">
        <v>12034</v>
      </c>
      <c r="H363" s="28"/>
      <c r="I363" s="28" t="s">
        <v>9180</v>
      </c>
      <c r="J363" s="28" t="s">
        <v>9832</v>
      </c>
      <c r="K363" s="28" t="s">
        <v>9211</v>
      </c>
      <c r="L363" s="28" t="s">
        <v>9223</v>
      </c>
    </row>
    <row r="364" spans="1:12">
      <c r="A364" s="29">
        <v>363</v>
      </c>
      <c r="B364" s="29" t="s">
        <v>2933</v>
      </c>
      <c r="C364" s="29" t="s">
        <v>2934</v>
      </c>
      <c r="D364" s="29" t="s">
        <v>11341</v>
      </c>
      <c r="E364" s="29" t="s">
        <v>9336</v>
      </c>
      <c r="F364" s="29" t="s">
        <v>12035</v>
      </c>
      <c r="G364" s="29" t="s">
        <v>12036</v>
      </c>
      <c r="H364" s="29"/>
      <c r="I364" s="29" t="s">
        <v>9180</v>
      </c>
      <c r="J364" s="29" t="s">
        <v>10311</v>
      </c>
      <c r="K364" s="29" t="s">
        <v>9211</v>
      </c>
      <c r="L364" s="29" t="s">
        <v>9223</v>
      </c>
    </row>
    <row r="365" spans="1:12">
      <c r="A365" s="28">
        <v>364</v>
      </c>
      <c r="B365" s="28" t="s">
        <v>2708</v>
      </c>
      <c r="C365" s="28" t="s">
        <v>12037</v>
      </c>
      <c r="D365" s="28" t="s">
        <v>11341</v>
      </c>
      <c r="E365" s="28" t="s">
        <v>9336</v>
      </c>
      <c r="F365" s="28"/>
      <c r="G365" s="28" t="s">
        <v>12038</v>
      </c>
      <c r="H365" s="28"/>
      <c r="I365" s="28" t="s">
        <v>9180</v>
      </c>
      <c r="J365" s="28" t="s">
        <v>9955</v>
      </c>
      <c r="K365" s="28" t="s">
        <v>9211</v>
      </c>
      <c r="L365" s="28" t="s">
        <v>9189</v>
      </c>
    </row>
    <row r="366" spans="1:12">
      <c r="A366" s="29">
        <v>365</v>
      </c>
      <c r="B366" s="29" t="s">
        <v>1977</v>
      </c>
      <c r="C366" s="29" t="s">
        <v>12039</v>
      </c>
      <c r="D366" s="29" t="s">
        <v>11341</v>
      </c>
      <c r="E366" s="29" t="s">
        <v>9208</v>
      </c>
      <c r="F366" s="29"/>
      <c r="G366" s="29" t="s">
        <v>12040</v>
      </c>
      <c r="H366" s="29"/>
      <c r="I366" s="29" t="s">
        <v>9180</v>
      </c>
      <c r="J366" s="29" t="s">
        <v>9978</v>
      </c>
      <c r="K366" s="29" t="s">
        <v>9211</v>
      </c>
      <c r="L366" s="29" t="s">
        <v>9522</v>
      </c>
    </row>
    <row r="367" spans="1:12">
      <c r="A367" s="28">
        <v>366</v>
      </c>
      <c r="B367" s="28" t="s">
        <v>2146</v>
      </c>
      <c r="C367" s="28" t="s">
        <v>12041</v>
      </c>
      <c r="D367" s="28" t="s">
        <v>11341</v>
      </c>
      <c r="E367" s="28" t="s">
        <v>9336</v>
      </c>
      <c r="F367" s="28"/>
      <c r="G367" s="28" t="s">
        <v>12042</v>
      </c>
      <c r="H367" s="28"/>
      <c r="I367" s="28" t="s">
        <v>9180</v>
      </c>
      <c r="J367" s="28" t="s">
        <v>9515</v>
      </c>
      <c r="K367" s="28" t="s">
        <v>9211</v>
      </c>
      <c r="L367" s="28" t="s">
        <v>9189</v>
      </c>
    </row>
    <row r="368" spans="1:12">
      <c r="A368" s="29">
        <v>367</v>
      </c>
      <c r="B368" s="29" t="s">
        <v>2132</v>
      </c>
      <c r="C368" s="29" t="s">
        <v>2133</v>
      </c>
      <c r="D368" s="29" t="s">
        <v>11341</v>
      </c>
      <c r="E368" s="29" t="s">
        <v>9336</v>
      </c>
      <c r="F368" s="29"/>
      <c r="G368" s="29" t="s">
        <v>12043</v>
      </c>
      <c r="H368" s="29"/>
      <c r="I368" s="29" t="s">
        <v>9180</v>
      </c>
      <c r="J368" s="29" t="s">
        <v>10117</v>
      </c>
      <c r="K368" s="29" t="s">
        <v>9211</v>
      </c>
      <c r="L368" s="29" t="s">
        <v>9223</v>
      </c>
    </row>
    <row r="369" spans="1:12">
      <c r="A369" s="28">
        <v>368</v>
      </c>
      <c r="B369" s="28" t="s">
        <v>2444</v>
      </c>
      <c r="C369" s="28" t="s">
        <v>2445</v>
      </c>
      <c r="D369" s="28" t="s">
        <v>11341</v>
      </c>
      <c r="E369" s="28" t="s">
        <v>9336</v>
      </c>
      <c r="F369" s="28"/>
      <c r="G369" s="28" t="s">
        <v>12044</v>
      </c>
      <c r="H369" s="28"/>
      <c r="I369" s="28" t="s">
        <v>9180</v>
      </c>
      <c r="J369" s="28" t="s">
        <v>9361</v>
      </c>
      <c r="K369" s="28" t="s">
        <v>9211</v>
      </c>
      <c r="L369" s="28" t="s">
        <v>9223</v>
      </c>
    </row>
    <row r="370" spans="1:12">
      <c r="A370" s="29">
        <v>369</v>
      </c>
      <c r="B370" s="29" t="s">
        <v>1490</v>
      </c>
      <c r="C370" s="29" t="s">
        <v>1491</v>
      </c>
      <c r="D370" s="29" t="s">
        <v>11341</v>
      </c>
      <c r="E370" s="29" t="s">
        <v>9336</v>
      </c>
      <c r="F370" s="29"/>
      <c r="G370" s="29" t="s">
        <v>12045</v>
      </c>
      <c r="H370" s="29"/>
      <c r="I370" s="29" t="s">
        <v>9180</v>
      </c>
      <c r="J370" s="29" t="s">
        <v>12046</v>
      </c>
      <c r="K370" s="29" t="s">
        <v>9211</v>
      </c>
      <c r="L370" s="29" t="s">
        <v>9223</v>
      </c>
    </row>
    <row r="371" spans="1:12">
      <c r="A371" s="28">
        <v>370</v>
      </c>
      <c r="B371" s="28" t="s">
        <v>510</v>
      </c>
      <c r="C371" s="28" t="s">
        <v>12047</v>
      </c>
      <c r="D371" s="28" t="s">
        <v>11341</v>
      </c>
      <c r="E371" s="28" t="s">
        <v>9336</v>
      </c>
      <c r="F371" s="28"/>
      <c r="G371" s="28" t="s">
        <v>12048</v>
      </c>
      <c r="H371" s="28"/>
      <c r="I371" s="28" t="s">
        <v>9180</v>
      </c>
      <c r="J371" s="28" t="s">
        <v>12049</v>
      </c>
      <c r="K371" s="28" t="s">
        <v>9211</v>
      </c>
      <c r="L371" s="28" t="s">
        <v>9223</v>
      </c>
    </row>
    <row r="372" spans="1:12">
      <c r="A372" s="29">
        <v>371</v>
      </c>
      <c r="B372" s="29" t="s">
        <v>2730</v>
      </c>
      <c r="C372" s="29" t="s">
        <v>11950</v>
      </c>
      <c r="D372" s="29" t="s">
        <v>11341</v>
      </c>
      <c r="E372" s="29" t="s">
        <v>9208</v>
      </c>
      <c r="F372" s="29"/>
      <c r="G372" s="29" t="s">
        <v>12050</v>
      </c>
      <c r="H372" s="29"/>
      <c r="I372" s="29" t="s">
        <v>9180</v>
      </c>
      <c r="J372" s="29" t="s">
        <v>9224</v>
      </c>
      <c r="K372" s="29" t="s">
        <v>9211</v>
      </c>
      <c r="L372" s="29" t="s">
        <v>9522</v>
      </c>
    </row>
    <row r="373" spans="1:12">
      <c r="A373" s="28">
        <v>372</v>
      </c>
      <c r="B373" s="28" t="s">
        <v>2471</v>
      </c>
      <c r="C373" s="28" t="s">
        <v>2472</v>
      </c>
      <c r="D373" s="28" t="s">
        <v>11341</v>
      </c>
      <c r="E373" s="28" t="s">
        <v>9336</v>
      </c>
      <c r="F373" s="28"/>
      <c r="G373" s="28" t="s">
        <v>12051</v>
      </c>
      <c r="H373" s="28"/>
      <c r="I373" s="28" t="s">
        <v>9180</v>
      </c>
      <c r="J373" s="28" t="s">
        <v>9361</v>
      </c>
      <c r="K373" s="28" t="s">
        <v>9211</v>
      </c>
      <c r="L373" s="28" t="s">
        <v>9223</v>
      </c>
    </row>
    <row r="374" spans="1:12">
      <c r="A374" s="29">
        <v>373</v>
      </c>
      <c r="B374" s="29" t="s">
        <v>1660</v>
      </c>
      <c r="C374" s="29" t="s">
        <v>1661</v>
      </c>
      <c r="D374" s="29" t="s">
        <v>11341</v>
      </c>
      <c r="E374" s="29" t="s">
        <v>9336</v>
      </c>
      <c r="F374" s="29"/>
      <c r="G374" s="29" t="s">
        <v>12052</v>
      </c>
      <c r="H374" s="29"/>
      <c r="I374" s="29" t="s">
        <v>9180</v>
      </c>
      <c r="J374" s="29" t="s">
        <v>12053</v>
      </c>
      <c r="K374" s="29" t="s">
        <v>9211</v>
      </c>
      <c r="L374" s="29" t="s">
        <v>9223</v>
      </c>
    </row>
    <row r="375" spans="1:12">
      <c r="A375" s="28">
        <v>374</v>
      </c>
      <c r="B375" s="28" t="s">
        <v>2434</v>
      </c>
      <c r="C375" s="28" t="s">
        <v>2435</v>
      </c>
      <c r="D375" s="28" t="s">
        <v>11341</v>
      </c>
      <c r="E375" s="28" t="s">
        <v>9336</v>
      </c>
      <c r="F375" s="28"/>
      <c r="G375" s="28" t="s">
        <v>12054</v>
      </c>
      <c r="H375" s="28"/>
      <c r="I375" s="28" t="s">
        <v>9180</v>
      </c>
      <c r="J375" s="28" t="s">
        <v>9361</v>
      </c>
      <c r="K375" s="28" t="s">
        <v>9211</v>
      </c>
      <c r="L375" s="28" t="s">
        <v>9223</v>
      </c>
    </row>
    <row r="376" spans="1:12">
      <c r="A376" s="29">
        <v>375</v>
      </c>
      <c r="B376" s="29" t="s">
        <v>2475</v>
      </c>
      <c r="C376" s="29" t="s">
        <v>2476</v>
      </c>
      <c r="D376" s="29" t="s">
        <v>11341</v>
      </c>
      <c r="E376" s="29" t="s">
        <v>9336</v>
      </c>
      <c r="F376" s="29"/>
      <c r="G376" s="29" t="s">
        <v>12055</v>
      </c>
      <c r="H376" s="29" t="s">
        <v>12055</v>
      </c>
      <c r="I376" s="29" t="s">
        <v>9180</v>
      </c>
      <c r="J376" s="29" t="s">
        <v>9626</v>
      </c>
      <c r="K376" s="29" t="s">
        <v>9211</v>
      </c>
      <c r="L376" s="29" t="s">
        <v>9223</v>
      </c>
    </row>
    <row r="377" spans="1:12">
      <c r="A377" s="28">
        <v>376</v>
      </c>
      <c r="B377" s="28" t="s">
        <v>2457</v>
      </c>
      <c r="C377" s="28" t="s">
        <v>12056</v>
      </c>
      <c r="D377" s="28" t="s">
        <v>11341</v>
      </c>
      <c r="E377" s="28" t="s">
        <v>9208</v>
      </c>
      <c r="F377" s="28"/>
      <c r="G377" s="28" t="s">
        <v>12057</v>
      </c>
      <c r="H377" s="28"/>
      <c r="I377" s="28" t="s">
        <v>9180</v>
      </c>
      <c r="J377" s="28" t="s">
        <v>9334</v>
      </c>
      <c r="K377" s="28" t="s">
        <v>9211</v>
      </c>
      <c r="L377" s="28" t="s">
        <v>9522</v>
      </c>
    </row>
    <row r="378" spans="1:12">
      <c r="A378" s="29">
        <v>377</v>
      </c>
      <c r="B378" s="29" t="s">
        <v>2451</v>
      </c>
      <c r="C378" s="29" t="s">
        <v>12058</v>
      </c>
      <c r="D378" s="29" t="s">
        <v>11341</v>
      </c>
      <c r="E378" s="29" t="s">
        <v>9208</v>
      </c>
      <c r="F378" s="29"/>
      <c r="G378" s="29" t="s">
        <v>12059</v>
      </c>
      <c r="H378" s="29"/>
      <c r="I378" s="29" t="s">
        <v>9180</v>
      </c>
      <c r="J378" s="29" t="s">
        <v>9334</v>
      </c>
      <c r="K378" s="29" t="s">
        <v>9211</v>
      </c>
      <c r="L378" s="29" t="s">
        <v>9522</v>
      </c>
    </row>
    <row r="379" spans="1:12">
      <c r="A379" s="28">
        <v>378</v>
      </c>
      <c r="B379" s="28" t="s">
        <v>1217</v>
      </c>
      <c r="C379" s="28" t="s">
        <v>1218</v>
      </c>
      <c r="D379" s="28" t="s">
        <v>11341</v>
      </c>
      <c r="E379" s="28" t="s">
        <v>9336</v>
      </c>
      <c r="F379" s="28"/>
      <c r="G379" s="28" t="s">
        <v>12060</v>
      </c>
      <c r="H379" s="28"/>
      <c r="I379" s="28" t="s">
        <v>9180</v>
      </c>
      <c r="J379" s="28" t="s">
        <v>9480</v>
      </c>
      <c r="K379" s="28" t="s">
        <v>9211</v>
      </c>
      <c r="L379" s="28" t="s">
        <v>9223</v>
      </c>
    </row>
    <row r="380" spans="1:12">
      <c r="A380" s="29">
        <v>379</v>
      </c>
      <c r="B380" s="29" t="s">
        <v>1134</v>
      </c>
      <c r="C380" s="29" t="s">
        <v>12061</v>
      </c>
      <c r="D380" s="29" t="s">
        <v>11341</v>
      </c>
      <c r="E380" s="29" t="s">
        <v>9336</v>
      </c>
      <c r="F380" s="29"/>
      <c r="G380" s="29" t="s">
        <v>12062</v>
      </c>
      <c r="H380" s="29"/>
      <c r="I380" s="29" t="s">
        <v>9180</v>
      </c>
      <c r="J380" s="29" t="s">
        <v>10084</v>
      </c>
      <c r="K380" s="29" t="s">
        <v>9211</v>
      </c>
      <c r="L380" s="29" t="s">
        <v>9189</v>
      </c>
    </row>
    <row r="381" spans="1:12">
      <c r="A381" s="28">
        <v>380</v>
      </c>
      <c r="B381" s="28" t="s">
        <v>2430</v>
      </c>
      <c r="C381" s="28" t="s">
        <v>12063</v>
      </c>
      <c r="D381" s="28" t="s">
        <v>11341</v>
      </c>
      <c r="E381" s="28" t="s">
        <v>9336</v>
      </c>
      <c r="F381" s="28"/>
      <c r="G381" s="28" t="s">
        <v>12064</v>
      </c>
      <c r="H381" s="28"/>
      <c r="I381" s="28" t="s">
        <v>9180</v>
      </c>
      <c r="J381" s="28" t="s">
        <v>9380</v>
      </c>
      <c r="K381" s="28" t="s">
        <v>9211</v>
      </c>
      <c r="L381" s="28" t="s">
        <v>9189</v>
      </c>
    </row>
    <row r="382" spans="1:12">
      <c r="A382" s="29">
        <v>381</v>
      </c>
      <c r="B382" s="29" t="s">
        <v>979</v>
      </c>
      <c r="C382" s="29" t="s">
        <v>980</v>
      </c>
      <c r="D382" s="29" t="s">
        <v>11341</v>
      </c>
      <c r="E382" s="29" t="s">
        <v>9336</v>
      </c>
      <c r="F382" s="29"/>
      <c r="G382" s="29" t="s">
        <v>12065</v>
      </c>
      <c r="H382" s="29" t="s">
        <v>12065</v>
      </c>
      <c r="I382" s="29" t="s">
        <v>9180</v>
      </c>
      <c r="J382" s="29" t="s">
        <v>12066</v>
      </c>
      <c r="K382" s="29" t="s">
        <v>9211</v>
      </c>
      <c r="L382" s="29" t="s">
        <v>9223</v>
      </c>
    </row>
    <row r="383" spans="1:12">
      <c r="A383" s="28">
        <v>382</v>
      </c>
      <c r="B383" s="28" t="s">
        <v>2396</v>
      </c>
      <c r="C383" s="28" t="s">
        <v>2397</v>
      </c>
      <c r="D383" s="28" t="s">
        <v>11341</v>
      </c>
      <c r="E383" s="28" t="s">
        <v>9336</v>
      </c>
      <c r="F383" s="28"/>
      <c r="G383" s="28" t="s">
        <v>12067</v>
      </c>
      <c r="H383" s="28"/>
      <c r="I383" s="28" t="s">
        <v>9180</v>
      </c>
      <c r="J383" s="28" t="s">
        <v>11856</v>
      </c>
      <c r="K383" s="28" t="s">
        <v>9211</v>
      </c>
      <c r="L383" s="28" t="s">
        <v>9223</v>
      </c>
    </row>
    <row r="384" spans="1:12">
      <c r="A384" s="29">
        <v>383</v>
      </c>
      <c r="B384" s="29" t="s">
        <v>2390</v>
      </c>
      <c r="C384" s="29"/>
      <c r="D384" s="29" t="s">
        <v>11341</v>
      </c>
      <c r="E384" s="29" t="s">
        <v>9336</v>
      </c>
      <c r="F384" s="29"/>
      <c r="G384" s="29" t="s">
        <v>12068</v>
      </c>
      <c r="H384" s="29"/>
      <c r="I384" s="29" t="s">
        <v>9180</v>
      </c>
      <c r="J384" s="29" t="s">
        <v>9195</v>
      </c>
      <c r="K384" s="29" t="s">
        <v>9211</v>
      </c>
      <c r="L384" s="29" t="s">
        <v>9223</v>
      </c>
    </row>
    <row r="385" spans="1:12">
      <c r="A385" s="28">
        <v>384</v>
      </c>
      <c r="B385" s="28" t="s">
        <v>2386</v>
      </c>
      <c r="C385" s="28" t="s">
        <v>12069</v>
      </c>
      <c r="D385" s="28" t="s">
        <v>11341</v>
      </c>
      <c r="E385" s="28" t="s">
        <v>9336</v>
      </c>
      <c r="F385" s="28"/>
      <c r="G385" s="28" t="s">
        <v>12070</v>
      </c>
      <c r="H385" s="28"/>
      <c r="I385" s="28" t="s">
        <v>9180</v>
      </c>
      <c r="J385" s="28" t="s">
        <v>9788</v>
      </c>
      <c r="K385" s="28" t="s">
        <v>9211</v>
      </c>
      <c r="L385" s="28" t="s">
        <v>9189</v>
      </c>
    </row>
    <row r="386" spans="1:12">
      <c r="A386" s="29">
        <v>385</v>
      </c>
      <c r="B386" s="29" t="s">
        <v>1575</v>
      </c>
      <c r="C386" s="29" t="s">
        <v>12071</v>
      </c>
      <c r="D386" s="29" t="s">
        <v>11341</v>
      </c>
      <c r="E386" s="29" t="s">
        <v>9336</v>
      </c>
      <c r="F386" s="29"/>
      <c r="G386" s="29" t="s">
        <v>12072</v>
      </c>
      <c r="H386" s="29"/>
      <c r="I386" s="29" t="s">
        <v>9180</v>
      </c>
      <c r="J386" s="29" t="s">
        <v>10092</v>
      </c>
      <c r="K386" s="29" t="s">
        <v>9211</v>
      </c>
      <c r="L386" s="29" t="s">
        <v>9189</v>
      </c>
    </row>
    <row r="387" spans="1:12">
      <c r="A387" s="28">
        <v>386</v>
      </c>
      <c r="B387" s="28" t="s">
        <v>838</v>
      </c>
      <c r="C387" s="28" t="s">
        <v>12073</v>
      </c>
      <c r="D387" s="28" t="s">
        <v>11341</v>
      </c>
      <c r="E387" s="28" t="s">
        <v>9336</v>
      </c>
      <c r="F387" s="28"/>
      <c r="G387" s="28" t="s">
        <v>12074</v>
      </c>
      <c r="H387" s="28"/>
      <c r="I387" s="28" t="s">
        <v>9180</v>
      </c>
      <c r="J387" s="28" t="s">
        <v>12075</v>
      </c>
      <c r="K387" s="28" t="s">
        <v>9211</v>
      </c>
      <c r="L387" s="28" t="s">
        <v>9189</v>
      </c>
    </row>
    <row r="388" spans="1:12">
      <c r="A388" s="29">
        <v>387</v>
      </c>
      <c r="B388" s="29" t="s">
        <v>1736</v>
      </c>
      <c r="C388" s="29" t="s">
        <v>12076</v>
      </c>
      <c r="D388" s="29" t="s">
        <v>11341</v>
      </c>
      <c r="E388" s="29" t="s">
        <v>9336</v>
      </c>
      <c r="F388" s="29"/>
      <c r="G388" s="29" t="s">
        <v>12077</v>
      </c>
      <c r="H388" s="29"/>
      <c r="I388" s="29" t="s">
        <v>9180</v>
      </c>
      <c r="J388" s="29" t="s">
        <v>12078</v>
      </c>
      <c r="K388" s="29" t="s">
        <v>9211</v>
      </c>
      <c r="L388" s="29" t="s">
        <v>9189</v>
      </c>
    </row>
    <row r="389" spans="1:12">
      <c r="A389" s="28">
        <v>388</v>
      </c>
      <c r="B389" s="28" t="s">
        <v>2311</v>
      </c>
      <c r="C389" s="28"/>
      <c r="D389" s="28" t="s">
        <v>11341</v>
      </c>
      <c r="E389" s="28" t="s">
        <v>9336</v>
      </c>
      <c r="F389" s="28"/>
      <c r="G389" s="28" t="s">
        <v>12079</v>
      </c>
      <c r="H389" s="28"/>
      <c r="I389" s="28" t="s">
        <v>9180</v>
      </c>
      <c r="J389" s="28" t="s">
        <v>11217</v>
      </c>
      <c r="K389" s="28" t="s">
        <v>9211</v>
      </c>
      <c r="L389" s="28" t="s">
        <v>9223</v>
      </c>
    </row>
    <row r="390" spans="1:12">
      <c r="A390" s="29">
        <v>389</v>
      </c>
      <c r="B390" s="29" t="s">
        <v>2287</v>
      </c>
      <c r="C390" s="29" t="s">
        <v>12080</v>
      </c>
      <c r="D390" s="29" t="s">
        <v>11341</v>
      </c>
      <c r="E390" s="29" t="s">
        <v>9336</v>
      </c>
      <c r="F390" s="29"/>
      <c r="G390" s="29" t="s">
        <v>12081</v>
      </c>
      <c r="H390" s="29"/>
      <c r="I390" s="29" t="s">
        <v>9180</v>
      </c>
      <c r="J390" s="29" t="s">
        <v>12082</v>
      </c>
      <c r="K390" s="29" t="s">
        <v>9211</v>
      </c>
      <c r="L390" s="29" t="s">
        <v>9189</v>
      </c>
    </row>
    <row r="391" spans="1:12">
      <c r="A391" s="28">
        <v>390</v>
      </c>
      <c r="B391" s="28" t="s">
        <v>2297</v>
      </c>
      <c r="C391" s="28" t="s">
        <v>12083</v>
      </c>
      <c r="D391" s="28" t="s">
        <v>11341</v>
      </c>
      <c r="E391" s="28" t="s">
        <v>9336</v>
      </c>
      <c r="F391" s="28"/>
      <c r="G391" s="28" t="s">
        <v>12084</v>
      </c>
      <c r="H391" s="28"/>
      <c r="I391" s="28" t="s">
        <v>9180</v>
      </c>
      <c r="J391" s="28" t="s">
        <v>12085</v>
      </c>
      <c r="K391" s="28" t="s">
        <v>9211</v>
      </c>
      <c r="L391" s="28" t="s">
        <v>9189</v>
      </c>
    </row>
    <row r="392" spans="1:12">
      <c r="A392" s="29">
        <v>391</v>
      </c>
      <c r="B392" s="29" t="s">
        <v>2293</v>
      </c>
      <c r="C392" s="29" t="s">
        <v>2294</v>
      </c>
      <c r="D392" s="29" t="s">
        <v>11341</v>
      </c>
      <c r="E392" s="29" t="s">
        <v>9336</v>
      </c>
      <c r="F392" s="29"/>
      <c r="G392" s="29" t="s">
        <v>12086</v>
      </c>
      <c r="H392" s="29"/>
      <c r="I392" s="29" t="s">
        <v>9180</v>
      </c>
      <c r="J392" s="29" t="s">
        <v>9306</v>
      </c>
      <c r="K392" s="29" t="s">
        <v>9211</v>
      </c>
      <c r="L392" s="29" t="s">
        <v>9223</v>
      </c>
    </row>
    <row r="393" spans="1:12">
      <c r="A393" s="28">
        <v>392</v>
      </c>
      <c r="B393" s="28" t="s">
        <v>1827</v>
      </c>
      <c r="C393" s="28" t="s">
        <v>12087</v>
      </c>
      <c r="D393" s="28" t="s">
        <v>11341</v>
      </c>
      <c r="E393" s="28" t="s">
        <v>9336</v>
      </c>
      <c r="F393" s="28"/>
      <c r="G393" s="28" t="s">
        <v>12088</v>
      </c>
      <c r="H393" s="28"/>
      <c r="I393" s="28" t="s">
        <v>9180</v>
      </c>
      <c r="J393" s="28" t="s">
        <v>12089</v>
      </c>
      <c r="K393" s="28" t="s">
        <v>9211</v>
      </c>
      <c r="L393" s="28" t="s">
        <v>9189</v>
      </c>
    </row>
    <row r="394" spans="1:12">
      <c r="A394" s="29">
        <v>393</v>
      </c>
      <c r="B394" s="29" t="s">
        <v>1563</v>
      </c>
      <c r="C394" s="29" t="s">
        <v>12090</v>
      </c>
      <c r="D394" s="29" t="s">
        <v>11341</v>
      </c>
      <c r="E394" s="29" t="s">
        <v>9336</v>
      </c>
      <c r="F394" s="29"/>
      <c r="G394" s="29" t="s">
        <v>12091</v>
      </c>
      <c r="H394" s="29"/>
      <c r="I394" s="29" t="s">
        <v>9180</v>
      </c>
      <c r="J394" s="29" t="s">
        <v>12092</v>
      </c>
      <c r="K394" s="29" t="s">
        <v>9211</v>
      </c>
      <c r="L394" s="29" t="s">
        <v>9189</v>
      </c>
    </row>
    <row r="395" spans="1:12">
      <c r="A395" s="28">
        <v>394</v>
      </c>
      <c r="B395" s="28" t="s">
        <v>2269</v>
      </c>
      <c r="C395" s="28" t="s">
        <v>12093</v>
      </c>
      <c r="D395" s="28" t="s">
        <v>11341</v>
      </c>
      <c r="E395" s="28" t="s">
        <v>9336</v>
      </c>
      <c r="F395" s="28"/>
      <c r="G395" s="28" t="s">
        <v>12094</v>
      </c>
      <c r="H395" s="28"/>
      <c r="I395" s="28" t="s">
        <v>9180</v>
      </c>
      <c r="J395" s="28" t="s">
        <v>10063</v>
      </c>
      <c r="K395" s="28" t="s">
        <v>9211</v>
      </c>
      <c r="L395" s="28" t="s">
        <v>9223</v>
      </c>
    </row>
    <row r="396" spans="1:12">
      <c r="A396" s="29">
        <v>395</v>
      </c>
      <c r="B396" s="29" t="s">
        <v>2265</v>
      </c>
      <c r="C396" s="29" t="s">
        <v>2266</v>
      </c>
      <c r="D396" s="29" t="s">
        <v>11341</v>
      </c>
      <c r="E396" s="29" t="s">
        <v>9336</v>
      </c>
      <c r="F396" s="29"/>
      <c r="G396" s="29" t="s">
        <v>12095</v>
      </c>
      <c r="H396" s="29"/>
      <c r="I396" s="29" t="s">
        <v>9180</v>
      </c>
      <c r="J396" s="29" t="s">
        <v>10063</v>
      </c>
      <c r="K396" s="29" t="s">
        <v>9211</v>
      </c>
      <c r="L396" s="29" t="s">
        <v>9223</v>
      </c>
    </row>
    <row r="397" spans="1:12">
      <c r="A397" s="28">
        <v>396</v>
      </c>
      <c r="B397" s="28" t="s">
        <v>2250</v>
      </c>
      <c r="C397" s="28" t="s">
        <v>12096</v>
      </c>
      <c r="D397" s="28" t="s">
        <v>11341</v>
      </c>
      <c r="E397" s="28" t="s">
        <v>9336</v>
      </c>
      <c r="F397" s="28"/>
      <c r="G397" s="28" t="s">
        <v>12097</v>
      </c>
      <c r="H397" s="28"/>
      <c r="I397" s="28" t="s">
        <v>9180</v>
      </c>
      <c r="J397" s="28" t="s">
        <v>12098</v>
      </c>
      <c r="K397" s="28" t="s">
        <v>9211</v>
      </c>
      <c r="L397" s="28" t="s">
        <v>9189</v>
      </c>
    </row>
    <row r="398" spans="1:12">
      <c r="A398" s="29">
        <v>397</v>
      </c>
      <c r="B398" s="29" t="s">
        <v>1783</v>
      </c>
      <c r="C398" s="29" t="s">
        <v>12099</v>
      </c>
      <c r="D398" s="29" t="s">
        <v>11341</v>
      </c>
      <c r="E398" s="29" t="s">
        <v>9336</v>
      </c>
      <c r="F398" s="29"/>
      <c r="G398" s="29" t="s">
        <v>12100</v>
      </c>
      <c r="H398" s="29"/>
      <c r="I398" s="29" t="s">
        <v>9180</v>
      </c>
      <c r="J398" s="29" t="s">
        <v>9766</v>
      </c>
      <c r="K398" s="29" t="s">
        <v>9211</v>
      </c>
      <c r="L398" s="29" t="s">
        <v>9189</v>
      </c>
    </row>
    <row r="399" spans="1:12">
      <c r="A399" s="28">
        <v>398</v>
      </c>
      <c r="B399" s="28" t="s">
        <v>1567</v>
      </c>
      <c r="C399" s="28" t="s">
        <v>12101</v>
      </c>
      <c r="D399" s="28" t="s">
        <v>11341</v>
      </c>
      <c r="E399" s="28" t="s">
        <v>9336</v>
      </c>
      <c r="F399" s="28"/>
      <c r="G399" s="28" t="s">
        <v>12102</v>
      </c>
      <c r="H399" s="28"/>
      <c r="I399" s="28" t="s">
        <v>9180</v>
      </c>
      <c r="J399" s="28" t="s">
        <v>11626</v>
      </c>
      <c r="K399" s="28" t="s">
        <v>9211</v>
      </c>
      <c r="L399" s="28" t="s">
        <v>9189</v>
      </c>
    </row>
    <row r="400" spans="1:12">
      <c r="A400" s="29">
        <v>399</v>
      </c>
      <c r="B400" s="29" t="s">
        <v>106</v>
      </c>
      <c r="C400" s="29" t="s">
        <v>107</v>
      </c>
      <c r="D400" s="29" t="s">
        <v>11341</v>
      </c>
      <c r="E400" s="29" t="s">
        <v>9336</v>
      </c>
      <c r="F400" s="29"/>
      <c r="G400" s="29" t="s">
        <v>12103</v>
      </c>
      <c r="H400" s="29"/>
      <c r="I400" s="29" t="s">
        <v>9180</v>
      </c>
      <c r="J400" s="29" t="s">
        <v>10057</v>
      </c>
      <c r="K400" s="29" t="s">
        <v>9211</v>
      </c>
      <c r="L400" s="29" t="s">
        <v>9189</v>
      </c>
    </row>
    <row r="401" spans="1:12">
      <c r="A401" s="28">
        <v>400</v>
      </c>
      <c r="B401" s="28" t="s">
        <v>1395</v>
      </c>
      <c r="C401" s="28" t="s">
        <v>12104</v>
      </c>
      <c r="D401" s="28" t="s">
        <v>11341</v>
      </c>
      <c r="E401" s="28" t="s">
        <v>9336</v>
      </c>
      <c r="F401" s="28"/>
      <c r="G401" s="28" t="s">
        <v>12105</v>
      </c>
      <c r="H401" s="28"/>
      <c r="I401" s="28" t="s">
        <v>9180</v>
      </c>
      <c r="J401" s="28" t="s">
        <v>9766</v>
      </c>
      <c r="K401" s="28" t="s">
        <v>9211</v>
      </c>
      <c r="L401" s="28" t="s">
        <v>9189</v>
      </c>
    </row>
    <row r="402" spans="1:12">
      <c r="A402" s="29">
        <v>401</v>
      </c>
      <c r="B402" s="29" t="s">
        <v>494</v>
      </c>
      <c r="C402" s="29" t="s">
        <v>12106</v>
      </c>
      <c r="D402" s="29" t="s">
        <v>11341</v>
      </c>
      <c r="E402" s="29" t="s">
        <v>9208</v>
      </c>
      <c r="F402" s="29"/>
      <c r="G402" s="29" t="s">
        <v>12107</v>
      </c>
      <c r="H402" s="29"/>
      <c r="I402" s="29" t="s">
        <v>9180</v>
      </c>
      <c r="J402" s="29" t="s">
        <v>12108</v>
      </c>
      <c r="K402" s="29" t="s">
        <v>9211</v>
      </c>
      <c r="L402" s="29" t="s">
        <v>9522</v>
      </c>
    </row>
    <row r="403" spans="1:12">
      <c r="A403" s="28">
        <v>402</v>
      </c>
      <c r="B403" s="28" t="s">
        <v>967</v>
      </c>
      <c r="C403" s="28" t="s">
        <v>968</v>
      </c>
      <c r="D403" s="28" t="s">
        <v>11341</v>
      </c>
      <c r="E403" s="28" t="s">
        <v>9336</v>
      </c>
      <c r="F403" s="28"/>
      <c r="G403" s="28" t="s">
        <v>12109</v>
      </c>
      <c r="H403" s="28"/>
      <c r="I403" s="28" t="s">
        <v>9180</v>
      </c>
      <c r="J403" s="28" t="s">
        <v>9991</v>
      </c>
      <c r="K403" s="28" t="s">
        <v>9211</v>
      </c>
      <c r="L403" s="28" t="s">
        <v>9223</v>
      </c>
    </row>
    <row r="404" spans="1:12">
      <c r="A404" s="29">
        <v>403</v>
      </c>
      <c r="B404" s="29" t="s">
        <v>1656</v>
      </c>
      <c r="C404" s="29" t="s">
        <v>12110</v>
      </c>
      <c r="D404" s="29" t="s">
        <v>11341</v>
      </c>
      <c r="E404" s="29" t="s">
        <v>9336</v>
      </c>
      <c r="F404" s="29"/>
      <c r="G404" s="29" t="s">
        <v>12111</v>
      </c>
      <c r="H404" s="29"/>
      <c r="I404" s="29" t="s">
        <v>9180</v>
      </c>
      <c r="J404" s="29" t="s">
        <v>12112</v>
      </c>
      <c r="K404" s="29" t="s">
        <v>9211</v>
      </c>
      <c r="L404" s="29" t="s">
        <v>9189</v>
      </c>
    </row>
    <row r="405" spans="1:12">
      <c r="A405" s="28">
        <v>404</v>
      </c>
      <c r="B405" s="28" t="s">
        <v>1145</v>
      </c>
      <c r="C405" s="28" t="s">
        <v>12113</v>
      </c>
      <c r="D405" s="28" t="s">
        <v>11341</v>
      </c>
      <c r="E405" s="28" t="s">
        <v>9336</v>
      </c>
      <c r="F405" s="28"/>
      <c r="G405" s="28" t="s">
        <v>12114</v>
      </c>
      <c r="H405" s="28"/>
      <c r="I405" s="28" t="s">
        <v>9180</v>
      </c>
      <c r="J405" s="28" t="s">
        <v>12115</v>
      </c>
      <c r="K405" s="28" t="s">
        <v>9211</v>
      </c>
      <c r="L405" s="28" t="s">
        <v>9189</v>
      </c>
    </row>
    <row r="406" spans="1:12">
      <c r="A406" s="29">
        <v>405</v>
      </c>
      <c r="B406" s="29" t="s">
        <v>526</v>
      </c>
      <c r="C406" s="29" t="s">
        <v>527</v>
      </c>
      <c r="D406" s="29" t="s">
        <v>11341</v>
      </c>
      <c r="E406" s="29" t="s">
        <v>9208</v>
      </c>
      <c r="F406" s="29"/>
      <c r="G406" s="29" t="s">
        <v>12116</v>
      </c>
      <c r="H406" s="29"/>
      <c r="I406" s="29" t="s">
        <v>9180</v>
      </c>
      <c r="J406" s="29" t="s">
        <v>12117</v>
      </c>
      <c r="K406" s="29" t="s">
        <v>9211</v>
      </c>
      <c r="L406" s="29" t="s">
        <v>9212</v>
      </c>
    </row>
    <row r="407" spans="1:12">
      <c r="A407" s="28">
        <v>406</v>
      </c>
      <c r="B407" s="28" t="s">
        <v>1500</v>
      </c>
      <c r="C407" s="28" t="s">
        <v>12118</v>
      </c>
      <c r="D407" s="28" t="s">
        <v>11341</v>
      </c>
      <c r="E407" s="28" t="s">
        <v>9336</v>
      </c>
      <c r="F407" s="28"/>
      <c r="G407" s="28" t="s">
        <v>12119</v>
      </c>
      <c r="H407" s="28"/>
      <c r="I407" s="28" t="s">
        <v>9180</v>
      </c>
      <c r="J407" s="28" t="s">
        <v>9766</v>
      </c>
      <c r="K407" s="28" t="s">
        <v>9211</v>
      </c>
      <c r="L407" s="28" t="s">
        <v>9189</v>
      </c>
    </row>
    <row r="408" spans="1:12">
      <c r="A408" s="29">
        <v>407</v>
      </c>
      <c r="B408" s="29" t="s">
        <v>1300</v>
      </c>
      <c r="C408" s="29" t="s">
        <v>12120</v>
      </c>
      <c r="D408" s="29" t="s">
        <v>11341</v>
      </c>
      <c r="E408" s="29" t="s">
        <v>9336</v>
      </c>
      <c r="F408" s="29"/>
      <c r="G408" s="29" t="s">
        <v>12121</v>
      </c>
      <c r="H408" s="29"/>
      <c r="I408" s="29" t="s">
        <v>9180</v>
      </c>
      <c r="J408" s="29" t="s">
        <v>9434</v>
      </c>
      <c r="K408" s="29" t="s">
        <v>9211</v>
      </c>
      <c r="L408" s="29" t="s">
        <v>9189</v>
      </c>
    </row>
    <row r="409" spans="1:12">
      <c r="A409" s="28">
        <v>408</v>
      </c>
      <c r="B409" s="28" t="s">
        <v>1398</v>
      </c>
      <c r="C409" s="28" t="s">
        <v>12122</v>
      </c>
      <c r="D409" s="28" t="s">
        <v>11341</v>
      </c>
      <c r="E409" s="28" t="s">
        <v>9336</v>
      </c>
      <c r="F409" s="28"/>
      <c r="G409" s="28" t="s">
        <v>12123</v>
      </c>
      <c r="H409" s="28"/>
      <c r="I409" s="28" t="s">
        <v>9180</v>
      </c>
      <c r="J409" s="28" t="s">
        <v>9434</v>
      </c>
      <c r="K409" s="28" t="s">
        <v>9211</v>
      </c>
      <c r="L409" s="28" t="s">
        <v>9189</v>
      </c>
    </row>
    <row r="410" spans="1:12">
      <c r="A410" s="29">
        <v>409</v>
      </c>
      <c r="B410" s="29" t="s">
        <v>1929</v>
      </c>
      <c r="C410" s="29" t="s">
        <v>1930</v>
      </c>
      <c r="D410" s="29" t="s">
        <v>11341</v>
      </c>
      <c r="E410" s="29" t="s">
        <v>9336</v>
      </c>
      <c r="F410" s="29" t="s">
        <v>12124</v>
      </c>
      <c r="G410" s="29" t="s">
        <v>12125</v>
      </c>
      <c r="H410" s="29"/>
      <c r="I410" s="29" t="s">
        <v>9180</v>
      </c>
      <c r="J410" s="29" t="s">
        <v>12126</v>
      </c>
      <c r="K410" s="29" t="s">
        <v>9211</v>
      </c>
      <c r="L410" s="29" t="s">
        <v>9223</v>
      </c>
    </row>
    <row r="411" spans="1:12">
      <c r="A411" s="28">
        <v>410</v>
      </c>
      <c r="B411" s="28" t="s">
        <v>1779</v>
      </c>
      <c r="C411" s="28" t="s">
        <v>12127</v>
      </c>
      <c r="D411" s="28" t="s">
        <v>11341</v>
      </c>
      <c r="E411" s="28" t="s">
        <v>9336</v>
      </c>
      <c r="F411" s="28"/>
      <c r="G411" s="28" t="s">
        <v>12128</v>
      </c>
      <c r="H411" s="28"/>
      <c r="I411" s="28" t="s">
        <v>9180</v>
      </c>
      <c r="J411" s="28" t="s">
        <v>10057</v>
      </c>
      <c r="K411" s="28" t="s">
        <v>9211</v>
      </c>
      <c r="L411" s="28" t="s">
        <v>9189</v>
      </c>
    </row>
    <row r="412" spans="1:12">
      <c r="A412" s="29">
        <v>411</v>
      </c>
      <c r="B412" s="29" t="s">
        <v>1748</v>
      </c>
      <c r="C412" s="29" t="s">
        <v>1749</v>
      </c>
      <c r="D412" s="29" t="s">
        <v>11341</v>
      </c>
      <c r="E412" s="29" t="s">
        <v>9336</v>
      </c>
      <c r="F412" s="29"/>
      <c r="G412" s="29" t="s">
        <v>12129</v>
      </c>
      <c r="H412" s="29"/>
      <c r="I412" s="29" t="s">
        <v>9180</v>
      </c>
      <c r="J412" s="29" t="s">
        <v>10098</v>
      </c>
      <c r="K412" s="29" t="s">
        <v>9211</v>
      </c>
      <c r="L412" s="29" t="s">
        <v>9223</v>
      </c>
    </row>
    <row r="413" spans="1:12">
      <c r="A413" s="28">
        <v>412</v>
      </c>
      <c r="B413" s="28" t="s">
        <v>1712</v>
      </c>
      <c r="C413" s="28" t="s">
        <v>12130</v>
      </c>
      <c r="D413" s="28" t="s">
        <v>11341</v>
      </c>
      <c r="E413" s="28" t="s">
        <v>9336</v>
      </c>
      <c r="F413" s="28"/>
      <c r="G413" s="28" t="s">
        <v>12131</v>
      </c>
      <c r="H413" s="28"/>
      <c r="I413" s="28" t="s">
        <v>9180</v>
      </c>
      <c r="J413" s="28" t="s">
        <v>12132</v>
      </c>
      <c r="K413" s="28" t="s">
        <v>9211</v>
      </c>
      <c r="L413" s="28" t="s">
        <v>9189</v>
      </c>
    </row>
    <row r="414" spans="1:12">
      <c r="A414" s="29">
        <v>413</v>
      </c>
      <c r="B414" s="29" t="s">
        <v>1520</v>
      </c>
      <c r="C414" s="29" t="s">
        <v>1521</v>
      </c>
      <c r="D414" s="29" t="s">
        <v>11341</v>
      </c>
      <c r="E414" s="29" t="s">
        <v>9336</v>
      </c>
      <c r="F414" s="29"/>
      <c r="G414" s="29" t="s">
        <v>12133</v>
      </c>
      <c r="H414" s="29"/>
      <c r="I414" s="29" t="s">
        <v>9180</v>
      </c>
      <c r="J414" s="29" t="s">
        <v>12134</v>
      </c>
      <c r="K414" s="29" t="s">
        <v>9211</v>
      </c>
      <c r="L414" s="29" t="s">
        <v>9223</v>
      </c>
    </row>
    <row r="415" spans="1:12">
      <c r="A415" s="28">
        <v>414</v>
      </c>
      <c r="B415" s="28" t="s">
        <v>230</v>
      </c>
      <c r="C415" s="28" t="s">
        <v>231</v>
      </c>
      <c r="D415" s="28" t="s">
        <v>11341</v>
      </c>
      <c r="E415" s="28" t="s">
        <v>9336</v>
      </c>
      <c r="F415" s="28"/>
      <c r="G415" s="28" t="s">
        <v>12135</v>
      </c>
      <c r="H415" s="28"/>
      <c r="I415" s="28" t="s">
        <v>9180</v>
      </c>
      <c r="J415" s="28" t="s">
        <v>9760</v>
      </c>
      <c r="K415" s="28" t="s">
        <v>9211</v>
      </c>
      <c r="L415" s="28" t="s">
        <v>9223</v>
      </c>
    </row>
    <row r="416" spans="1:12">
      <c r="A416" s="29">
        <v>415</v>
      </c>
      <c r="B416" s="29" t="s">
        <v>1579</v>
      </c>
      <c r="C416" s="29" t="s">
        <v>12136</v>
      </c>
      <c r="D416" s="29" t="s">
        <v>11341</v>
      </c>
      <c r="E416" s="29" t="s">
        <v>9336</v>
      </c>
      <c r="F416" s="29"/>
      <c r="G416" s="29" t="s">
        <v>12137</v>
      </c>
      <c r="H416" s="29"/>
      <c r="I416" s="29" t="s">
        <v>9180</v>
      </c>
      <c r="J416" s="29" t="s">
        <v>11697</v>
      </c>
      <c r="K416" s="29" t="s">
        <v>9211</v>
      </c>
      <c r="L416" s="29" t="s">
        <v>9189</v>
      </c>
    </row>
    <row r="417" spans="1:12">
      <c r="A417" s="28">
        <v>416</v>
      </c>
      <c r="B417" s="28" t="s">
        <v>1049</v>
      </c>
      <c r="C417" s="28" t="s">
        <v>1050</v>
      </c>
      <c r="D417" s="28" t="s">
        <v>11341</v>
      </c>
      <c r="E417" s="28" t="s">
        <v>9336</v>
      </c>
      <c r="F417" s="28"/>
      <c r="G417" s="28" t="s">
        <v>12138</v>
      </c>
      <c r="H417" s="28"/>
      <c r="I417" s="28" t="s">
        <v>9180</v>
      </c>
      <c r="J417" s="28" t="s">
        <v>11866</v>
      </c>
      <c r="K417" s="28" t="s">
        <v>9211</v>
      </c>
      <c r="L417" s="28" t="s">
        <v>9223</v>
      </c>
    </row>
    <row r="418" spans="1:12">
      <c r="A418" s="29">
        <v>417</v>
      </c>
      <c r="B418" s="29" t="s">
        <v>1387</v>
      </c>
      <c r="C418" s="29" t="s">
        <v>1388</v>
      </c>
      <c r="D418" s="29" t="s">
        <v>11341</v>
      </c>
      <c r="E418" s="29" t="s">
        <v>9336</v>
      </c>
      <c r="F418" s="29"/>
      <c r="G418" s="29" t="s">
        <v>12139</v>
      </c>
      <c r="H418" s="29"/>
      <c r="I418" s="29" t="s">
        <v>9180</v>
      </c>
      <c r="J418" s="29" t="s">
        <v>12140</v>
      </c>
      <c r="K418" s="29" t="s">
        <v>9211</v>
      </c>
      <c r="L418" s="29" t="s">
        <v>9223</v>
      </c>
    </row>
    <row r="419" spans="1:12">
      <c r="A419" s="28">
        <v>418</v>
      </c>
      <c r="B419" s="28" t="s">
        <v>1331</v>
      </c>
      <c r="C419" s="28" t="s">
        <v>12141</v>
      </c>
      <c r="D419" s="28" t="s">
        <v>11341</v>
      </c>
      <c r="E419" s="28" t="s">
        <v>9336</v>
      </c>
      <c r="F419" s="28"/>
      <c r="G419" s="28" t="s">
        <v>12142</v>
      </c>
      <c r="H419" s="28"/>
      <c r="I419" s="28" t="s">
        <v>9180</v>
      </c>
      <c r="J419" s="28" t="s">
        <v>9239</v>
      </c>
      <c r="K419" s="28" t="s">
        <v>9211</v>
      </c>
      <c r="L419" s="28" t="s">
        <v>9189</v>
      </c>
    </row>
    <row r="420" spans="1:12">
      <c r="A420" s="29">
        <v>419</v>
      </c>
      <c r="B420" s="29" t="s">
        <v>983</v>
      </c>
      <c r="C420" s="29" t="s">
        <v>984</v>
      </c>
      <c r="D420" s="29" t="s">
        <v>11341</v>
      </c>
      <c r="E420" s="29" t="s">
        <v>9336</v>
      </c>
      <c r="F420" s="29"/>
      <c r="G420" s="29" t="s">
        <v>12143</v>
      </c>
      <c r="H420" s="29"/>
      <c r="I420" s="29" t="s">
        <v>9180</v>
      </c>
      <c r="J420" s="29" t="s">
        <v>12144</v>
      </c>
      <c r="K420" s="29" t="s">
        <v>9211</v>
      </c>
      <c r="L420" s="29" t="s">
        <v>9223</v>
      </c>
    </row>
    <row r="421" spans="1:12">
      <c r="A421" s="28">
        <v>420</v>
      </c>
      <c r="B421" s="28" t="s">
        <v>1207</v>
      </c>
      <c r="C421" s="28" t="s">
        <v>12145</v>
      </c>
      <c r="D421" s="28" t="s">
        <v>11341</v>
      </c>
      <c r="E421" s="28" t="s">
        <v>9336</v>
      </c>
      <c r="F421" s="28"/>
      <c r="G421" s="28" t="s">
        <v>12146</v>
      </c>
      <c r="H421" s="28"/>
      <c r="I421" s="28" t="s">
        <v>9180</v>
      </c>
      <c r="J421" s="28" t="s">
        <v>12132</v>
      </c>
      <c r="K421" s="28" t="s">
        <v>9211</v>
      </c>
      <c r="L421" s="28" t="s">
        <v>9189</v>
      </c>
    </row>
    <row r="422" spans="1:12">
      <c r="A422" s="29">
        <v>421</v>
      </c>
      <c r="B422" s="29" t="s">
        <v>647</v>
      </c>
      <c r="C422" s="29" t="s">
        <v>648</v>
      </c>
      <c r="D422" s="29" t="s">
        <v>11341</v>
      </c>
      <c r="E422" s="29" t="s">
        <v>9336</v>
      </c>
      <c r="F422" s="29"/>
      <c r="G422" s="29" t="s">
        <v>12147</v>
      </c>
      <c r="H422" s="29"/>
      <c r="I422" s="29" t="s">
        <v>9180</v>
      </c>
      <c r="J422" s="29" t="s">
        <v>12148</v>
      </c>
      <c r="K422" s="29" t="s">
        <v>9211</v>
      </c>
      <c r="L422" s="29" t="s">
        <v>9223</v>
      </c>
    </row>
    <row r="423" spans="1:12">
      <c r="A423" s="28">
        <v>422</v>
      </c>
      <c r="B423" s="28" t="s">
        <v>743</v>
      </c>
      <c r="C423" s="28" t="s">
        <v>744</v>
      </c>
      <c r="D423" s="28" t="s">
        <v>11341</v>
      </c>
      <c r="E423" s="28" t="s">
        <v>9336</v>
      </c>
      <c r="F423" s="28"/>
      <c r="G423" s="28" t="s">
        <v>12149</v>
      </c>
      <c r="H423" s="28"/>
      <c r="I423" s="28" t="s">
        <v>9180</v>
      </c>
      <c r="J423" s="28" t="s">
        <v>9202</v>
      </c>
      <c r="K423" s="28" t="s">
        <v>9211</v>
      </c>
      <c r="L423" s="28" t="s">
        <v>9223</v>
      </c>
    </row>
    <row r="424" spans="1:12">
      <c r="A424" s="29">
        <v>423</v>
      </c>
      <c r="B424" s="29" t="s">
        <v>792</v>
      </c>
      <c r="C424" s="29" t="s">
        <v>12150</v>
      </c>
      <c r="D424" s="29" t="s">
        <v>11341</v>
      </c>
      <c r="E424" s="29" t="s">
        <v>9336</v>
      </c>
      <c r="F424" s="29"/>
      <c r="G424" s="29" t="s">
        <v>12151</v>
      </c>
      <c r="H424" s="29"/>
      <c r="I424" s="29" t="s">
        <v>9180</v>
      </c>
      <c r="J424" s="29" t="s">
        <v>12152</v>
      </c>
      <c r="K424" s="29" t="s">
        <v>9211</v>
      </c>
      <c r="L424" s="29" t="s">
        <v>9189</v>
      </c>
    </row>
    <row r="425" spans="1:12">
      <c r="A425" s="28">
        <v>424</v>
      </c>
      <c r="B425" s="28" t="s">
        <v>1128</v>
      </c>
      <c r="C425" s="28" t="s">
        <v>12153</v>
      </c>
      <c r="D425" s="28" t="s">
        <v>11341</v>
      </c>
      <c r="E425" s="28" t="s">
        <v>9336</v>
      </c>
      <c r="F425" s="28" t="s">
        <v>12154</v>
      </c>
      <c r="G425" s="28" t="s">
        <v>12155</v>
      </c>
      <c r="H425" s="28"/>
      <c r="I425" s="28" t="s">
        <v>9180</v>
      </c>
      <c r="J425" s="28" t="s">
        <v>9202</v>
      </c>
      <c r="K425" s="28" t="s">
        <v>9211</v>
      </c>
      <c r="L425" s="28" t="s">
        <v>9189</v>
      </c>
    </row>
    <row r="426" spans="1:12">
      <c r="A426" s="29">
        <v>425</v>
      </c>
      <c r="B426" s="29" t="s">
        <v>651</v>
      </c>
      <c r="C426" s="29" t="s">
        <v>12156</v>
      </c>
      <c r="D426" s="29" t="s">
        <v>11341</v>
      </c>
      <c r="E426" s="29" t="s">
        <v>9336</v>
      </c>
      <c r="F426" s="29" t="s">
        <v>12157</v>
      </c>
      <c r="G426" s="29" t="s">
        <v>12158</v>
      </c>
      <c r="H426" s="29"/>
      <c r="I426" s="29" t="s">
        <v>9180</v>
      </c>
      <c r="J426" s="29" t="s">
        <v>12159</v>
      </c>
      <c r="K426" s="29" t="s">
        <v>9211</v>
      </c>
      <c r="L426" s="29" t="s">
        <v>9189</v>
      </c>
    </row>
    <row r="427" spans="1:12">
      <c r="A427" s="28">
        <v>426</v>
      </c>
      <c r="B427" s="28" t="s">
        <v>832</v>
      </c>
      <c r="C427" s="28" t="s">
        <v>12160</v>
      </c>
      <c r="D427" s="28" t="s">
        <v>11341</v>
      </c>
      <c r="E427" s="28" t="s">
        <v>9336</v>
      </c>
      <c r="F427" s="28"/>
      <c r="G427" s="28" t="s">
        <v>12161</v>
      </c>
      <c r="H427" s="28"/>
      <c r="I427" s="28" t="s">
        <v>9180</v>
      </c>
      <c r="J427" s="28" t="s">
        <v>12162</v>
      </c>
      <c r="K427" s="28" t="s">
        <v>9211</v>
      </c>
      <c r="L427" s="28" t="s">
        <v>9189</v>
      </c>
    </row>
    <row r="428" spans="1:12">
      <c r="A428" s="29">
        <v>427</v>
      </c>
      <c r="B428" s="29" t="s">
        <v>1092</v>
      </c>
      <c r="C428" s="29" t="s">
        <v>12163</v>
      </c>
      <c r="D428" s="29" t="s">
        <v>11341</v>
      </c>
      <c r="E428" s="29" t="s">
        <v>9336</v>
      </c>
      <c r="F428" s="29"/>
      <c r="G428" s="29" t="s">
        <v>12164</v>
      </c>
      <c r="H428" s="29"/>
      <c r="I428" s="29" t="s">
        <v>9180</v>
      </c>
      <c r="J428" s="29" t="s">
        <v>9788</v>
      </c>
      <c r="K428" s="29" t="s">
        <v>9211</v>
      </c>
      <c r="L428" s="29" t="s">
        <v>9189</v>
      </c>
    </row>
    <row r="429" spans="1:12">
      <c r="A429" s="28">
        <v>428</v>
      </c>
      <c r="B429" s="28" t="s">
        <v>442</v>
      </c>
      <c r="C429" s="28" t="s">
        <v>443</v>
      </c>
      <c r="D429" s="28" t="s">
        <v>11341</v>
      </c>
      <c r="E429" s="28" t="s">
        <v>9336</v>
      </c>
      <c r="F429" s="28"/>
      <c r="G429" s="28" t="s">
        <v>12165</v>
      </c>
      <c r="H429" s="28"/>
      <c r="I429" s="28" t="s">
        <v>9180</v>
      </c>
      <c r="J429" s="28" t="s">
        <v>12166</v>
      </c>
      <c r="K429" s="28" t="s">
        <v>9211</v>
      </c>
      <c r="L429" s="28" t="s">
        <v>9223</v>
      </c>
    </row>
    <row r="430" spans="1:12">
      <c r="A430" s="29">
        <v>429</v>
      </c>
      <c r="B430" s="29" t="s">
        <v>1073</v>
      </c>
      <c r="C430" s="29" t="s">
        <v>1074</v>
      </c>
      <c r="D430" s="29" t="s">
        <v>11341</v>
      </c>
      <c r="E430" s="29" t="s">
        <v>9336</v>
      </c>
      <c r="F430" s="29"/>
      <c r="G430" s="29" t="s">
        <v>12167</v>
      </c>
      <c r="H430" s="29"/>
      <c r="I430" s="29" t="s">
        <v>9180</v>
      </c>
      <c r="J430" s="29" t="s">
        <v>9788</v>
      </c>
      <c r="K430" s="29" t="s">
        <v>9211</v>
      </c>
      <c r="L430" s="29" t="s">
        <v>9189</v>
      </c>
    </row>
    <row r="431" spans="1:12">
      <c r="A431" s="28">
        <v>430</v>
      </c>
      <c r="B431" s="28" t="s">
        <v>559</v>
      </c>
      <c r="C431" s="28" t="s">
        <v>12168</v>
      </c>
      <c r="D431" s="28" t="s">
        <v>11341</v>
      </c>
      <c r="E431" s="28" t="s">
        <v>9336</v>
      </c>
      <c r="F431" s="28"/>
      <c r="G431" s="28" t="s">
        <v>12169</v>
      </c>
      <c r="H431" s="28"/>
      <c r="I431" s="28" t="s">
        <v>9180</v>
      </c>
      <c r="J431" s="28" t="s">
        <v>10112</v>
      </c>
      <c r="K431" s="28" t="s">
        <v>9211</v>
      </c>
      <c r="L431" s="28" t="s">
        <v>9189</v>
      </c>
    </row>
    <row r="432" spans="1:12">
      <c r="A432" s="29">
        <v>431</v>
      </c>
      <c r="B432" s="29" t="s">
        <v>739</v>
      </c>
      <c r="C432" s="29" t="s">
        <v>12170</v>
      </c>
      <c r="D432" s="29" t="s">
        <v>11341</v>
      </c>
      <c r="E432" s="29" t="s">
        <v>9336</v>
      </c>
      <c r="F432" s="29"/>
      <c r="G432" s="29" t="s">
        <v>12171</v>
      </c>
      <c r="H432" s="29"/>
      <c r="I432" s="29" t="s">
        <v>9180</v>
      </c>
      <c r="J432" s="29" t="s">
        <v>9955</v>
      </c>
      <c r="K432" s="29" t="s">
        <v>9211</v>
      </c>
      <c r="L432" s="29" t="s">
        <v>9189</v>
      </c>
    </row>
    <row r="433" spans="1:12">
      <c r="A433" s="28">
        <v>432</v>
      </c>
      <c r="B433" s="28" t="s">
        <v>322</v>
      </c>
      <c r="C433" s="28"/>
      <c r="D433" s="28" t="s">
        <v>11341</v>
      </c>
      <c r="E433" s="28" t="s">
        <v>9336</v>
      </c>
      <c r="F433" s="28" t="s">
        <v>12172</v>
      </c>
      <c r="G433" s="28" t="s">
        <v>12173</v>
      </c>
      <c r="H433" s="28" t="s">
        <v>12173</v>
      </c>
      <c r="I433" s="28" t="s">
        <v>9180</v>
      </c>
      <c r="J433" s="28" t="s">
        <v>9788</v>
      </c>
      <c r="K433" s="28" t="s">
        <v>9211</v>
      </c>
      <c r="L433" s="28" t="s">
        <v>9223</v>
      </c>
    </row>
    <row r="434" spans="1:12">
      <c r="A434" s="29">
        <v>433</v>
      </c>
      <c r="B434" s="29" t="s">
        <v>382</v>
      </c>
      <c r="C434" s="29" t="s">
        <v>12174</v>
      </c>
      <c r="D434" s="29" t="s">
        <v>11341</v>
      </c>
      <c r="E434" s="29" t="s">
        <v>9336</v>
      </c>
      <c r="F434" s="29" t="s">
        <v>12175</v>
      </c>
      <c r="G434" s="29" t="s">
        <v>12176</v>
      </c>
      <c r="H434" s="29"/>
      <c r="I434" s="29" t="s">
        <v>9180</v>
      </c>
      <c r="J434" s="29" t="s">
        <v>12177</v>
      </c>
      <c r="K434" s="29" t="s">
        <v>9211</v>
      </c>
      <c r="L434" s="29" t="s">
        <v>9223</v>
      </c>
    </row>
    <row r="435" spans="1:12">
      <c r="A435" s="28">
        <v>434</v>
      </c>
      <c r="B435" s="28" t="s">
        <v>971</v>
      </c>
      <c r="C435" s="28" t="s">
        <v>12178</v>
      </c>
      <c r="D435" s="28" t="s">
        <v>11341</v>
      </c>
      <c r="E435" s="28" t="s">
        <v>9336</v>
      </c>
      <c r="F435" s="28" t="s">
        <v>12175</v>
      </c>
      <c r="G435" s="28" t="s">
        <v>12179</v>
      </c>
      <c r="H435" s="28"/>
      <c r="I435" s="28" t="s">
        <v>9180</v>
      </c>
      <c r="J435" s="28" t="s">
        <v>9788</v>
      </c>
      <c r="K435" s="28" t="s">
        <v>9211</v>
      </c>
      <c r="L435" s="28" t="s">
        <v>9189</v>
      </c>
    </row>
    <row r="436" spans="1:12">
      <c r="A436" s="29">
        <v>435</v>
      </c>
      <c r="B436" s="29" t="s">
        <v>12180</v>
      </c>
      <c r="C436" s="29" t="s">
        <v>12181</v>
      </c>
      <c r="D436" s="29" t="s">
        <v>11341</v>
      </c>
      <c r="E436" s="29" t="s">
        <v>9336</v>
      </c>
      <c r="F436" s="29" t="s">
        <v>12182</v>
      </c>
      <c r="G436" s="29" t="s">
        <v>12183</v>
      </c>
      <c r="H436" s="29"/>
      <c r="I436" s="29" t="s">
        <v>9180</v>
      </c>
      <c r="J436" s="29" t="s">
        <v>9210</v>
      </c>
      <c r="K436" s="29" t="s">
        <v>9211</v>
      </c>
      <c r="L436" s="29" t="s">
        <v>9189</v>
      </c>
    </row>
    <row r="437" spans="1:12">
      <c r="A437" s="28">
        <v>436</v>
      </c>
      <c r="B437" s="28" t="s">
        <v>920</v>
      </c>
      <c r="C437" s="28" t="s">
        <v>921</v>
      </c>
      <c r="D437" s="28" t="s">
        <v>11341</v>
      </c>
      <c r="E437" s="28" t="s">
        <v>9336</v>
      </c>
      <c r="F437" s="28" t="s">
        <v>12184</v>
      </c>
      <c r="G437" s="28" t="s">
        <v>12185</v>
      </c>
      <c r="H437" s="28"/>
      <c r="I437" s="28" t="s">
        <v>9180</v>
      </c>
      <c r="J437" s="28" t="s">
        <v>9832</v>
      </c>
      <c r="K437" s="28" t="s">
        <v>9211</v>
      </c>
      <c r="L437" s="28" t="s">
        <v>9223</v>
      </c>
    </row>
    <row r="438" spans="1:12">
      <c r="A438" s="29">
        <v>437</v>
      </c>
      <c r="B438" s="29" t="s">
        <v>490</v>
      </c>
      <c r="C438" s="29" t="s">
        <v>491</v>
      </c>
      <c r="D438" s="29" t="s">
        <v>11341</v>
      </c>
      <c r="E438" s="29" t="s">
        <v>9336</v>
      </c>
      <c r="F438" s="29"/>
      <c r="G438" s="29" t="s">
        <v>12186</v>
      </c>
      <c r="H438" s="29"/>
      <c r="I438" s="29" t="s">
        <v>9180</v>
      </c>
      <c r="J438" s="29" t="s">
        <v>12148</v>
      </c>
      <c r="K438" s="29" t="s">
        <v>9211</v>
      </c>
      <c r="L438" s="29" t="s">
        <v>9223</v>
      </c>
    </row>
    <row r="439" spans="1:12">
      <c r="A439" s="28">
        <v>438</v>
      </c>
      <c r="B439" s="28" t="s">
        <v>870</v>
      </c>
      <c r="C439" s="28" t="s">
        <v>871</v>
      </c>
      <c r="D439" s="28" t="s">
        <v>11341</v>
      </c>
      <c r="E439" s="28" t="s">
        <v>9336</v>
      </c>
      <c r="F439" s="28"/>
      <c r="G439" s="28" t="s">
        <v>12187</v>
      </c>
      <c r="H439" s="28"/>
      <c r="I439" s="28" t="s">
        <v>9180</v>
      </c>
      <c r="J439" s="28" t="s">
        <v>9832</v>
      </c>
      <c r="K439" s="28" t="s">
        <v>9211</v>
      </c>
      <c r="L439" s="28" t="s">
        <v>9223</v>
      </c>
    </row>
    <row r="440" spans="1:12">
      <c r="A440" s="29">
        <v>439</v>
      </c>
      <c r="B440" s="29" t="s">
        <v>514</v>
      </c>
      <c r="C440" s="29" t="s">
        <v>12188</v>
      </c>
      <c r="D440" s="29" t="s">
        <v>11341</v>
      </c>
      <c r="E440" s="29" t="s">
        <v>9336</v>
      </c>
      <c r="F440" s="29"/>
      <c r="G440" s="29" t="s">
        <v>12189</v>
      </c>
      <c r="H440" s="29"/>
      <c r="I440" s="29" t="s">
        <v>9180</v>
      </c>
      <c r="J440" s="29" t="s">
        <v>12190</v>
      </c>
      <c r="K440" s="29" t="s">
        <v>9211</v>
      </c>
      <c r="L440" s="29" t="s">
        <v>9189</v>
      </c>
    </row>
    <row r="441" spans="1:12">
      <c r="A441" s="28">
        <v>440</v>
      </c>
      <c r="B441" s="28" t="s">
        <v>828</v>
      </c>
      <c r="C441" s="28" t="s">
        <v>829</v>
      </c>
      <c r="D441" s="28" t="s">
        <v>11341</v>
      </c>
      <c r="E441" s="28" t="s">
        <v>9336</v>
      </c>
      <c r="F441" s="28"/>
      <c r="G441" s="28" t="s">
        <v>12191</v>
      </c>
      <c r="H441" s="28"/>
      <c r="I441" s="28" t="s">
        <v>9180</v>
      </c>
      <c r="J441" s="28" t="s">
        <v>9277</v>
      </c>
      <c r="K441" s="28" t="s">
        <v>9211</v>
      </c>
      <c r="L441" s="28" t="s">
        <v>9189</v>
      </c>
    </row>
    <row r="442" spans="1:12">
      <c r="A442" s="29">
        <v>441</v>
      </c>
      <c r="B442" s="29" t="s">
        <v>191</v>
      </c>
      <c r="C442" s="29" t="s">
        <v>192</v>
      </c>
      <c r="D442" s="29" t="s">
        <v>11341</v>
      </c>
      <c r="E442" s="29" t="s">
        <v>9336</v>
      </c>
      <c r="F442" s="29"/>
      <c r="G442" s="29" t="s">
        <v>12192</v>
      </c>
      <c r="H442" s="29"/>
      <c r="I442" s="29" t="s">
        <v>9180</v>
      </c>
      <c r="J442" s="29" t="s">
        <v>9205</v>
      </c>
      <c r="K442" s="29" t="s">
        <v>9211</v>
      </c>
      <c r="L442" s="29" t="s">
        <v>9223</v>
      </c>
    </row>
    <row r="443" spans="1:12">
      <c r="A443" s="28">
        <v>442</v>
      </c>
      <c r="B443" s="28" t="s">
        <v>655</v>
      </c>
      <c r="C443" s="28" t="s">
        <v>656</v>
      </c>
      <c r="D443" s="28" t="s">
        <v>11341</v>
      </c>
      <c r="E443" s="28" t="s">
        <v>9336</v>
      </c>
      <c r="F443" s="28" t="s">
        <v>12193</v>
      </c>
      <c r="G443" s="28" t="s">
        <v>12194</v>
      </c>
      <c r="H443" s="28"/>
      <c r="I443" s="28" t="s">
        <v>9180</v>
      </c>
      <c r="J443" s="28" t="s">
        <v>11856</v>
      </c>
      <c r="K443" s="28" t="s">
        <v>9211</v>
      </c>
      <c r="L443" s="28" t="s">
        <v>9223</v>
      </c>
    </row>
    <row r="444" spans="1:12">
      <c r="A444" s="29">
        <v>443</v>
      </c>
      <c r="B444" s="29" t="s">
        <v>643</v>
      </c>
      <c r="C444" s="29" t="s">
        <v>12195</v>
      </c>
      <c r="D444" s="29" t="s">
        <v>11341</v>
      </c>
      <c r="E444" s="29" t="s">
        <v>9336</v>
      </c>
      <c r="F444" s="29" t="s">
        <v>12196</v>
      </c>
      <c r="G444" s="29" t="s">
        <v>12197</v>
      </c>
      <c r="H444" s="29"/>
      <c r="I444" s="29" t="s">
        <v>9180</v>
      </c>
      <c r="J444" s="29" t="s">
        <v>10156</v>
      </c>
      <c r="K444" s="29" t="s">
        <v>9211</v>
      </c>
      <c r="L444" s="29" t="s">
        <v>9189</v>
      </c>
    </row>
    <row r="445" spans="1:12">
      <c r="A445" s="28">
        <v>444</v>
      </c>
      <c r="B445" s="28" t="s">
        <v>613</v>
      </c>
      <c r="C445" s="28" t="s">
        <v>12198</v>
      </c>
      <c r="D445" s="28" t="s">
        <v>11341</v>
      </c>
      <c r="E445" s="28" t="s">
        <v>9336</v>
      </c>
      <c r="F445" s="28"/>
      <c r="G445" s="28" t="s">
        <v>12199</v>
      </c>
      <c r="H445" s="28"/>
      <c r="I445" s="28" t="s">
        <v>9180</v>
      </c>
      <c r="J445" s="28" t="s">
        <v>10135</v>
      </c>
      <c r="K445" s="28" t="s">
        <v>9211</v>
      </c>
      <c r="L445" s="28" t="s">
        <v>9189</v>
      </c>
    </row>
    <row r="446" spans="1:12">
      <c r="A446" s="29">
        <v>445</v>
      </c>
      <c r="B446" s="29" t="s">
        <v>610</v>
      </c>
      <c r="C446" s="29" t="s">
        <v>12200</v>
      </c>
      <c r="D446" s="29" t="s">
        <v>11341</v>
      </c>
      <c r="E446" s="29" t="s">
        <v>9336</v>
      </c>
      <c r="F446" s="29"/>
      <c r="G446" s="29" t="s">
        <v>12201</v>
      </c>
      <c r="H446" s="29"/>
      <c r="I446" s="29" t="s">
        <v>9180</v>
      </c>
      <c r="J446" s="29" t="s">
        <v>12202</v>
      </c>
      <c r="K446" s="29" t="s">
        <v>9211</v>
      </c>
      <c r="L446" s="29" t="s">
        <v>9189</v>
      </c>
    </row>
    <row r="447" spans="1:12">
      <c r="A447" s="28">
        <v>446</v>
      </c>
      <c r="B447" s="28" t="s">
        <v>573</v>
      </c>
      <c r="C447" s="28" t="s">
        <v>12203</v>
      </c>
      <c r="D447" s="28" t="s">
        <v>11341</v>
      </c>
      <c r="E447" s="28" t="s">
        <v>9336</v>
      </c>
      <c r="F447" s="28"/>
      <c r="G447" s="28" t="s">
        <v>12204</v>
      </c>
      <c r="H447" s="28"/>
      <c r="I447" s="28" t="s">
        <v>9180</v>
      </c>
      <c r="J447" s="28" t="s">
        <v>10462</v>
      </c>
      <c r="K447" s="28" t="s">
        <v>9211</v>
      </c>
      <c r="L447" s="28" t="s">
        <v>9189</v>
      </c>
    </row>
    <row r="448" spans="1:12">
      <c r="A448" s="29">
        <v>447</v>
      </c>
      <c r="B448" s="29" t="s">
        <v>546</v>
      </c>
      <c r="C448" s="29" t="s">
        <v>12205</v>
      </c>
      <c r="D448" s="29" t="s">
        <v>11341</v>
      </c>
      <c r="E448" s="29" t="s">
        <v>9336</v>
      </c>
      <c r="F448" s="29"/>
      <c r="G448" s="29" t="s">
        <v>12206</v>
      </c>
      <c r="H448" s="29"/>
      <c r="I448" s="29" t="s">
        <v>9180</v>
      </c>
      <c r="J448" s="29" t="s">
        <v>11323</v>
      </c>
      <c r="K448" s="29" t="s">
        <v>9211</v>
      </c>
      <c r="L448" s="29" t="s">
        <v>9189</v>
      </c>
    </row>
    <row r="449" spans="1:12">
      <c r="A449" s="28">
        <v>448</v>
      </c>
      <c r="B449" s="28" t="s">
        <v>110</v>
      </c>
      <c r="C449" s="28" t="s">
        <v>111</v>
      </c>
      <c r="D449" s="28" t="s">
        <v>11341</v>
      </c>
      <c r="E449" s="28" t="s">
        <v>9336</v>
      </c>
      <c r="F449" s="28"/>
      <c r="G449" s="28" t="s">
        <v>12207</v>
      </c>
      <c r="H449" s="28"/>
      <c r="I449" s="28" t="s">
        <v>9180</v>
      </c>
      <c r="J449" s="28" t="s">
        <v>12266</v>
      </c>
      <c r="K449" s="28" t="s">
        <v>9211</v>
      </c>
      <c r="L449" s="28" t="s">
        <v>9223</v>
      </c>
    </row>
    <row r="450" spans="1:12">
      <c r="A450" s="29">
        <v>449</v>
      </c>
      <c r="B450" s="29" t="s">
        <v>522</v>
      </c>
      <c r="C450" s="29" t="s">
        <v>12208</v>
      </c>
      <c r="D450" s="29" t="s">
        <v>11341</v>
      </c>
      <c r="E450" s="29" t="s">
        <v>9336</v>
      </c>
      <c r="F450" s="29"/>
      <c r="G450" s="29" t="s">
        <v>12209</v>
      </c>
      <c r="H450" s="29"/>
      <c r="I450" s="29" t="s">
        <v>9180</v>
      </c>
      <c r="J450" s="29" t="s">
        <v>12210</v>
      </c>
      <c r="K450" s="29" t="s">
        <v>9211</v>
      </c>
      <c r="L450" s="29" t="s">
        <v>9189</v>
      </c>
    </row>
    <row r="451" spans="1:12">
      <c r="A451" s="28">
        <v>450</v>
      </c>
      <c r="B451" s="28" t="s">
        <v>518</v>
      </c>
      <c r="C451" s="28" t="s">
        <v>519</v>
      </c>
      <c r="D451" s="28" t="s">
        <v>11341</v>
      </c>
      <c r="E451" s="28" t="s">
        <v>9336</v>
      </c>
      <c r="F451" s="28"/>
      <c r="G451" s="28" t="s">
        <v>12211</v>
      </c>
      <c r="H451" s="28"/>
      <c r="I451" s="28" t="s">
        <v>9180</v>
      </c>
      <c r="J451" s="28" t="s">
        <v>12212</v>
      </c>
      <c r="K451" s="28" t="s">
        <v>9211</v>
      </c>
      <c r="L451" s="28" t="s">
        <v>9223</v>
      </c>
    </row>
    <row r="452" spans="1:12">
      <c r="A452" s="29">
        <v>451</v>
      </c>
      <c r="B452" s="29" t="s">
        <v>506</v>
      </c>
      <c r="C452" s="29" t="s">
        <v>12213</v>
      </c>
      <c r="D452" s="29" t="s">
        <v>11341</v>
      </c>
      <c r="E452" s="29" t="s">
        <v>9336</v>
      </c>
      <c r="F452" s="29"/>
      <c r="G452" s="29" t="s">
        <v>12214</v>
      </c>
      <c r="H452" s="29"/>
      <c r="I452" s="29" t="s">
        <v>9180</v>
      </c>
      <c r="J452" s="29" t="s">
        <v>9251</v>
      </c>
      <c r="K452" s="29" t="s">
        <v>9211</v>
      </c>
      <c r="L452" s="29" t="s">
        <v>9189</v>
      </c>
    </row>
    <row r="453" spans="1:12">
      <c r="A453" s="28">
        <v>452</v>
      </c>
      <c r="B453" s="28" t="s">
        <v>486</v>
      </c>
      <c r="C453" s="28"/>
      <c r="D453" s="28" t="s">
        <v>11341</v>
      </c>
      <c r="E453" s="28" t="s">
        <v>9336</v>
      </c>
      <c r="F453" s="28"/>
      <c r="G453" s="28" t="s">
        <v>12215</v>
      </c>
      <c r="H453" s="28"/>
      <c r="I453" s="28" t="s">
        <v>9180</v>
      </c>
      <c r="J453" s="28" t="s">
        <v>11323</v>
      </c>
      <c r="K453" s="28" t="s">
        <v>9211</v>
      </c>
      <c r="L453" s="28" t="s">
        <v>9223</v>
      </c>
    </row>
    <row r="454" spans="1:12">
      <c r="A454" s="29">
        <v>453</v>
      </c>
      <c r="B454" s="29" t="s">
        <v>390</v>
      </c>
      <c r="C454" s="29" t="s">
        <v>391</v>
      </c>
      <c r="D454" s="29" t="s">
        <v>11341</v>
      </c>
      <c r="E454" s="29" t="s">
        <v>9336</v>
      </c>
      <c r="F454" s="29" t="s">
        <v>12216</v>
      </c>
      <c r="G454" s="29" t="s">
        <v>12217</v>
      </c>
      <c r="H454" s="29"/>
      <c r="I454" s="29" t="s">
        <v>9180</v>
      </c>
      <c r="J454" s="29" t="s">
        <v>12212</v>
      </c>
      <c r="K454" s="29" t="s">
        <v>9211</v>
      </c>
      <c r="L454" s="29" t="s">
        <v>9223</v>
      </c>
    </row>
    <row r="455" spans="1:12">
      <c r="A455" s="28">
        <v>454</v>
      </c>
      <c r="B455" s="28" t="s">
        <v>386</v>
      </c>
      <c r="C455" s="28" t="s">
        <v>12218</v>
      </c>
      <c r="D455" s="28" t="s">
        <v>11341</v>
      </c>
      <c r="E455" s="28" t="s">
        <v>9336</v>
      </c>
      <c r="F455" s="28"/>
      <c r="G455" s="28" t="s">
        <v>12219</v>
      </c>
      <c r="H455" s="28"/>
      <c r="I455" s="28" t="s">
        <v>9180</v>
      </c>
      <c r="J455" s="28" t="s">
        <v>9334</v>
      </c>
      <c r="K455" s="28" t="s">
        <v>9211</v>
      </c>
      <c r="L455" s="28" t="s">
        <v>9189</v>
      </c>
    </row>
    <row r="456" spans="1:12">
      <c r="A456" s="29">
        <v>455</v>
      </c>
      <c r="B456" s="29" t="s">
        <v>362</v>
      </c>
      <c r="C456" s="29" t="s">
        <v>363</v>
      </c>
      <c r="D456" s="29" t="s">
        <v>11341</v>
      </c>
      <c r="E456" s="29" t="s">
        <v>9336</v>
      </c>
      <c r="F456" s="29"/>
      <c r="G456" s="29" t="s">
        <v>12220</v>
      </c>
      <c r="H456" s="29"/>
      <c r="I456" s="29" t="s">
        <v>9180</v>
      </c>
      <c r="J456" s="29" t="s">
        <v>10076</v>
      </c>
      <c r="K456" s="29" t="s">
        <v>9211</v>
      </c>
      <c r="L456" s="29" t="s">
        <v>9223</v>
      </c>
    </row>
    <row r="457" spans="1:12">
      <c r="A457" s="28">
        <v>456</v>
      </c>
      <c r="B457" s="28" t="s">
        <v>294</v>
      </c>
      <c r="C457" s="28" t="s">
        <v>12221</v>
      </c>
      <c r="D457" s="28" t="s">
        <v>11341</v>
      </c>
      <c r="E457" s="28" t="s">
        <v>9336</v>
      </c>
      <c r="F457" s="28"/>
      <c r="G457" s="28" t="s">
        <v>12222</v>
      </c>
      <c r="H457" s="28"/>
      <c r="I457" s="28" t="s">
        <v>9180</v>
      </c>
      <c r="J457" s="28" t="s">
        <v>12223</v>
      </c>
      <c r="K457" s="28" t="s">
        <v>9211</v>
      </c>
      <c r="L457" s="28" t="s">
        <v>9189</v>
      </c>
    </row>
    <row r="458" spans="1:12">
      <c r="A458" s="29">
        <v>457</v>
      </c>
      <c r="B458" s="29" t="s">
        <v>298</v>
      </c>
      <c r="C458" s="29" t="s">
        <v>12224</v>
      </c>
      <c r="D458" s="29" t="s">
        <v>11341</v>
      </c>
      <c r="E458" s="29" t="s">
        <v>9336</v>
      </c>
      <c r="F458" s="29"/>
      <c r="G458" s="29" t="s">
        <v>12225</v>
      </c>
      <c r="H458" s="29"/>
      <c r="I458" s="29" t="s">
        <v>9180</v>
      </c>
      <c r="J458" s="29" t="s">
        <v>12226</v>
      </c>
      <c r="K458" s="29" t="s">
        <v>9211</v>
      </c>
      <c r="L458" s="29" t="s">
        <v>9189</v>
      </c>
    </row>
    <row r="459" spans="1:12">
      <c r="A459" s="28">
        <v>458</v>
      </c>
      <c r="B459" s="28" t="s">
        <v>238</v>
      </c>
      <c r="C459" s="28" t="s">
        <v>239</v>
      </c>
      <c r="D459" s="28" t="s">
        <v>11341</v>
      </c>
      <c r="E459" s="28" t="s">
        <v>9336</v>
      </c>
      <c r="F459" s="28"/>
      <c r="G459" s="28" t="s">
        <v>12227</v>
      </c>
      <c r="H459" s="28"/>
      <c r="I459" s="28" t="s">
        <v>9180</v>
      </c>
      <c r="J459" s="28" t="s">
        <v>9626</v>
      </c>
      <c r="K459" s="28" t="s">
        <v>9211</v>
      </c>
      <c r="L459" s="28" t="s">
        <v>9223</v>
      </c>
    </row>
    <row r="460" spans="1:12">
      <c r="A460" s="27">
        <v>459</v>
      </c>
      <c r="B460" s="27" t="s">
        <v>774</v>
      </c>
      <c r="C460" s="27" t="s">
        <v>775</v>
      </c>
      <c r="D460" s="27" t="s">
        <v>11337</v>
      </c>
      <c r="E460" s="27" t="s">
        <v>9336</v>
      </c>
      <c r="F460" s="27"/>
      <c r="G460" s="27" t="s">
        <v>12228</v>
      </c>
      <c r="H460" s="27"/>
      <c r="I460" s="27" t="s">
        <v>9180</v>
      </c>
      <c r="J460" s="27" t="s">
        <v>9306</v>
      </c>
      <c r="K460" s="27" t="s">
        <v>9211</v>
      </c>
      <c r="L460" s="27" t="s">
        <v>9183</v>
      </c>
    </row>
    <row r="461" spans="1:12">
      <c r="A461" s="28">
        <v>460</v>
      </c>
      <c r="B461" s="28" t="s">
        <v>217</v>
      </c>
      <c r="C461" s="28" t="s">
        <v>12229</v>
      </c>
      <c r="D461" s="28" t="s">
        <v>11341</v>
      </c>
      <c r="E461" s="28" t="s">
        <v>9336</v>
      </c>
      <c r="F461" s="28"/>
      <c r="G461" s="28" t="s">
        <v>12230</v>
      </c>
      <c r="H461" s="28"/>
      <c r="I461" s="28" t="s">
        <v>9180</v>
      </c>
      <c r="J461" s="28" t="s">
        <v>12231</v>
      </c>
      <c r="K461" s="28" t="s">
        <v>9211</v>
      </c>
      <c r="L461" s="28" t="s">
        <v>9189</v>
      </c>
    </row>
    <row r="462" spans="1:12">
      <c r="A462" s="29">
        <v>461</v>
      </c>
      <c r="B462" s="29" t="s">
        <v>208</v>
      </c>
      <c r="C462" s="29" t="s">
        <v>12232</v>
      </c>
      <c r="D462" s="29" t="s">
        <v>11341</v>
      </c>
      <c r="E462" s="29" t="s">
        <v>9336</v>
      </c>
      <c r="F462" s="29"/>
      <c r="G462" s="29" t="s">
        <v>12233</v>
      </c>
      <c r="H462" s="29"/>
      <c r="I462" s="29" t="s">
        <v>9180</v>
      </c>
      <c r="J462" s="29" t="s">
        <v>9251</v>
      </c>
      <c r="K462" s="29" t="s">
        <v>9211</v>
      </c>
      <c r="L462" s="29" t="s">
        <v>9189</v>
      </c>
    </row>
    <row r="463" spans="1:12">
      <c r="A463" s="28">
        <v>462</v>
      </c>
      <c r="B463" s="28" t="s">
        <v>122</v>
      </c>
      <c r="C463" s="28" t="s">
        <v>12267</v>
      </c>
      <c r="D463" s="28" t="s">
        <v>11341</v>
      </c>
      <c r="E463" s="28" t="s">
        <v>9336</v>
      </c>
      <c r="F463" s="28"/>
      <c r="G463" s="28" t="s">
        <v>12234</v>
      </c>
      <c r="H463" s="28"/>
      <c r="I463" s="28" t="s">
        <v>9180</v>
      </c>
      <c r="J463" s="28" t="s">
        <v>9353</v>
      </c>
      <c r="K463" s="28" t="s">
        <v>9211</v>
      </c>
      <c r="L463" s="28" t="s">
        <v>9189</v>
      </c>
    </row>
    <row r="464" spans="1:12">
      <c r="A464" s="29">
        <v>463</v>
      </c>
      <c r="B464" s="29" t="s">
        <v>183</v>
      </c>
      <c r="C464" s="29" t="s">
        <v>184</v>
      </c>
      <c r="D464" s="29" t="s">
        <v>11341</v>
      </c>
      <c r="E464" s="29" t="s">
        <v>9336</v>
      </c>
      <c r="F464" s="29" t="s">
        <v>12268</v>
      </c>
      <c r="G464" s="29" t="s">
        <v>12269</v>
      </c>
      <c r="H464" s="29"/>
      <c r="I464" s="29" t="s">
        <v>9180</v>
      </c>
      <c r="J464" s="29" t="s">
        <v>9334</v>
      </c>
      <c r="K464" s="29" t="s">
        <v>9211</v>
      </c>
      <c r="L464" s="29" t="s">
        <v>9189</v>
      </c>
    </row>
    <row r="465" spans="1:12">
      <c r="A465" s="28">
        <v>464</v>
      </c>
      <c r="B465" s="28" t="s">
        <v>145</v>
      </c>
      <c r="C465" s="28" t="s">
        <v>12270</v>
      </c>
      <c r="D465" s="28" t="s">
        <v>11341</v>
      </c>
      <c r="E465" s="28" t="s">
        <v>9336</v>
      </c>
      <c r="F465" s="28"/>
      <c r="G465" s="28" t="s">
        <v>12271</v>
      </c>
      <c r="H465" s="28"/>
      <c r="I465" s="28" t="s">
        <v>9180</v>
      </c>
      <c r="J465" s="28" t="s">
        <v>10462</v>
      </c>
      <c r="K465" s="28" t="s">
        <v>9211</v>
      </c>
      <c r="L465" s="28" t="s">
        <v>9189</v>
      </c>
    </row>
    <row r="466" spans="1:12">
      <c r="A466" s="29">
        <v>465</v>
      </c>
      <c r="B466" s="29" t="s">
        <v>102</v>
      </c>
      <c r="C466" s="29" t="s">
        <v>12272</v>
      </c>
      <c r="D466" s="29" t="s">
        <v>11341</v>
      </c>
      <c r="E466" s="29" t="s">
        <v>9336</v>
      </c>
      <c r="F466" s="29"/>
      <c r="G466" s="29" t="s">
        <v>12273</v>
      </c>
      <c r="H466" s="29"/>
      <c r="I466" s="29" t="s">
        <v>9180</v>
      </c>
      <c r="J466" s="29" t="s">
        <v>12223</v>
      </c>
      <c r="K466" s="29" t="s">
        <v>9211</v>
      </c>
      <c r="L466" s="29" t="s">
        <v>9189</v>
      </c>
    </row>
    <row r="467" spans="1:12">
      <c r="A467" s="28">
        <v>466</v>
      </c>
      <c r="B467" s="28" t="s">
        <v>50</v>
      </c>
      <c r="C467" s="28" t="s">
        <v>51</v>
      </c>
      <c r="D467" s="28" t="s">
        <v>11341</v>
      </c>
      <c r="E467" s="28" t="s">
        <v>9336</v>
      </c>
      <c r="F467" s="28"/>
      <c r="G467" s="28" t="s">
        <v>12274</v>
      </c>
      <c r="H467" s="28"/>
      <c r="I467" s="28" t="s">
        <v>9180</v>
      </c>
      <c r="J467" s="28" t="s">
        <v>12152</v>
      </c>
      <c r="K467" s="28" t="s">
        <v>9211</v>
      </c>
      <c r="L467" s="28" t="s">
        <v>9223</v>
      </c>
    </row>
    <row r="468" spans="1:12">
      <c r="A468" s="29">
        <v>467</v>
      </c>
      <c r="B468" s="29" t="s">
        <v>88</v>
      </c>
      <c r="C468" s="29" t="s">
        <v>89</v>
      </c>
      <c r="D468" s="29" t="s">
        <v>11341</v>
      </c>
      <c r="E468" s="29" t="s">
        <v>9336</v>
      </c>
      <c r="F468" s="29" t="s">
        <v>12275</v>
      </c>
      <c r="G468" s="29" t="s">
        <v>12276</v>
      </c>
      <c r="H468" s="29"/>
      <c r="I468" s="29" t="s">
        <v>9180</v>
      </c>
      <c r="J468" s="29" t="s">
        <v>9626</v>
      </c>
      <c r="K468" s="29" t="s">
        <v>9211</v>
      </c>
      <c r="L468" s="29" t="s">
        <v>9223</v>
      </c>
    </row>
    <row r="469" spans="1:12">
      <c r="A469" s="28">
        <v>468</v>
      </c>
      <c r="B469" s="28" t="s">
        <v>84</v>
      </c>
      <c r="C469" s="28" t="s">
        <v>12277</v>
      </c>
      <c r="D469" s="28" t="s">
        <v>11341</v>
      </c>
      <c r="E469" s="28" t="s">
        <v>9336</v>
      </c>
      <c r="F469" s="28" t="s">
        <v>12278</v>
      </c>
      <c r="G469" s="28" t="s">
        <v>12279</v>
      </c>
      <c r="H469" s="28"/>
      <c r="I469" s="28" t="s">
        <v>9180</v>
      </c>
      <c r="J469" s="28" t="s">
        <v>10063</v>
      </c>
      <c r="K469" s="28" t="s">
        <v>9211</v>
      </c>
      <c r="L469" s="28" t="s">
        <v>9223</v>
      </c>
    </row>
    <row r="470" spans="1:12">
      <c r="A470" s="29">
        <v>469</v>
      </c>
      <c r="B470" s="29" t="s">
        <v>45</v>
      </c>
      <c r="C470" s="29" t="s">
        <v>46</v>
      </c>
      <c r="D470" s="29" t="s">
        <v>11341</v>
      </c>
      <c r="E470" s="29" t="s">
        <v>9336</v>
      </c>
      <c r="F470" s="29"/>
      <c r="G470" s="29" t="s">
        <v>12280</v>
      </c>
      <c r="H470" s="29"/>
      <c r="I470" s="29" t="s">
        <v>9180</v>
      </c>
      <c r="J470" s="29" t="s">
        <v>9217</v>
      </c>
      <c r="K470" s="29" t="s">
        <v>9211</v>
      </c>
      <c r="L470" s="29" t="s">
        <v>9189</v>
      </c>
    </row>
    <row r="471" spans="1:12">
      <c r="A471" s="28">
        <v>470</v>
      </c>
      <c r="B471" s="28" t="s">
        <v>12235</v>
      </c>
      <c r="C471" s="28" t="s">
        <v>12236</v>
      </c>
      <c r="D471" s="28" t="s">
        <v>11341</v>
      </c>
      <c r="E471" s="28" t="s">
        <v>9336</v>
      </c>
      <c r="F471" s="28"/>
      <c r="G471" s="28" t="s">
        <v>12237</v>
      </c>
      <c r="H471" s="28"/>
      <c r="I471" s="28" t="s">
        <v>9180</v>
      </c>
      <c r="J471" s="28" t="s">
        <v>9210</v>
      </c>
      <c r="K471" s="28" t="s">
        <v>9211</v>
      </c>
      <c r="L471" s="28" t="s">
        <v>9223</v>
      </c>
    </row>
    <row r="472" spans="1:12">
      <c r="A472" s="29">
        <v>471</v>
      </c>
      <c r="B472" s="29" t="s">
        <v>963</v>
      </c>
      <c r="C472" s="29" t="s">
        <v>12238</v>
      </c>
      <c r="D472" s="29" t="s">
        <v>11341</v>
      </c>
      <c r="E472" s="29" t="s">
        <v>9336</v>
      </c>
      <c r="F472" s="29"/>
      <c r="G472" s="29" t="s">
        <v>12239</v>
      </c>
      <c r="H472" s="29"/>
      <c r="I472" s="29" t="s">
        <v>9180</v>
      </c>
      <c r="J472" s="29" t="s">
        <v>12240</v>
      </c>
      <c r="K472" s="29" t="s">
        <v>9211</v>
      </c>
      <c r="L472" s="29" t="s">
        <v>9189</v>
      </c>
    </row>
    <row r="473" spans="1:12">
      <c r="A473" s="28">
        <v>472</v>
      </c>
      <c r="B473" s="28" t="s">
        <v>1077</v>
      </c>
      <c r="C473" s="28" t="s">
        <v>12241</v>
      </c>
      <c r="D473" s="28" t="s">
        <v>11341</v>
      </c>
      <c r="E473" s="28" t="s">
        <v>9336</v>
      </c>
      <c r="F473" s="28"/>
      <c r="G473" s="28" t="s">
        <v>12242</v>
      </c>
      <c r="H473" s="28"/>
      <c r="I473" s="28" t="s">
        <v>9180</v>
      </c>
      <c r="J473" s="28" t="s">
        <v>9195</v>
      </c>
      <c r="K473" s="28" t="s">
        <v>9211</v>
      </c>
      <c r="L473" s="28" t="s">
        <v>9189</v>
      </c>
    </row>
    <row r="474" spans="1:12">
      <c r="A474" s="29">
        <v>473</v>
      </c>
      <c r="B474" s="29" t="s">
        <v>1571</v>
      </c>
      <c r="C474" s="29" t="s">
        <v>12243</v>
      </c>
      <c r="D474" s="29" t="s">
        <v>11341</v>
      </c>
      <c r="E474" s="29" t="s">
        <v>9208</v>
      </c>
      <c r="F474" s="29"/>
      <c r="G474" s="29" t="s">
        <v>12244</v>
      </c>
      <c r="H474" s="29"/>
      <c r="I474" s="29" t="s">
        <v>9180</v>
      </c>
      <c r="J474" s="29" t="s">
        <v>11171</v>
      </c>
      <c r="K474" s="29" t="s">
        <v>9211</v>
      </c>
      <c r="L474" s="29" t="s">
        <v>9522</v>
      </c>
    </row>
    <row r="475" spans="1:12">
      <c r="A475" s="28">
        <v>474</v>
      </c>
      <c r="B475" s="28" t="s">
        <v>581</v>
      </c>
      <c r="C475" s="28" t="s">
        <v>12245</v>
      </c>
      <c r="D475" s="28" t="s">
        <v>11341</v>
      </c>
      <c r="E475" s="28" t="s">
        <v>9336</v>
      </c>
      <c r="F475" s="28"/>
      <c r="G475" s="28" t="s">
        <v>12246</v>
      </c>
      <c r="H475" s="28"/>
      <c r="I475" s="28" t="s">
        <v>9180</v>
      </c>
      <c r="J475" s="28" t="s">
        <v>12247</v>
      </c>
      <c r="K475" s="28" t="s">
        <v>9218</v>
      </c>
      <c r="L475" s="28" t="s">
        <v>9189</v>
      </c>
    </row>
    <row r="476" spans="1:12">
      <c r="A476" s="29">
        <v>475</v>
      </c>
      <c r="B476" s="29" t="s">
        <v>5388</v>
      </c>
      <c r="C476" s="29" t="s">
        <v>5389</v>
      </c>
      <c r="D476" s="29" t="s">
        <v>11341</v>
      </c>
      <c r="E476" s="29" t="s">
        <v>9336</v>
      </c>
      <c r="F476" s="29"/>
      <c r="G476" s="29" t="s">
        <v>12248</v>
      </c>
      <c r="H476" s="29"/>
      <c r="I476" s="29" t="s">
        <v>9180</v>
      </c>
      <c r="J476" s="29" t="s">
        <v>12249</v>
      </c>
      <c r="K476" s="29" t="s">
        <v>10136</v>
      </c>
      <c r="L476" s="29" t="s">
        <v>9223</v>
      </c>
    </row>
    <row r="477" spans="1:12">
      <c r="A477" s="28">
        <v>476</v>
      </c>
      <c r="B477" s="28" t="s">
        <v>7292</v>
      </c>
      <c r="C477" s="28" t="s">
        <v>12250</v>
      </c>
      <c r="D477" s="28" t="s">
        <v>11341</v>
      </c>
      <c r="E477" s="28" t="s">
        <v>9336</v>
      </c>
      <c r="F477" s="28"/>
      <c r="G477" s="28" t="s">
        <v>12251</v>
      </c>
      <c r="H477" s="28"/>
      <c r="I477" s="28" t="s">
        <v>9180</v>
      </c>
      <c r="J477" s="28" t="s">
        <v>9708</v>
      </c>
      <c r="K477" s="28" t="s">
        <v>10136</v>
      </c>
      <c r="L477" s="28" t="s">
        <v>9189</v>
      </c>
    </row>
    <row r="478" spans="1:12">
      <c r="A478" s="29">
        <v>477</v>
      </c>
      <c r="B478" s="29" t="s">
        <v>7300</v>
      </c>
      <c r="C478" s="29" t="s">
        <v>7301</v>
      </c>
      <c r="D478" s="29" t="s">
        <v>11341</v>
      </c>
      <c r="E478" s="29" t="s">
        <v>9336</v>
      </c>
      <c r="F478" s="29"/>
      <c r="G478" s="29" t="s">
        <v>12252</v>
      </c>
      <c r="H478" s="29"/>
      <c r="I478" s="29" t="s">
        <v>9180</v>
      </c>
      <c r="J478" s="29" t="s">
        <v>9239</v>
      </c>
      <c r="K478" s="29" t="s">
        <v>10136</v>
      </c>
      <c r="L478" s="29" t="s">
        <v>9223</v>
      </c>
    </row>
    <row r="479" spans="1:12">
      <c r="A479" s="28">
        <v>478</v>
      </c>
      <c r="B479" s="28" t="s">
        <v>7296</v>
      </c>
      <c r="C479" s="28" t="s">
        <v>12253</v>
      </c>
      <c r="D479" s="28" t="s">
        <v>11341</v>
      </c>
      <c r="E479" s="28" t="s">
        <v>9336</v>
      </c>
      <c r="F479" s="28"/>
      <c r="G479" s="28" t="s">
        <v>12254</v>
      </c>
      <c r="H479" s="28"/>
      <c r="I479" s="28" t="s">
        <v>9180</v>
      </c>
      <c r="J479" s="28" t="s">
        <v>9221</v>
      </c>
      <c r="K479" s="28" t="s">
        <v>10136</v>
      </c>
      <c r="L479" s="28" t="s">
        <v>9189</v>
      </c>
    </row>
  </sheetData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0F73-6762-7045-8897-4D2EA30479C2}">
  <dimension ref="A1:L584"/>
  <sheetViews>
    <sheetView workbookViewId="0">
      <selection activeCell="P23" sqref="P23:P24"/>
    </sheetView>
  </sheetViews>
  <sheetFormatPr baseColWidth="10" defaultRowHeight="15"/>
  <sheetData>
    <row r="1" spans="1:12" ht="30">
      <c r="A1" s="26" t="s">
        <v>9165</v>
      </c>
      <c r="B1" s="26" t="s">
        <v>9166</v>
      </c>
      <c r="C1" s="26" t="s">
        <v>9167</v>
      </c>
      <c r="D1" s="26" t="s">
        <v>9168</v>
      </c>
      <c r="E1" s="26" t="s">
        <v>9169</v>
      </c>
      <c r="F1" s="26" t="s">
        <v>9170</v>
      </c>
      <c r="G1" s="26" t="s">
        <v>9171</v>
      </c>
      <c r="H1" s="26" t="s">
        <v>9172</v>
      </c>
      <c r="I1" s="26" t="s">
        <v>9173</v>
      </c>
      <c r="J1" s="26" t="s">
        <v>9174</v>
      </c>
      <c r="K1" s="26" t="s">
        <v>9175</v>
      </c>
      <c r="L1" s="26" t="s">
        <v>9176</v>
      </c>
    </row>
    <row r="2" spans="1:12">
      <c r="A2" s="29">
        <v>1</v>
      </c>
      <c r="B2" s="29" t="s">
        <v>1402</v>
      </c>
      <c r="C2" s="29" t="s">
        <v>10167</v>
      </c>
      <c r="D2" s="29" t="s">
        <v>10168</v>
      </c>
      <c r="E2" s="29" t="s">
        <v>10169</v>
      </c>
      <c r="F2" s="29"/>
      <c r="G2" s="29" t="s">
        <v>10170</v>
      </c>
      <c r="H2" s="29"/>
      <c r="I2" s="29" t="s">
        <v>9180</v>
      </c>
      <c r="J2" s="29" t="s">
        <v>10171</v>
      </c>
      <c r="K2" s="29" t="s">
        <v>9182</v>
      </c>
      <c r="L2" s="29" t="s">
        <v>9189</v>
      </c>
    </row>
    <row r="3" spans="1:12">
      <c r="A3" s="30">
        <v>2</v>
      </c>
      <c r="B3" s="30" t="s">
        <v>1383</v>
      </c>
      <c r="C3" s="30" t="s">
        <v>10172</v>
      </c>
      <c r="D3" s="30" t="s">
        <v>10173</v>
      </c>
      <c r="E3" s="30" t="s">
        <v>9208</v>
      </c>
      <c r="F3" s="30"/>
      <c r="G3" s="30" t="s">
        <v>10174</v>
      </c>
      <c r="H3" s="30"/>
      <c r="I3" s="30" t="s">
        <v>9180</v>
      </c>
      <c r="J3" s="30" t="s">
        <v>9477</v>
      </c>
      <c r="K3" s="30" t="s">
        <v>9182</v>
      </c>
      <c r="L3" s="30" t="s">
        <v>9350</v>
      </c>
    </row>
    <row r="4" spans="1:12">
      <c r="A4" s="30">
        <v>3</v>
      </c>
      <c r="B4" s="30" t="s">
        <v>5846</v>
      </c>
      <c r="C4" s="30" t="s">
        <v>10175</v>
      </c>
      <c r="D4" s="30" t="s">
        <v>10173</v>
      </c>
      <c r="E4" s="30" t="s">
        <v>9208</v>
      </c>
      <c r="F4" s="30"/>
      <c r="G4" s="30" t="s">
        <v>10176</v>
      </c>
      <c r="H4" s="30"/>
      <c r="I4" s="30" t="s">
        <v>9180</v>
      </c>
      <c r="J4" s="30" t="s">
        <v>9343</v>
      </c>
      <c r="K4" s="30" t="s">
        <v>9182</v>
      </c>
      <c r="L4" s="30" t="s">
        <v>9350</v>
      </c>
    </row>
    <row r="5" spans="1:12">
      <c r="A5" s="30">
        <v>4</v>
      </c>
      <c r="B5" s="30" t="s">
        <v>9131</v>
      </c>
      <c r="C5" s="30" t="s">
        <v>9132</v>
      </c>
      <c r="D5" s="30" t="s">
        <v>10173</v>
      </c>
      <c r="E5" s="30" t="s">
        <v>9208</v>
      </c>
      <c r="F5" s="30"/>
      <c r="G5" s="30" t="s">
        <v>10177</v>
      </c>
      <c r="H5" s="30"/>
      <c r="I5" s="30" t="s">
        <v>9180</v>
      </c>
      <c r="J5" s="30" t="s">
        <v>9217</v>
      </c>
      <c r="K5" s="30" t="s">
        <v>9182</v>
      </c>
      <c r="L5" s="30" t="s">
        <v>9350</v>
      </c>
    </row>
    <row r="6" spans="1:12">
      <c r="A6" s="27">
        <v>5</v>
      </c>
      <c r="B6" s="27" t="s">
        <v>10178</v>
      </c>
      <c r="C6" s="27" t="s">
        <v>10179</v>
      </c>
      <c r="D6" s="27" t="s">
        <v>10173</v>
      </c>
      <c r="E6" s="27" t="s">
        <v>10169</v>
      </c>
      <c r="F6" s="27"/>
      <c r="G6" s="27" t="s">
        <v>10180</v>
      </c>
      <c r="H6" s="27"/>
      <c r="I6" s="27" t="s">
        <v>9180</v>
      </c>
      <c r="J6" s="27" t="s">
        <v>9210</v>
      </c>
      <c r="K6" s="27" t="s">
        <v>9182</v>
      </c>
      <c r="L6" s="27" t="s">
        <v>9183</v>
      </c>
    </row>
    <row r="7" spans="1:12">
      <c r="A7" s="27">
        <v>6</v>
      </c>
      <c r="B7" s="27" t="s">
        <v>10181</v>
      </c>
      <c r="C7" s="27" t="s">
        <v>10182</v>
      </c>
      <c r="D7" s="27" t="s">
        <v>10173</v>
      </c>
      <c r="E7" s="27" t="s">
        <v>10169</v>
      </c>
      <c r="F7" s="27"/>
      <c r="G7" s="27" t="s">
        <v>10183</v>
      </c>
      <c r="H7" s="27" t="s">
        <v>10183</v>
      </c>
      <c r="I7" s="27" t="s">
        <v>9180</v>
      </c>
      <c r="J7" s="27" t="s">
        <v>9210</v>
      </c>
      <c r="K7" s="27" t="s">
        <v>9182</v>
      </c>
      <c r="L7" s="27" t="s">
        <v>9183</v>
      </c>
    </row>
    <row r="8" spans="1:12">
      <c r="A8" s="29">
        <v>7</v>
      </c>
      <c r="B8" s="29" t="s">
        <v>5564</v>
      </c>
      <c r="C8" s="29" t="s">
        <v>10184</v>
      </c>
      <c r="D8" s="29" t="s">
        <v>10168</v>
      </c>
      <c r="E8" s="29" t="s">
        <v>10169</v>
      </c>
      <c r="F8" s="29"/>
      <c r="G8" s="29" t="s">
        <v>10185</v>
      </c>
      <c r="H8" s="29"/>
      <c r="I8" s="29" t="s">
        <v>9180</v>
      </c>
      <c r="J8" s="29" t="s">
        <v>9810</v>
      </c>
      <c r="K8" s="29" t="s">
        <v>9182</v>
      </c>
      <c r="L8" s="29" t="s">
        <v>9189</v>
      </c>
    </row>
    <row r="9" spans="1:12">
      <c r="A9" s="28">
        <v>8</v>
      </c>
      <c r="B9" s="28" t="s">
        <v>6336</v>
      </c>
      <c r="C9" s="28" t="s">
        <v>10186</v>
      </c>
      <c r="D9" s="28" t="s">
        <v>10168</v>
      </c>
      <c r="E9" s="28" t="s">
        <v>10169</v>
      </c>
      <c r="F9" s="28"/>
      <c r="G9" s="28" t="s">
        <v>6336</v>
      </c>
      <c r="H9" s="28"/>
      <c r="I9" s="28" t="s">
        <v>9180</v>
      </c>
      <c r="J9" s="28" t="s">
        <v>9301</v>
      </c>
      <c r="K9" s="28" t="s">
        <v>9182</v>
      </c>
      <c r="L9" s="28" t="s">
        <v>9189</v>
      </c>
    </row>
    <row r="10" spans="1:12">
      <c r="A10" s="27">
        <v>9</v>
      </c>
      <c r="B10" s="27" t="s">
        <v>10187</v>
      </c>
      <c r="C10" s="27" t="s">
        <v>10188</v>
      </c>
      <c r="D10" s="27" t="s">
        <v>10173</v>
      </c>
      <c r="E10" s="27" t="s">
        <v>10169</v>
      </c>
      <c r="F10" s="27"/>
      <c r="G10" s="27" t="s">
        <v>10189</v>
      </c>
      <c r="H10" s="27"/>
      <c r="I10" s="27" t="s">
        <v>9180</v>
      </c>
      <c r="J10" s="27" t="s">
        <v>9210</v>
      </c>
      <c r="K10" s="27" t="s">
        <v>9182</v>
      </c>
      <c r="L10" s="27" t="s">
        <v>9196</v>
      </c>
    </row>
    <row r="11" spans="1:12">
      <c r="A11" s="27">
        <v>10</v>
      </c>
      <c r="B11" s="27" t="s">
        <v>694</v>
      </c>
      <c r="C11" s="27"/>
      <c r="D11" s="27" t="s">
        <v>10173</v>
      </c>
      <c r="E11" s="27" t="s">
        <v>10169</v>
      </c>
      <c r="F11" s="27"/>
      <c r="G11" s="27" t="s">
        <v>10190</v>
      </c>
      <c r="H11" s="27"/>
      <c r="I11" s="27" t="s">
        <v>9180</v>
      </c>
      <c r="J11" s="27" t="s">
        <v>10191</v>
      </c>
      <c r="K11" s="27" t="s">
        <v>9182</v>
      </c>
      <c r="L11" s="27" t="s">
        <v>9183</v>
      </c>
    </row>
    <row r="12" spans="1:12">
      <c r="A12" s="29">
        <v>11</v>
      </c>
      <c r="B12" s="29" t="s">
        <v>7682</v>
      </c>
      <c r="C12" s="29" t="s">
        <v>10192</v>
      </c>
      <c r="D12" s="29" t="s">
        <v>10168</v>
      </c>
      <c r="E12" s="29" t="s">
        <v>9208</v>
      </c>
      <c r="F12" s="29"/>
      <c r="G12" s="29" t="s">
        <v>10193</v>
      </c>
      <c r="H12" s="29"/>
      <c r="I12" s="29" t="s">
        <v>9180</v>
      </c>
      <c r="J12" s="29" t="s">
        <v>9205</v>
      </c>
      <c r="K12" s="29" t="s">
        <v>9182</v>
      </c>
      <c r="L12" s="29" t="s">
        <v>9522</v>
      </c>
    </row>
    <row r="13" spans="1:12">
      <c r="A13" s="28">
        <v>12</v>
      </c>
      <c r="B13" s="28" t="s">
        <v>6774</v>
      </c>
      <c r="C13" s="28" t="s">
        <v>10194</v>
      </c>
      <c r="D13" s="28" t="s">
        <v>10168</v>
      </c>
      <c r="E13" s="28" t="s">
        <v>10169</v>
      </c>
      <c r="F13" s="28"/>
      <c r="G13" s="28" t="s">
        <v>10195</v>
      </c>
      <c r="H13" s="28"/>
      <c r="I13" s="28" t="s">
        <v>9180</v>
      </c>
      <c r="J13" s="28" t="s">
        <v>9221</v>
      </c>
      <c r="K13" s="28" t="s">
        <v>9182</v>
      </c>
      <c r="L13" s="28" t="s">
        <v>9189</v>
      </c>
    </row>
    <row r="14" spans="1:12">
      <c r="A14" s="29">
        <v>13</v>
      </c>
      <c r="B14" s="29" t="s">
        <v>7427</v>
      </c>
      <c r="C14" s="29" t="s">
        <v>7428</v>
      </c>
      <c r="D14" s="29" t="s">
        <v>10168</v>
      </c>
      <c r="E14" s="29" t="s">
        <v>10169</v>
      </c>
      <c r="F14" s="29"/>
      <c r="G14" s="29" t="s">
        <v>10196</v>
      </c>
      <c r="H14" s="29"/>
      <c r="I14" s="29" t="s">
        <v>9180</v>
      </c>
      <c r="J14" s="29" t="s">
        <v>9217</v>
      </c>
      <c r="K14" s="29" t="s">
        <v>9182</v>
      </c>
      <c r="L14" s="29" t="s">
        <v>9223</v>
      </c>
    </row>
    <row r="15" spans="1:12">
      <c r="A15" s="28">
        <v>14</v>
      </c>
      <c r="B15" s="28" t="s">
        <v>6770</v>
      </c>
      <c r="C15" s="28" t="s">
        <v>10197</v>
      </c>
      <c r="D15" s="28" t="s">
        <v>10168</v>
      </c>
      <c r="E15" s="28" t="s">
        <v>10169</v>
      </c>
      <c r="F15" s="28"/>
      <c r="G15" s="28" t="s">
        <v>10198</v>
      </c>
      <c r="H15" s="28"/>
      <c r="I15" s="28" t="s">
        <v>9180</v>
      </c>
      <c r="J15" s="28" t="s">
        <v>10199</v>
      </c>
      <c r="K15" s="28" t="s">
        <v>9182</v>
      </c>
      <c r="L15" s="28" t="s">
        <v>9189</v>
      </c>
    </row>
    <row r="16" spans="1:12">
      <c r="A16" s="29">
        <v>15</v>
      </c>
      <c r="B16" s="29" t="s">
        <v>6778</v>
      </c>
      <c r="C16" s="29" t="s">
        <v>10200</v>
      </c>
      <c r="D16" s="29" t="s">
        <v>10168</v>
      </c>
      <c r="E16" s="29" t="s">
        <v>10169</v>
      </c>
      <c r="F16" s="29"/>
      <c r="G16" s="29" t="s">
        <v>10201</v>
      </c>
      <c r="H16" s="29"/>
      <c r="I16" s="29" t="s">
        <v>9180</v>
      </c>
      <c r="J16" s="29" t="s">
        <v>9217</v>
      </c>
      <c r="K16" s="29" t="s">
        <v>9182</v>
      </c>
      <c r="L16" s="29" t="s">
        <v>9189</v>
      </c>
    </row>
    <row r="17" spans="1:12">
      <c r="A17" s="27">
        <v>16</v>
      </c>
      <c r="B17" s="27" t="s">
        <v>8535</v>
      </c>
      <c r="C17" s="27" t="s">
        <v>10202</v>
      </c>
      <c r="D17" s="27" t="s">
        <v>10173</v>
      </c>
      <c r="E17" s="27" t="s">
        <v>10169</v>
      </c>
      <c r="F17" s="27"/>
      <c r="G17" s="27" t="s">
        <v>10203</v>
      </c>
      <c r="H17" s="27"/>
      <c r="I17" s="27" t="s">
        <v>9180</v>
      </c>
      <c r="J17" s="27" t="s">
        <v>9274</v>
      </c>
      <c r="K17" s="27" t="s">
        <v>9182</v>
      </c>
      <c r="L17" s="27" t="s">
        <v>9196</v>
      </c>
    </row>
    <row r="18" spans="1:12">
      <c r="A18" s="29">
        <v>17</v>
      </c>
      <c r="B18" s="29" t="s">
        <v>6191</v>
      </c>
      <c r="C18" s="29" t="s">
        <v>6192</v>
      </c>
      <c r="D18" s="29" t="s">
        <v>10168</v>
      </c>
      <c r="E18" s="29" t="s">
        <v>10169</v>
      </c>
      <c r="F18" s="29"/>
      <c r="G18" s="29" t="s">
        <v>10204</v>
      </c>
      <c r="H18" s="29"/>
      <c r="I18" s="29" t="s">
        <v>9180</v>
      </c>
      <c r="J18" s="29" t="s">
        <v>10205</v>
      </c>
      <c r="K18" s="29" t="s">
        <v>9182</v>
      </c>
      <c r="L18" s="29" t="s">
        <v>9223</v>
      </c>
    </row>
    <row r="19" spans="1:12">
      <c r="A19" s="28">
        <v>18</v>
      </c>
      <c r="B19" s="28" t="s">
        <v>7674</v>
      </c>
      <c r="C19" s="28" t="s">
        <v>10206</v>
      </c>
      <c r="D19" s="28" t="s">
        <v>10168</v>
      </c>
      <c r="E19" s="28" t="s">
        <v>10169</v>
      </c>
      <c r="F19" s="28"/>
      <c r="G19" s="28" t="s">
        <v>10207</v>
      </c>
      <c r="H19" s="28"/>
      <c r="I19" s="28" t="s">
        <v>9180</v>
      </c>
      <c r="J19" s="28" t="s">
        <v>9239</v>
      </c>
      <c r="K19" s="28" t="s">
        <v>9182</v>
      </c>
      <c r="L19" s="28" t="s">
        <v>9223</v>
      </c>
    </row>
    <row r="20" spans="1:12">
      <c r="A20" s="29">
        <v>19</v>
      </c>
      <c r="B20" s="29" t="s">
        <v>6930</v>
      </c>
      <c r="C20" s="29" t="s">
        <v>10208</v>
      </c>
      <c r="D20" s="29" t="s">
        <v>10168</v>
      </c>
      <c r="E20" s="29" t="s">
        <v>10169</v>
      </c>
      <c r="F20" s="29"/>
      <c r="G20" s="29" t="s">
        <v>10209</v>
      </c>
      <c r="H20" s="29"/>
      <c r="I20" s="29" t="s">
        <v>9180</v>
      </c>
      <c r="J20" s="29" t="s">
        <v>9230</v>
      </c>
      <c r="K20" s="29" t="s">
        <v>9182</v>
      </c>
      <c r="L20" s="29" t="s">
        <v>9189</v>
      </c>
    </row>
    <row r="21" spans="1:12">
      <c r="A21" s="27">
        <v>20</v>
      </c>
      <c r="B21" s="27" t="s">
        <v>6575</v>
      </c>
      <c r="C21" s="27" t="s">
        <v>6576</v>
      </c>
      <c r="D21" s="27" t="s">
        <v>10173</v>
      </c>
      <c r="E21" s="27" t="s">
        <v>10169</v>
      </c>
      <c r="F21" s="27"/>
      <c r="G21" s="27" t="s">
        <v>10210</v>
      </c>
      <c r="H21" s="27"/>
      <c r="I21" s="27" t="s">
        <v>9180</v>
      </c>
      <c r="J21" s="27" t="s">
        <v>9239</v>
      </c>
      <c r="K21" s="27" t="s">
        <v>9182</v>
      </c>
      <c r="L21" s="27" t="s">
        <v>9183</v>
      </c>
    </row>
    <row r="22" spans="1:12">
      <c r="A22" s="29">
        <v>21</v>
      </c>
      <c r="B22" s="29" t="s">
        <v>7260</v>
      </c>
      <c r="C22" s="29" t="s">
        <v>7261</v>
      </c>
      <c r="D22" s="29" t="s">
        <v>10168</v>
      </c>
      <c r="E22" s="29" t="s">
        <v>10169</v>
      </c>
      <c r="F22" s="29"/>
      <c r="G22" s="29" t="s">
        <v>10211</v>
      </c>
      <c r="H22" s="29"/>
      <c r="I22" s="29" t="s">
        <v>9180</v>
      </c>
      <c r="J22" s="29" t="s">
        <v>10212</v>
      </c>
      <c r="K22" s="29" t="s">
        <v>9182</v>
      </c>
      <c r="L22" s="29" t="s">
        <v>9223</v>
      </c>
    </row>
    <row r="23" spans="1:12">
      <c r="A23" s="28">
        <v>22</v>
      </c>
      <c r="B23" s="28" t="s">
        <v>7400</v>
      </c>
      <c r="C23" s="28" t="s">
        <v>7401</v>
      </c>
      <c r="D23" s="28" t="s">
        <v>10168</v>
      </c>
      <c r="E23" s="28" t="s">
        <v>10169</v>
      </c>
      <c r="F23" s="28"/>
      <c r="G23" s="28" t="s">
        <v>10213</v>
      </c>
      <c r="H23" s="28"/>
      <c r="I23" s="28" t="s">
        <v>9180</v>
      </c>
      <c r="J23" s="28" t="s">
        <v>10214</v>
      </c>
      <c r="K23" s="28" t="s">
        <v>9182</v>
      </c>
      <c r="L23" s="28" t="s">
        <v>9223</v>
      </c>
    </row>
    <row r="24" spans="1:12">
      <c r="A24" s="29">
        <v>23</v>
      </c>
      <c r="B24" s="29" t="s">
        <v>7417</v>
      </c>
      <c r="C24" s="29" t="s">
        <v>7418</v>
      </c>
      <c r="D24" s="29" t="s">
        <v>10168</v>
      </c>
      <c r="E24" s="29" t="s">
        <v>10169</v>
      </c>
      <c r="F24" s="29"/>
      <c r="G24" s="29" t="s">
        <v>10215</v>
      </c>
      <c r="H24" s="29"/>
      <c r="I24" s="29" t="s">
        <v>9180</v>
      </c>
      <c r="J24" s="29" t="s">
        <v>9260</v>
      </c>
      <c r="K24" s="29" t="s">
        <v>9182</v>
      </c>
      <c r="L24" s="29" t="s">
        <v>9223</v>
      </c>
    </row>
    <row r="25" spans="1:12">
      <c r="A25" s="28">
        <v>24</v>
      </c>
      <c r="B25" s="28" t="s">
        <v>6691</v>
      </c>
      <c r="C25" s="28" t="s">
        <v>6692</v>
      </c>
      <c r="D25" s="28" t="s">
        <v>10168</v>
      </c>
      <c r="E25" s="28" t="s">
        <v>10169</v>
      </c>
      <c r="F25" s="28"/>
      <c r="G25" s="28" t="s">
        <v>10216</v>
      </c>
      <c r="H25" s="28"/>
      <c r="I25" s="28" t="s">
        <v>9180</v>
      </c>
      <c r="J25" s="28" t="s">
        <v>9222</v>
      </c>
      <c r="K25" s="28" t="s">
        <v>9182</v>
      </c>
      <c r="L25" s="28" t="s">
        <v>9223</v>
      </c>
    </row>
    <row r="26" spans="1:12">
      <c r="A26" s="29">
        <v>25</v>
      </c>
      <c r="B26" s="29" t="s">
        <v>7256</v>
      </c>
      <c r="C26" s="29" t="s">
        <v>10217</v>
      </c>
      <c r="D26" s="29" t="s">
        <v>10168</v>
      </c>
      <c r="E26" s="29" t="s">
        <v>10169</v>
      </c>
      <c r="F26" s="29"/>
      <c r="G26" s="29" t="s">
        <v>10218</v>
      </c>
      <c r="H26" s="29"/>
      <c r="I26" s="29" t="s">
        <v>9180</v>
      </c>
      <c r="J26" s="29" t="s">
        <v>10219</v>
      </c>
      <c r="K26" s="29" t="s">
        <v>9182</v>
      </c>
      <c r="L26" s="29" t="s">
        <v>9189</v>
      </c>
    </row>
    <row r="27" spans="1:12">
      <c r="A27" s="30">
        <v>26</v>
      </c>
      <c r="B27" s="30" t="s">
        <v>8255</v>
      </c>
      <c r="C27" s="30" t="s">
        <v>10220</v>
      </c>
      <c r="D27" s="30" t="s">
        <v>10173</v>
      </c>
      <c r="E27" s="30" t="s">
        <v>9208</v>
      </c>
      <c r="F27" s="30"/>
      <c r="G27" s="30" t="s">
        <v>10221</v>
      </c>
      <c r="H27" s="30"/>
      <c r="I27" s="30" t="s">
        <v>9180</v>
      </c>
      <c r="J27" s="30" t="s">
        <v>9221</v>
      </c>
      <c r="K27" s="30" t="s">
        <v>9182</v>
      </c>
      <c r="L27" s="30" t="s">
        <v>9350</v>
      </c>
    </row>
    <row r="28" spans="1:12">
      <c r="A28" s="29">
        <v>27</v>
      </c>
      <c r="B28" s="29" t="s">
        <v>7656</v>
      </c>
      <c r="C28" s="29" t="s">
        <v>7657</v>
      </c>
      <c r="D28" s="29" t="s">
        <v>10168</v>
      </c>
      <c r="E28" s="29" t="s">
        <v>10169</v>
      </c>
      <c r="F28" s="29"/>
      <c r="G28" s="29" t="s">
        <v>10222</v>
      </c>
      <c r="H28" s="29"/>
      <c r="I28" s="29" t="s">
        <v>9180</v>
      </c>
      <c r="J28" s="29" t="s">
        <v>9221</v>
      </c>
      <c r="K28" s="29" t="s">
        <v>9182</v>
      </c>
      <c r="L28" s="29" t="s">
        <v>9223</v>
      </c>
    </row>
    <row r="29" spans="1:12">
      <c r="A29" s="28">
        <v>28</v>
      </c>
      <c r="B29" s="28" t="s">
        <v>7645</v>
      </c>
      <c r="C29" s="28" t="s">
        <v>7646</v>
      </c>
      <c r="D29" s="28" t="s">
        <v>10168</v>
      </c>
      <c r="E29" s="28" t="s">
        <v>10169</v>
      </c>
      <c r="F29" s="28"/>
      <c r="G29" s="28" t="s">
        <v>10223</v>
      </c>
      <c r="H29" s="28"/>
      <c r="I29" s="28" t="s">
        <v>9180</v>
      </c>
      <c r="J29" s="28" t="s">
        <v>9239</v>
      </c>
      <c r="K29" s="28" t="s">
        <v>9182</v>
      </c>
      <c r="L29" s="28" t="s">
        <v>9223</v>
      </c>
    </row>
    <row r="30" spans="1:12">
      <c r="A30" s="29">
        <v>29</v>
      </c>
      <c r="B30" s="29" t="s">
        <v>6850</v>
      </c>
      <c r="C30" s="29" t="s">
        <v>10224</v>
      </c>
      <c r="D30" s="29" t="s">
        <v>10168</v>
      </c>
      <c r="E30" s="29" t="s">
        <v>10169</v>
      </c>
      <c r="F30" s="29"/>
      <c r="G30" s="29" t="s">
        <v>10225</v>
      </c>
      <c r="H30" s="29"/>
      <c r="I30" s="29" t="s">
        <v>9180</v>
      </c>
      <c r="J30" s="29" t="s">
        <v>9227</v>
      </c>
      <c r="K30" s="29" t="s">
        <v>9182</v>
      </c>
      <c r="L30" s="29" t="s">
        <v>9189</v>
      </c>
    </row>
    <row r="31" spans="1:12">
      <c r="A31" s="28">
        <v>30</v>
      </c>
      <c r="B31" s="28" t="s">
        <v>10226</v>
      </c>
      <c r="C31" s="28" t="s">
        <v>10227</v>
      </c>
      <c r="D31" s="28" t="s">
        <v>10168</v>
      </c>
      <c r="E31" s="28" t="s">
        <v>10169</v>
      </c>
      <c r="F31" s="28"/>
      <c r="G31" s="28" t="s">
        <v>10228</v>
      </c>
      <c r="H31" s="28"/>
      <c r="I31" s="28" t="s">
        <v>9180</v>
      </c>
      <c r="J31" s="28" t="s">
        <v>9210</v>
      </c>
      <c r="K31" s="28" t="s">
        <v>9182</v>
      </c>
      <c r="L31" s="28" t="s">
        <v>9223</v>
      </c>
    </row>
    <row r="32" spans="1:12">
      <c r="A32" s="29">
        <v>31</v>
      </c>
      <c r="B32" s="29" t="s">
        <v>8211</v>
      </c>
      <c r="C32" s="29" t="s">
        <v>10229</v>
      </c>
      <c r="D32" s="29" t="s">
        <v>10168</v>
      </c>
      <c r="E32" s="29" t="s">
        <v>10169</v>
      </c>
      <c r="F32" s="29"/>
      <c r="G32" s="29" t="s">
        <v>10230</v>
      </c>
      <c r="H32" s="29"/>
      <c r="I32" s="29" t="s">
        <v>9180</v>
      </c>
      <c r="J32" s="29" t="s">
        <v>9230</v>
      </c>
      <c r="K32" s="29" t="s">
        <v>9182</v>
      </c>
      <c r="L32" s="29" t="s">
        <v>9189</v>
      </c>
    </row>
    <row r="33" spans="1:12">
      <c r="A33" s="27">
        <v>32</v>
      </c>
      <c r="B33" s="27" t="s">
        <v>5101</v>
      </c>
      <c r="C33" s="27" t="s">
        <v>10231</v>
      </c>
      <c r="D33" s="27" t="s">
        <v>10173</v>
      </c>
      <c r="E33" s="27" t="s">
        <v>10169</v>
      </c>
      <c r="F33" s="27"/>
      <c r="G33" s="27" t="s">
        <v>10232</v>
      </c>
      <c r="H33" s="27"/>
      <c r="I33" s="27" t="s">
        <v>9180</v>
      </c>
      <c r="J33" s="27" t="s">
        <v>10233</v>
      </c>
      <c r="K33" s="27" t="s">
        <v>9182</v>
      </c>
      <c r="L33" s="27" t="s">
        <v>9196</v>
      </c>
    </row>
    <row r="34" spans="1:12">
      <c r="A34" s="29">
        <v>33</v>
      </c>
      <c r="B34" s="29" t="s">
        <v>7449</v>
      </c>
      <c r="C34" s="29"/>
      <c r="D34" s="29" t="s">
        <v>10168</v>
      </c>
      <c r="E34" s="29" t="s">
        <v>10169</v>
      </c>
      <c r="F34" s="29"/>
      <c r="G34" s="29" t="s">
        <v>10234</v>
      </c>
      <c r="H34" s="29"/>
      <c r="I34" s="29" t="s">
        <v>9180</v>
      </c>
      <c r="J34" s="29" t="s">
        <v>9374</v>
      </c>
      <c r="K34" s="29" t="s">
        <v>9182</v>
      </c>
      <c r="L34" s="29" t="s">
        <v>9223</v>
      </c>
    </row>
    <row r="35" spans="1:12">
      <c r="A35" s="28">
        <v>34</v>
      </c>
      <c r="B35" s="28" t="s">
        <v>7558</v>
      </c>
      <c r="C35" s="28"/>
      <c r="D35" s="28" t="s">
        <v>10168</v>
      </c>
      <c r="E35" s="28" t="s">
        <v>10169</v>
      </c>
      <c r="F35" s="28"/>
      <c r="G35" s="28" t="s">
        <v>10235</v>
      </c>
      <c r="H35" s="28"/>
      <c r="I35" s="28" t="s">
        <v>9180</v>
      </c>
      <c r="J35" s="28" t="s">
        <v>10236</v>
      </c>
      <c r="K35" s="28" t="s">
        <v>9182</v>
      </c>
      <c r="L35" s="28" t="s">
        <v>9223</v>
      </c>
    </row>
    <row r="36" spans="1:12">
      <c r="A36" s="29">
        <v>35</v>
      </c>
      <c r="B36" s="29" t="s">
        <v>7554</v>
      </c>
      <c r="C36" s="29"/>
      <c r="D36" s="29" t="s">
        <v>10168</v>
      </c>
      <c r="E36" s="29" t="s">
        <v>10169</v>
      </c>
      <c r="F36" s="29"/>
      <c r="G36" s="29" t="s">
        <v>10237</v>
      </c>
      <c r="H36" s="29"/>
      <c r="I36" s="29" t="s">
        <v>9180</v>
      </c>
      <c r="J36" s="29" t="s">
        <v>10238</v>
      </c>
      <c r="K36" s="29" t="s">
        <v>9182</v>
      </c>
      <c r="L36" s="29" t="s">
        <v>9223</v>
      </c>
    </row>
    <row r="37" spans="1:12">
      <c r="A37" s="27">
        <v>36</v>
      </c>
      <c r="B37" s="27" t="s">
        <v>7457</v>
      </c>
      <c r="C37" s="27" t="s">
        <v>10239</v>
      </c>
      <c r="D37" s="27" t="s">
        <v>10173</v>
      </c>
      <c r="E37" s="27" t="s">
        <v>10169</v>
      </c>
      <c r="F37" s="27"/>
      <c r="G37" s="27" t="s">
        <v>10240</v>
      </c>
      <c r="H37" s="27"/>
      <c r="I37" s="27" t="s">
        <v>9180</v>
      </c>
      <c r="J37" s="27" t="s">
        <v>9195</v>
      </c>
      <c r="K37" s="27" t="s">
        <v>9182</v>
      </c>
      <c r="L37" s="27" t="s">
        <v>9196</v>
      </c>
    </row>
    <row r="38" spans="1:12">
      <c r="A38" s="29">
        <v>37</v>
      </c>
      <c r="B38" s="29" t="s">
        <v>6837</v>
      </c>
      <c r="C38" s="29" t="s">
        <v>10241</v>
      </c>
      <c r="D38" s="29" t="s">
        <v>10168</v>
      </c>
      <c r="E38" s="29" t="s">
        <v>10169</v>
      </c>
      <c r="F38" s="29"/>
      <c r="G38" s="29" t="s">
        <v>10242</v>
      </c>
      <c r="H38" s="29"/>
      <c r="I38" s="29" t="s">
        <v>9180</v>
      </c>
      <c r="J38" s="29" t="s">
        <v>9230</v>
      </c>
      <c r="K38" s="29" t="s">
        <v>9182</v>
      </c>
      <c r="L38" s="29" t="s">
        <v>9189</v>
      </c>
    </row>
    <row r="39" spans="1:12">
      <c r="A39" s="28">
        <v>38</v>
      </c>
      <c r="B39" s="28" t="s">
        <v>7011</v>
      </c>
      <c r="C39" s="28" t="s">
        <v>10243</v>
      </c>
      <c r="D39" s="28" t="s">
        <v>10168</v>
      </c>
      <c r="E39" s="28" t="s">
        <v>10169</v>
      </c>
      <c r="F39" s="28"/>
      <c r="G39" s="28" t="s">
        <v>10244</v>
      </c>
      <c r="H39" s="28"/>
      <c r="I39" s="28" t="s">
        <v>9180</v>
      </c>
      <c r="J39" s="28" t="s">
        <v>10245</v>
      </c>
      <c r="K39" s="28" t="s">
        <v>9182</v>
      </c>
      <c r="L39" s="28" t="s">
        <v>9189</v>
      </c>
    </row>
    <row r="40" spans="1:12">
      <c r="A40" s="29">
        <v>39</v>
      </c>
      <c r="B40" s="29" t="s">
        <v>6916</v>
      </c>
      <c r="C40" s="29" t="s">
        <v>6917</v>
      </c>
      <c r="D40" s="29" t="s">
        <v>10168</v>
      </c>
      <c r="E40" s="29" t="s">
        <v>10169</v>
      </c>
      <c r="F40" s="29"/>
      <c r="G40" s="29" t="s">
        <v>10246</v>
      </c>
      <c r="H40" s="29"/>
      <c r="I40" s="29" t="s">
        <v>9180</v>
      </c>
      <c r="J40" s="29" t="s">
        <v>10214</v>
      </c>
      <c r="K40" s="29" t="s">
        <v>9182</v>
      </c>
      <c r="L40" s="29" t="s">
        <v>9223</v>
      </c>
    </row>
    <row r="41" spans="1:12">
      <c r="A41" s="28">
        <v>40</v>
      </c>
      <c r="B41" s="28" t="s">
        <v>6561</v>
      </c>
      <c r="C41" s="28" t="s">
        <v>10247</v>
      </c>
      <c r="D41" s="28" t="s">
        <v>10168</v>
      </c>
      <c r="E41" s="28" t="s">
        <v>10169</v>
      </c>
      <c r="F41" s="28"/>
      <c r="G41" s="28" t="s">
        <v>10248</v>
      </c>
      <c r="H41" s="28"/>
      <c r="I41" s="28" t="s">
        <v>9180</v>
      </c>
      <c r="J41" s="28" t="s">
        <v>9221</v>
      </c>
      <c r="K41" s="28" t="s">
        <v>9182</v>
      </c>
      <c r="L41" s="28" t="s">
        <v>9189</v>
      </c>
    </row>
    <row r="42" spans="1:12">
      <c r="A42" s="27">
        <v>41</v>
      </c>
      <c r="B42" s="27" t="s">
        <v>7735</v>
      </c>
      <c r="C42" s="27" t="s">
        <v>10249</v>
      </c>
      <c r="D42" s="27" t="s">
        <v>10173</v>
      </c>
      <c r="E42" s="27" t="s">
        <v>10169</v>
      </c>
      <c r="F42" s="27"/>
      <c r="G42" s="27" t="s">
        <v>10250</v>
      </c>
      <c r="H42" s="27"/>
      <c r="I42" s="27" t="s">
        <v>9180</v>
      </c>
      <c r="J42" s="27" t="s">
        <v>9249</v>
      </c>
      <c r="K42" s="27" t="s">
        <v>9182</v>
      </c>
      <c r="L42" s="27" t="s">
        <v>9196</v>
      </c>
    </row>
    <row r="43" spans="1:12">
      <c r="A43" s="30">
        <v>42</v>
      </c>
      <c r="B43" s="30" t="s">
        <v>6583</v>
      </c>
      <c r="C43" s="30" t="s">
        <v>6584</v>
      </c>
      <c r="D43" s="30" t="s">
        <v>10173</v>
      </c>
      <c r="E43" s="30" t="s">
        <v>9208</v>
      </c>
      <c r="F43" s="30"/>
      <c r="G43" s="30" t="s">
        <v>10251</v>
      </c>
      <c r="H43" s="30"/>
      <c r="I43" s="30" t="s">
        <v>9180</v>
      </c>
      <c r="J43" s="30" t="s">
        <v>9322</v>
      </c>
      <c r="K43" s="30" t="s">
        <v>9182</v>
      </c>
      <c r="L43" s="30" t="s">
        <v>9350</v>
      </c>
    </row>
    <row r="44" spans="1:12">
      <c r="A44" s="29">
        <v>43</v>
      </c>
      <c r="B44" s="29" t="s">
        <v>7587</v>
      </c>
      <c r="C44" s="29" t="s">
        <v>10252</v>
      </c>
      <c r="D44" s="29" t="s">
        <v>10168</v>
      </c>
      <c r="E44" s="29" t="s">
        <v>10169</v>
      </c>
      <c r="F44" s="29"/>
      <c r="G44" s="29" t="s">
        <v>10253</v>
      </c>
      <c r="H44" s="29"/>
      <c r="I44" s="29" t="s">
        <v>9180</v>
      </c>
      <c r="J44" s="29" t="s">
        <v>10254</v>
      </c>
      <c r="K44" s="29" t="s">
        <v>9182</v>
      </c>
      <c r="L44" s="29" t="s">
        <v>9189</v>
      </c>
    </row>
    <row r="45" spans="1:12">
      <c r="A45" s="28">
        <v>44</v>
      </c>
      <c r="B45" s="28" t="s">
        <v>6912</v>
      </c>
      <c r="C45" s="28" t="s">
        <v>10255</v>
      </c>
      <c r="D45" s="28" t="s">
        <v>10168</v>
      </c>
      <c r="E45" s="28" t="s">
        <v>10169</v>
      </c>
      <c r="F45" s="28"/>
      <c r="G45" s="28" t="s">
        <v>10256</v>
      </c>
      <c r="H45" s="28"/>
      <c r="I45" s="28" t="s">
        <v>9180</v>
      </c>
      <c r="J45" s="28" t="s">
        <v>9230</v>
      </c>
      <c r="K45" s="28" t="s">
        <v>9182</v>
      </c>
      <c r="L45" s="28" t="s">
        <v>9189</v>
      </c>
    </row>
    <row r="46" spans="1:12">
      <c r="A46" s="29">
        <v>45</v>
      </c>
      <c r="B46" s="29" t="s">
        <v>6833</v>
      </c>
      <c r="C46" s="29" t="s">
        <v>10257</v>
      </c>
      <c r="D46" s="29" t="s">
        <v>10168</v>
      </c>
      <c r="E46" s="29" t="s">
        <v>10169</v>
      </c>
      <c r="F46" s="29"/>
      <c r="G46" s="29" t="s">
        <v>10258</v>
      </c>
      <c r="H46" s="29"/>
      <c r="I46" s="29" t="s">
        <v>9180</v>
      </c>
      <c r="J46" s="29" t="s">
        <v>10259</v>
      </c>
      <c r="K46" s="29" t="s">
        <v>9182</v>
      </c>
      <c r="L46" s="29" t="s">
        <v>9189</v>
      </c>
    </row>
    <row r="47" spans="1:12">
      <c r="A47" s="28">
        <v>46</v>
      </c>
      <c r="B47" s="28" t="s">
        <v>7135</v>
      </c>
      <c r="C47" s="28" t="s">
        <v>7136</v>
      </c>
      <c r="D47" s="28" t="s">
        <v>10168</v>
      </c>
      <c r="E47" s="28" t="s">
        <v>10169</v>
      </c>
      <c r="F47" s="28"/>
      <c r="G47" s="28" t="s">
        <v>10260</v>
      </c>
      <c r="H47" s="28"/>
      <c r="I47" s="28" t="s">
        <v>9180</v>
      </c>
      <c r="J47" s="28" t="s">
        <v>9239</v>
      </c>
      <c r="K47" s="28" t="s">
        <v>9182</v>
      </c>
      <c r="L47" s="28" t="s">
        <v>9223</v>
      </c>
    </row>
    <row r="48" spans="1:12">
      <c r="A48" s="29">
        <v>47</v>
      </c>
      <c r="B48" s="29" t="s">
        <v>7037</v>
      </c>
      <c r="C48" s="29" t="s">
        <v>10261</v>
      </c>
      <c r="D48" s="29" t="s">
        <v>10168</v>
      </c>
      <c r="E48" s="29" t="s">
        <v>10169</v>
      </c>
      <c r="F48" s="29"/>
      <c r="G48" s="29" t="s">
        <v>10262</v>
      </c>
      <c r="H48" s="29"/>
      <c r="I48" s="29" t="s">
        <v>9180</v>
      </c>
      <c r="J48" s="29" t="s">
        <v>10259</v>
      </c>
      <c r="K48" s="29" t="s">
        <v>9182</v>
      </c>
      <c r="L48" s="29" t="s">
        <v>9189</v>
      </c>
    </row>
    <row r="49" spans="1:12">
      <c r="A49" s="28">
        <v>48</v>
      </c>
      <c r="B49" s="28" t="s">
        <v>7770</v>
      </c>
      <c r="C49" s="28" t="s">
        <v>10263</v>
      </c>
      <c r="D49" s="28" t="s">
        <v>10168</v>
      </c>
      <c r="E49" s="28" t="s">
        <v>10169</v>
      </c>
      <c r="F49" s="28"/>
      <c r="G49" s="28" t="s">
        <v>10264</v>
      </c>
      <c r="H49" s="28"/>
      <c r="I49" s="28" t="s">
        <v>9180</v>
      </c>
      <c r="J49" s="28" t="s">
        <v>10265</v>
      </c>
      <c r="K49" s="28" t="s">
        <v>9182</v>
      </c>
      <c r="L49" s="28" t="s">
        <v>9189</v>
      </c>
    </row>
    <row r="50" spans="1:12">
      <c r="A50" s="27">
        <v>49</v>
      </c>
      <c r="B50" s="27" t="s">
        <v>6591</v>
      </c>
      <c r="C50" s="27" t="s">
        <v>6592</v>
      </c>
      <c r="D50" s="27" t="s">
        <v>10173</v>
      </c>
      <c r="E50" s="27" t="s">
        <v>10169</v>
      </c>
      <c r="F50" s="27"/>
      <c r="G50" s="27" t="s">
        <v>10266</v>
      </c>
      <c r="H50" s="27"/>
      <c r="I50" s="27" t="s">
        <v>9180</v>
      </c>
      <c r="J50" s="27" t="s">
        <v>9249</v>
      </c>
      <c r="K50" s="27" t="s">
        <v>9182</v>
      </c>
      <c r="L50" s="27" t="s">
        <v>9196</v>
      </c>
    </row>
    <row r="51" spans="1:12">
      <c r="A51" s="28">
        <v>50</v>
      </c>
      <c r="B51" s="28" t="s">
        <v>5957</v>
      </c>
      <c r="C51" s="28" t="s">
        <v>5958</v>
      </c>
      <c r="D51" s="28" t="s">
        <v>10168</v>
      </c>
      <c r="E51" s="28" t="s">
        <v>10169</v>
      </c>
      <c r="F51" s="28"/>
      <c r="G51" s="28" t="s">
        <v>10267</v>
      </c>
      <c r="H51" s="28"/>
      <c r="I51" s="28" t="s">
        <v>9180</v>
      </c>
      <c r="J51" s="28" t="s">
        <v>10212</v>
      </c>
      <c r="K51" s="28" t="s">
        <v>9182</v>
      </c>
      <c r="L51" s="28" t="s">
        <v>9223</v>
      </c>
    </row>
    <row r="52" spans="1:12">
      <c r="A52" s="30">
        <v>51</v>
      </c>
      <c r="B52" s="30" t="s">
        <v>3381</v>
      </c>
      <c r="C52" s="30" t="s">
        <v>10268</v>
      </c>
      <c r="D52" s="30" t="s">
        <v>10173</v>
      </c>
      <c r="E52" s="30" t="s">
        <v>9208</v>
      </c>
      <c r="F52" s="30"/>
      <c r="G52" s="30" t="s">
        <v>10269</v>
      </c>
      <c r="H52" s="30"/>
      <c r="I52" s="30" t="s">
        <v>9180</v>
      </c>
      <c r="J52" s="30" t="s">
        <v>9217</v>
      </c>
      <c r="K52" s="30" t="s">
        <v>9182</v>
      </c>
      <c r="L52" s="30" t="s">
        <v>9350</v>
      </c>
    </row>
    <row r="53" spans="1:12">
      <c r="A53" s="28">
        <v>52</v>
      </c>
      <c r="B53" s="28" t="s">
        <v>6938</v>
      </c>
      <c r="C53" s="28" t="s">
        <v>6939</v>
      </c>
      <c r="D53" s="28" t="s">
        <v>10168</v>
      </c>
      <c r="E53" s="28" t="s">
        <v>10169</v>
      </c>
      <c r="F53" s="28"/>
      <c r="G53" s="28" t="s">
        <v>10270</v>
      </c>
      <c r="H53" s="28"/>
      <c r="I53" s="28" t="s">
        <v>9180</v>
      </c>
      <c r="J53" s="28" t="s">
        <v>9260</v>
      </c>
      <c r="K53" s="28" t="s">
        <v>9182</v>
      </c>
      <c r="L53" s="28" t="s">
        <v>9223</v>
      </c>
    </row>
    <row r="54" spans="1:12">
      <c r="A54" s="29">
        <v>53</v>
      </c>
      <c r="B54" s="29" t="s">
        <v>10271</v>
      </c>
      <c r="C54" s="29" t="s">
        <v>10272</v>
      </c>
      <c r="D54" s="29" t="s">
        <v>10168</v>
      </c>
      <c r="E54" s="29" t="s">
        <v>10169</v>
      </c>
      <c r="F54" s="29"/>
      <c r="G54" s="29" t="s">
        <v>10273</v>
      </c>
      <c r="H54" s="29"/>
      <c r="I54" s="29" t="s">
        <v>9180</v>
      </c>
      <c r="J54" s="29" t="s">
        <v>9210</v>
      </c>
      <c r="K54" s="29" t="s">
        <v>9182</v>
      </c>
      <c r="L54" s="29" t="s">
        <v>9223</v>
      </c>
    </row>
    <row r="55" spans="1:12">
      <c r="A55" s="28">
        <v>54</v>
      </c>
      <c r="B55" s="28" t="s">
        <v>7649</v>
      </c>
      <c r="C55" s="28" t="s">
        <v>7650</v>
      </c>
      <c r="D55" s="28" t="s">
        <v>10168</v>
      </c>
      <c r="E55" s="28" t="s">
        <v>10169</v>
      </c>
      <c r="F55" s="28"/>
      <c r="G55" s="28" t="s">
        <v>10274</v>
      </c>
      <c r="H55" s="28"/>
      <c r="I55" s="28" t="s">
        <v>9180</v>
      </c>
      <c r="J55" s="28" t="s">
        <v>9361</v>
      </c>
      <c r="K55" s="28" t="s">
        <v>9182</v>
      </c>
      <c r="L55" s="28" t="s">
        <v>9223</v>
      </c>
    </row>
    <row r="56" spans="1:12">
      <c r="A56" s="29">
        <v>55</v>
      </c>
      <c r="B56" s="29" t="s">
        <v>6817</v>
      </c>
      <c r="C56" s="29" t="s">
        <v>10275</v>
      </c>
      <c r="D56" s="29" t="s">
        <v>10168</v>
      </c>
      <c r="E56" s="29" t="s">
        <v>10169</v>
      </c>
      <c r="F56" s="29"/>
      <c r="G56" s="29" t="s">
        <v>10276</v>
      </c>
      <c r="H56" s="29"/>
      <c r="I56" s="29" t="s">
        <v>9180</v>
      </c>
      <c r="J56" s="29" t="s">
        <v>10277</v>
      </c>
      <c r="K56" s="29" t="s">
        <v>9182</v>
      </c>
      <c r="L56" s="29" t="s">
        <v>9189</v>
      </c>
    </row>
    <row r="57" spans="1:12">
      <c r="A57" s="28">
        <v>56</v>
      </c>
      <c r="B57" s="28" t="s">
        <v>1349</v>
      </c>
      <c r="C57" s="28" t="s">
        <v>10278</v>
      </c>
      <c r="D57" s="28" t="s">
        <v>10168</v>
      </c>
      <c r="E57" s="28" t="s">
        <v>10169</v>
      </c>
      <c r="F57" s="28"/>
      <c r="G57" s="28" t="s">
        <v>10279</v>
      </c>
      <c r="H57" s="28"/>
      <c r="I57" s="28" t="s">
        <v>9180</v>
      </c>
      <c r="J57" s="28" t="s">
        <v>10280</v>
      </c>
      <c r="K57" s="28" t="s">
        <v>9182</v>
      </c>
      <c r="L57" s="28" t="s">
        <v>9189</v>
      </c>
    </row>
    <row r="58" spans="1:12">
      <c r="A58" s="29">
        <v>57</v>
      </c>
      <c r="B58" s="29" t="s">
        <v>6924</v>
      </c>
      <c r="C58" s="29" t="s">
        <v>10281</v>
      </c>
      <c r="D58" s="29" t="s">
        <v>10168</v>
      </c>
      <c r="E58" s="29" t="s">
        <v>10169</v>
      </c>
      <c r="F58" s="29"/>
      <c r="G58" s="29" t="s">
        <v>10282</v>
      </c>
      <c r="H58" s="29"/>
      <c r="I58" s="29" t="s">
        <v>9180</v>
      </c>
      <c r="J58" s="29" t="s">
        <v>10265</v>
      </c>
      <c r="K58" s="29" t="s">
        <v>9182</v>
      </c>
      <c r="L58" s="29" t="s">
        <v>9189</v>
      </c>
    </row>
    <row r="59" spans="1:12">
      <c r="A59" s="28">
        <v>58</v>
      </c>
      <c r="B59" s="28" t="s">
        <v>6332</v>
      </c>
      <c r="C59" s="28" t="s">
        <v>10283</v>
      </c>
      <c r="D59" s="28" t="s">
        <v>10168</v>
      </c>
      <c r="E59" s="28" t="s">
        <v>10169</v>
      </c>
      <c r="F59" s="28"/>
      <c r="G59" s="28" t="s">
        <v>10284</v>
      </c>
      <c r="H59" s="28"/>
      <c r="I59" s="28" t="s">
        <v>9180</v>
      </c>
      <c r="J59" s="28" t="s">
        <v>10285</v>
      </c>
      <c r="K59" s="28" t="s">
        <v>9182</v>
      </c>
      <c r="L59" s="28" t="s">
        <v>9189</v>
      </c>
    </row>
    <row r="60" spans="1:12">
      <c r="A60" s="29">
        <v>59</v>
      </c>
      <c r="B60" s="29" t="s">
        <v>7709</v>
      </c>
      <c r="C60" s="29" t="s">
        <v>10286</v>
      </c>
      <c r="D60" s="29" t="s">
        <v>10168</v>
      </c>
      <c r="E60" s="29" t="s">
        <v>10169</v>
      </c>
      <c r="F60" s="29"/>
      <c r="G60" s="29" t="s">
        <v>10287</v>
      </c>
      <c r="H60" s="29"/>
      <c r="I60" s="29" t="s">
        <v>9180</v>
      </c>
      <c r="J60" s="29" t="s">
        <v>10288</v>
      </c>
      <c r="K60" s="29" t="s">
        <v>9182</v>
      </c>
      <c r="L60" s="29" t="s">
        <v>9189</v>
      </c>
    </row>
    <row r="61" spans="1:12">
      <c r="A61" s="28">
        <v>60</v>
      </c>
      <c r="B61" s="28" t="s">
        <v>5285</v>
      </c>
      <c r="C61" s="28" t="s">
        <v>10289</v>
      </c>
      <c r="D61" s="28" t="s">
        <v>10168</v>
      </c>
      <c r="E61" s="28" t="s">
        <v>10169</v>
      </c>
      <c r="F61" s="28"/>
      <c r="G61" s="28" t="s">
        <v>10290</v>
      </c>
      <c r="H61" s="28"/>
      <c r="I61" s="28" t="s">
        <v>9180</v>
      </c>
      <c r="J61" s="28" t="s">
        <v>10291</v>
      </c>
      <c r="K61" s="28" t="s">
        <v>9182</v>
      </c>
      <c r="L61" s="28" t="s">
        <v>9189</v>
      </c>
    </row>
    <row r="62" spans="1:12">
      <c r="A62" s="29">
        <v>61</v>
      </c>
      <c r="B62" s="29" t="s">
        <v>7288</v>
      </c>
      <c r="C62" s="29" t="s">
        <v>7289</v>
      </c>
      <c r="D62" s="29" t="s">
        <v>10168</v>
      </c>
      <c r="E62" s="29" t="s">
        <v>10169</v>
      </c>
      <c r="F62" s="29"/>
      <c r="G62" s="29" t="s">
        <v>10292</v>
      </c>
      <c r="H62" s="29"/>
      <c r="I62" s="29" t="s">
        <v>9180</v>
      </c>
      <c r="J62" s="29" t="s">
        <v>9224</v>
      </c>
      <c r="K62" s="29" t="s">
        <v>9182</v>
      </c>
      <c r="L62" s="29" t="s">
        <v>9223</v>
      </c>
    </row>
    <row r="63" spans="1:12">
      <c r="A63" s="28">
        <v>62</v>
      </c>
      <c r="B63" s="28" t="s">
        <v>7143</v>
      </c>
      <c r="C63" s="28"/>
      <c r="D63" s="28" t="s">
        <v>10168</v>
      </c>
      <c r="E63" s="28" t="s">
        <v>10169</v>
      </c>
      <c r="F63" s="28"/>
      <c r="G63" s="28" t="s">
        <v>10293</v>
      </c>
      <c r="H63" s="28"/>
      <c r="I63" s="28" t="s">
        <v>9180</v>
      </c>
      <c r="J63" s="28" t="s">
        <v>9239</v>
      </c>
      <c r="K63" s="28" t="s">
        <v>9182</v>
      </c>
      <c r="L63" s="28" t="s">
        <v>9223</v>
      </c>
    </row>
    <row r="64" spans="1:12">
      <c r="A64" s="29">
        <v>63</v>
      </c>
      <c r="B64" s="29" t="s">
        <v>7743</v>
      </c>
      <c r="C64" s="29" t="s">
        <v>10294</v>
      </c>
      <c r="D64" s="29" t="s">
        <v>10168</v>
      </c>
      <c r="E64" s="29" t="s">
        <v>10169</v>
      </c>
      <c r="F64" s="29"/>
      <c r="G64" s="29" t="s">
        <v>10295</v>
      </c>
      <c r="H64" s="29"/>
      <c r="I64" s="29" t="s">
        <v>9180</v>
      </c>
      <c r="J64" s="29" t="s">
        <v>10288</v>
      </c>
      <c r="K64" s="29" t="s">
        <v>9182</v>
      </c>
      <c r="L64" s="29" t="s">
        <v>9189</v>
      </c>
    </row>
    <row r="65" spans="1:12">
      <c r="A65" s="28">
        <v>64</v>
      </c>
      <c r="B65" s="28" t="s">
        <v>992</v>
      </c>
      <c r="C65" s="28"/>
      <c r="D65" s="28" t="s">
        <v>10168</v>
      </c>
      <c r="E65" s="28" t="s">
        <v>10169</v>
      </c>
      <c r="F65" s="28"/>
      <c r="G65" s="28" t="s">
        <v>10296</v>
      </c>
      <c r="H65" s="28"/>
      <c r="I65" s="28" t="s">
        <v>9180</v>
      </c>
      <c r="J65" s="28" t="s">
        <v>10297</v>
      </c>
      <c r="K65" s="28" t="s">
        <v>9182</v>
      </c>
      <c r="L65" s="28" t="s">
        <v>9223</v>
      </c>
    </row>
    <row r="66" spans="1:12">
      <c r="A66" s="29">
        <v>65</v>
      </c>
      <c r="B66" s="29" t="s">
        <v>3478</v>
      </c>
      <c r="C66" s="29" t="s">
        <v>10298</v>
      </c>
      <c r="D66" s="29" t="s">
        <v>10168</v>
      </c>
      <c r="E66" s="29" t="s">
        <v>10169</v>
      </c>
      <c r="F66" s="29"/>
      <c r="G66" s="29" t="s">
        <v>10299</v>
      </c>
      <c r="H66" s="29"/>
      <c r="I66" s="29" t="s">
        <v>9180</v>
      </c>
      <c r="J66" s="29" t="s">
        <v>9205</v>
      </c>
      <c r="K66" s="29" t="s">
        <v>9182</v>
      </c>
      <c r="L66" s="29" t="s">
        <v>9189</v>
      </c>
    </row>
    <row r="67" spans="1:12">
      <c r="A67" s="28">
        <v>66</v>
      </c>
      <c r="B67" s="28" t="s">
        <v>6908</v>
      </c>
      <c r="C67" s="28" t="s">
        <v>6909</v>
      </c>
      <c r="D67" s="28" t="s">
        <v>10168</v>
      </c>
      <c r="E67" s="28" t="s">
        <v>10169</v>
      </c>
      <c r="F67" s="28"/>
      <c r="G67" s="28" t="s">
        <v>10300</v>
      </c>
      <c r="H67" s="28"/>
      <c r="I67" s="28" t="s">
        <v>9180</v>
      </c>
      <c r="J67" s="28" t="s">
        <v>9260</v>
      </c>
      <c r="K67" s="28" t="s">
        <v>9182</v>
      </c>
      <c r="L67" s="28" t="s">
        <v>9223</v>
      </c>
    </row>
    <row r="68" spans="1:12">
      <c r="A68" s="27">
        <v>67</v>
      </c>
      <c r="B68" s="27" t="s">
        <v>7171</v>
      </c>
      <c r="C68" s="27" t="s">
        <v>10301</v>
      </c>
      <c r="D68" s="27" t="s">
        <v>10173</v>
      </c>
      <c r="E68" s="27" t="s">
        <v>10169</v>
      </c>
      <c r="F68" s="27"/>
      <c r="G68" s="27" t="s">
        <v>10302</v>
      </c>
      <c r="H68" s="27"/>
      <c r="I68" s="27" t="s">
        <v>9180</v>
      </c>
      <c r="J68" s="27" t="s">
        <v>9274</v>
      </c>
      <c r="K68" s="27" t="s">
        <v>9182</v>
      </c>
      <c r="L68" s="27" t="s">
        <v>9196</v>
      </c>
    </row>
    <row r="69" spans="1:12">
      <c r="A69" s="28">
        <v>68</v>
      </c>
      <c r="B69" s="28" t="s">
        <v>7611</v>
      </c>
      <c r="C69" s="28" t="s">
        <v>10303</v>
      </c>
      <c r="D69" s="28" t="s">
        <v>10168</v>
      </c>
      <c r="E69" s="28" t="s">
        <v>10169</v>
      </c>
      <c r="F69" s="28"/>
      <c r="G69" s="28" t="s">
        <v>10304</v>
      </c>
      <c r="H69" s="28"/>
      <c r="I69" s="28" t="s">
        <v>9180</v>
      </c>
      <c r="J69" s="28" t="s">
        <v>9361</v>
      </c>
      <c r="K69" s="28" t="s">
        <v>9182</v>
      </c>
      <c r="L69" s="28" t="s">
        <v>9223</v>
      </c>
    </row>
    <row r="70" spans="1:12">
      <c r="A70" s="29">
        <v>69</v>
      </c>
      <c r="B70" s="29" t="s">
        <v>6306</v>
      </c>
      <c r="C70" s="29" t="s">
        <v>10305</v>
      </c>
      <c r="D70" s="29" t="s">
        <v>10168</v>
      </c>
      <c r="E70" s="29" t="s">
        <v>10169</v>
      </c>
      <c r="F70" s="29"/>
      <c r="G70" s="29" t="s">
        <v>10306</v>
      </c>
      <c r="H70" s="29"/>
      <c r="I70" s="29" t="s">
        <v>9180</v>
      </c>
      <c r="J70" s="29" t="s">
        <v>10307</v>
      </c>
      <c r="K70" s="29" t="s">
        <v>9182</v>
      </c>
      <c r="L70" s="29" t="s">
        <v>9189</v>
      </c>
    </row>
    <row r="71" spans="1:12">
      <c r="A71" s="28">
        <v>70</v>
      </c>
      <c r="B71" s="28" t="s">
        <v>7615</v>
      </c>
      <c r="C71" s="28" t="s">
        <v>10308</v>
      </c>
      <c r="D71" s="28" t="s">
        <v>10168</v>
      </c>
      <c r="E71" s="28" t="s">
        <v>10169</v>
      </c>
      <c r="F71" s="28"/>
      <c r="G71" s="28" t="s">
        <v>10309</v>
      </c>
      <c r="H71" s="28"/>
      <c r="I71" s="28" t="s">
        <v>9180</v>
      </c>
      <c r="J71" s="28" t="s">
        <v>9195</v>
      </c>
      <c r="K71" s="28" t="s">
        <v>9182</v>
      </c>
      <c r="L71" s="28" t="s">
        <v>9189</v>
      </c>
    </row>
    <row r="72" spans="1:12">
      <c r="A72" s="29">
        <v>71</v>
      </c>
      <c r="B72" s="29" t="s">
        <v>7562</v>
      </c>
      <c r="C72" s="29" t="s">
        <v>7563</v>
      </c>
      <c r="D72" s="29" t="s">
        <v>10168</v>
      </c>
      <c r="E72" s="29" t="s">
        <v>10169</v>
      </c>
      <c r="F72" s="29"/>
      <c r="G72" s="29" t="s">
        <v>10310</v>
      </c>
      <c r="H72" s="29"/>
      <c r="I72" s="29" t="s">
        <v>9180</v>
      </c>
      <c r="J72" s="29" t="s">
        <v>10311</v>
      </c>
      <c r="K72" s="29" t="s">
        <v>9182</v>
      </c>
      <c r="L72" s="29" t="s">
        <v>9223</v>
      </c>
    </row>
    <row r="73" spans="1:12">
      <c r="A73" s="30">
        <v>72</v>
      </c>
      <c r="B73" s="30" t="s">
        <v>7619</v>
      </c>
      <c r="C73" s="30" t="s">
        <v>10312</v>
      </c>
      <c r="D73" s="30" t="s">
        <v>10173</v>
      </c>
      <c r="E73" s="30" t="s">
        <v>9208</v>
      </c>
      <c r="F73" s="30"/>
      <c r="G73" s="30" t="s">
        <v>10313</v>
      </c>
      <c r="H73" s="30"/>
      <c r="I73" s="30" t="s">
        <v>9180</v>
      </c>
      <c r="J73" s="30" t="s">
        <v>9361</v>
      </c>
      <c r="K73" s="30" t="s">
        <v>9182</v>
      </c>
      <c r="L73" s="30" t="s">
        <v>9350</v>
      </c>
    </row>
    <row r="74" spans="1:12">
      <c r="A74" s="29">
        <v>73</v>
      </c>
      <c r="B74" s="29" t="s">
        <v>7242</v>
      </c>
      <c r="C74" s="29" t="s">
        <v>7243</v>
      </c>
      <c r="D74" s="29" t="s">
        <v>10168</v>
      </c>
      <c r="E74" s="29" t="s">
        <v>10169</v>
      </c>
      <c r="F74" s="29"/>
      <c r="G74" s="29" t="s">
        <v>10314</v>
      </c>
      <c r="H74" s="29"/>
      <c r="I74" s="29" t="s">
        <v>9180</v>
      </c>
      <c r="J74" s="29" t="s">
        <v>10315</v>
      </c>
      <c r="K74" s="29" t="s">
        <v>9182</v>
      </c>
      <c r="L74" s="29" t="s">
        <v>9223</v>
      </c>
    </row>
    <row r="75" spans="1:12">
      <c r="A75" s="28">
        <v>74</v>
      </c>
      <c r="B75" s="28" t="s">
        <v>7764</v>
      </c>
      <c r="C75" s="28" t="s">
        <v>7765</v>
      </c>
      <c r="D75" s="28" t="s">
        <v>10168</v>
      </c>
      <c r="E75" s="28" t="s">
        <v>10169</v>
      </c>
      <c r="F75" s="28"/>
      <c r="G75" s="28" t="s">
        <v>10316</v>
      </c>
      <c r="H75" s="28"/>
      <c r="I75" s="28" t="s">
        <v>9180</v>
      </c>
      <c r="J75" s="28" t="s">
        <v>9210</v>
      </c>
      <c r="K75" s="28" t="s">
        <v>9182</v>
      </c>
      <c r="L75" s="28" t="s">
        <v>9223</v>
      </c>
    </row>
    <row r="76" spans="1:12">
      <c r="A76" s="29">
        <v>75</v>
      </c>
      <c r="B76" s="29" t="s">
        <v>5909</v>
      </c>
      <c r="C76" s="29" t="s">
        <v>10317</v>
      </c>
      <c r="D76" s="29" t="s">
        <v>10168</v>
      </c>
      <c r="E76" s="29" t="s">
        <v>10169</v>
      </c>
      <c r="F76" s="29"/>
      <c r="G76" s="29" t="s">
        <v>10318</v>
      </c>
      <c r="H76" s="29"/>
      <c r="I76" s="29" t="s">
        <v>9180</v>
      </c>
      <c r="J76" s="29" t="s">
        <v>9374</v>
      </c>
      <c r="K76" s="29" t="s">
        <v>9182</v>
      </c>
      <c r="L76" s="29" t="s">
        <v>9189</v>
      </c>
    </row>
    <row r="77" spans="1:12">
      <c r="A77" s="28">
        <v>76</v>
      </c>
      <c r="B77" s="28" t="s">
        <v>6997</v>
      </c>
      <c r="C77" s="28" t="s">
        <v>10319</v>
      </c>
      <c r="D77" s="28" t="s">
        <v>10168</v>
      </c>
      <c r="E77" s="28" t="s">
        <v>10169</v>
      </c>
      <c r="F77" s="28"/>
      <c r="G77" s="28" t="s">
        <v>10320</v>
      </c>
      <c r="H77" s="28"/>
      <c r="I77" s="28" t="s">
        <v>9180</v>
      </c>
      <c r="J77" s="28" t="s">
        <v>10321</v>
      </c>
      <c r="K77" s="28" t="s">
        <v>9182</v>
      </c>
      <c r="L77" s="28" t="s">
        <v>9189</v>
      </c>
    </row>
    <row r="78" spans="1:12">
      <c r="A78" s="29">
        <v>77</v>
      </c>
      <c r="B78" s="29" t="s">
        <v>8283</v>
      </c>
      <c r="C78" s="29" t="s">
        <v>10322</v>
      </c>
      <c r="D78" s="29" t="s">
        <v>10168</v>
      </c>
      <c r="E78" s="29" t="s">
        <v>10169</v>
      </c>
      <c r="F78" s="29"/>
      <c r="G78" s="29" t="s">
        <v>10323</v>
      </c>
      <c r="H78" s="29"/>
      <c r="I78" s="29" t="s">
        <v>9180</v>
      </c>
      <c r="J78" s="29" t="s">
        <v>9374</v>
      </c>
      <c r="K78" s="29" t="s">
        <v>9182</v>
      </c>
      <c r="L78" s="29" t="s">
        <v>9189</v>
      </c>
    </row>
    <row r="79" spans="1:12">
      <c r="A79" s="28">
        <v>78</v>
      </c>
      <c r="B79" s="28" t="s">
        <v>554</v>
      </c>
      <c r="C79" s="28" t="s">
        <v>10324</v>
      </c>
      <c r="D79" s="28" t="s">
        <v>10168</v>
      </c>
      <c r="E79" s="28" t="s">
        <v>9208</v>
      </c>
      <c r="F79" s="28"/>
      <c r="G79" s="28" t="s">
        <v>10325</v>
      </c>
      <c r="H79" s="28"/>
      <c r="I79" s="28" t="s">
        <v>9180</v>
      </c>
      <c r="J79" s="28" t="s">
        <v>9537</v>
      </c>
      <c r="K79" s="28" t="s">
        <v>9182</v>
      </c>
      <c r="L79" s="28" t="s">
        <v>9522</v>
      </c>
    </row>
    <row r="80" spans="1:12">
      <c r="A80" s="29">
        <v>79</v>
      </c>
      <c r="B80" s="29" t="s">
        <v>7139</v>
      </c>
      <c r="C80" s="29" t="s">
        <v>10326</v>
      </c>
      <c r="D80" s="29" t="s">
        <v>10168</v>
      </c>
      <c r="E80" s="29" t="s">
        <v>10169</v>
      </c>
      <c r="F80" s="29"/>
      <c r="G80" s="29" t="s">
        <v>10327</v>
      </c>
      <c r="H80" s="29"/>
      <c r="I80" s="29" t="s">
        <v>9180</v>
      </c>
      <c r="J80" s="29" t="s">
        <v>9239</v>
      </c>
      <c r="K80" s="29" t="s">
        <v>9182</v>
      </c>
      <c r="L80" s="29" t="s">
        <v>9189</v>
      </c>
    </row>
    <row r="81" spans="1:12">
      <c r="A81" s="28">
        <v>80</v>
      </c>
      <c r="B81" s="28" t="s">
        <v>6292</v>
      </c>
      <c r="C81" s="28" t="s">
        <v>6293</v>
      </c>
      <c r="D81" s="28" t="s">
        <v>10168</v>
      </c>
      <c r="E81" s="28" t="s">
        <v>10169</v>
      </c>
      <c r="F81" s="28"/>
      <c r="G81" s="28" t="s">
        <v>10328</v>
      </c>
      <c r="H81" s="28"/>
      <c r="I81" s="28" t="s">
        <v>9180</v>
      </c>
      <c r="J81" s="28" t="s">
        <v>9239</v>
      </c>
      <c r="K81" s="28" t="s">
        <v>9182</v>
      </c>
      <c r="L81" s="28" t="s">
        <v>9223</v>
      </c>
    </row>
    <row r="82" spans="1:12">
      <c r="A82" s="29">
        <v>81</v>
      </c>
      <c r="B82" s="29" t="s">
        <v>7652</v>
      </c>
      <c r="C82" s="29" t="s">
        <v>7653</v>
      </c>
      <c r="D82" s="29" t="s">
        <v>10168</v>
      </c>
      <c r="E82" s="29" t="s">
        <v>10169</v>
      </c>
      <c r="F82" s="29"/>
      <c r="G82" s="29" t="s">
        <v>10329</v>
      </c>
      <c r="H82" s="29"/>
      <c r="I82" s="29" t="s">
        <v>9180</v>
      </c>
      <c r="J82" s="29" t="s">
        <v>9260</v>
      </c>
      <c r="K82" s="29" t="s">
        <v>9182</v>
      </c>
      <c r="L82" s="29" t="s">
        <v>9223</v>
      </c>
    </row>
    <row r="83" spans="1:12">
      <c r="A83" s="28">
        <v>82</v>
      </c>
      <c r="B83" s="28" t="s">
        <v>5963</v>
      </c>
      <c r="C83" s="28" t="s">
        <v>10330</v>
      </c>
      <c r="D83" s="28" t="s">
        <v>10168</v>
      </c>
      <c r="E83" s="28" t="s">
        <v>10169</v>
      </c>
      <c r="F83" s="28"/>
      <c r="G83" s="28" t="s">
        <v>10331</v>
      </c>
      <c r="H83" s="28"/>
      <c r="I83" s="28" t="s">
        <v>9180</v>
      </c>
      <c r="J83" s="28" t="s">
        <v>9221</v>
      </c>
      <c r="K83" s="28" t="s">
        <v>9182</v>
      </c>
      <c r="L83" s="28" t="s">
        <v>9189</v>
      </c>
    </row>
    <row r="84" spans="1:12">
      <c r="A84" s="29">
        <v>83</v>
      </c>
      <c r="B84" s="29" t="s">
        <v>7388</v>
      </c>
      <c r="C84" s="29" t="s">
        <v>10332</v>
      </c>
      <c r="D84" s="29" t="s">
        <v>10168</v>
      </c>
      <c r="E84" s="29" t="s">
        <v>10169</v>
      </c>
      <c r="F84" s="29"/>
      <c r="G84" s="29" t="s">
        <v>10333</v>
      </c>
      <c r="H84" s="29"/>
      <c r="I84" s="29" t="s">
        <v>9180</v>
      </c>
      <c r="J84" s="29" t="s">
        <v>9374</v>
      </c>
      <c r="K84" s="29" t="s">
        <v>9182</v>
      </c>
      <c r="L84" s="29" t="s">
        <v>9189</v>
      </c>
    </row>
    <row r="85" spans="1:12">
      <c r="A85" s="28">
        <v>84</v>
      </c>
      <c r="B85" s="28" t="s">
        <v>2565</v>
      </c>
      <c r="C85" s="28" t="s">
        <v>2566</v>
      </c>
      <c r="D85" s="28" t="s">
        <v>10168</v>
      </c>
      <c r="E85" s="28" t="s">
        <v>10169</v>
      </c>
      <c r="F85" s="28"/>
      <c r="G85" s="28" t="s">
        <v>10334</v>
      </c>
      <c r="H85" s="28"/>
      <c r="I85" s="28" t="s">
        <v>9180</v>
      </c>
      <c r="J85" s="28" t="s">
        <v>10335</v>
      </c>
      <c r="K85" s="28" t="s">
        <v>9182</v>
      </c>
      <c r="L85" s="28" t="s">
        <v>9223</v>
      </c>
    </row>
    <row r="86" spans="1:12">
      <c r="A86" s="29">
        <v>85</v>
      </c>
      <c r="B86" s="29" t="s">
        <v>8289</v>
      </c>
      <c r="C86" s="29" t="s">
        <v>10336</v>
      </c>
      <c r="D86" s="29" t="s">
        <v>10168</v>
      </c>
      <c r="E86" s="29" t="s">
        <v>10169</v>
      </c>
      <c r="F86" s="29"/>
      <c r="G86" s="29" t="s">
        <v>10337</v>
      </c>
      <c r="H86" s="29"/>
      <c r="I86" s="29" t="s">
        <v>9180</v>
      </c>
      <c r="J86" s="29" t="s">
        <v>9205</v>
      </c>
      <c r="K86" s="29" t="s">
        <v>9182</v>
      </c>
      <c r="L86" s="29" t="s">
        <v>9189</v>
      </c>
    </row>
    <row r="87" spans="1:12">
      <c r="A87" s="28">
        <v>86</v>
      </c>
      <c r="B87" s="28" t="s">
        <v>4995</v>
      </c>
      <c r="C87" s="28" t="s">
        <v>10338</v>
      </c>
      <c r="D87" s="28" t="s">
        <v>10168</v>
      </c>
      <c r="E87" s="28" t="s">
        <v>10169</v>
      </c>
      <c r="F87" s="28"/>
      <c r="G87" s="28" t="s">
        <v>10339</v>
      </c>
      <c r="H87" s="28"/>
      <c r="I87" s="28" t="s">
        <v>9180</v>
      </c>
      <c r="J87" s="28" t="s">
        <v>10340</v>
      </c>
      <c r="K87" s="28" t="s">
        <v>9182</v>
      </c>
      <c r="L87" s="28" t="s">
        <v>9189</v>
      </c>
    </row>
    <row r="88" spans="1:12">
      <c r="A88" s="27">
        <v>87</v>
      </c>
      <c r="B88" s="27" t="s">
        <v>8264</v>
      </c>
      <c r="C88" s="27" t="s">
        <v>10341</v>
      </c>
      <c r="D88" s="27" t="s">
        <v>10173</v>
      </c>
      <c r="E88" s="27" t="s">
        <v>10169</v>
      </c>
      <c r="F88" s="27"/>
      <c r="G88" s="27" t="s">
        <v>10342</v>
      </c>
      <c r="H88" s="27"/>
      <c r="I88" s="27" t="s">
        <v>9180</v>
      </c>
      <c r="J88" s="27" t="s">
        <v>9515</v>
      </c>
      <c r="K88" s="27" t="s">
        <v>9182</v>
      </c>
      <c r="L88" s="27" t="s">
        <v>9196</v>
      </c>
    </row>
    <row r="89" spans="1:12">
      <c r="A89" s="28">
        <v>88</v>
      </c>
      <c r="B89" s="28" t="s">
        <v>7660</v>
      </c>
      <c r="C89" s="28" t="s">
        <v>10343</v>
      </c>
      <c r="D89" s="28" t="s">
        <v>10168</v>
      </c>
      <c r="E89" s="28" t="s">
        <v>10169</v>
      </c>
      <c r="F89" s="28"/>
      <c r="G89" s="28" t="s">
        <v>10344</v>
      </c>
      <c r="H89" s="28"/>
      <c r="I89" s="28" t="s">
        <v>9180</v>
      </c>
      <c r="J89" s="28" t="s">
        <v>9650</v>
      </c>
      <c r="K89" s="28" t="s">
        <v>9182</v>
      </c>
      <c r="L89" s="28" t="s">
        <v>9189</v>
      </c>
    </row>
    <row r="90" spans="1:12">
      <c r="A90" s="29">
        <v>89</v>
      </c>
      <c r="B90" s="29" t="s">
        <v>8169</v>
      </c>
      <c r="C90" s="29" t="s">
        <v>10345</v>
      </c>
      <c r="D90" s="29" t="s">
        <v>10168</v>
      </c>
      <c r="E90" s="29" t="s">
        <v>10169</v>
      </c>
      <c r="F90" s="29"/>
      <c r="G90" s="29" t="s">
        <v>10346</v>
      </c>
      <c r="H90" s="29"/>
      <c r="I90" s="29" t="s">
        <v>9180</v>
      </c>
      <c r="J90" s="29" t="s">
        <v>10307</v>
      </c>
      <c r="K90" s="29" t="s">
        <v>9182</v>
      </c>
      <c r="L90" s="29" t="s">
        <v>9189</v>
      </c>
    </row>
    <row r="91" spans="1:12">
      <c r="A91" s="27">
        <v>90</v>
      </c>
      <c r="B91" s="27" t="s">
        <v>8215</v>
      </c>
      <c r="C91" s="27" t="s">
        <v>10347</v>
      </c>
      <c r="D91" s="27" t="s">
        <v>10173</v>
      </c>
      <c r="E91" s="27" t="s">
        <v>10169</v>
      </c>
      <c r="F91" s="27"/>
      <c r="G91" s="27" t="s">
        <v>10348</v>
      </c>
      <c r="H91" s="27"/>
      <c r="I91" s="27" t="s">
        <v>9180</v>
      </c>
      <c r="J91" s="27" t="s">
        <v>9274</v>
      </c>
      <c r="K91" s="27" t="s">
        <v>9182</v>
      </c>
      <c r="L91" s="27" t="s">
        <v>9196</v>
      </c>
    </row>
    <row r="92" spans="1:12">
      <c r="A92" s="29">
        <v>91</v>
      </c>
      <c r="B92" s="29" t="s">
        <v>7119</v>
      </c>
      <c r="C92" s="29" t="s">
        <v>10349</v>
      </c>
      <c r="D92" s="29" t="s">
        <v>10168</v>
      </c>
      <c r="E92" s="29" t="s">
        <v>10169</v>
      </c>
      <c r="F92" s="29"/>
      <c r="G92" s="29" t="s">
        <v>10350</v>
      </c>
      <c r="H92" s="29"/>
      <c r="I92" s="29" t="s">
        <v>9180</v>
      </c>
      <c r="J92" s="29" t="s">
        <v>9507</v>
      </c>
      <c r="K92" s="29" t="s">
        <v>9182</v>
      </c>
      <c r="L92" s="29" t="s">
        <v>9189</v>
      </c>
    </row>
    <row r="93" spans="1:12">
      <c r="A93" s="28">
        <v>92</v>
      </c>
      <c r="B93" s="28" t="s">
        <v>569</v>
      </c>
      <c r="C93" s="28" t="s">
        <v>10351</v>
      </c>
      <c r="D93" s="28" t="s">
        <v>10168</v>
      </c>
      <c r="E93" s="28" t="s">
        <v>10169</v>
      </c>
      <c r="F93" s="28"/>
      <c r="G93" s="28" t="s">
        <v>10352</v>
      </c>
      <c r="H93" s="28"/>
      <c r="I93" s="28" t="s">
        <v>9180</v>
      </c>
      <c r="J93" s="28" t="s">
        <v>10353</v>
      </c>
      <c r="K93" s="28" t="s">
        <v>9182</v>
      </c>
      <c r="L93" s="28" t="s">
        <v>9189</v>
      </c>
    </row>
    <row r="94" spans="1:12">
      <c r="A94" s="27">
        <v>93</v>
      </c>
      <c r="B94" s="27" t="s">
        <v>10354</v>
      </c>
      <c r="C94" s="27" t="s">
        <v>10355</v>
      </c>
      <c r="D94" s="27" t="s">
        <v>10173</v>
      </c>
      <c r="E94" s="27" t="s">
        <v>10169</v>
      </c>
      <c r="F94" s="27"/>
      <c r="G94" s="27" t="s">
        <v>10356</v>
      </c>
      <c r="H94" s="27"/>
      <c r="I94" s="27" t="s">
        <v>9180</v>
      </c>
      <c r="J94" s="27" t="s">
        <v>9210</v>
      </c>
      <c r="K94" s="27" t="s">
        <v>9182</v>
      </c>
      <c r="L94" s="27" t="s">
        <v>9196</v>
      </c>
    </row>
    <row r="95" spans="1:12">
      <c r="A95" s="28">
        <v>94</v>
      </c>
      <c r="B95" s="28" t="s">
        <v>3281</v>
      </c>
      <c r="C95" s="28" t="s">
        <v>10357</v>
      </c>
      <c r="D95" s="28" t="s">
        <v>10168</v>
      </c>
      <c r="E95" s="28" t="s">
        <v>10169</v>
      </c>
      <c r="F95" s="28"/>
      <c r="G95" s="28" t="s">
        <v>10358</v>
      </c>
      <c r="H95" s="28"/>
      <c r="I95" s="28" t="s">
        <v>9180</v>
      </c>
      <c r="J95" s="28" t="s">
        <v>10359</v>
      </c>
      <c r="K95" s="28" t="s">
        <v>9182</v>
      </c>
      <c r="L95" s="28" t="s">
        <v>9189</v>
      </c>
    </row>
    <row r="96" spans="1:12">
      <c r="A96" s="29">
        <v>95</v>
      </c>
      <c r="B96" s="29" t="s">
        <v>7096</v>
      </c>
      <c r="C96" s="29" t="s">
        <v>10360</v>
      </c>
      <c r="D96" s="29" t="s">
        <v>10168</v>
      </c>
      <c r="E96" s="29" t="s">
        <v>10169</v>
      </c>
      <c r="F96" s="29"/>
      <c r="G96" s="29" t="s">
        <v>10361</v>
      </c>
      <c r="H96" s="29"/>
      <c r="I96" s="29" t="s">
        <v>9180</v>
      </c>
      <c r="J96" s="29" t="s">
        <v>9458</v>
      </c>
      <c r="K96" s="29" t="s">
        <v>9182</v>
      </c>
      <c r="L96" s="29" t="s">
        <v>9189</v>
      </c>
    </row>
    <row r="97" spans="1:12">
      <c r="A97" s="28">
        <v>96</v>
      </c>
      <c r="B97" s="28" t="s">
        <v>7421</v>
      </c>
      <c r="C97" s="28" t="s">
        <v>10362</v>
      </c>
      <c r="D97" s="28" t="s">
        <v>10168</v>
      </c>
      <c r="E97" s="28" t="s">
        <v>10169</v>
      </c>
      <c r="F97" s="28"/>
      <c r="G97" s="28" t="s">
        <v>10363</v>
      </c>
      <c r="H97" s="28"/>
      <c r="I97" s="28" t="s">
        <v>9180</v>
      </c>
      <c r="J97" s="28" t="s">
        <v>9606</v>
      </c>
      <c r="K97" s="28" t="s">
        <v>9182</v>
      </c>
      <c r="L97" s="28" t="s">
        <v>9189</v>
      </c>
    </row>
    <row r="98" spans="1:12">
      <c r="A98" s="29">
        <v>97</v>
      </c>
      <c r="B98" s="29" t="s">
        <v>6904</v>
      </c>
      <c r="C98" s="29" t="s">
        <v>10364</v>
      </c>
      <c r="D98" s="29" t="s">
        <v>10168</v>
      </c>
      <c r="E98" s="29" t="s">
        <v>10169</v>
      </c>
      <c r="F98" s="29"/>
      <c r="G98" s="29" t="s">
        <v>10365</v>
      </c>
      <c r="H98" s="29"/>
      <c r="I98" s="29" t="s">
        <v>9180</v>
      </c>
      <c r="J98" s="29" t="s">
        <v>9274</v>
      </c>
      <c r="K98" s="29" t="s">
        <v>9182</v>
      </c>
      <c r="L98" s="29" t="s">
        <v>9189</v>
      </c>
    </row>
    <row r="99" spans="1:12">
      <c r="A99" s="28">
        <v>98</v>
      </c>
      <c r="B99" s="28" t="s">
        <v>7670</v>
      </c>
      <c r="C99" s="28"/>
      <c r="D99" s="28" t="s">
        <v>10168</v>
      </c>
      <c r="E99" s="28" t="s">
        <v>10169</v>
      </c>
      <c r="F99" s="28"/>
      <c r="G99" s="28" t="s">
        <v>10366</v>
      </c>
      <c r="H99" s="28"/>
      <c r="I99" s="28" t="s">
        <v>9180</v>
      </c>
      <c r="J99" s="28" t="s">
        <v>9271</v>
      </c>
      <c r="K99" s="28" t="s">
        <v>9182</v>
      </c>
      <c r="L99" s="28" t="s">
        <v>9223</v>
      </c>
    </row>
    <row r="100" spans="1:12">
      <c r="A100" s="29">
        <v>99</v>
      </c>
      <c r="B100" s="29" t="s">
        <v>7573</v>
      </c>
      <c r="C100" s="29" t="s">
        <v>10367</v>
      </c>
      <c r="D100" s="29" t="s">
        <v>10168</v>
      </c>
      <c r="E100" s="29" t="s">
        <v>10169</v>
      </c>
      <c r="F100" s="29"/>
      <c r="G100" s="29" t="s">
        <v>10368</v>
      </c>
      <c r="H100" s="29"/>
      <c r="I100" s="29" t="s">
        <v>9180</v>
      </c>
      <c r="J100" s="29" t="s">
        <v>9222</v>
      </c>
      <c r="K100" s="29" t="s">
        <v>9182</v>
      </c>
      <c r="L100" s="29" t="s">
        <v>9223</v>
      </c>
    </row>
    <row r="101" spans="1:12">
      <c r="A101" s="28">
        <v>100</v>
      </c>
      <c r="B101" s="28" t="s">
        <v>5462</v>
      </c>
      <c r="C101" s="28" t="s">
        <v>10369</v>
      </c>
      <c r="D101" s="28" t="s">
        <v>10168</v>
      </c>
      <c r="E101" s="28" t="s">
        <v>10169</v>
      </c>
      <c r="F101" s="28"/>
      <c r="G101" s="28" t="s">
        <v>10370</v>
      </c>
      <c r="H101" s="28"/>
      <c r="I101" s="28" t="s">
        <v>9180</v>
      </c>
      <c r="J101" s="28" t="s">
        <v>9763</v>
      </c>
      <c r="K101" s="28" t="s">
        <v>9182</v>
      </c>
      <c r="L101" s="28" t="s">
        <v>9189</v>
      </c>
    </row>
    <row r="102" spans="1:12">
      <c r="A102" s="29">
        <v>101</v>
      </c>
      <c r="B102" s="29" t="s">
        <v>7364</v>
      </c>
      <c r="C102" s="29" t="s">
        <v>10371</v>
      </c>
      <c r="D102" s="29" t="s">
        <v>10168</v>
      </c>
      <c r="E102" s="29" t="s">
        <v>10169</v>
      </c>
      <c r="F102" s="29"/>
      <c r="G102" s="29" t="s">
        <v>10372</v>
      </c>
      <c r="H102" s="29"/>
      <c r="I102" s="29" t="s">
        <v>9180</v>
      </c>
      <c r="J102" s="29" t="s">
        <v>9221</v>
      </c>
      <c r="K102" s="29" t="s">
        <v>9182</v>
      </c>
      <c r="L102" s="29" t="s">
        <v>9189</v>
      </c>
    </row>
    <row r="103" spans="1:12">
      <c r="A103" s="28">
        <v>102</v>
      </c>
      <c r="B103" s="28" t="s">
        <v>7546</v>
      </c>
      <c r="C103" s="28"/>
      <c r="D103" s="28" t="s">
        <v>10168</v>
      </c>
      <c r="E103" s="28" t="s">
        <v>10169</v>
      </c>
      <c r="F103" s="28"/>
      <c r="G103" s="28" t="s">
        <v>10373</v>
      </c>
      <c r="H103" s="28"/>
      <c r="I103" s="28" t="s">
        <v>9180</v>
      </c>
      <c r="J103" s="28" t="s">
        <v>10374</v>
      </c>
      <c r="K103" s="28" t="s">
        <v>9182</v>
      </c>
      <c r="L103" s="28" t="s">
        <v>9223</v>
      </c>
    </row>
    <row r="104" spans="1:12">
      <c r="A104" s="27">
        <v>103</v>
      </c>
      <c r="B104" s="27" t="s">
        <v>6668</v>
      </c>
      <c r="C104" s="27" t="s">
        <v>6669</v>
      </c>
      <c r="D104" s="27" t="s">
        <v>10173</v>
      </c>
      <c r="E104" s="27" t="s">
        <v>10169</v>
      </c>
      <c r="F104" s="27"/>
      <c r="G104" s="27" t="s">
        <v>10375</v>
      </c>
      <c r="H104" s="27"/>
      <c r="I104" s="27" t="s">
        <v>9180</v>
      </c>
      <c r="J104" s="27" t="s">
        <v>9274</v>
      </c>
      <c r="K104" s="27" t="s">
        <v>9182</v>
      </c>
      <c r="L104" s="27" t="s">
        <v>9196</v>
      </c>
    </row>
    <row r="105" spans="1:12">
      <c r="A105" s="28">
        <v>104</v>
      </c>
      <c r="B105" s="28" t="s">
        <v>2036</v>
      </c>
      <c r="C105" s="28" t="s">
        <v>10376</v>
      </c>
      <c r="D105" s="28" t="s">
        <v>10168</v>
      </c>
      <c r="E105" s="28" t="s">
        <v>10169</v>
      </c>
      <c r="F105" s="28"/>
      <c r="G105" s="28" t="s">
        <v>10377</v>
      </c>
      <c r="H105" s="28"/>
      <c r="I105" s="28" t="s">
        <v>9180</v>
      </c>
      <c r="J105" s="28" t="s">
        <v>10378</v>
      </c>
      <c r="K105" s="28" t="s">
        <v>9182</v>
      </c>
      <c r="L105" s="28" t="s">
        <v>9189</v>
      </c>
    </row>
    <row r="106" spans="1:12">
      <c r="A106" s="29">
        <v>105</v>
      </c>
      <c r="B106" s="29" t="s">
        <v>6077</v>
      </c>
      <c r="C106" s="29" t="s">
        <v>10379</v>
      </c>
      <c r="D106" s="29" t="s">
        <v>10168</v>
      </c>
      <c r="E106" s="29" t="s">
        <v>10169</v>
      </c>
      <c r="F106" s="29"/>
      <c r="G106" s="29" t="s">
        <v>10380</v>
      </c>
      <c r="H106" s="29"/>
      <c r="I106" s="29" t="s">
        <v>9180</v>
      </c>
      <c r="J106" s="29" t="s">
        <v>10381</v>
      </c>
      <c r="K106" s="29" t="s">
        <v>9182</v>
      </c>
      <c r="L106" s="29" t="s">
        <v>9189</v>
      </c>
    </row>
    <row r="107" spans="1:12">
      <c r="A107" s="28">
        <v>106</v>
      </c>
      <c r="B107" s="28" t="s">
        <v>6894</v>
      </c>
      <c r="C107" s="28" t="s">
        <v>6895</v>
      </c>
      <c r="D107" s="28" t="s">
        <v>10168</v>
      </c>
      <c r="E107" s="28" t="s">
        <v>10169</v>
      </c>
      <c r="F107" s="28"/>
      <c r="G107" s="28" t="s">
        <v>10382</v>
      </c>
      <c r="H107" s="28"/>
      <c r="I107" s="28" t="s">
        <v>9180</v>
      </c>
      <c r="J107" s="28" t="s">
        <v>9239</v>
      </c>
      <c r="K107" s="28" t="s">
        <v>9182</v>
      </c>
      <c r="L107" s="28" t="s">
        <v>9223</v>
      </c>
    </row>
    <row r="108" spans="1:12">
      <c r="A108" s="29">
        <v>107</v>
      </c>
      <c r="B108" s="29" t="s">
        <v>6898</v>
      </c>
      <c r="C108" s="29" t="s">
        <v>6899</v>
      </c>
      <c r="D108" s="29" t="s">
        <v>10168</v>
      </c>
      <c r="E108" s="29" t="s">
        <v>10169</v>
      </c>
      <c r="F108" s="29"/>
      <c r="G108" s="29" t="s">
        <v>10383</v>
      </c>
      <c r="H108" s="29"/>
      <c r="I108" s="29" t="s">
        <v>9180</v>
      </c>
      <c r="J108" s="29" t="s">
        <v>9239</v>
      </c>
      <c r="K108" s="29" t="s">
        <v>9182</v>
      </c>
      <c r="L108" s="29" t="s">
        <v>9223</v>
      </c>
    </row>
    <row r="109" spans="1:12">
      <c r="A109" s="28">
        <v>108</v>
      </c>
      <c r="B109" s="28" t="s">
        <v>6300</v>
      </c>
      <c r="C109" s="28" t="s">
        <v>10384</v>
      </c>
      <c r="D109" s="28" t="s">
        <v>10168</v>
      </c>
      <c r="E109" s="28" t="s">
        <v>10169</v>
      </c>
      <c r="F109" s="28"/>
      <c r="G109" s="28" t="s">
        <v>10385</v>
      </c>
      <c r="H109" s="28"/>
      <c r="I109" s="28" t="s">
        <v>9180</v>
      </c>
      <c r="J109" s="28" t="s">
        <v>9374</v>
      </c>
      <c r="K109" s="28" t="s">
        <v>9182</v>
      </c>
      <c r="L109" s="28" t="s">
        <v>9189</v>
      </c>
    </row>
    <row r="110" spans="1:12">
      <c r="A110" s="29">
        <v>109</v>
      </c>
      <c r="B110" s="29" t="s">
        <v>8277</v>
      </c>
      <c r="C110" s="29" t="s">
        <v>10386</v>
      </c>
      <c r="D110" s="29" t="s">
        <v>10168</v>
      </c>
      <c r="E110" s="29" t="s">
        <v>10169</v>
      </c>
      <c r="F110" s="29"/>
      <c r="G110" s="29" t="s">
        <v>10387</v>
      </c>
      <c r="H110" s="29"/>
      <c r="I110" s="29" t="s">
        <v>9180</v>
      </c>
      <c r="J110" s="29" t="s">
        <v>9361</v>
      </c>
      <c r="K110" s="29" t="s">
        <v>9182</v>
      </c>
      <c r="L110" s="29" t="s">
        <v>9189</v>
      </c>
    </row>
    <row r="111" spans="1:12">
      <c r="A111" s="28">
        <v>110</v>
      </c>
      <c r="B111" s="28" t="s">
        <v>7274</v>
      </c>
      <c r="C111" s="28" t="s">
        <v>7275</v>
      </c>
      <c r="D111" s="28" t="s">
        <v>10168</v>
      </c>
      <c r="E111" s="28" t="s">
        <v>10169</v>
      </c>
      <c r="F111" s="28"/>
      <c r="G111" s="28" t="s">
        <v>10388</v>
      </c>
      <c r="H111" s="28"/>
      <c r="I111" s="28" t="s">
        <v>9180</v>
      </c>
      <c r="J111" s="28" t="s">
        <v>9268</v>
      </c>
      <c r="K111" s="28" t="s">
        <v>9182</v>
      </c>
      <c r="L111" s="28" t="s">
        <v>9223</v>
      </c>
    </row>
    <row r="112" spans="1:12">
      <c r="A112" s="29">
        <v>111</v>
      </c>
      <c r="B112" s="29" t="s">
        <v>8112</v>
      </c>
      <c r="C112" s="29" t="s">
        <v>8113</v>
      </c>
      <c r="D112" s="29" t="s">
        <v>10168</v>
      </c>
      <c r="E112" s="29" t="s">
        <v>10169</v>
      </c>
      <c r="F112" s="29"/>
      <c r="G112" s="29" t="s">
        <v>10389</v>
      </c>
      <c r="H112" s="29"/>
      <c r="I112" s="29" t="s">
        <v>9180</v>
      </c>
      <c r="J112" s="29" t="s">
        <v>9222</v>
      </c>
      <c r="K112" s="29" t="s">
        <v>9182</v>
      </c>
      <c r="L112" s="29" t="s">
        <v>9223</v>
      </c>
    </row>
    <row r="113" spans="1:12">
      <c r="A113" s="28">
        <v>112</v>
      </c>
      <c r="B113" s="28" t="s">
        <v>7270</v>
      </c>
      <c r="C113" s="28" t="s">
        <v>10390</v>
      </c>
      <c r="D113" s="28" t="s">
        <v>10168</v>
      </c>
      <c r="E113" s="28" t="s">
        <v>10169</v>
      </c>
      <c r="F113" s="28"/>
      <c r="G113" s="28" t="s">
        <v>10391</v>
      </c>
      <c r="H113" s="28"/>
      <c r="I113" s="28" t="s">
        <v>9180</v>
      </c>
      <c r="J113" s="28" t="s">
        <v>10392</v>
      </c>
      <c r="K113" s="28" t="s">
        <v>9182</v>
      </c>
      <c r="L113" s="28" t="s">
        <v>9189</v>
      </c>
    </row>
    <row r="114" spans="1:12">
      <c r="A114" s="29">
        <v>113</v>
      </c>
      <c r="B114" s="29" t="s">
        <v>7220</v>
      </c>
      <c r="C114" s="29" t="s">
        <v>7221</v>
      </c>
      <c r="D114" s="29" t="s">
        <v>10168</v>
      </c>
      <c r="E114" s="29" t="s">
        <v>10169</v>
      </c>
      <c r="F114" s="29"/>
      <c r="G114" s="29" t="s">
        <v>10393</v>
      </c>
      <c r="H114" s="29"/>
      <c r="I114" s="29" t="s">
        <v>9180</v>
      </c>
      <c r="J114" s="29" t="s">
        <v>10212</v>
      </c>
      <c r="K114" s="29" t="s">
        <v>9182</v>
      </c>
      <c r="L114" s="29" t="s">
        <v>9223</v>
      </c>
    </row>
    <row r="115" spans="1:12">
      <c r="A115" s="28">
        <v>114</v>
      </c>
      <c r="B115" s="28" t="s">
        <v>5310</v>
      </c>
      <c r="C115" s="28" t="s">
        <v>10394</v>
      </c>
      <c r="D115" s="28" t="s">
        <v>10168</v>
      </c>
      <c r="E115" s="28" t="s">
        <v>10169</v>
      </c>
      <c r="F115" s="28"/>
      <c r="G115" s="28" t="s">
        <v>10395</v>
      </c>
      <c r="H115" s="28"/>
      <c r="I115" s="28" t="s">
        <v>9180</v>
      </c>
      <c r="J115" s="28" t="s">
        <v>9586</v>
      </c>
      <c r="K115" s="28" t="s">
        <v>9182</v>
      </c>
      <c r="L115" s="28" t="s">
        <v>9189</v>
      </c>
    </row>
    <row r="116" spans="1:12">
      <c r="A116" s="29">
        <v>115</v>
      </c>
      <c r="B116" s="29" t="s">
        <v>6026</v>
      </c>
      <c r="C116" s="29" t="s">
        <v>10396</v>
      </c>
      <c r="D116" s="29" t="s">
        <v>10168</v>
      </c>
      <c r="E116" s="29" t="s">
        <v>10169</v>
      </c>
      <c r="F116" s="29"/>
      <c r="G116" s="29" t="s">
        <v>10397</v>
      </c>
      <c r="H116" s="29"/>
      <c r="I116" s="29" t="s">
        <v>9180</v>
      </c>
      <c r="J116" s="29" t="s">
        <v>9315</v>
      </c>
      <c r="K116" s="29" t="s">
        <v>9182</v>
      </c>
      <c r="L116" s="29" t="s">
        <v>9189</v>
      </c>
    </row>
    <row r="117" spans="1:12">
      <c r="A117" s="28">
        <v>116</v>
      </c>
      <c r="B117" s="28" t="s">
        <v>6021</v>
      </c>
      <c r="C117" s="28" t="s">
        <v>10398</v>
      </c>
      <c r="D117" s="28" t="s">
        <v>10168</v>
      </c>
      <c r="E117" s="28" t="s">
        <v>10169</v>
      </c>
      <c r="F117" s="28"/>
      <c r="G117" s="28" t="s">
        <v>10399</v>
      </c>
      <c r="H117" s="28"/>
      <c r="I117" s="28" t="s">
        <v>9180</v>
      </c>
      <c r="J117" s="28" t="s">
        <v>10400</v>
      </c>
      <c r="K117" s="28" t="s">
        <v>9182</v>
      </c>
      <c r="L117" s="28" t="s">
        <v>9189</v>
      </c>
    </row>
    <row r="118" spans="1:12">
      <c r="A118" s="29">
        <v>117</v>
      </c>
      <c r="B118" s="29" t="s">
        <v>4005</v>
      </c>
      <c r="C118" s="29" t="s">
        <v>4006</v>
      </c>
      <c r="D118" s="29" t="s">
        <v>10168</v>
      </c>
      <c r="E118" s="29" t="s">
        <v>10169</v>
      </c>
      <c r="F118" s="29"/>
      <c r="G118" s="29" t="s">
        <v>10401</v>
      </c>
      <c r="H118" s="29"/>
      <c r="I118" s="29" t="s">
        <v>9180</v>
      </c>
      <c r="J118" s="29" t="s">
        <v>10402</v>
      </c>
      <c r="K118" s="29" t="s">
        <v>9182</v>
      </c>
      <c r="L118" s="29" t="s">
        <v>9223</v>
      </c>
    </row>
    <row r="119" spans="1:12">
      <c r="A119" s="28">
        <v>118</v>
      </c>
      <c r="B119" s="28" t="s">
        <v>3138</v>
      </c>
      <c r="C119" s="28" t="s">
        <v>10403</v>
      </c>
      <c r="D119" s="28" t="s">
        <v>10168</v>
      </c>
      <c r="E119" s="28" t="s">
        <v>10169</v>
      </c>
      <c r="F119" s="28"/>
      <c r="G119" s="28" t="s">
        <v>10404</v>
      </c>
      <c r="H119" s="28"/>
      <c r="I119" s="28" t="s">
        <v>9180</v>
      </c>
      <c r="J119" s="28" t="s">
        <v>10405</v>
      </c>
      <c r="K119" s="28" t="s">
        <v>9182</v>
      </c>
      <c r="L119" s="28" t="s">
        <v>9189</v>
      </c>
    </row>
    <row r="120" spans="1:12">
      <c r="A120" s="29">
        <v>119</v>
      </c>
      <c r="B120" s="29" t="s">
        <v>7581</v>
      </c>
      <c r="C120" s="29" t="s">
        <v>10406</v>
      </c>
      <c r="D120" s="29" t="s">
        <v>10168</v>
      </c>
      <c r="E120" s="29" t="s">
        <v>10169</v>
      </c>
      <c r="F120" s="29"/>
      <c r="G120" s="29" t="s">
        <v>10407</v>
      </c>
      <c r="H120" s="29"/>
      <c r="I120" s="29" t="s">
        <v>9180</v>
      </c>
      <c r="J120" s="29" t="s">
        <v>10408</v>
      </c>
      <c r="K120" s="29" t="s">
        <v>9182</v>
      </c>
      <c r="L120" s="29" t="s">
        <v>9189</v>
      </c>
    </row>
    <row r="121" spans="1:12">
      <c r="A121" s="28">
        <v>120</v>
      </c>
      <c r="B121" s="28" t="s">
        <v>7577</v>
      </c>
      <c r="C121" s="28" t="s">
        <v>10409</v>
      </c>
      <c r="D121" s="28" t="s">
        <v>10168</v>
      </c>
      <c r="E121" s="28" t="s">
        <v>10169</v>
      </c>
      <c r="F121" s="28"/>
      <c r="G121" s="28" t="s">
        <v>10410</v>
      </c>
      <c r="H121" s="28"/>
      <c r="I121" s="28" t="s">
        <v>9180</v>
      </c>
      <c r="J121" s="28" t="s">
        <v>9650</v>
      </c>
      <c r="K121" s="28" t="s">
        <v>9182</v>
      </c>
      <c r="L121" s="28" t="s">
        <v>9189</v>
      </c>
    </row>
    <row r="122" spans="1:12">
      <c r="A122" s="29">
        <v>121</v>
      </c>
      <c r="B122" s="29" t="s">
        <v>3126</v>
      </c>
      <c r="C122" s="29" t="s">
        <v>10411</v>
      </c>
      <c r="D122" s="29" t="s">
        <v>10168</v>
      </c>
      <c r="E122" s="29" t="s">
        <v>10169</v>
      </c>
      <c r="F122" s="29"/>
      <c r="G122" s="29" t="s">
        <v>10412</v>
      </c>
      <c r="H122" s="29"/>
      <c r="I122" s="29" t="s">
        <v>9180</v>
      </c>
      <c r="J122" s="29" t="s">
        <v>10413</v>
      </c>
      <c r="K122" s="29" t="s">
        <v>9182</v>
      </c>
      <c r="L122" s="29" t="s">
        <v>9189</v>
      </c>
    </row>
    <row r="123" spans="1:12">
      <c r="A123" s="28">
        <v>122</v>
      </c>
      <c r="B123" s="28" t="s">
        <v>10414</v>
      </c>
      <c r="C123" s="28" t="s">
        <v>10415</v>
      </c>
      <c r="D123" s="28" t="s">
        <v>10168</v>
      </c>
      <c r="E123" s="28" t="s">
        <v>10169</v>
      </c>
      <c r="F123" s="28"/>
      <c r="G123" s="28" t="s">
        <v>10416</v>
      </c>
      <c r="H123" s="28"/>
      <c r="I123" s="28" t="s">
        <v>9180</v>
      </c>
      <c r="J123" s="28" t="s">
        <v>9210</v>
      </c>
      <c r="K123" s="28" t="s">
        <v>9182</v>
      </c>
      <c r="L123" s="28" t="s">
        <v>9223</v>
      </c>
    </row>
    <row r="124" spans="1:12">
      <c r="A124" s="29">
        <v>123</v>
      </c>
      <c r="B124" s="29" t="s">
        <v>8483</v>
      </c>
      <c r="C124" s="29" t="s">
        <v>10417</v>
      </c>
      <c r="D124" s="29" t="s">
        <v>10168</v>
      </c>
      <c r="E124" s="29" t="s">
        <v>10169</v>
      </c>
      <c r="F124" s="29"/>
      <c r="G124" s="29" t="s">
        <v>10418</v>
      </c>
      <c r="H124" s="29"/>
      <c r="I124" s="29" t="s">
        <v>9180</v>
      </c>
      <c r="J124" s="29" t="s">
        <v>10408</v>
      </c>
      <c r="K124" s="29" t="s">
        <v>9182</v>
      </c>
      <c r="L124" s="29" t="s">
        <v>9189</v>
      </c>
    </row>
    <row r="125" spans="1:12">
      <c r="A125" s="28">
        <v>124</v>
      </c>
      <c r="B125" s="28" t="s">
        <v>4366</v>
      </c>
      <c r="C125" s="28" t="s">
        <v>10419</v>
      </c>
      <c r="D125" s="28" t="s">
        <v>10168</v>
      </c>
      <c r="E125" s="28" t="s">
        <v>10169</v>
      </c>
      <c r="F125" s="28"/>
      <c r="G125" s="28" t="s">
        <v>10420</v>
      </c>
      <c r="H125" s="28"/>
      <c r="I125" s="28" t="s">
        <v>9180</v>
      </c>
      <c r="J125" s="28" t="s">
        <v>10421</v>
      </c>
      <c r="K125" s="28" t="s">
        <v>9182</v>
      </c>
      <c r="L125" s="28" t="s">
        <v>9223</v>
      </c>
    </row>
    <row r="126" spans="1:12">
      <c r="A126" s="29">
        <v>125</v>
      </c>
      <c r="B126" s="29" t="s">
        <v>10422</v>
      </c>
      <c r="C126" s="29" t="s">
        <v>8414</v>
      </c>
      <c r="D126" s="29" t="s">
        <v>10168</v>
      </c>
      <c r="E126" s="29" t="s">
        <v>10169</v>
      </c>
      <c r="F126" s="29"/>
      <c r="G126" s="29" t="s">
        <v>10423</v>
      </c>
      <c r="H126" s="29"/>
      <c r="I126" s="29" t="s">
        <v>9180</v>
      </c>
      <c r="J126" s="29" t="s">
        <v>9210</v>
      </c>
      <c r="K126" s="29" t="s">
        <v>9182</v>
      </c>
      <c r="L126" s="29" t="s">
        <v>9223</v>
      </c>
    </row>
    <row r="127" spans="1:12">
      <c r="A127" s="28">
        <v>126</v>
      </c>
      <c r="B127" s="28" t="s">
        <v>2970</v>
      </c>
      <c r="C127" s="28" t="s">
        <v>2971</v>
      </c>
      <c r="D127" s="28" t="s">
        <v>10168</v>
      </c>
      <c r="E127" s="28" t="s">
        <v>10169</v>
      </c>
      <c r="F127" s="28"/>
      <c r="G127" s="28" t="s">
        <v>10424</v>
      </c>
      <c r="H127" s="28"/>
      <c r="I127" s="28" t="s">
        <v>9180</v>
      </c>
      <c r="J127" s="28" t="s">
        <v>10425</v>
      </c>
      <c r="K127" s="28" t="s">
        <v>9182</v>
      </c>
      <c r="L127" s="28" t="s">
        <v>9223</v>
      </c>
    </row>
    <row r="128" spans="1:12">
      <c r="A128" s="29">
        <v>127</v>
      </c>
      <c r="B128" s="29" t="s">
        <v>7795</v>
      </c>
      <c r="C128" s="29" t="s">
        <v>10426</v>
      </c>
      <c r="D128" s="29" t="s">
        <v>10168</v>
      </c>
      <c r="E128" s="29" t="s">
        <v>10169</v>
      </c>
      <c r="F128" s="29"/>
      <c r="G128" s="29" t="s">
        <v>10427</v>
      </c>
      <c r="H128" s="29"/>
      <c r="I128" s="29" t="s">
        <v>9180</v>
      </c>
      <c r="J128" s="29" t="s">
        <v>9374</v>
      </c>
      <c r="K128" s="29" t="s">
        <v>9182</v>
      </c>
      <c r="L128" s="29" t="s">
        <v>9189</v>
      </c>
    </row>
    <row r="129" spans="1:12">
      <c r="A129" s="28">
        <v>128</v>
      </c>
      <c r="B129" s="28" t="s">
        <v>6701</v>
      </c>
      <c r="C129" s="28" t="s">
        <v>10428</v>
      </c>
      <c r="D129" s="28" t="s">
        <v>10168</v>
      </c>
      <c r="E129" s="28" t="s">
        <v>10169</v>
      </c>
      <c r="F129" s="28"/>
      <c r="G129" s="28" t="s">
        <v>10429</v>
      </c>
      <c r="H129" s="28"/>
      <c r="I129" s="28" t="s">
        <v>9180</v>
      </c>
      <c r="J129" s="28" t="s">
        <v>9606</v>
      </c>
      <c r="K129" s="28" t="s">
        <v>9182</v>
      </c>
      <c r="L129" s="28" t="s">
        <v>9189</v>
      </c>
    </row>
    <row r="130" spans="1:12">
      <c r="A130" s="29">
        <v>129</v>
      </c>
      <c r="B130" s="29" t="s">
        <v>2104</v>
      </c>
      <c r="C130" s="29" t="s">
        <v>2105</v>
      </c>
      <c r="D130" s="29" t="s">
        <v>10168</v>
      </c>
      <c r="E130" s="29" t="s">
        <v>10169</v>
      </c>
      <c r="F130" s="29"/>
      <c r="G130" s="29" t="s">
        <v>10430</v>
      </c>
      <c r="H130" s="29"/>
      <c r="I130" s="29" t="s">
        <v>9180</v>
      </c>
      <c r="J130" s="29" t="s">
        <v>10431</v>
      </c>
      <c r="K130" s="29" t="s">
        <v>9182</v>
      </c>
      <c r="L130" s="29" t="s">
        <v>9223</v>
      </c>
    </row>
    <row r="131" spans="1:12">
      <c r="A131" s="28">
        <v>130</v>
      </c>
      <c r="B131" s="28" t="s">
        <v>9075</v>
      </c>
      <c r="C131" s="28" t="s">
        <v>10432</v>
      </c>
      <c r="D131" s="28" t="s">
        <v>10168</v>
      </c>
      <c r="E131" s="28" t="s">
        <v>10169</v>
      </c>
      <c r="F131" s="28"/>
      <c r="G131" s="28" t="s">
        <v>10433</v>
      </c>
      <c r="H131" s="28"/>
      <c r="I131" s="28" t="s">
        <v>9180</v>
      </c>
      <c r="J131" s="28" t="s">
        <v>9221</v>
      </c>
      <c r="K131" s="28" t="s">
        <v>9182</v>
      </c>
      <c r="L131" s="28" t="s">
        <v>9189</v>
      </c>
    </row>
    <row r="132" spans="1:12">
      <c r="A132" s="30">
        <v>131</v>
      </c>
      <c r="B132" s="30" t="s">
        <v>10434</v>
      </c>
      <c r="C132" s="30" t="s">
        <v>10435</v>
      </c>
      <c r="D132" s="30" t="s">
        <v>10173</v>
      </c>
      <c r="E132" s="30" t="s">
        <v>9208</v>
      </c>
      <c r="F132" s="30"/>
      <c r="G132" s="30" t="s">
        <v>10436</v>
      </c>
      <c r="H132" s="30"/>
      <c r="I132" s="30" t="s">
        <v>9180</v>
      </c>
      <c r="J132" s="30" t="s">
        <v>9210</v>
      </c>
      <c r="K132" s="30" t="s">
        <v>9182</v>
      </c>
      <c r="L132" s="30" t="s">
        <v>9350</v>
      </c>
    </row>
    <row r="133" spans="1:12">
      <c r="A133" s="28">
        <v>132</v>
      </c>
      <c r="B133" s="28" t="s">
        <v>8309</v>
      </c>
      <c r="C133" s="28" t="s">
        <v>10437</v>
      </c>
      <c r="D133" s="28" t="s">
        <v>10168</v>
      </c>
      <c r="E133" s="28" t="s">
        <v>10169</v>
      </c>
      <c r="F133" s="28"/>
      <c r="G133" s="28" t="s">
        <v>10438</v>
      </c>
      <c r="H133" s="28"/>
      <c r="I133" s="28" t="s">
        <v>9180</v>
      </c>
      <c r="J133" s="28" t="s">
        <v>10439</v>
      </c>
      <c r="K133" s="28" t="s">
        <v>9182</v>
      </c>
      <c r="L133" s="28" t="s">
        <v>9189</v>
      </c>
    </row>
    <row r="134" spans="1:12">
      <c r="A134" s="27">
        <v>133</v>
      </c>
      <c r="B134" s="27" t="s">
        <v>1925</v>
      </c>
      <c r="C134" s="27" t="s">
        <v>1926</v>
      </c>
      <c r="D134" s="27" t="s">
        <v>10173</v>
      </c>
      <c r="E134" s="27" t="s">
        <v>10169</v>
      </c>
      <c r="F134" s="27"/>
      <c r="G134" s="27" t="s">
        <v>10440</v>
      </c>
      <c r="H134" s="27"/>
      <c r="I134" s="27" t="s">
        <v>9180</v>
      </c>
      <c r="J134" s="27" t="s">
        <v>10441</v>
      </c>
      <c r="K134" s="27" t="s">
        <v>9182</v>
      </c>
      <c r="L134" s="27" t="s">
        <v>9183</v>
      </c>
    </row>
    <row r="135" spans="1:12">
      <c r="A135" s="27">
        <v>134</v>
      </c>
      <c r="B135" s="27" t="s">
        <v>6650</v>
      </c>
      <c r="C135" s="27" t="s">
        <v>10442</v>
      </c>
      <c r="D135" s="27" t="s">
        <v>10173</v>
      </c>
      <c r="E135" s="27" t="s">
        <v>10169</v>
      </c>
      <c r="F135" s="27"/>
      <c r="G135" s="27" t="s">
        <v>10443</v>
      </c>
      <c r="H135" s="27"/>
      <c r="I135" s="27" t="s">
        <v>9180</v>
      </c>
      <c r="J135" s="27" t="s">
        <v>10444</v>
      </c>
      <c r="K135" s="27" t="s">
        <v>9182</v>
      </c>
      <c r="L135" s="27" t="s">
        <v>9183</v>
      </c>
    </row>
    <row r="136" spans="1:12">
      <c r="A136" s="29">
        <v>135</v>
      </c>
      <c r="B136" s="29" t="s">
        <v>1702</v>
      </c>
      <c r="C136" s="29" t="s">
        <v>10445</v>
      </c>
      <c r="D136" s="29" t="s">
        <v>10168</v>
      </c>
      <c r="E136" s="29" t="s">
        <v>10169</v>
      </c>
      <c r="F136" s="29"/>
      <c r="G136" s="29" t="s">
        <v>10446</v>
      </c>
      <c r="H136" s="29"/>
      <c r="I136" s="29" t="s">
        <v>9180</v>
      </c>
      <c r="J136" s="29" t="s">
        <v>10447</v>
      </c>
      <c r="K136" s="29" t="s">
        <v>9182</v>
      </c>
      <c r="L136" s="29" t="s">
        <v>9189</v>
      </c>
    </row>
    <row r="137" spans="1:12">
      <c r="A137" s="27">
        <v>136</v>
      </c>
      <c r="B137" s="27" t="s">
        <v>1684</v>
      </c>
      <c r="C137" s="27" t="s">
        <v>1685</v>
      </c>
      <c r="D137" s="27" t="s">
        <v>10173</v>
      </c>
      <c r="E137" s="27" t="s">
        <v>10169</v>
      </c>
      <c r="F137" s="27"/>
      <c r="G137" s="27" t="s">
        <v>10448</v>
      </c>
      <c r="H137" s="27" t="s">
        <v>10448</v>
      </c>
      <c r="I137" s="27" t="s">
        <v>9180</v>
      </c>
      <c r="J137" s="27" t="s">
        <v>10449</v>
      </c>
      <c r="K137" s="27" t="s">
        <v>9182</v>
      </c>
      <c r="L137" s="27" t="s">
        <v>9183</v>
      </c>
    </row>
    <row r="138" spans="1:12">
      <c r="A138" s="27">
        <v>137</v>
      </c>
      <c r="B138" s="27" t="s">
        <v>10450</v>
      </c>
      <c r="C138" s="27" t="s">
        <v>9307</v>
      </c>
      <c r="D138" s="27" t="s">
        <v>10173</v>
      </c>
      <c r="E138" s="27" t="s">
        <v>10169</v>
      </c>
      <c r="F138" s="27"/>
      <c r="G138" s="27" t="s">
        <v>10451</v>
      </c>
      <c r="H138" s="27"/>
      <c r="I138" s="27" t="s">
        <v>9180</v>
      </c>
      <c r="J138" s="27" t="s">
        <v>9210</v>
      </c>
      <c r="K138" s="27" t="s">
        <v>9182</v>
      </c>
      <c r="L138" s="27" t="s">
        <v>9196</v>
      </c>
    </row>
    <row r="139" spans="1:12">
      <c r="A139" s="27">
        <v>138</v>
      </c>
      <c r="B139" s="27" t="s">
        <v>2301</v>
      </c>
      <c r="C139" s="27" t="s">
        <v>2302</v>
      </c>
      <c r="D139" s="27" t="s">
        <v>10173</v>
      </c>
      <c r="E139" s="27" t="s">
        <v>10169</v>
      </c>
      <c r="F139" s="27"/>
      <c r="G139" s="27" t="s">
        <v>10452</v>
      </c>
      <c r="H139" s="27"/>
      <c r="I139" s="27" t="s">
        <v>9180</v>
      </c>
      <c r="J139" s="27" t="s">
        <v>10453</v>
      </c>
      <c r="K139" s="27" t="s">
        <v>9182</v>
      </c>
      <c r="L139" s="27" t="s">
        <v>9196</v>
      </c>
    </row>
    <row r="140" spans="1:12">
      <c r="A140" s="27">
        <v>139</v>
      </c>
      <c r="B140" s="27" t="s">
        <v>7901</v>
      </c>
      <c r="C140" s="27" t="s">
        <v>7902</v>
      </c>
      <c r="D140" s="27" t="s">
        <v>10173</v>
      </c>
      <c r="E140" s="27" t="s">
        <v>10169</v>
      </c>
      <c r="F140" s="27"/>
      <c r="G140" s="27" t="s">
        <v>10454</v>
      </c>
      <c r="H140" s="27"/>
      <c r="I140" s="27" t="s">
        <v>9180</v>
      </c>
      <c r="J140" s="27" t="s">
        <v>9222</v>
      </c>
      <c r="K140" s="27" t="s">
        <v>9182</v>
      </c>
      <c r="L140" s="27" t="s">
        <v>9183</v>
      </c>
    </row>
    <row r="141" spans="1:12">
      <c r="A141" s="28">
        <v>140</v>
      </c>
      <c r="B141" s="28" t="s">
        <v>8363</v>
      </c>
      <c r="C141" s="28" t="s">
        <v>10455</v>
      </c>
      <c r="D141" s="28" t="s">
        <v>10168</v>
      </c>
      <c r="E141" s="28" t="s">
        <v>10169</v>
      </c>
      <c r="F141" s="28"/>
      <c r="G141" s="28" t="s">
        <v>10456</v>
      </c>
      <c r="H141" s="28"/>
      <c r="I141" s="28" t="s">
        <v>9180</v>
      </c>
      <c r="J141" s="28" t="s">
        <v>9681</v>
      </c>
      <c r="K141" s="28" t="s">
        <v>9182</v>
      </c>
      <c r="L141" s="28" t="s">
        <v>9189</v>
      </c>
    </row>
    <row r="142" spans="1:12">
      <c r="A142" s="27">
        <v>141</v>
      </c>
      <c r="B142" s="27" t="s">
        <v>3636</v>
      </c>
      <c r="C142" s="27" t="s">
        <v>10457</v>
      </c>
      <c r="D142" s="27" t="s">
        <v>10173</v>
      </c>
      <c r="E142" s="27" t="s">
        <v>10169</v>
      </c>
      <c r="F142" s="27"/>
      <c r="G142" s="27" t="s">
        <v>10458</v>
      </c>
      <c r="H142" s="27"/>
      <c r="I142" s="27" t="s">
        <v>9180</v>
      </c>
      <c r="J142" s="27" t="s">
        <v>9224</v>
      </c>
      <c r="K142" s="27" t="s">
        <v>9182</v>
      </c>
      <c r="L142" s="27" t="s">
        <v>9196</v>
      </c>
    </row>
    <row r="143" spans="1:12">
      <c r="A143" s="28">
        <v>142</v>
      </c>
      <c r="B143" s="28" t="s">
        <v>5943</v>
      </c>
      <c r="C143" s="28" t="s">
        <v>5944</v>
      </c>
      <c r="D143" s="28" t="s">
        <v>10168</v>
      </c>
      <c r="E143" s="28" t="s">
        <v>10169</v>
      </c>
      <c r="F143" s="28"/>
      <c r="G143" s="28" t="s">
        <v>10459</v>
      </c>
      <c r="H143" s="28"/>
      <c r="I143" s="28" t="s">
        <v>9180</v>
      </c>
      <c r="J143" s="28" t="s">
        <v>9280</v>
      </c>
      <c r="K143" s="28" t="s">
        <v>9182</v>
      </c>
      <c r="L143" s="28" t="s">
        <v>9223</v>
      </c>
    </row>
    <row r="144" spans="1:12">
      <c r="A144" s="29">
        <v>143</v>
      </c>
      <c r="B144" s="29" t="s">
        <v>3681</v>
      </c>
      <c r="C144" s="29" t="s">
        <v>10460</v>
      </c>
      <c r="D144" s="29" t="s">
        <v>10168</v>
      </c>
      <c r="E144" s="29" t="s">
        <v>9208</v>
      </c>
      <c r="F144" s="29"/>
      <c r="G144" s="29" t="s">
        <v>10461</v>
      </c>
      <c r="H144" s="29"/>
      <c r="I144" s="29" t="s">
        <v>9180</v>
      </c>
      <c r="J144" s="29" t="s">
        <v>10462</v>
      </c>
      <c r="K144" s="29" t="s">
        <v>9182</v>
      </c>
      <c r="L144" s="29" t="s">
        <v>9522</v>
      </c>
    </row>
    <row r="145" spans="1:12">
      <c r="A145" s="28">
        <v>144</v>
      </c>
      <c r="B145" s="28" t="s">
        <v>8367</v>
      </c>
      <c r="C145" s="28" t="s">
        <v>10463</v>
      </c>
      <c r="D145" s="28" t="s">
        <v>10168</v>
      </c>
      <c r="E145" s="28" t="s">
        <v>10169</v>
      </c>
      <c r="F145" s="28"/>
      <c r="G145" s="28" t="s">
        <v>10464</v>
      </c>
      <c r="H145" s="28"/>
      <c r="I145" s="28" t="s">
        <v>9180</v>
      </c>
      <c r="J145" s="28" t="s">
        <v>9301</v>
      </c>
      <c r="K145" s="28" t="s">
        <v>9182</v>
      </c>
      <c r="L145" s="28" t="s">
        <v>9189</v>
      </c>
    </row>
    <row r="146" spans="1:12">
      <c r="A146" s="29">
        <v>145</v>
      </c>
      <c r="B146" s="29" t="s">
        <v>8371</v>
      </c>
      <c r="C146" s="29" t="s">
        <v>10465</v>
      </c>
      <c r="D146" s="29" t="s">
        <v>10168</v>
      </c>
      <c r="E146" s="29" t="s">
        <v>10169</v>
      </c>
      <c r="F146" s="29"/>
      <c r="G146" s="29" t="s">
        <v>10466</v>
      </c>
      <c r="H146" s="29"/>
      <c r="I146" s="29" t="s">
        <v>9180</v>
      </c>
      <c r="J146" s="29" t="s">
        <v>9343</v>
      </c>
      <c r="K146" s="29" t="s">
        <v>9182</v>
      </c>
      <c r="L146" s="29" t="s">
        <v>9189</v>
      </c>
    </row>
    <row r="147" spans="1:12">
      <c r="A147" s="30">
        <v>146</v>
      </c>
      <c r="B147" s="30" t="s">
        <v>5021</v>
      </c>
      <c r="C147" s="30" t="s">
        <v>10467</v>
      </c>
      <c r="D147" s="30" t="s">
        <v>10173</v>
      </c>
      <c r="E147" s="30" t="s">
        <v>9208</v>
      </c>
      <c r="F147" s="30"/>
      <c r="G147" s="30" t="s">
        <v>10468</v>
      </c>
      <c r="H147" s="30" t="s">
        <v>10468</v>
      </c>
      <c r="I147" s="30" t="s">
        <v>9180</v>
      </c>
      <c r="J147" s="30" t="s">
        <v>10469</v>
      </c>
      <c r="K147" s="30" t="s">
        <v>9182</v>
      </c>
      <c r="L147" s="30" t="s">
        <v>9350</v>
      </c>
    </row>
    <row r="148" spans="1:12">
      <c r="A148" s="29">
        <v>147</v>
      </c>
      <c r="B148" s="29" t="s">
        <v>1811</v>
      </c>
      <c r="C148" s="29" t="s">
        <v>1812</v>
      </c>
      <c r="D148" s="29" t="s">
        <v>10168</v>
      </c>
      <c r="E148" s="29" t="s">
        <v>10169</v>
      </c>
      <c r="F148" s="29"/>
      <c r="G148" s="29" t="s">
        <v>10470</v>
      </c>
      <c r="H148" s="29"/>
      <c r="I148" s="29" t="s">
        <v>9180</v>
      </c>
      <c r="J148" s="29" t="s">
        <v>10471</v>
      </c>
      <c r="K148" s="29" t="s">
        <v>9182</v>
      </c>
      <c r="L148" s="29" t="s">
        <v>9223</v>
      </c>
    </row>
    <row r="149" spans="1:12">
      <c r="A149" s="27">
        <v>148</v>
      </c>
      <c r="B149" s="27" t="s">
        <v>987</v>
      </c>
      <c r="C149" s="27" t="s">
        <v>10472</v>
      </c>
      <c r="D149" s="27" t="s">
        <v>10173</v>
      </c>
      <c r="E149" s="27" t="s">
        <v>10169</v>
      </c>
      <c r="F149" s="27"/>
      <c r="G149" s="27" t="s">
        <v>10473</v>
      </c>
      <c r="H149" s="27"/>
      <c r="I149" s="27" t="s">
        <v>9180</v>
      </c>
      <c r="J149" s="27" t="s">
        <v>10474</v>
      </c>
      <c r="K149" s="27" t="s">
        <v>9182</v>
      </c>
      <c r="L149" s="27" t="s">
        <v>9196</v>
      </c>
    </row>
    <row r="150" spans="1:12">
      <c r="A150" s="29">
        <v>149</v>
      </c>
      <c r="B150" s="29" t="s">
        <v>3533</v>
      </c>
      <c r="C150" s="29" t="s">
        <v>3534</v>
      </c>
      <c r="D150" s="29" t="s">
        <v>10168</v>
      </c>
      <c r="E150" s="29" t="s">
        <v>10169</v>
      </c>
      <c r="F150" s="29"/>
      <c r="G150" s="29" t="s">
        <v>10475</v>
      </c>
      <c r="H150" s="29"/>
      <c r="I150" s="29" t="s">
        <v>9180</v>
      </c>
      <c r="J150" s="29" t="s">
        <v>10476</v>
      </c>
      <c r="K150" s="29" t="s">
        <v>9182</v>
      </c>
      <c r="L150" s="29" t="s">
        <v>9223</v>
      </c>
    </row>
    <row r="151" spans="1:12">
      <c r="A151" s="27">
        <v>150</v>
      </c>
      <c r="B151" s="27" t="s">
        <v>1720</v>
      </c>
      <c r="C151" s="27" t="s">
        <v>1721</v>
      </c>
      <c r="D151" s="27" t="s">
        <v>10173</v>
      </c>
      <c r="E151" s="27" t="s">
        <v>10169</v>
      </c>
      <c r="F151" s="27"/>
      <c r="G151" s="27" t="s">
        <v>10477</v>
      </c>
      <c r="H151" s="27"/>
      <c r="I151" s="27" t="s">
        <v>9180</v>
      </c>
      <c r="J151" s="27" t="s">
        <v>10478</v>
      </c>
      <c r="K151" s="27" t="s">
        <v>9182</v>
      </c>
      <c r="L151" s="27" t="s">
        <v>9183</v>
      </c>
    </row>
    <row r="152" spans="1:12">
      <c r="A152" s="27">
        <v>151</v>
      </c>
      <c r="B152" s="27" t="s">
        <v>3396</v>
      </c>
      <c r="C152" s="27" t="s">
        <v>10479</v>
      </c>
      <c r="D152" s="27" t="s">
        <v>10173</v>
      </c>
      <c r="E152" s="27" t="s">
        <v>10169</v>
      </c>
      <c r="F152" s="27"/>
      <c r="G152" s="27" t="s">
        <v>10480</v>
      </c>
      <c r="H152" s="27"/>
      <c r="I152" s="27" t="s">
        <v>9180</v>
      </c>
      <c r="J152" s="27" t="s">
        <v>10481</v>
      </c>
      <c r="K152" s="27" t="s">
        <v>9182</v>
      </c>
      <c r="L152" s="27" t="s">
        <v>9196</v>
      </c>
    </row>
    <row r="153" spans="1:12">
      <c r="A153" s="28">
        <v>152</v>
      </c>
      <c r="B153" s="28" t="s">
        <v>1819</v>
      </c>
      <c r="C153" s="28" t="s">
        <v>10482</v>
      </c>
      <c r="D153" s="28" t="s">
        <v>10168</v>
      </c>
      <c r="E153" s="28" t="s">
        <v>10169</v>
      </c>
      <c r="F153" s="28"/>
      <c r="G153" s="28" t="s">
        <v>10483</v>
      </c>
      <c r="H153" s="28"/>
      <c r="I153" s="28" t="s">
        <v>9180</v>
      </c>
      <c r="J153" s="28" t="s">
        <v>10484</v>
      </c>
      <c r="K153" s="28" t="s">
        <v>9182</v>
      </c>
      <c r="L153" s="28" t="s">
        <v>9189</v>
      </c>
    </row>
    <row r="154" spans="1:12">
      <c r="A154" s="27">
        <v>153</v>
      </c>
      <c r="B154" s="27" t="s">
        <v>2965</v>
      </c>
      <c r="C154" s="27" t="s">
        <v>10485</v>
      </c>
      <c r="D154" s="27" t="s">
        <v>10173</v>
      </c>
      <c r="E154" s="27" t="s">
        <v>10169</v>
      </c>
      <c r="F154" s="27"/>
      <c r="G154" s="27" t="s">
        <v>10486</v>
      </c>
      <c r="H154" s="27"/>
      <c r="I154" s="27" t="s">
        <v>9180</v>
      </c>
      <c r="J154" s="27" t="s">
        <v>10487</v>
      </c>
      <c r="K154" s="27" t="s">
        <v>9182</v>
      </c>
      <c r="L154" s="27" t="s">
        <v>9196</v>
      </c>
    </row>
    <row r="155" spans="1:12">
      <c r="A155" s="28">
        <v>154</v>
      </c>
      <c r="B155" s="28" t="s">
        <v>5947</v>
      </c>
      <c r="C155" s="28" t="s">
        <v>5948</v>
      </c>
      <c r="D155" s="28" t="s">
        <v>10168</v>
      </c>
      <c r="E155" s="28" t="s">
        <v>10169</v>
      </c>
      <c r="F155" s="28"/>
      <c r="G155" s="28" t="s">
        <v>10488</v>
      </c>
      <c r="H155" s="28"/>
      <c r="I155" s="28" t="s">
        <v>9180</v>
      </c>
      <c r="J155" s="28" t="s">
        <v>9268</v>
      </c>
      <c r="K155" s="28" t="s">
        <v>9182</v>
      </c>
      <c r="L155" s="28" t="s">
        <v>9223</v>
      </c>
    </row>
    <row r="156" spans="1:12">
      <c r="A156" s="29">
        <v>155</v>
      </c>
      <c r="B156" s="29" t="s">
        <v>4473</v>
      </c>
      <c r="C156" s="29" t="s">
        <v>10489</v>
      </c>
      <c r="D156" s="29" t="s">
        <v>10168</v>
      </c>
      <c r="E156" s="29" t="s">
        <v>10169</v>
      </c>
      <c r="F156" s="29"/>
      <c r="G156" s="29" t="s">
        <v>10490</v>
      </c>
      <c r="H156" s="29"/>
      <c r="I156" s="29" t="s">
        <v>9180</v>
      </c>
      <c r="J156" s="29" t="s">
        <v>10491</v>
      </c>
      <c r="K156" s="29" t="s">
        <v>9182</v>
      </c>
      <c r="L156" s="29" t="s">
        <v>9189</v>
      </c>
    </row>
    <row r="157" spans="1:12">
      <c r="A157" s="27">
        <v>156</v>
      </c>
      <c r="B157" s="27" t="s">
        <v>8394</v>
      </c>
      <c r="C157" s="27" t="s">
        <v>8395</v>
      </c>
      <c r="D157" s="27" t="s">
        <v>10173</v>
      </c>
      <c r="E157" s="27" t="s">
        <v>10169</v>
      </c>
      <c r="F157" s="27"/>
      <c r="G157" s="27" t="s">
        <v>10492</v>
      </c>
      <c r="H157" s="27"/>
      <c r="I157" s="27" t="s">
        <v>9180</v>
      </c>
      <c r="J157" s="27" t="s">
        <v>10493</v>
      </c>
      <c r="K157" s="27" t="s">
        <v>9182</v>
      </c>
      <c r="L157" s="27" t="s">
        <v>9196</v>
      </c>
    </row>
    <row r="158" spans="1:12">
      <c r="A158" s="29">
        <v>157</v>
      </c>
      <c r="B158" s="29" t="s">
        <v>6083</v>
      </c>
      <c r="C158" s="29" t="s">
        <v>10494</v>
      </c>
      <c r="D158" s="29" t="s">
        <v>10168</v>
      </c>
      <c r="E158" s="29" t="s">
        <v>10169</v>
      </c>
      <c r="F158" s="29"/>
      <c r="G158" s="29" t="s">
        <v>10495</v>
      </c>
      <c r="H158" s="29" t="s">
        <v>10495</v>
      </c>
      <c r="I158" s="29" t="s">
        <v>9180</v>
      </c>
      <c r="J158" s="29" t="s">
        <v>9217</v>
      </c>
      <c r="K158" s="29" t="s">
        <v>9182</v>
      </c>
      <c r="L158" s="29" t="s">
        <v>9189</v>
      </c>
    </row>
    <row r="159" spans="1:12">
      <c r="A159" s="27">
        <v>158</v>
      </c>
      <c r="B159" s="27" t="s">
        <v>8387</v>
      </c>
      <c r="C159" s="27" t="s">
        <v>8388</v>
      </c>
      <c r="D159" s="27" t="s">
        <v>10173</v>
      </c>
      <c r="E159" s="27" t="s">
        <v>10169</v>
      </c>
      <c r="F159" s="27"/>
      <c r="G159" s="27" t="s">
        <v>10496</v>
      </c>
      <c r="H159" s="27"/>
      <c r="I159" s="27" t="s">
        <v>9180</v>
      </c>
      <c r="J159" s="27" t="s">
        <v>9312</v>
      </c>
      <c r="K159" s="27" t="s">
        <v>9182</v>
      </c>
      <c r="L159" s="27" t="s">
        <v>9196</v>
      </c>
    </row>
    <row r="160" spans="1:12">
      <c r="A160" s="27">
        <v>159</v>
      </c>
      <c r="B160" s="27" t="s">
        <v>4629</v>
      </c>
      <c r="C160" s="27"/>
      <c r="D160" s="27" t="s">
        <v>10173</v>
      </c>
      <c r="E160" s="27" t="s">
        <v>10169</v>
      </c>
      <c r="F160" s="27"/>
      <c r="G160" s="27" t="s">
        <v>10497</v>
      </c>
      <c r="H160" s="27"/>
      <c r="I160" s="27" t="s">
        <v>9180</v>
      </c>
      <c r="J160" s="27" t="s">
        <v>10498</v>
      </c>
      <c r="K160" s="27" t="s">
        <v>9182</v>
      </c>
      <c r="L160" s="27" t="s">
        <v>9183</v>
      </c>
    </row>
    <row r="161" spans="1:12">
      <c r="A161" s="28">
        <v>160</v>
      </c>
      <c r="B161" s="28" t="s">
        <v>5407</v>
      </c>
      <c r="C161" s="28" t="s">
        <v>5408</v>
      </c>
      <c r="D161" s="28" t="s">
        <v>10168</v>
      </c>
      <c r="E161" s="28" t="s">
        <v>10169</v>
      </c>
      <c r="F161" s="28"/>
      <c r="G161" s="28" t="s">
        <v>10499</v>
      </c>
      <c r="H161" s="28"/>
      <c r="I161" s="28" t="s">
        <v>9180</v>
      </c>
      <c r="J161" s="28" t="s">
        <v>10063</v>
      </c>
      <c r="K161" s="28" t="s">
        <v>9182</v>
      </c>
      <c r="L161" s="28" t="s">
        <v>9189</v>
      </c>
    </row>
    <row r="162" spans="1:12">
      <c r="A162" s="29">
        <v>161</v>
      </c>
      <c r="B162" s="29" t="s">
        <v>7885</v>
      </c>
      <c r="C162" s="29" t="s">
        <v>10500</v>
      </c>
      <c r="D162" s="29" t="s">
        <v>10168</v>
      </c>
      <c r="E162" s="29" t="s">
        <v>10169</v>
      </c>
      <c r="F162" s="29"/>
      <c r="G162" s="29" t="s">
        <v>10501</v>
      </c>
      <c r="H162" s="29"/>
      <c r="I162" s="29" t="s">
        <v>9180</v>
      </c>
      <c r="J162" s="29" t="s">
        <v>9217</v>
      </c>
      <c r="K162" s="29" t="s">
        <v>9182</v>
      </c>
      <c r="L162" s="29" t="s">
        <v>9189</v>
      </c>
    </row>
    <row r="163" spans="1:12">
      <c r="A163" s="28">
        <v>162</v>
      </c>
      <c r="B163" s="28" t="s">
        <v>4304</v>
      </c>
      <c r="C163" s="28" t="s">
        <v>4305</v>
      </c>
      <c r="D163" s="28" t="s">
        <v>10168</v>
      </c>
      <c r="E163" s="28" t="s">
        <v>10169</v>
      </c>
      <c r="F163" s="28"/>
      <c r="G163" s="28" t="s">
        <v>10502</v>
      </c>
      <c r="H163" s="28"/>
      <c r="I163" s="28" t="s">
        <v>9180</v>
      </c>
      <c r="J163" s="28" t="s">
        <v>10503</v>
      </c>
      <c r="K163" s="28" t="s">
        <v>9182</v>
      </c>
      <c r="L163" s="28" t="s">
        <v>9223</v>
      </c>
    </row>
    <row r="164" spans="1:12">
      <c r="A164" s="29">
        <v>163</v>
      </c>
      <c r="B164" s="29" t="s">
        <v>5854</v>
      </c>
      <c r="C164" s="29" t="s">
        <v>5855</v>
      </c>
      <c r="D164" s="29" t="s">
        <v>10168</v>
      </c>
      <c r="E164" s="29" t="s">
        <v>10169</v>
      </c>
      <c r="F164" s="29"/>
      <c r="G164" s="29" t="s">
        <v>10504</v>
      </c>
      <c r="H164" s="29"/>
      <c r="I164" s="29" t="s">
        <v>9180</v>
      </c>
      <c r="J164" s="29" t="s">
        <v>9224</v>
      </c>
      <c r="K164" s="29" t="s">
        <v>9182</v>
      </c>
      <c r="L164" s="29" t="s">
        <v>9223</v>
      </c>
    </row>
    <row r="165" spans="1:12">
      <c r="A165" s="28">
        <v>164</v>
      </c>
      <c r="B165" s="28" t="s">
        <v>5631</v>
      </c>
      <c r="C165" s="28" t="s">
        <v>5632</v>
      </c>
      <c r="D165" s="28" t="s">
        <v>10168</v>
      </c>
      <c r="E165" s="28" t="s">
        <v>10169</v>
      </c>
      <c r="F165" s="28"/>
      <c r="G165" s="28" t="s">
        <v>10505</v>
      </c>
      <c r="H165" s="28"/>
      <c r="I165" s="28" t="s">
        <v>9180</v>
      </c>
      <c r="J165" s="28" t="s">
        <v>9239</v>
      </c>
      <c r="K165" s="28" t="s">
        <v>9182</v>
      </c>
      <c r="L165" s="28" t="s">
        <v>9223</v>
      </c>
    </row>
    <row r="166" spans="1:12">
      <c r="A166" s="27">
        <v>165</v>
      </c>
      <c r="B166" s="27" t="s">
        <v>5615</v>
      </c>
      <c r="C166" s="27" t="s">
        <v>10506</v>
      </c>
      <c r="D166" s="27" t="s">
        <v>10173</v>
      </c>
      <c r="E166" s="27" t="s">
        <v>10169</v>
      </c>
      <c r="F166" s="27"/>
      <c r="G166" s="27" t="s">
        <v>10507</v>
      </c>
      <c r="H166" s="27"/>
      <c r="I166" s="27" t="s">
        <v>9180</v>
      </c>
      <c r="J166" s="27" t="s">
        <v>9221</v>
      </c>
      <c r="K166" s="27" t="s">
        <v>9182</v>
      </c>
      <c r="L166" s="27" t="s">
        <v>9196</v>
      </c>
    </row>
    <row r="167" spans="1:12">
      <c r="A167" s="28">
        <v>166</v>
      </c>
      <c r="B167" s="28" t="s">
        <v>858</v>
      </c>
      <c r="C167" s="28" t="s">
        <v>859</v>
      </c>
      <c r="D167" s="28" t="s">
        <v>10168</v>
      </c>
      <c r="E167" s="28" t="s">
        <v>9208</v>
      </c>
      <c r="F167" s="28"/>
      <c r="G167" s="28" t="s">
        <v>10508</v>
      </c>
      <c r="H167" s="28"/>
      <c r="I167" s="28" t="s">
        <v>9180</v>
      </c>
      <c r="J167" s="28" t="s">
        <v>10509</v>
      </c>
      <c r="K167" s="28" t="s">
        <v>9182</v>
      </c>
      <c r="L167" s="28" t="s">
        <v>9212</v>
      </c>
    </row>
    <row r="168" spans="1:12">
      <c r="A168" s="29">
        <v>167</v>
      </c>
      <c r="B168" s="29" t="s">
        <v>4385</v>
      </c>
      <c r="C168" s="29" t="s">
        <v>4386</v>
      </c>
      <c r="D168" s="29" t="s">
        <v>10168</v>
      </c>
      <c r="E168" s="29" t="s">
        <v>10169</v>
      </c>
      <c r="F168" s="29"/>
      <c r="G168" s="29" t="s">
        <v>10510</v>
      </c>
      <c r="H168" s="29"/>
      <c r="I168" s="29" t="s">
        <v>9180</v>
      </c>
      <c r="J168" s="29" t="s">
        <v>10511</v>
      </c>
      <c r="K168" s="29" t="s">
        <v>9182</v>
      </c>
      <c r="L168" s="29" t="s">
        <v>9223</v>
      </c>
    </row>
    <row r="169" spans="1:12">
      <c r="A169" s="28">
        <v>168</v>
      </c>
      <c r="B169" s="28" t="s">
        <v>1652</v>
      </c>
      <c r="C169" s="28" t="s">
        <v>10512</v>
      </c>
      <c r="D169" s="28" t="s">
        <v>10168</v>
      </c>
      <c r="E169" s="28" t="s">
        <v>10169</v>
      </c>
      <c r="F169" s="28"/>
      <c r="G169" s="28" t="s">
        <v>10513</v>
      </c>
      <c r="H169" s="28"/>
      <c r="I169" s="28" t="s">
        <v>9180</v>
      </c>
      <c r="J169" s="28" t="s">
        <v>10514</v>
      </c>
      <c r="K169" s="28" t="s">
        <v>9182</v>
      </c>
      <c r="L169" s="28" t="s">
        <v>9189</v>
      </c>
    </row>
    <row r="170" spans="1:12">
      <c r="A170" s="27">
        <v>169</v>
      </c>
      <c r="B170" s="27" t="s">
        <v>2031</v>
      </c>
      <c r="C170" s="27" t="s">
        <v>2032</v>
      </c>
      <c r="D170" s="27" t="s">
        <v>10173</v>
      </c>
      <c r="E170" s="27" t="s">
        <v>10169</v>
      </c>
      <c r="F170" s="27"/>
      <c r="G170" s="27" t="s">
        <v>10515</v>
      </c>
      <c r="H170" s="27"/>
      <c r="I170" s="27" t="s">
        <v>9180</v>
      </c>
      <c r="J170" s="27" t="s">
        <v>10516</v>
      </c>
      <c r="K170" s="27" t="s">
        <v>9182</v>
      </c>
      <c r="L170" s="27" t="s">
        <v>9183</v>
      </c>
    </row>
    <row r="171" spans="1:12">
      <c r="A171" s="27">
        <v>170</v>
      </c>
      <c r="B171" s="27" t="s">
        <v>2080</v>
      </c>
      <c r="C171" s="27" t="s">
        <v>10517</v>
      </c>
      <c r="D171" s="27" t="s">
        <v>10173</v>
      </c>
      <c r="E171" s="27" t="s">
        <v>10169</v>
      </c>
      <c r="F171" s="27"/>
      <c r="G171" s="27" t="s">
        <v>10518</v>
      </c>
      <c r="H171" s="27"/>
      <c r="I171" s="27" t="s">
        <v>9180</v>
      </c>
      <c r="J171" s="27" t="s">
        <v>9202</v>
      </c>
      <c r="K171" s="27" t="s">
        <v>9182</v>
      </c>
      <c r="L171" s="27" t="s">
        <v>9196</v>
      </c>
    </row>
    <row r="172" spans="1:12">
      <c r="A172" s="27">
        <v>171</v>
      </c>
      <c r="B172" s="27" t="s">
        <v>8360</v>
      </c>
      <c r="C172" s="27" t="s">
        <v>8361</v>
      </c>
      <c r="D172" s="27" t="s">
        <v>10173</v>
      </c>
      <c r="E172" s="27" t="s">
        <v>10169</v>
      </c>
      <c r="F172" s="27"/>
      <c r="G172" s="27" t="s">
        <v>10519</v>
      </c>
      <c r="H172" s="27"/>
      <c r="I172" s="27" t="s">
        <v>9180</v>
      </c>
      <c r="J172" s="27" t="s">
        <v>10520</v>
      </c>
      <c r="K172" s="27" t="s">
        <v>9182</v>
      </c>
      <c r="L172" s="27" t="s">
        <v>9183</v>
      </c>
    </row>
    <row r="173" spans="1:12">
      <c r="A173" s="30">
        <v>172</v>
      </c>
      <c r="B173" s="30" t="s">
        <v>8030</v>
      </c>
      <c r="C173" s="30" t="s">
        <v>10521</v>
      </c>
      <c r="D173" s="30" t="s">
        <v>10173</v>
      </c>
      <c r="E173" s="30" t="s">
        <v>9208</v>
      </c>
      <c r="F173" s="30"/>
      <c r="G173" s="30" t="s">
        <v>10522</v>
      </c>
      <c r="H173" s="30"/>
      <c r="I173" s="30" t="s">
        <v>9180</v>
      </c>
      <c r="J173" s="30" t="s">
        <v>9322</v>
      </c>
      <c r="K173" s="30" t="s">
        <v>9182</v>
      </c>
      <c r="L173" s="30" t="s">
        <v>9350</v>
      </c>
    </row>
    <row r="174" spans="1:12">
      <c r="A174" s="29">
        <v>173</v>
      </c>
      <c r="B174" s="29" t="s">
        <v>5547</v>
      </c>
      <c r="C174" s="29" t="s">
        <v>10523</v>
      </c>
      <c r="D174" s="29" t="s">
        <v>10168</v>
      </c>
      <c r="E174" s="29" t="s">
        <v>10169</v>
      </c>
      <c r="F174" s="29"/>
      <c r="G174" s="29" t="s">
        <v>10524</v>
      </c>
      <c r="H174" s="29"/>
      <c r="I174" s="29" t="s">
        <v>9180</v>
      </c>
      <c r="J174" s="29" t="s">
        <v>9306</v>
      </c>
      <c r="K174" s="29" t="s">
        <v>9182</v>
      </c>
      <c r="L174" s="29" t="s">
        <v>9189</v>
      </c>
    </row>
    <row r="175" spans="1:12">
      <c r="A175" s="27">
        <v>174</v>
      </c>
      <c r="B175" s="27" t="s">
        <v>7879</v>
      </c>
      <c r="C175" s="27" t="s">
        <v>10525</v>
      </c>
      <c r="D175" s="27" t="s">
        <v>10173</v>
      </c>
      <c r="E175" s="27" t="s">
        <v>10169</v>
      </c>
      <c r="F175" s="27"/>
      <c r="G175" s="27" t="s">
        <v>10526</v>
      </c>
      <c r="H175" s="27"/>
      <c r="I175" s="27" t="s">
        <v>9180</v>
      </c>
      <c r="J175" s="27" t="s">
        <v>10527</v>
      </c>
      <c r="K175" s="27" t="s">
        <v>9182</v>
      </c>
      <c r="L175" s="27" t="s">
        <v>9183</v>
      </c>
    </row>
    <row r="176" spans="1:12">
      <c r="A176" s="29">
        <v>175</v>
      </c>
      <c r="B176" s="29" t="s">
        <v>5025</v>
      </c>
      <c r="C176" s="29" t="s">
        <v>10528</v>
      </c>
      <c r="D176" s="29" t="s">
        <v>10168</v>
      </c>
      <c r="E176" s="29" t="s">
        <v>10169</v>
      </c>
      <c r="F176" s="29"/>
      <c r="G176" s="29" t="s">
        <v>10529</v>
      </c>
      <c r="H176" s="29"/>
      <c r="I176" s="29" t="s">
        <v>9180</v>
      </c>
      <c r="J176" s="29" t="s">
        <v>10530</v>
      </c>
      <c r="K176" s="29" t="s">
        <v>9182</v>
      </c>
      <c r="L176" s="29" t="s">
        <v>9189</v>
      </c>
    </row>
    <row r="177" spans="1:12">
      <c r="A177" s="28">
        <v>176</v>
      </c>
      <c r="B177" s="28" t="s">
        <v>10531</v>
      </c>
      <c r="C177" s="28" t="s">
        <v>10528</v>
      </c>
      <c r="D177" s="28" t="s">
        <v>10168</v>
      </c>
      <c r="E177" s="28" t="s">
        <v>10169</v>
      </c>
      <c r="F177" s="28"/>
      <c r="G177" s="28" t="s">
        <v>10532</v>
      </c>
      <c r="H177" s="28"/>
      <c r="I177" s="28" t="s">
        <v>9180</v>
      </c>
      <c r="J177" s="28" t="s">
        <v>10533</v>
      </c>
      <c r="K177" s="28" t="s">
        <v>9182</v>
      </c>
      <c r="L177" s="28" t="s">
        <v>9189</v>
      </c>
    </row>
    <row r="178" spans="1:12">
      <c r="A178" s="27">
        <v>177</v>
      </c>
      <c r="B178" s="27" t="s">
        <v>8824</v>
      </c>
      <c r="C178" s="27"/>
      <c r="D178" s="27" t="s">
        <v>10173</v>
      </c>
      <c r="E178" s="27" t="s">
        <v>10169</v>
      </c>
      <c r="F178" s="27"/>
      <c r="G178" s="27" t="s">
        <v>10534</v>
      </c>
      <c r="H178" s="27"/>
      <c r="I178" s="27" t="s">
        <v>9180</v>
      </c>
      <c r="J178" s="27" t="s">
        <v>9455</v>
      </c>
      <c r="K178" s="27" t="s">
        <v>9182</v>
      </c>
      <c r="L178" s="27" t="s">
        <v>9183</v>
      </c>
    </row>
    <row r="179" spans="1:12">
      <c r="A179" s="27">
        <v>178</v>
      </c>
      <c r="B179" s="27" t="s">
        <v>8740</v>
      </c>
      <c r="C179" s="27" t="s">
        <v>8741</v>
      </c>
      <c r="D179" s="27" t="s">
        <v>10173</v>
      </c>
      <c r="E179" s="27" t="s">
        <v>10169</v>
      </c>
      <c r="F179" s="27"/>
      <c r="G179" s="27" t="s">
        <v>10535</v>
      </c>
      <c r="H179" s="27"/>
      <c r="I179" s="27" t="s">
        <v>9180</v>
      </c>
      <c r="J179" s="27" t="s">
        <v>9309</v>
      </c>
      <c r="K179" s="27" t="s">
        <v>9182</v>
      </c>
      <c r="L179" s="27" t="s">
        <v>9183</v>
      </c>
    </row>
    <row r="180" spans="1:12">
      <c r="A180" s="30">
        <v>179</v>
      </c>
      <c r="B180" s="30" t="s">
        <v>8450</v>
      </c>
      <c r="C180" s="30" t="s">
        <v>10536</v>
      </c>
      <c r="D180" s="30" t="s">
        <v>10173</v>
      </c>
      <c r="E180" s="30" t="s">
        <v>9208</v>
      </c>
      <c r="F180" s="30"/>
      <c r="G180" s="30" t="s">
        <v>10537</v>
      </c>
      <c r="H180" s="30"/>
      <c r="I180" s="30" t="s">
        <v>9180</v>
      </c>
      <c r="J180" s="30" t="s">
        <v>9221</v>
      </c>
      <c r="K180" s="30" t="s">
        <v>9182</v>
      </c>
      <c r="L180" s="30" t="s">
        <v>9350</v>
      </c>
    </row>
    <row r="181" spans="1:12">
      <c r="A181" s="28">
        <v>180</v>
      </c>
      <c r="B181" s="28" t="s">
        <v>6535</v>
      </c>
      <c r="C181" s="28" t="s">
        <v>10538</v>
      </c>
      <c r="D181" s="28" t="s">
        <v>10168</v>
      </c>
      <c r="E181" s="28" t="s">
        <v>10169</v>
      </c>
      <c r="F181" s="28"/>
      <c r="G181" s="28" t="s">
        <v>10539</v>
      </c>
      <c r="H181" s="28"/>
      <c r="I181" s="28" t="s">
        <v>9180</v>
      </c>
      <c r="J181" s="28" t="s">
        <v>10540</v>
      </c>
      <c r="K181" s="28" t="s">
        <v>9182</v>
      </c>
      <c r="L181" s="28" t="s">
        <v>9189</v>
      </c>
    </row>
    <row r="182" spans="1:12">
      <c r="A182" s="30">
        <v>181</v>
      </c>
      <c r="B182" s="30" t="s">
        <v>5669</v>
      </c>
      <c r="C182" s="30" t="s">
        <v>10541</v>
      </c>
      <c r="D182" s="30" t="s">
        <v>10173</v>
      </c>
      <c r="E182" s="30" t="s">
        <v>9208</v>
      </c>
      <c r="F182" s="30"/>
      <c r="G182" s="30" t="s">
        <v>10542</v>
      </c>
      <c r="H182" s="30"/>
      <c r="I182" s="30" t="s">
        <v>9180</v>
      </c>
      <c r="J182" s="30" t="s">
        <v>9708</v>
      </c>
      <c r="K182" s="30" t="s">
        <v>9182</v>
      </c>
      <c r="L182" s="30" t="s">
        <v>9350</v>
      </c>
    </row>
    <row r="183" spans="1:12">
      <c r="A183" s="27">
        <v>182</v>
      </c>
      <c r="B183" s="27" t="s">
        <v>3387</v>
      </c>
      <c r="C183" s="27" t="s">
        <v>10543</v>
      </c>
      <c r="D183" s="27" t="s">
        <v>10173</v>
      </c>
      <c r="E183" s="27" t="s">
        <v>10169</v>
      </c>
      <c r="F183" s="27"/>
      <c r="G183" s="27" t="s">
        <v>10544</v>
      </c>
      <c r="H183" s="27"/>
      <c r="I183" s="27" t="s">
        <v>9180</v>
      </c>
      <c r="J183" s="27" t="s">
        <v>10545</v>
      </c>
      <c r="K183" s="27" t="s">
        <v>9182</v>
      </c>
      <c r="L183" s="27" t="s">
        <v>9196</v>
      </c>
    </row>
    <row r="184" spans="1:12">
      <c r="A184" s="27">
        <v>183</v>
      </c>
      <c r="B184" s="27" t="s">
        <v>8090</v>
      </c>
      <c r="C184" s="27" t="s">
        <v>8091</v>
      </c>
      <c r="D184" s="27" t="s">
        <v>10173</v>
      </c>
      <c r="E184" s="27" t="s">
        <v>10169</v>
      </c>
      <c r="F184" s="27"/>
      <c r="G184" s="27" t="s">
        <v>10546</v>
      </c>
      <c r="H184" s="27"/>
      <c r="I184" s="27" t="s">
        <v>9180</v>
      </c>
      <c r="J184" s="27" t="s">
        <v>9239</v>
      </c>
      <c r="K184" s="27" t="s">
        <v>9182</v>
      </c>
      <c r="L184" s="27" t="s">
        <v>9183</v>
      </c>
    </row>
    <row r="185" spans="1:12">
      <c r="A185" s="28">
        <v>184</v>
      </c>
      <c r="B185" s="28" t="s">
        <v>8425</v>
      </c>
      <c r="C185" s="28" t="s">
        <v>10547</v>
      </c>
      <c r="D185" s="28" t="s">
        <v>10168</v>
      </c>
      <c r="E185" s="28" t="s">
        <v>10169</v>
      </c>
      <c r="F185" s="28"/>
      <c r="G185" s="28" t="s">
        <v>10548</v>
      </c>
      <c r="H185" s="28"/>
      <c r="I185" s="28" t="s">
        <v>9180</v>
      </c>
      <c r="J185" s="28" t="s">
        <v>9315</v>
      </c>
      <c r="K185" s="28" t="s">
        <v>9182</v>
      </c>
      <c r="L185" s="28" t="s">
        <v>9189</v>
      </c>
    </row>
    <row r="186" spans="1:12">
      <c r="A186" s="29">
        <v>185</v>
      </c>
      <c r="B186" s="29" t="s">
        <v>6825</v>
      </c>
      <c r="C186" s="29" t="s">
        <v>6826</v>
      </c>
      <c r="D186" s="29" t="s">
        <v>10168</v>
      </c>
      <c r="E186" s="29" t="s">
        <v>10169</v>
      </c>
      <c r="F186" s="29"/>
      <c r="G186" s="29" t="s">
        <v>10549</v>
      </c>
      <c r="H186" s="29"/>
      <c r="I186" s="29" t="s">
        <v>9180</v>
      </c>
      <c r="J186" s="29" t="s">
        <v>9260</v>
      </c>
      <c r="K186" s="29" t="s">
        <v>9182</v>
      </c>
      <c r="L186" s="29" t="s">
        <v>9223</v>
      </c>
    </row>
    <row r="187" spans="1:12">
      <c r="A187" s="28">
        <v>186</v>
      </c>
      <c r="B187" s="28" t="s">
        <v>7266</v>
      </c>
      <c r="C187" s="28" t="s">
        <v>10550</v>
      </c>
      <c r="D187" s="28" t="s">
        <v>10168</v>
      </c>
      <c r="E187" s="28" t="s">
        <v>10169</v>
      </c>
      <c r="F187" s="28"/>
      <c r="G187" s="28" t="s">
        <v>10551</v>
      </c>
      <c r="H187" s="28"/>
      <c r="I187" s="28" t="s">
        <v>9180</v>
      </c>
      <c r="J187" s="28" t="s">
        <v>10552</v>
      </c>
      <c r="K187" s="28" t="s">
        <v>9182</v>
      </c>
      <c r="L187" s="28" t="s">
        <v>9189</v>
      </c>
    </row>
    <row r="188" spans="1:12">
      <c r="A188" s="29">
        <v>187</v>
      </c>
      <c r="B188" s="29" t="s">
        <v>8785</v>
      </c>
      <c r="C188" s="29" t="s">
        <v>10553</v>
      </c>
      <c r="D188" s="29" t="s">
        <v>10168</v>
      </c>
      <c r="E188" s="29" t="s">
        <v>10169</v>
      </c>
      <c r="F188" s="29"/>
      <c r="G188" s="29" t="s">
        <v>10554</v>
      </c>
      <c r="H188" s="29"/>
      <c r="I188" s="29" t="s">
        <v>9180</v>
      </c>
      <c r="J188" s="29" t="s">
        <v>9650</v>
      </c>
      <c r="K188" s="29" t="s">
        <v>9182</v>
      </c>
      <c r="L188" s="29" t="s">
        <v>9189</v>
      </c>
    </row>
    <row r="189" spans="1:12">
      <c r="A189" s="28">
        <v>188</v>
      </c>
      <c r="B189" s="28" t="s">
        <v>7627</v>
      </c>
      <c r="C189" s="28" t="s">
        <v>7628</v>
      </c>
      <c r="D189" s="28" t="s">
        <v>10168</v>
      </c>
      <c r="E189" s="28" t="s">
        <v>9208</v>
      </c>
      <c r="F189" s="28"/>
      <c r="G189" s="28" t="s">
        <v>10555</v>
      </c>
      <c r="H189" s="28"/>
      <c r="I189" s="28" t="s">
        <v>9180</v>
      </c>
      <c r="J189" s="28" t="s">
        <v>10556</v>
      </c>
      <c r="K189" s="28" t="s">
        <v>9182</v>
      </c>
      <c r="L189" s="28" t="s">
        <v>9212</v>
      </c>
    </row>
    <row r="190" spans="1:12">
      <c r="A190" s="29">
        <v>189</v>
      </c>
      <c r="B190" s="29" t="s">
        <v>10557</v>
      </c>
      <c r="C190" s="29"/>
      <c r="D190" s="29" t="s">
        <v>10168</v>
      </c>
      <c r="E190" s="29" t="s">
        <v>10169</v>
      </c>
      <c r="F190" s="29"/>
      <c r="G190" s="29" t="s">
        <v>10558</v>
      </c>
      <c r="H190" s="29"/>
      <c r="I190" s="29" t="s">
        <v>9180</v>
      </c>
      <c r="J190" s="29" t="s">
        <v>9210</v>
      </c>
      <c r="K190" s="29" t="s">
        <v>9182</v>
      </c>
      <c r="L190" s="29" t="s">
        <v>9223</v>
      </c>
    </row>
    <row r="191" spans="1:12">
      <c r="A191" s="28">
        <v>190</v>
      </c>
      <c r="B191" s="28" t="s">
        <v>8797</v>
      </c>
      <c r="C191" s="28" t="s">
        <v>10559</v>
      </c>
      <c r="D191" s="28" t="s">
        <v>10168</v>
      </c>
      <c r="E191" s="28" t="s">
        <v>10169</v>
      </c>
      <c r="F191" s="28"/>
      <c r="G191" s="28" t="s">
        <v>10560</v>
      </c>
      <c r="H191" s="28"/>
      <c r="I191" s="28" t="s">
        <v>9180</v>
      </c>
      <c r="J191" s="28" t="s">
        <v>9239</v>
      </c>
      <c r="K191" s="28" t="s">
        <v>9182</v>
      </c>
      <c r="L191" s="28" t="s">
        <v>9223</v>
      </c>
    </row>
    <row r="192" spans="1:12">
      <c r="A192" s="30">
        <v>191</v>
      </c>
      <c r="B192" s="30" t="s">
        <v>196</v>
      </c>
      <c r="C192" s="30" t="s">
        <v>10561</v>
      </c>
      <c r="D192" s="30" t="s">
        <v>10173</v>
      </c>
      <c r="E192" s="30" t="s">
        <v>9208</v>
      </c>
      <c r="F192" s="30"/>
      <c r="G192" s="30" t="s">
        <v>10562</v>
      </c>
      <c r="H192" s="30" t="s">
        <v>10562</v>
      </c>
      <c r="I192" s="30" t="s">
        <v>9180</v>
      </c>
      <c r="J192" s="30" t="s">
        <v>9202</v>
      </c>
      <c r="K192" s="30" t="s">
        <v>9182</v>
      </c>
      <c r="L192" s="30" t="s">
        <v>9350</v>
      </c>
    </row>
    <row r="193" spans="1:12">
      <c r="A193" s="28">
        <v>192</v>
      </c>
      <c r="B193" s="28" t="s">
        <v>8805</v>
      </c>
      <c r="C193" s="28" t="s">
        <v>8806</v>
      </c>
      <c r="D193" s="28" t="s">
        <v>10168</v>
      </c>
      <c r="E193" s="28" t="s">
        <v>10169</v>
      </c>
      <c r="F193" s="28"/>
      <c r="G193" s="28" t="s">
        <v>10563</v>
      </c>
      <c r="H193" s="28"/>
      <c r="I193" s="28" t="s">
        <v>9180</v>
      </c>
      <c r="J193" s="28" t="s">
        <v>9239</v>
      </c>
      <c r="K193" s="28" t="s">
        <v>9182</v>
      </c>
      <c r="L193" s="28" t="s">
        <v>9223</v>
      </c>
    </row>
    <row r="194" spans="1:12">
      <c r="A194" s="29">
        <v>193</v>
      </c>
      <c r="B194" s="29" t="s">
        <v>8812</v>
      </c>
      <c r="C194" s="29" t="s">
        <v>8813</v>
      </c>
      <c r="D194" s="29" t="s">
        <v>10168</v>
      </c>
      <c r="E194" s="29" t="s">
        <v>10169</v>
      </c>
      <c r="F194" s="29"/>
      <c r="G194" s="29" t="s">
        <v>10564</v>
      </c>
      <c r="H194" s="29"/>
      <c r="I194" s="29" t="s">
        <v>9180</v>
      </c>
      <c r="J194" s="29" t="s">
        <v>9222</v>
      </c>
      <c r="K194" s="29" t="s">
        <v>9182</v>
      </c>
      <c r="L194" s="29" t="s">
        <v>9223</v>
      </c>
    </row>
    <row r="195" spans="1:12">
      <c r="A195" s="27">
        <v>194</v>
      </c>
      <c r="B195" s="27" t="s">
        <v>8381</v>
      </c>
      <c r="C195" s="27" t="s">
        <v>8382</v>
      </c>
      <c r="D195" s="27" t="s">
        <v>10173</v>
      </c>
      <c r="E195" s="27" t="s">
        <v>10169</v>
      </c>
      <c r="F195" s="27"/>
      <c r="G195" s="27" t="s">
        <v>10565</v>
      </c>
      <c r="H195" s="27"/>
      <c r="I195" s="27" t="s">
        <v>9180</v>
      </c>
      <c r="J195" s="27" t="s">
        <v>9705</v>
      </c>
      <c r="K195" s="27" t="s">
        <v>9182</v>
      </c>
      <c r="L195" s="27" t="s">
        <v>9183</v>
      </c>
    </row>
    <row r="196" spans="1:12">
      <c r="A196" s="29">
        <v>195</v>
      </c>
      <c r="B196" s="29" t="s">
        <v>8377</v>
      </c>
      <c r="C196" s="29" t="s">
        <v>8378</v>
      </c>
      <c r="D196" s="29" t="s">
        <v>10168</v>
      </c>
      <c r="E196" s="29" t="s">
        <v>10169</v>
      </c>
      <c r="F196" s="29"/>
      <c r="G196" s="29" t="s">
        <v>10566</v>
      </c>
      <c r="H196" s="29"/>
      <c r="I196" s="29" t="s">
        <v>9180</v>
      </c>
      <c r="J196" s="29" t="s">
        <v>9221</v>
      </c>
      <c r="K196" s="29" t="s">
        <v>9182</v>
      </c>
      <c r="L196" s="29" t="s">
        <v>9189</v>
      </c>
    </row>
    <row r="197" spans="1:12">
      <c r="A197" s="27">
        <v>196</v>
      </c>
      <c r="B197" s="27" t="s">
        <v>10567</v>
      </c>
      <c r="C197" s="27" t="s">
        <v>10568</v>
      </c>
      <c r="D197" s="27" t="s">
        <v>10173</v>
      </c>
      <c r="E197" s="27" t="s">
        <v>10169</v>
      </c>
      <c r="F197" s="27"/>
      <c r="G197" s="27" t="s">
        <v>10569</v>
      </c>
      <c r="H197" s="27"/>
      <c r="I197" s="27" t="s">
        <v>9180</v>
      </c>
      <c r="J197" s="27" t="s">
        <v>9210</v>
      </c>
      <c r="K197" s="27" t="s">
        <v>9182</v>
      </c>
      <c r="L197" s="27" t="s">
        <v>9196</v>
      </c>
    </row>
    <row r="198" spans="1:12">
      <c r="A198" s="29">
        <v>197</v>
      </c>
      <c r="B198" s="29" t="s">
        <v>7623</v>
      </c>
      <c r="C198" s="29" t="s">
        <v>10570</v>
      </c>
      <c r="D198" s="29" t="s">
        <v>10168</v>
      </c>
      <c r="E198" s="29" t="s">
        <v>10169</v>
      </c>
      <c r="F198" s="29"/>
      <c r="G198" s="29" t="s">
        <v>10571</v>
      </c>
      <c r="H198" s="29"/>
      <c r="I198" s="29" t="s">
        <v>9180</v>
      </c>
      <c r="J198" s="29" t="s">
        <v>9221</v>
      </c>
      <c r="K198" s="29" t="s">
        <v>9182</v>
      </c>
      <c r="L198" s="29" t="s">
        <v>9189</v>
      </c>
    </row>
    <row r="199" spans="1:12">
      <c r="A199" s="27">
        <v>198</v>
      </c>
      <c r="B199" s="27" t="s">
        <v>4533</v>
      </c>
      <c r="C199" s="27" t="s">
        <v>4534</v>
      </c>
      <c r="D199" s="27" t="s">
        <v>10173</v>
      </c>
      <c r="E199" s="27" t="s">
        <v>10169</v>
      </c>
      <c r="F199" s="27"/>
      <c r="G199" s="27" t="s">
        <v>10572</v>
      </c>
      <c r="H199" s="27"/>
      <c r="I199" s="27" t="s">
        <v>9180</v>
      </c>
      <c r="J199" s="27" t="s">
        <v>9298</v>
      </c>
      <c r="K199" s="27" t="s">
        <v>9182</v>
      </c>
      <c r="L199" s="27" t="s">
        <v>9196</v>
      </c>
    </row>
    <row r="200" spans="1:12">
      <c r="A200" s="27">
        <v>199</v>
      </c>
      <c r="B200" s="27" t="s">
        <v>8162</v>
      </c>
      <c r="C200" s="27" t="s">
        <v>8163</v>
      </c>
      <c r="D200" s="27" t="s">
        <v>10173</v>
      </c>
      <c r="E200" s="27" t="s">
        <v>10169</v>
      </c>
      <c r="F200" s="27"/>
      <c r="G200" s="27" t="s">
        <v>10573</v>
      </c>
      <c r="H200" s="27"/>
      <c r="I200" s="27" t="s">
        <v>9180</v>
      </c>
      <c r="J200" s="27" t="s">
        <v>9239</v>
      </c>
      <c r="K200" s="27" t="s">
        <v>9182</v>
      </c>
      <c r="L200" s="27" t="s">
        <v>9183</v>
      </c>
    </row>
    <row r="201" spans="1:12">
      <c r="A201" s="28">
        <v>200</v>
      </c>
      <c r="B201" s="28" t="s">
        <v>3700</v>
      </c>
      <c r="C201" s="28" t="s">
        <v>10574</v>
      </c>
      <c r="D201" s="28" t="s">
        <v>10168</v>
      </c>
      <c r="E201" s="28" t="s">
        <v>10169</v>
      </c>
      <c r="F201" s="28"/>
      <c r="G201" s="28" t="s">
        <v>10575</v>
      </c>
      <c r="H201" s="28"/>
      <c r="I201" s="28" t="s">
        <v>9180</v>
      </c>
      <c r="J201" s="28" t="s">
        <v>9507</v>
      </c>
      <c r="K201" s="28" t="s">
        <v>9182</v>
      </c>
      <c r="L201" s="28" t="s">
        <v>9189</v>
      </c>
    </row>
    <row r="202" spans="1:12">
      <c r="A202" s="27">
        <v>201</v>
      </c>
      <c r="B202" s="27" t="s">
        <v>3094</v>
      </c>
      <c r="C202" s="27" t="s">
        <v>3095</v>
      </c>
      <c r="D202" s="27" t="s">
        <v>10173</v>
      </c>
      <c r="E202" s="27" t="s">
        <v>10169</v>
      </c>
      <c r="F202" s="27"/>
      <c r="G202" s="27" t="s">
        <v>10576</v>
      </c>
      <c r="H202" s="27"/>
      <c r="I202" s="27" t="s">
        <v>9180</v>
      </c>
      <c r="J202" s="27" t="s">
        <v>10577</v>
      </c>
      <c r="K202" s="27" t="s">
        <v>9182</v>
      </c>
      <c r="L202" s="27" t="s">
        <v>9196</v>
      </c>
    </row>
    <row r="203" spans="1:12">
      <c r="A203" s="27">
        <v>202</v>
      </c>
      <c r="B203" s="27" t="s">
        <v>4578</v>
      </c>
      <c r="C203" s="27" t="s">
        <v>10578</v>
      </c>
      <c r="D203" s="27" t="s">
        <v>10173</v>
      </c>
      <c r="E203" s="27" t="s">
        <v>10169</v>
      </c>
      <c r="F203" s="27"/>
      <c r="G203" s="27" t="s">
        <v>10579</v>
      </c>
      <c r="H203" s="27"/>
      <c r="I203" s="27" t="s">
        <v>9180</v>
      </c>
      <c r="J203" s="27" t="s">
        <v>10580</v>
      </c>
      <c r="K203" s="27" t="s">
        <v>9182</v>
      </c>
      <c r="L203" s="27" t="s">
        <v>9183</v>
      </c>
    </row>
    <row r="204" spans="1:12">
      <c r="A204" s="27">
        <v>203</v>
      </c>
      <c r="B204" s="27" t="s">
        <v>10581</v>
      </c>
      <c r="C204" s="27" t="s">
        <v>10582</v>
      </c>
      <c r="D204" s="27" t="s">
        <v>10173</v>
      </c>
      <c r="E204" s="27" t="s">
        <v>10169</v>
      </c>
      <c r="F204" s="27"/>
      <c r="G204" s="27" t="s">
        <v>10583</v>
      </c>
      <c r="H204" s="27"/>
      <c r="I204" s="27" t="s">
        <v>9180</v>
      </c>
      <c r="J204" s="27" t="s">
        <v>9210</v>
      </c>
      <c r="K204" s="27" t="s">
        <v>9182</v>
      </c>
      <c r="L204" s="27" t="s">
        <v>9196</v>
      </c>
    </row>
    <row r="205" spans="1:12">
      <c r="A205" s="28">
        <v>204</v>
      </c>
      <c r="B205" s="28" t="s">
        <v>4080</v>
      </c>
      <c r="C205" s="28" t="s">
        <v>4081</v>
      </c>
      <c r="D205" s="28" t="s">
        <v>10168</v>
      </c>
      <c r="E205" s="28" t="s">
        <v>10169</v>
      </c>
      <c r="F205" s="28"/>
      <c r="G205" s="28" t="s">
        <v>10584</v>
      </c>
      <c r="H205" s="28"/>
      <c r="I205" s="28" t="s">
        <v>9180</v>
      </c>
      <c r="J205" s="28" t="s">
        <v>9205</v>
      </c>
      <c r="K205" s="28" t="s">
        <v>9182</v>
      </c>
      <c r="L205" s="28" t="s">
        <v>9223</v>
      </c>
    </row>
    <row r="206" spans="1:12">
      <c r="A206" s="27">
        <v>205</v>
      </c>
      <c r="B206" s="27" t="s">
        <v>10585</v>
      </c>
      <c r="C206" s="27" t="s">
        <v>10586</v>
      </c>
      <c r="D206" s="27" t="s">
        <v>10173</v>
      </c>
      <c r="E206" s="27" t="s">
        <v>10169</v>
      </c>
      <c r="F206" s="27"/>
      <c r="G206" s="27" t="s">
        <v>10587</v>
      </c>
      <c r="H206" s="27"/>
      <c r="I206" s="27" t="s">
        <v>9180</v>
      </c>
      <c r="J206" s="27" t="s">
        <v>9210</v>
      </c>
      <c r="K206" s="27" t="s">
        <v>9182</v>
      </c>
      <c r="L206" s="27" t="s">
        <v>9196</v>
      </c>
    </row>
    <row r="207" spans="1:12">
      <c r="A207" s="27">
        <v>206</v>
      </c>
      <c r="B207" s="27" t="s">
        <v>10588</v>
      </c>
      <c r="C207" s="27" t="s">
        <v>10589</v>
      </c>
      <c r="D207" s="27" t="s">
        <v>10173</v>
      </c>
      <c r="E207" s="27" t="s">
        <v>10169</v>
      </c>
      <c r="F207" s="27"/>
      <c r="G207" s="27" t="s">
        <v>10590</v>
      </c>
      <c r="H207" s="27"/>
      <c r="I207" s="27" t="s">
        <v>9180</v>
      </c>
      <c r="J207" s="27" t="s">
        <v>9210</v>
      </c>
      <c r="K207" s="27" t="s">
        <v>9182</v>
      </c>
      <c r="L207" s="27" t="s">
        <v>9196</v>
      </c>
    </row>
    <row r="208" spans="1:12">
      <c r="A208" s="27">
        <v>207</v>
      </c>
      <c r="B208" s="27" t="s">
        <v>7693</v>
      </c>
      <c r="C208" s="27" t="s">
        <v>7694</v>
      </c>
      <c r="D208" s="27" t="s">
        <v>10173</v>
      </c>
      <c r="E208" s="27" t="s">
        <v>10169</v>
      </c>
      <c r="F208" s="27"/>
      <c r="G208" s="27" t="s">
        <v>10591</v>
      </c>
      <c r="H208" s="27"/>
      <c r="I208" s="27" t="s">
        <v>9180</v>
      </c>
      <c r="J208" s="27" t="s">
        <v>9309</v>
      </c>
      <c r="K208" s="27" t="s">
        <v>9182</v>
      </c>
      <c r="L208" s="27" t="s">
        <v>9196</v>
      </c>
    </row>
    <row r="209" spans="1:12">
      <c r="A209" s="27">
        <v>208</v>
      </c>
      <c r="B209" s="27" t="s">
        <v>8046</v>
      </c>
      <c r="C209" s="27" t="s">
        <v>10592</v>
      </c>
      <c r="D209" s="27" t="s">
        <v>10173</v>
      </c>
      <c r="E209" s="27" t="s">
        <v>10169</v>
      </c>
      <c r="F209" s="27"/>
      <c r="G209" s="27" t="s">
        <v>10593</v>
      </c>
      <c r="H209" s="27"/>
      <c r="I209" s="27" t="s">
        <v>9180</v>
      </c>
      <c r="J209" s="27" t="s">
        <v>10171</v>
      </c>
      <c r="K209" s="27" t="s">
        <v>9182</v>
      </c>
      <c r="L209" s="27" t="s">
        <v>9196</v>
      </c>
    </row>
    <row r="210" spans="1:12">
      <c r="A210" s="27">
        <v>209</v>
      </c>
      <c r="B210" s="27" t="s">
        <v>7839</v>
      </c>
      <c r="C210" s="27" t="s">
        <v>7840</v>
      </c>
      <c r="D210" s="27" t="s">
        <v>10173</v>
      </c>
      <c r="E210" s="27" t="s">
        <v>10169</v>
      </c>
      <c r="F210" s="27"/>
      <c r="G210" s="27" t="s">
        <v>10594</v>
      </c>
      <c r="H210" s="27"/>
      <c r="I210" s="27" t="s">
        <v>9180</v>
      </c>
      <c r="J210" s="27" t="s">
        <v>9239</v>
      </c>
      <c r="K210" s="27" t="s">
        <v>9182</v>
      </c>
      <c r="L210" s="27" t="s">
        <v>9183</v>
      </c>
    </row>
    <row r="211" spans="1:12">
      <c r="A211" s="27">
        <v>210</v>
      </c>
      <c r="B211" s="27" t="s">
        <v>10595</v>
      </c>
      <c r="C211" s="27" t="s">
        <v>10596</v>
      </c>
      <c r="D211" s="27" t="s">
        <v>10173</v>
      </c>
      <c r="E211" s="27" t="s">
        <v>10169</v>
      </c>
      <c r="F211" s="27"/>
      <c r="G211" s="27" t="s">
        <v>10597</v>
      </c>
      <c r="H211" s="27"/>
      <c r="I211" s="27" t="s">
        <v>9180</v>
      </c>
      <c r="J211" s="27" t="s">
        <v>9210</v>
      </c>
      <c r="K211" s="27" t="s">
        <v>9182</v>
      </c>
      <c r="L211" s="27" t="s">
        <v>9196</v>
      </c>
    </row>
    <row r="212" spans="1:12">
      <c r="A212" s="29">
        <v>211</v>
      </c>
      <c r="B212" s="29" t="s">
        <v>8616</v>
      </c>
      <c r="C212" s="29" t="s">
        <v>8617</v>
      </c>
      <c r="D212" s="29" t="s">
        <v>10168</v>
      </c>
      <c r="E212" s="29" t="s">
        <v>10169</v>
      </c>
      <c r="F212" s="29"/>
      <c r="G212" s="29" t="s">
        <v>10598</v>
      </c>
      <c r="H212" s="29"/>
      <c r="I212" s="29" t="s">
        <v>9180</v>
      </c>
      <c r="J212" s="29" t="s">
        <v>9222</v>
      </c>
      <c r="K212" s="29" t="s">
        <v>9182</v>
      </c>
      <c r="L212" s="29" t="s">
        <v>9223</v>
      </c>
    </row>
    <row r="213" spans="1:12">
      <c r="A213" s="28">
        <v>212</v>
      </c>
      <c r="B213" s="28" t="s">
        <v>7855</v>
      </c>
      <c r="C213" s="28" t="s">
        <v>10599</v>
      </c>
      <c r="D213" s="28" t="s">
        <v>10168</v>
      </c>
      <c r="E213" s="28" t="s">
        <v>10169</v>
      </c>
      <c r="F213" s="28"/>
      <c r="G213" s="28" t="s">
        <v>10600</v>
      </c>
      <c r="H213" s="28"/>
      <c r="I213" s="28" t="s">
        <v>9180</v>
      </c>
      <c r="J213" s="28" t="s">
        <v>9221</v>
      </c>
      <c r="K213" s="28" t="s">
        <v>9182</v>
      </c>
      <c r="L213" s="28" t="s">
        <v>9189</v>
      </c>
    </row>
    <row r="214" spans="1:12">
      <c r="A214" s="29">
        <v>213</v>
      </c>
      <c r="B214" s="29" t="s">
        <v>1027</v>
      </c>
      <c r="C214" s="29" t="s">
        <v>10601</v>
      </c>
      <c r="D214" s="29" t="s">
        <v>10168</v>
      </c>
      <c r="E214" s="29" t="s">
        <v>10169</v>
      </c>
      <c r="F214" s="29"/>
      <c r="G214" s="29" t="s">
        <v>10602</v>
      </c>
      <c r="H214" s="29"/>
      <c r="I214" s="29" t="s">
        <v>9180</v>
      </c>
      <c r="J214" s="29" t="s">
        <v>10603</v>
      </c>
      <c r="K214" s="29" t="s">
        <v>9182</v>
      </c>
      <c r="L214" s="29" t="s">
        <v>9189</v>
      </c>
    </row>
    <row r="215" spans="1:12">
      <c r="A215" s="28">
        <v>214</v>
      </c>
      <c r="B215" s="28" t="s">
        <v>2581</v>
      </c>
      <c r="C215" s="28" t="s">
        <v>10604</v>
      </c>
      <c r="D215" s="28" t="s">
        <v>10168</v>
      </c>
      <c r="E215" s="28" t="s">
        <v>10169</v>
      </c>
      <c r="F215" s="28"/>
      <c r="G215" s="28" t="s">
        <v>10605</v>
      </c>
      <c r="H215" s="28"/>
      <c r="I215" s="28" t="s">
        <v>9180</v>
      </c>
      <c r="J215" s="28" t="s">
        <v>10606</v>
      </c>
      <c r="K215" s="28" t="s">
        <v>9182</v>
      </c>
      <c r="L215" s="28" t="s">
        <v>9189</v>
      </c>
    </row>
    <row r="216" spans="1:12">
      <c r="A216" s="29">
        <v>215</v>
      </c>
      <c r="B216" s="29" t="s">
        <v>4946</v>
      </c>
      <c r="C216" s="29" t="s">
        <v>10607</v>
      </c>
      <c r="D216" s="29" t="s">
        <v>10168</v>
      </c>
      <c r="E216" s="29" t="s">
        <v>10169</v>
      </c>
      <c r="F216" s="29"/>
      <c r="G216" s="29" t="s">
        <v>10608</v>
      </c>
      <c r="H216" s="29"/>
      <c r="I216" s="29" t="s">
        <v>9180</v>
      </c>
      <c r="J216" s="29" t="s">
        <v>9298</v>
      </c>
      <c r="K216" s="29" t="s">
        <v>9182</v>
      </c>
      <c r="L216" s="29" t="s">
        <v>9189</v>
      </c>
    </row>
    <row r="217" spans="1:12">
      <c r="A217" s="28">
        <v>216</v>
      </c>
      <c r="B217" s="28" t="s">
        <v>6579</v>
      </c>
      <c r="C217" s="28" t="s">
        <v>10609</v>
      </c>
      <c r="D217" s="28" t="s">
        <v>10168</v>
      </c>
      <c r="E217" s="28" t="s">
        <v>10169</v>
      </c>
      <c r="F217" s="28"/>
      <c r="G217" s="28" t="s">
        <v>10610</v>
      </c>
      <c r="H217" s="28"/>
      <c r="I217" s="28" t="s">
        <v>9180</v>
      </c>
      <c r="J217" s="28" t="s">
        <v>10611</v>
      </c>
      <c r="K217" s="28" t="s">
        <v>9182</v>
      </c>
      <c r="L217" s="28" t="s">
        <v>9189</v>
      </c>
    </row>
    <row r="218" spans="1:12">
      <c r="A218" s="29">
        <v>217</v>
      </c>
      <c r="B218" s="29" t="s">
        <v>7086</v>
      </c>
      <c r="C218" s="29" t="s">
        <v>10612</v>
      </c>
      <c r="D218" s="29" t="s">
        <v>10168</v>
      </c>
      <c r="E218" s="29" t="s">
        <v>10169</v>
      </c>
      <c r="F218" s="29"/>
      <c r="G218" s="29" t="s">
        <v>10613</v>
      </c>
      <c r="H218" s="29"/>
      <c r="I218" s="29" t="s">
        <v>9180</v>
      </c>
      <c r="J218" s="29" t="s">
        <v>10614</v>
      </c>
      <c r="K218" s="29" t="s">
        <v>9182</v>
      </c>
      <c r="L218" s="29" t="s">
        <v>9189</v>
      </c>
    </row>
    <row r="219" spans="1:12">
      <c r="A219" s="28">
        <v>218</v>
      </c>
      <c r="B219" s="28" t="s">
        <v>8737</v>
      </c>
      <c r="C219" s="28" t="s">
        <v>8738</v>
      </c>
      <c r="D219" s="28" t="s">
        <v>10168</v>
      </c>
      <c r="E219" s="28" t="s">
        <v>10169</v>
      </c>
      <c r="F219" s="28"/>
      <c r="G219" s="28" t="s">
        <v>10615</v>
      </c>
      <c r="H219" s="28"/>
      <c r="I219" s="28" t="s">
        <v>9180</v>
      </c>
      <c r="J219" s="28" t="s">
        <v>9239</v>
      </c>
      <c r="K219" s="28" t="s">
        <v>9182</v>
      </c>
      <c r="L219" s="28" t="s">
        <v>9223</v>
      </c>
    </row>
    <row r="220" spans="1:12">
      <c r="A220" s="29">
        <v>219</v>
      </c>
      <c r="B220" s="29" t="s">
        <v>8744</v>
      </c>
      <c r="C220" s="29" t="s">
        <v>8745</v>
      </c>
      <c r="D220" s="29" t="s">
        <v>10168</v>
      </c>
      <c r="E220" s="29" t="s">
        <v>10169</v>
      </c>
      <c r="F220" s="29"/>
      <c r="G220" s="29" t="s">
        <v>10616</v>
      </c>
      <c r="H220" s="29"/>
      <c r="I220" s="29" t="s">
        <v>9180</v>
      </c>
      <c r="J220" s="29" t="s">
        <v>9217</v>
      </c>
      <c r="K220" s="29" t="s">
        <v>9182</v>
      </c>
      <c r="L220" s="29" t="s">
        <v>9223</v>
      </c>
    </row>
    <row r="221" spans="1:12">
      <c r="A221" s="28">
        <v>220</v>
      </c>
      <c r="B221" s="28" t="s">
        <v>8750</v>
      </c>
      <c r="C221" s="28" t="s">
        <v>8751</v>
      </c>
      <c r="D221" s="28" t="s">
        <v>10168</v>
      </c>
      <c r="E221" s="28" t="s">
        <v>10169</v>
      </c>
      <c r="F221" s="28"/>
      <c r="G221" s="28" t="s">
        <v>10617</v>
      </c>
      <c r="H221" s="28"/>
      <c r="I221" s="28" t="s">
        <v>9180</v>
      </c>
      <c r="J221" s="28" t="s">
        <v>9239</v>
      </c>
      <c r="K221" s="28" t="s">
        <v>9182</v>
      </c>
      <c r="L221" s="28" t="s">
        <v>9223</v>
      </c>
    </row>
    <row r="222" spans="1:12">
      <c r="A222" s="29">
        <v>221</v>
      </c>
      <c r="B222" s="29" t="s">
        <v>5679</v>
      </c>
      <c r="C222" s="29" t="s">
        <v>5680</v>
      </c>
      <c r="D222" s="29" t="s">
        <v>10168</v>
      </c>
      <c r="E222" s="29" t="s">
        <v>10169</v>
      </c>
      <c r="F222" s="29"/>
      <c r="G222" s="29" t="s">
        <v>10618</v>
      </c>
      <c r="H222" s="29"/>
      <c r="I222" s="29" t="s">
        <v>9180</v>
      </c>
      <c r="J222" s="29" t="s">
        <v>9224</v>
      </c>
      <c r="K222" s="29" t="s">
        <v>9182</v>
      </c>
      <c r="L222" s="29" t="s">
        <v>9223</v>
      </c>
    </row>
    <row r="223" spans="1:12">
      <c r="A223" s="27">
        <v>222</v>
      </c>
      <c r="B223" s="27" t="s">
        <v>5501</v>
      </c>
      <c r="C223" s="27" t="s">
        <v>10619</v>
      </c>
      <c r="D223" s="27" t="s">
        <v>10173</v>
      </c>
      <c r="E223" s="27" t="s">
        <v>10169</v>
      </c>
      <c r="F223" s="27"/>
      <c r="G223" s="27" t="s">
        <v>10620</v>
      </c>
      <c r="H223" s="27" t="s">
        <v>10620</v>
      </c>
      <c r="I223" s="27" t="s">
        <v>9180</v>
      </c>
      <c r="J223" s="27" t="s">
        <v>9221</v>
      </c>
      <c r="K223" s="27" t="s">
        <v>9182</v>
      </c>
      <c r="L223" s="27" t="s">
        <v>9196</v>
      </c>
    </row>
    <row r="224" spans="1:12">
      <c r="A224" s="29">
        <v>223</v>
      </c>
      <c r="B224" s="29" t="s">
        <v>5401</v>
      </c>
      <c r="C224" s="29"/>
      <c r="D224" s="29" t="s">
        <v>10168</v>
      </c>
      <c r="E224" s="29" t="s">
        <v>10169</v>
      </c>
      <c r="F224" s="29"/>
      <c r="G224" s="29" t="s">
        <v>10621</v>
      </c>
      <c r="H224" s="29"/>
      <c r="I224" s="29" t="s">
        <v>9180</v>
      </c>
      <c r="J224" s="29" t="s">
        <v>9217</v>
      </c>
      <c r="K224" s="29" t="s">
        <v>9182</v>
      </c>
      <c r="L224" s="29" t="s">
        <v>9223</v>
      </c>
    </row>
    <row r="225" spans="1:12">
      <c r="A225" s="30">
        <v>224</v>
      </c>
      <c r="B225" s="30" t="s">
        <v>7631</v>
      </c>
      <c r="C225" s="30" t="s">
        <v>10622</v>
      </c>
      <c r="D225" s="30" t="s">
        <v>10173</v>
      </c>
      <c r="E225" s="30" t="s">
        <v>9208</v>
      </c>
      <c r="F225" s="30"/>
      <c r="G225" s="30" t="s">
        <v>10623</v>
      </c>
      <c r="H225" s="30"/>
      <c r="I225" s="30" t="s">
        <v>9180</v>
      </c>
      <c r="J225" s="30" t="s">
        <v>9455</v>
      </c>
      <c r="K225" s="30" t="s">
        <v>9182</v>
      </c>
      <c r="L225" s="30" t="s">
        <v>9350</v>
      </c>
    </row>
    <row r="226" spans="1:12">
      <c r="A226" s="29">
        <v>225</v>
      </c>
      <c r="B226" s="29" t="s">
        <v>8756</v>
      </c>
      <c r="C226" s="29" t="s">
        <v>10589</v>
      </c>
      <c r="D226" s="29" t="s">
        <v>10168</v>
      </c>
      <c r="E226" s="29" t="s">
        <v>10169</v>
      </c>
      <c r="F226" s="29"/>
      <c r="G226" s="29" t="s">
        <v>10624</v>
      </c>
      <c r="H226" s="29"/>
      <c r="I226" s="29" t="s">
        <v>9180</v>
      </c>
      <c r="J226" s="29" t="s">
        <v>9221</v>
      </c>
      <c r="K226" s="29" t="s">
        <v>9182</v>
      </c>
      <c r="L226" s="29" t="s">
        <v>9189</v>
      </c>
    </row>
    <row r="227" spans="1:12">
      <c r="A227" s="28">
        <v>226</v>
      </c>
      <c r="B227" s="28" t="s">
        <v>8733</v>
      </c>
      <c r="C227" s="28" t="s">
        <v>10625</v>
      </c>
      <c r="D227" s="28" t="s">
        <v>10168</v>
      </c>
      <c r="E227" s="28" t="s">
        <v>10169</v>
      </c>
      <c r="F227" s="28"/>
      <c r="G227" s="28" t="s">
        <v>10626</v>
      </c>
      <c r="H227" s="28"/>
      <c r="I227" s="28" t="s">
        <v>9180</v>
      </c>
      <c r="J227" s="28" t="s">
        <v>9716</v>
      </c>
      <c r="K227" s="28" t="s">
        <v>9182</v>
      </c>
      <c r="L227" s="28" t="s">
        <v>9189</v>
      </c>
    </row>
    <row r="228" spans="1:12">
      <c r="A228" s="29">
        <v>227</v>
      </c>
      <c r="B228" s="29" t="s">
        <v>6206</v>
      </c>
      <c r="C228" s="29" t="s">
        <v>10627</v>
      </c>
      <c r="D228" s="29" t="s">
        <v>10168</v>
      </c>
      <c r="E228" s="29" t="s">
        <v>10169</v>
      </c>
      <c r="F228" s="29"/>
      <c r="G228" s="29" t="s">
        <v>10628</v>
      </c>
      <c r="H228" s="29"/>
      <c r="I228" s="29" t="s">
        <v>9180</v>
      </c>
      <c r="J228" s="29" t="s">
        <v>9606</v>
      </c>
      <c r="K228" s="29" t="s">
        <v>9182</v>
      </c>
      <c r="L228" s="29" t="s">
        <v>9189</v>
      </c>
    </row>
    <row r="229" spans="1:12">
      <c r="A229" s="28">
        <v>228</v>
      </c>
      <c r="B229" s="28" t="s">
        <v>1373</v>
      </c>
      <c r="C229" s="28" t="s">
        <v>1374</v>
      </c>
      <c r="D229" s="28" t="s">
        <v>10168</v>
      </c>
      <c r="E229" s="28" t="s">
        <v>10169</v>
      </c>
      <c r="F229" s="28"/>
      <c r="G229" s="28" t="s">
        <v>10629</v>
      </c>
      <c r="H229" s="28"/>
      <c r="I229" s="28" t="s">
        <v>9180</v>
      </c>
      <c r="J229" s="28" t="s">
        <v>10630</v>
      </c>
      <c r="K229" s="28" t="s">
        <v>9182</v>
      </c>
      <c r="L229" s="28" t="s">
        <v>9223</v>
      </c>
    </row>
    <row r="230" spans="1:12">
      <c r="A230" s="29">
        <v>229</v>
      </c>
      <c r="B230" s="29" t="s">
        <v>3949</v>
      </c>
      <c r="C230" s="29" t="s">
        <v>10631</v>
      </c>
      <c r="D230" s="29" t="s">
        <v>10168</v>
      </c>
      <c r="E230" s="29" t="s">
        <v>10169</v>
      </c>
      <c r="F230" s="29"/>
      <c r="G230" s="29" t="s">
        <v>10632</v>
      </c>
      <c r="H230" s="29"/>
      <c r="I230" s="29" t="s">
        <v>9180</v>
      </c>
      <c r="J230" s="29" t="s">
        <v>9606</v>
      </c>
      <c r="K230" s="29" t="s">
        <v>9182</v>
      </c>
      <c r="L230" s="29" t="s">
        <v>9189</v>
      </c>
    </row>
    <row r="231" spans="1:12">
      <c r="A231" s="28">
        <v>230</v>
      </c>
      <c r="B231" s="28" t="s">
        <v>5204</v>
      </c>
      <c r="C231" s="28" t="s">
        <v>5205</v>
      </c>
      <c r="D231" s="28" t="s">
        <v>10168</v>
      </c>
      <c r="E231" s="28" t="s">
        <v>10169</v>
      </c>
      <c r="F231" s="28"/>
      <c r="G231" s="28" t="s">
        <v>10633</v>
      </c>
      <c r="H231" s="28"/>
      <c r="I231" s="28" t="s">
        <v>9180</v>
      </c>
      <c r="J231" s="28" t="s">
        <v>10634</v>
      </c>
      <c r="K231" s="28" t="s">
        <v>9182</v>
      </c>
      <c r="L231" s="28" t="s">
        <v>9223</v>
      </c>
    </row>
    <row r="232" spans="1:12">
      <c r="A232" s="27">
        <v>231</v>
      </c>
      <c r="B232" s="27" t="s">
        <v>8779</v>
      </c>
      <c r="C232" s="27" t="s">
        <v>10635</v>
      </c>
      <c r="D232" s="27" t="s">
        <v>10173</v>
      </c>
      <c r="E232" s="27" t="s">
        <v>10169</v>
      </c>
      <c r="F232" s="27"/>
      <c r="G232" s="27" t="s">
        <v>10636</v>
      </c>
      <c r="H232" s="27"/>
      <c r="I232" s="27" t="s">
        <v>9180</v>
      </c>
      <c r="J232" s="27" t="s">
        <v>9309</v>
      </c>
      <c r="K232" s="27" t="s">
        <v>9182</v>
      </c>
      <c r="L232" s="27" t="s">
        <v>9196</v>
      </c>
    </row>
    <row r="233" spans="1:12">
      <c r="A233" s="28">
        <v>232</v>
      </c>
      <c r="B233" s="28" t="s">
        <v>6320</v>
      </c>
      <c r="C233" s="28" t="s">
        <v>10637</v>
      </c>
      <c r="D233" s="28" t="s">
        <v>10168</v>
      </c>
      <c r="E233" s="28" t="s">
        <v>10169</v>
      </c>
      <c r="F233" s="28"/>
      <c r="G233" s="28" t="s">
        <v>10638</v>
      </c>
      <c r="H233" s="28"/>
      <c r="I233" s="28" t="s">
        <v>9180</v>
      </c>
      <c r="J233" s="28" t="s">
        <v>9221</v>
      </c>
      <c r="K233" s="28" t="s">
        <v>9182</v>
      </c>
      <c r="L233" s="28" t="s">
        <v>9189</v>
      </c>
    </row>
    <row r="234" spans="1:12">
      <c r="A234" s="29">
        <v>233</v>
      </c>
      <c r="B234" s="29" t="s">
        <v>2402</v>
      </c>
      <c r="C234" s="29" t="s">
        <v>10639</v>
      </c>
      <c r="D234" s="29" t="s">
        <v>10168</v>
      </c>
      <c r="E234" s="29" t="s">
        <v>10169</v>
      </c>
      <c r="F234" s="29"/>
      <c r="G234" s="29" t="s">
        <v>10640</v>
      </c>
      <c r="H234" s="29"/>
      <c r="I234" s="29" t="s">
        <v>9180</v>
      </c>
      <c r="J234" s="29" t="s">
        <v>10641</v>
      </c>
      <c r="K234" s="29" t="s">
        <v>9182</v>
      </c>
      <c r="L234" s="29" t="s">
        <v>9189</v>
      </c>
    </row>
    <row r="235" spans="1:12">
      <c r="A235" s="28">
        <v>234</v>
      </c>
      <c r="B235" s="28" t="s">
        <v>5370</v>
      </c>
      <c r="C235" s="28" t="s">
        <v>10642</v>
      </c>
      <c r="D235" s="28" t="s">
        <v>10168</v>
      </c>
      <c r="E235" s="28" t="s">
        <v>10169</v>
      </c>
      <c r="F235" s="28"/>
      <c r="G235" s="28" t="s">
        <v>10643</v>
      </c>
      <c r="H235" s="28"/>
      <c r="I235" s="28" t="s">
        <v>9180</v>
      </c>
      <c r="J235" s="28" t="s">
        <v>10644</v>
      </c>
      <c r="K235" s="28" t="s">
        <v>9182</v>
      </c>
      <c r="L235" s="28" t="s">
        <v>9189</v>
      </c>
    </row>
    <row r="236" spans="1:12">
      <c r="A236" s="29">
        <v>235</v>
      </c>
      <c r="B236" s="29" t="s">
        <v>8694</v>
      </c>
      <c r="C236" s="29" t="s">
        <v>8695</v>
      </c>
      <c r="D236" s="29" t="s">
        <v>10168</v>
      </c>
      <c r="E236" s="29" t="s">
        <v>10169</v>
      </c>
      <c r="F236" s="29"/>
      <c r="G236" s="29" t="s">
        <v>10645</v>
      </c>
      <c r="H236" s="29"/>
      <c r="I236" s="29" t="s">
        <v>9180</v>
      </c>
      <c r="J236" s="29" t="s">
        <v>10646</v>
      </c>
      <c r="K236" s="29" t="s">
        <v>9182</v>
      </c>
      <c r="L236" s="29" t="s">
        <v>9223</v>
      </c>
    </row>
    <row r="237" spans="1:12">
      <c r="A237" s="28">
        <v>236</v>
      </c>
      <c r="B237" s="28" t="s">
        <v>8672</v>
      </c>
      <c r="C237" s="28" t="s">
        <v>8673</v>
      </c>
      <c r="D237" s="28" t="s">
        <v>10168</v>
      </c>
      <c r="E237" s="28" t="s">
        <v>10169</v>
      </c>
      <c r="F237" s="28"/>
      <c r="G237" s="28" t="s">
        <v>10647</v>
      </c>
      <c r="H237" s="28"/>
      <c r="I237" s="28" t="s">
        <v>9180</v>
      </c>
      <c r="J237" s="28" t="s">
        <v>10648</v>
      </c>
      <c r="K237" s="28" t="s">
        <v>9182</v>
      </c>
      <c r="L237" s="28" t="s">
        <v>9223</v>
      </c>
    </row>
    <row r="238" spans="1:12">
      <c r="A238" s="29">
        <v>237</v>
      </c>
      <c r="B238" s="29" t="s">
        <v>8675</v>
      </c>
      <c r="C238" s="29" t="s">
        <v>10649</v>
      </c>
      <c r="D238" s="29" t="s">
        <v>10168</v>
      </c>
      <c r="E238" s="29" t="s">
        <v>10169</v>
      </c>
      <c r="F238" s="29"/>
      <c r="G238" s="29" t="s">
        <v>10650</v>
      </c>
      <c r="H238" s="29"/>
      <c r="I238" s="29" t="s">
        <v>9180</v>
      </c>
      <c r="J238" s="29" t="s">
        <v>9221</v>
      </c>
      <c r="K238" s="29" t="s">
        <v>9182</v>
      </c>
      <c r="L238" s="29" t="s">
        <v>9189</v>
      </c>
    </row>
    <row r="239" spans="1:12">
      <c r="A239" s="30">
        <v>238</v>
      </c>
      <c r="B239" s="30" t="s">
        <v>5270</v>
      </c>
      <c r="C239" s="30" t="s">
        <v>10651</v>
      </c>
      <c r="D239" s="30" t="s">
        <v>10173</v>
      </c>
      <c r="E239" s="30" t="s">
        <v>9208</v>
      </c>
      <c r="F239" s="30"/>
      <c r="G239" s="30" t="s">
        <v>10652</v>
      </c>
      <c r="H239" s="30" t="s">
        <v>10652</v>
      </c>
      <c r="I239" s="30" t="s">
        <v>9180</v>
      </c>
      <c r="J239" s="30" t="s">
        <v>9309</v>
      </c>
      <c r="K239" s="30" t="s">
        <v>9182</v>
      </c>
      <c r="L239" s="30" t="s">
        <v>9350</v>
      </c>
    </row>
    <row r="240" spans="1:12">
      <c r="A240" s="29">
        <v>239</v>
      </c>
      <c r="B240" s="29" t="s">
        <v>8685</v>
      </c>
      <c r="C240" s="29" t="s">
        <v>10653</v>
      </c>
      <c r="D240" s="29" t="s">
        <v>10168</v>
      </c>
      <c r="E240" s="29" t="s">
        <v>10169</v>
      </c>
      <c r="F240" s="29"/>
      <c r="G240" s="29" t="s">
        <v>10654</v>
      </c>
      <c r="H240" s="29"/>
      <c r="I240" s="29" t="s">
        <v>9180</v>
      </c>
      <c r="J240" s="29" t="s">
        <v>9221</v>
      </c>
      <c r="K240" s="29" t="s">
        <v>9182</v>
      </c>
      <c r="L240" s="29" t="s">
        <v>9189</v>
      </c>
    </row>
    <row r="241" spans="1:12">
      <c r="A241" s="28">
        <v>240</v>
      </c>
      <c r="B241" s="28" t="s">
        <v>770</v>
      </c>
      <c r="C241" s="28"/>
      <c r="D241" s="28" t="s">
        <v>10168</v>
      </c>
      <c r="E241" s="28" t="s">
        <v>10169</v>
      </c>
      <c r="F241" s="28"/>
      <c r="G241" s="28" t="s">
        <v>10655</v>
      </c>
      <c r="H241" s="28"/>
      <c r="I241" s="28" t="s">
        <v>9180</v>
      </c>
      <c r="J241" s="28" t="s">
        <v>10656</v>
      </c>
      <c r="K241" s="28" t="s">
        <v>9182</v>
      </c>
      <c r="L241" s="28" t="s">
        <v>9223</v>
      </c>
    </row>
    <row r="242" spans="1:12">
      <c r="A242" s="29">
        <v>241</v>
      </c>
      <c r="B242" s="29" t="s">
        <v>8391</v>
      </c>
      <c r="C242" s="29" t="s">
        <v>10657</v>
      </c>
      <c r="D242" s="29" t="s">
        <v>10168</v>
      </c>
      <c r="E242" s="29" t="s">
        <v>10169</v>
      </c>
      <c r="F242" s="29"/>
      <c r="G242" s="29" t="s">
        <v>10658</v>
      </c>
      <c r="H242" s="29"/>
      <c r="I242" s="29" t="s">
        <v>9180</v>
      </c>
      <c r="J242" s="29" t="s">
        <v>10659</v>
      </c>
      <c r="K242" s="29" t="s">
        <v>9182</v>
      </c>
      <c r="L242" s="29" t="s">
        <v>9189</v>
      </c>
    </row>
    <row r="243" spans="1:12">
      <c r="A243" s="27">
        <v>242</v>
      </c>
      <c r="B243" s="27" t="s">
        <v>8816</v>
      </c>
      <c r="C243" s="27" t="s">
        <v>10660</v>
      </c>
      <c r="D243" s="27" t="s">
        <v>10173</v>
      </c>
      <c r="E243" s="27" t="s">
        <v>10169</v>
      </c>
      <c r="F243" s="27"/>
      <c r="G243" s="27" t="s">
        <v>10661</v>
      </c>
      <c r="H243" s="27"/>
      <c r="I243" s="27" t="s">
        <v>9180</v>
      </c>
      <c r="J243" s="27" t="s">
        <v>9353</v>
      </c>
      <c r="K243" s="27" t="s">
        <v>9182</v>
      </c>
      <c r="L243" s="27" t="s">
        <v>9196</v>
      </c>
    </row>
    <row r="244" spans="1:12">
      <c r="A244" s="29">
        <v>243</v>
      </c>
      <c r="B244" s="29" t="s">
        <v>8820</v>
      </c>
      <c r="C244" s="29" t="s">
        <v>10662</v>
      </c>
      <c r="D244" s="29" t="s">
        <v>10168</v>
      </c>
      <c r="E244" s="29" t="s">
        <v>10169</v>
      </c>
      <c r="F244" s="29"/>
      <c r="G244" s="29" t="s">
        <v>10663</v>
      </c>
      <c r="H244" s="29"/>
      <c r="I244" s="29" t="s">
        <v>9180</v>
      </c>
      <c r="J244" s="29" t="s">
        <v>10664</v>
      </c>
      <c r="K244" s="29" t="s">
        <v>9182</v>
      </c>
      <c r="L244" s="29" t="s">
        <v>9189</v>
      </c>
    </row>
    <row r="245" spans="1:12">
      <c r="A245" s="27">
        <v>244</v>
      </c>
      <c r="B245" s="27" t="s">
        <v>675</v>
      </c>
      <c r="C245" s="27" t="s">
        <v>676</v>
      </c>
      <c r="D245" s="27" t="s">
        <v>10173</v>
      </c>
      <c r="E245" s="27" t="s">
        <v>10169</v>
      </c>
      <c r="F245" s="27"/>
      <c r="G245" s="27" t="s">
        <v>10665</v>
      </c>
      <c r="H245" s="27"/>
      <c r="I245" s="27" t="s">
        <v>9180</v>
      </c>
      <c r="J245" s="27" t="s">
        <v>10666</v>
      </c>
      <c r="K245" s="27" t="s">
        <v>9182</v>
      </c>
      <c r="L245" s="27" t="s">
        <v>9183</v>
      </c>
    </row>
    <row r="246" spans="1:12">
      <c r="A246" s="27">
        <v>245</v>
      </c>
      <c r="B246" s="27" t="s">
        <v>5951</v>
      </c>
      <c r="C246" s="27" t="s">
        <v>5952</v>
      </c>
      <c r="D246" s="27" t="s">
        <v>10173</v>
      </c>
      <c r="E246" s="27" t="s">
        <v>10169</v>
      </c>
      <c r="F246" s="27"/>
      <c r="G246" s="27" t="s">
        <v>10667</v>
      </c>
      <c r="H246" s="27"/>
      <c r="I246" s="27" t="s">
        <v>9180</v>
      </c>
      <c r="J246" s="27" t="s">
        <v>9312</v>
      </c>
      <c r="K246" s="27" t="s">
        <v>9182</v>
      </c>
      <c r="L246" s="27" t="s">
        <v>9183</v>
      </c>
    </row>
    <row r="247" spans="1:12">
      <c r="A247" s="28">
        <v>246</v>
      </c>
      <c r="B247" s="28" t="s">
        <v>7043</v>
      </c>
      <c r="C247" s="28"/>
      <c r="D247" s="28" t="s">
        <v>10168</v>
      </c>
      <c r="E247" s="28" t="s">
        <v>10169</v>
      </c>
      <c r="F247" s="28"/>
      <c r="G247" s="28" t="s">
        <v>10668</v>
      </c>
      <c r="H247" s="28"/>
      <c r="I247" s="28" t="s">
        <v>9180</v>
      </c>
      <c r="J247" s="28" t="s">
        <v>9563</v>
      </c>
      <c r="K247" s="28" t="s">
        <v>9182</v>
      </c>
      <c r="L247" s="28" t="s">
        <v>9223</v>
      </c>
    </row>
    <row r="248" spans="1:12">
      <c r="A248" s="29">
        <v>247</v>
      </c>
      <c r="B248" s="29" t="s">
        <v>8897</v>
      </c>
      <c r="C248" s="29" t="s">
        <v>10669</v>
      </c>
      <c r="D248" s="29" t="s">
        <v>10168</v>
      </c>
      <c r="E248" s="29" t="s">
        <v>10169</v>
      </c>
      <c r="F248" s="29"/>
      <c r="G248" s="29" t="s">
        <v>10670</v>
      </c>
      <c r="H248" s="29"/>
      <c r="I248" s="29" t="s">
        <v>9180</v>
      </c>
      <c r="J248" s="29" t="s">
        <v>9221</v>
      </c>
      <c r="K248" s="29" t="s">
        <v>9182</v>
      </c>
      <c r="L248" s="29" t="s">
        <v>9189</v>
      </c>
    </row>
    <row r="249" spans="1:12">
      <c r="A249" s="28">
        <v>248</v>
      </c>
      <c r="B249" s="28" t="s">
        <v>3110</v>
      </c>
      <c r="C249" s="28" t="s">
        <v>10671</v>
      </c>
      <c r="D249" s="28" t="s">
        <v>10168</v>
      </c>
      <c r="E249" s="28" t="s">
        <v>10169</v>
      </c>
      <c r="F249" s="28"/>
      <c r="G249" s="28" t="s">
        <v>10672</v>
      </c>
      <c r="H249" s="28"/>
      <c r="I249" s="28" t="s">
        <v>9180</v>
      </c>
      <c r="J249" s="28" t="s">
        <v>10236</v>
      </c>
      <c r="K249" s="28" t="s">
        <v>9182</v>
      </c>
      <c r="L249" s="28" t="s">
        <v>9189</v>
      </c>
    </row>
    <row r="250" spans="1:12">
      <c r="A250" s="29">
        <v>249</v>
      </c>
      <c r="B250" s="29" t="s">
        <v>8915</v>
      </c>
      <c r="C250" s="29" t="s">
        <v>10673</v>
      </c>
      <c r="D250" s="29" t="s">
        <v>10168</v>
      </c>
      <c r="E250" s="29" t="s">
        <v>10169</v>
      </c>
      <c r="F250" s="29"/>
      <c r="G250" s="29" t="s">
        <v>10674</v>
      </c>
      <c r="H250" s="29"/>
      <c r="I250" s="29" t="s">
        <v>9180</v>
      </c>
      <c r="J250" s="29" t="s">
        <v>9210</v>
      </c>
      <c r="K250" s="29" t="s">
        <v>9182</v>
      </c>
      <c r="L250" s="29" t="s">
        <v>9189</v>
      </c>
    </row>
    <row r="251" spans="1:12">
      <c r="A251" s="28">
        <v>250</v>
      </c>
      <c r="B251" s="28" t="s">
        <v>8641</v>
      </c>
      <c r="C251" s="28" t="s">
        <v>10675</v>
      </c>
      <c r="D251" s="28" t="s">
        <v>10168</v>
      </c>
      <c r="E251" s="28" t="s">
        <v>10169</v>
      </c>
      <c r="F251" s="28"/>
      <c r="G251" s="28" t="s">
        <v>10676</v>
      </c>
      <c r="H251" s="28"/>
      <c r="I251" s="28" t="s">
        <v>9180</v>
      </c>
      <c r="J251" s="28" t="s">
        <v>10677</v>
      </c>
      <c r="K251" s="28" t="s">
        <v>9182</v>
      </c>
      <c r="L251" s="28" t="s">
        <v>9189</v>
      </c>
    </row>
    <row r="252" spans="1:12">
      <c r="A252" s="29">
        <v>251</v>
      </c>
      <c r="B252" s="29" t="s">
        <v>4868</v>
      </c>
      <c r="C252" s="29" t="s">
        <v>10678</v>
      </c>
      <c r="D252" s="29" t="s">
        <v>10168</v>
      </c>
      <c r="E252" s="29" t="s">
        <v>10169</v>
      </c>
      <c r="F252" s="29"/>
      <c r="G252" s="29" t="s">
        <v>10679</v>
      </c>
      <c r="H252" s="29"/>
      <c r="I252" s="29" t="s">
        <v>9180</v>
      </c>
      <c r="J252" s="29" t="s">
        <v>10680</v>
      </c>
      <c r="K252" s="29" t="s">
        <v>9182</v>
      </c>
      <c r="L252" s="29" t="s">
        <v>9189</v>
      </c>
    </row>
    <row r="253" spans="1:12">
      <c r="A253" s="28">
        <v>252</v>
      </c>
      <c r="B253" s="28" t="s">
        <v>8863</v>
      </c>
      <c r="C253" s="28" t="s">
        <v>8864</v>
      </c>
      <c r="D253" s="28" t="s">
        <v>10168</v>
      </c>
      <c r="E253" s="28" t="s">
        <v>10169</v>
      </c>
      <c r="F253" s="28"/>
      <c r="G253" s="28" t="s">
        <v>10681</v>
      </c>
      <c r="H253" s="28"/>
      <c r="I253" s="28" t="s">
        <v>9180</v>
      </c>
      <c r="J253" s="28" t="s">
        <v>9239</v>
      </c>
      <c r="K253" s="28" t="s">
        <v>9182</v>
      </c>
      <c r="L253" s="28" t="s">
        <v>9223</v>
      </c>
    </row>
    <row r="254" spans="1:12">
      <c r="A254" s="27">
        <v>253</v>
      </c>
      <c r="B254" s="27" t="s">
        <v>8539</v>
      </c>
      <c r="C254" s="27" t="s">
        <v>8540</v>
      </c>
      <c r="D254" s="27" t="s">
        <v>10173</v>
      </c>
      <c r="E254" s="27" t="s">
        <v>10169</v>
      </c>
      <c r="F254" s="27"/>
      <c r="G254" s="27" t="s">
        <v>10682</v>
      </c>
      <c r="H254" s="27"/>
      <c r="I254" s="27" t="s">
        <v>9180</v>
      </c>
      <c r="J254" s="27" t="s">
        <v>10683</v>
      </c>
      <c r="K254" s="27" t="s">
        <v>9182</v>
      </c>
      <c r="L254" s="27" t="s">
        <v>9183</v>
      </c>
    </row>
    <row r="255" spans="1:12">
      <c r="A255" s="28">
        <v>254</v>
      </c>
      <c r="B255" s="28" t="s">
        <v>8941</v>
      </c>
      <c r="C255" s="28" t="s">
        <v>10684</v>
      </c>
      <c r="D255" s="28" t="s">
        <v>10168</v>
      </c>
      <c r="E255" s="28" t="s">
        <v>10169</v>
      </c>
      <c r="F255" s="28"/>
      <c r="G255" s="28" t="s">
        <v>10685</v>
      </c>
      <c r="H255" s="28"/>
      <c r="I255" s="28" t="s">
        <v>9180</v>
      </c>
      <c r="J255" s="28" t="s">
        <v>9221</v>
      </c>
      <c r="K255" s="28" t="s">
        <v>9182</v>
      </c>
      <c r="L255" s="28" t="s">
        <v>9189</v>
      </c>
    </row>
    <row r="256" spans="1:12">
      <c r="A256" s="29">
        <v>255</v>
      </c>
      <c r="B256" s="29" t="s">
        <v>4805</v>
      </c>
      <c r="C256" s="29"/>
      <c r="D256" s="29" t="s">
        <v>10168</v>
      </c>
      <c r="E256" s="29" t="s">
        <v>10169</v>
      </c>
      <c r="F256" s="29"/>
      <c r="G256" s="29" t="s">
        <v>10686</v>
      </c>
      <c r="H256" s="29"/>
      <c r="I256" s="29" t="s">
        <v>9180</v>
      </c>
      <c r="J256" s="29" t="s">
        <v>10687</v>
      </c>
      <c r="K256" s="29" t="s">
        <v>9182</v>
      </c>
      <c r="L256" s="29" t="s">
        <v>9223</v>
      </c>
    </row>
    <row r="257" spans="1:12">
      <c r="A257" s="27">
        <v>256</v>
      </c>
      <c r="B257" s="27" t="s">
        <v>5915</v>
      </c>
      <c r="C257" s="27" t="s">
        <v>10688</v>
      </c>
      <c r="D257" s="27" t="s">
        <v>10173</v>
      </c>
      <c r="E257" s="27" t="s">
        <v>10169</v>
      </c>
      <c r="F257" s="27"/>
      <c r="G257" s="27" t="s">
        <v>10689</v>
      </c>
      <c r="H257" s="27"/>
      <c r="I257" s="27" t="s">
        <v>9180</v>
      </c>
      <c r="J257" s="27" t="s">
        <v>9579</v>
      </c>
      <c r="K257" s="27" t="s">
        <v>9182</v>
      </c>
      <c r="L257" s="27" t="s">
        <v>9196</v>
      </c>
    </row>
    <row r="258" spans="1:12">
      <c r="A258" s="27">
        <v>257</v>
      </c>
      <c r="B258" s="27" t="s">
        <v>8830</v>
      </c>
      <c r="C258" s="27" t="s">
        <v>8831</v>
      </c>
      <c r="D258" s="27" t="s">
        <v>10173</v>
      </c>
      <c r="E258" s="27" t="s">
        <v>10169</v>
      </c>
      <c r="F258" s="27"/>
      <c r="G258" s="27" t="s">
        <v>10690</v>
      </c>
      <c r="H258" s="27"/>
      <c r="I258" s="27" t="s">
        <v>9180</v>
      </c>
      <c r="J258" s="27" t="s">
        <v>9477</v>
      </c>
      <c r="K258" s="27" t="s">
        <v>9182</v>
      </c>
      <c r="L258" s="27" t="s">
        <v>9196</v>
      </c>
    </row>
    <row r="259" spans="1:12">
      <c r="A259" s="28">
        <v>258</v>
      </c>
      <c r="B259" s="28" t="s">
        <v>7678</v>
      </c>
      <c r="C259" s="28" t="s">
        <v>7679</v>
      </c>
      <c r="D259" s="28" t="s">
        <v>10168</v>
      </c>
      <c r="E259" s="28" t="s">
        <v>10169</v>
      </c>
      <c r="F259" s="28"/>
      <c r="G259" s="28" t="s">
        <v>10691</v>
      </c>
      <c r="H259" s="28"/>
      <c r="I259" s="28" t="s">
        <v>9180</v>
      </c>
      <c r="J259" s="28" t="s">
        <v>9353</v>
      </c>
      <c r="K259" s="28" t="s">
        <v>9182</v>
      </c>
      <c r="L259" s="28" t="s">
        <v>9189</v>
      </c>
    </row>
    <row r="260" spans="1:12">
      <c r="A260" s="27">
        <v>259</v>
      </c>
      <c r="B260" s="27" t="s">
        <v>6609</v>
      </c>
      <c r="C260" s="27" t="s">
        <v>10692</v>
      </c>
      <c r="D260" s="27" t="s">
        <v>10173</v>
      </c>
      <c r="E260" s="27" t="s">
        <v>10169</v>
      </c>
      <c r="F260" s="27"/>
      <c r="G260" s="27" t="s">
        <v>10693</v>
      </c>
      <c r="H260" s="27"/>
      <c r="I260" s="27" t="s">
        <v>9180</v>
      </c>
      <c r="J260" s="27" t="s">
        <v>9372</v>
      </c>
      <c r="K260" s="27" t="s">
        <v>9182</v>
      </c>
      <c r="L260" s="27" t="s">
        <v>9196</v>
      </c>
    </row>
    <row r="261" spans="1:12">
      <c r="A261" s="27">
        <v>260</v>
      </c>
      <c r="B261" s="27" t="s">
        <v>5334</v>
      </c>
      <c r="C261" s="27" t="s">
        <v>10694</v>
      </c>
      <c r="D261" s="27" t="s">
        <v>10173</v>
      </c>
      <c r="E261" s="27" t="s">
        <v>10169</v>
      </c>
      <c r="F261" s="27"/>
      <c r="G261" s="27" t="s">
        <v>10695</v>
      </c>
      <c r="H261" s="27"/>
      <c r="I261" s="27" t="s">
        <v>9180</v>
      </c>
      <c r="J261" s="27" t="s">
        <v>9708</v>
      </c>
      <c r="K261" s="27" t="s">
        <v>9182</v>
      </c>
      <c r="L261" s="27" t="s">
        <v>9196</v>
      </c>
    </row>
    <row r="262" spans="1:12">
      <c r="A262" s="29">
        <v>261</v>
      </c>
      <c r="B262" s="29" t="s">
        <v>9064</v>
      </c>
      <c r="C262" s="29" t="s">
        <v>10696</v>
      </c>
      <c r="D262" s="29" t="s">
        <v>10168</v>
      </c>
      <c r="E262" s="29" t="s">
        <v>10169</v>
      </c>
      <c r="F262" s="29"/>
      <c r="G262" s="29" t="s">
        <v>10697</v>
      </c>
      <c r="H262" s="29"/>
      <c r="I262" s="29" t="s">
        <v>9180</v>
      </c>
      <c r="J262" s="29" t="s">
        <v>9205</v>
      </c>
      <c r="K262" s="29" t="s">
        <v>9182</v>
      </c>
      <c r="L262" s="29" t="s">
        <v>9189</v>
      </c>
    </row>
    <row r="263" spans="1:12">
      <c r="A263" s="27">
        <v>262</v>
      </c>
      <c r="B263" s="27" t="s">
        <v>7729</v>
      </c>
      <c r="C263" s="27" t="s">
        <v>7730</v>
      </c>
      <c r="D263" s="27" t="s">
        <v>10173</v>
      </c>
      <c r="E263" s="27" t="s">
        <v>10169</v>
      </c>
      <c r="F263" s="27"/>
      <c r="G263" s="27" t="s">
        <v>10698</v>
      </c>
      <c r="H263" s="27"/>
      <c r="I263" s="27" t="s">
        <v>9180</v>
      </c>
      <c r="J263" s="27" t="s">
        <v>9563</v>
      </c>
      <c r="K263" s="27" t="s">
        <v>9182</v>
      </c>
      <c r="L263" s="27" t="s">
        <v>9196</v>
      </c>
    </row>
    <row r="264" spans="1:12">
      <c r="A264" s="27">
        <v>263</v>
      </c>
      <c r="B264" s="27" t="s">
        <v>5748</v>
      </c>
      <c r="C264" s="27" t="s">
        <v>5749</v>
      </c>
      <c r="D264" s="27" t="s">
        <v>10173</v>
      </c>
      <c r="E264" s="27" t="s">
        <v>10169</v>
      </c>
      <c r="F264" s="27"/>
      <c r="G264" s="27" t="s">
        <v>10699</v>
      </c>
      <c r="H264" s="27"/>
      <c r="I264" s="27" t="s">
        <v>9180</v>
      </c>
      <c r="J264" s="27" t="s">
        <v>10700</v>
      </c>
      <c r="K264" s="27" t="s">
        <v>9182</v>
      </c>
      <c r="L264" s="27" t="s">
        <v>9183</v>
      </c>
    </row>
    <row r="265" spans="1:12">
      <c r="A265" s="27">
        <v>264</v>
      </c>
      <c r="B265" s="27" t="s">
        <v>8838</v>
      </c>
      <c r="C265" s="27" t="s">
        <v>8839</v>
      </c>
      <c r="D265" s="27" t="s">
        <v>10173</v>
      </c>
      <c r="E265" s="27" t="s">
        <v>10169</v>
      </c>
      <c r="F265" s="27"/>
      <c r="G265" s="27" t="s">
        <v>10701</v>
      </c>
      <c r="H265" s="27"/>
      <c r="I265" s="27" t="s">
        <v>9180</v>
      </c>
      <c r="J265" s="27" t="s">
        <v>9221</v>
      </c>
      <c r="K265" s="27" t="s">
        <v>9182</v>
      </c>
      <c r="L265" s="27" t="s">
        <v>9196</v>
      </c>
    </row>
    <row r="266" spans="1:12">
      <c r="A266" s="27">
        <v>265</v>
      </c>
      <c r="B266" s="27" t="s">
        <v>1149</v>
      </c>
      <c r="C266" s="27" t="s">
        <v>1150</v>
      </c>
      <c r="D266" s="27" t="s">
        <v>10173</v>
      </c>
      <c r="E266" s="27" t="s">
        <v>10169</v>
      </c>
      <c r="F266" s="27"/>
      <c r="G266" s="27" t="s">
        <v>10702</v>
      </c>
      <c r="H266" s="27"/>
      <c r="I266" s="27" t="s">
        <v>9180</v>
      </c>
      <c r="J266" s="27" t="s">
        <v>10703</v>
      </c>
      <c r="K266" s="27" t="s">
        <v>9182</v>
      </c>
      <c r="L266" s="27" t="s">
        <v>9183</v>
      </c>
    </row>
    <row r="267" spans="1:12">
      <c r="A267" s="27">
        <v>266</v>
      </c>
      <c r="B267" s="27" t="s">
        <v>3673</v>
      </c>
      <c r="C267" s="27" t="s">
        <v>3674</v>
      </c>
      <c r="D267" s="27" t="s">
        <v>10173</v>
      </c>
      <c r="E267" s="27" t="s">
        <v>10169</v>
      </c>
      <c r="F267" s="27"/>
      <c r="G267" s="27" t="s">
        <v>10704</v>
      </c>
      <c r="H267" s="27"/>
      <c r="I267" s="27" t="s">
        <v>9180</v>
      </c>
      <c r="J267" s="27" t="s">
        <v>10705</v>
      </c>
      <c r="K267" s="27" t="s">
        <v>9182</v>
      </c>
      <c r="L267" s="27" t="s">
        <v>9183</v>
      </c>
    </row>
    <row r="268" spans="1:12">
      <c r="A268" s="27">
        <v>267</v>
      </c>
      <c r="B268" s="27" t="s">
        <v>3712</v>
      </c>
      <c r="C268" s="27" t="s">
        <v>3713</v>
      </c>
      <c r="D268" s="27" t="s">
        <v>10173</v>
      </c>
      <c r="E268" s="27" t="s">
        <v>10169</v>
      </c>
      <c r="F268" s="27"/>
      <c r="G268" s="27" t="s">
        <v>10706</v>
      </c>
      <c r="H268" s="27"/>
      <c r="I268" s="27" t="s">
        <v>9180</v>
      </c>
      <c r="J268" s="27" t="s">
        <v>10707</v>
      </c>
      <c r="K268" s="27" t="s">
        <v>9182</v>
      </c>
      <c r="L268" s="27" t="s">
        <v>9196</v>
      </c>
    </row>
    <row r="269" spans="1:12">
      <c r="A269" s="27">
        <v>268</v>
      </c>
      <c r="B269" s="27" t="s">
        <v>3391</v>
      </c>
      <c r="C269" s="27" t="s">
        <v>3392</v>
      </c>
      <c r="D269" s="27" t="s">
        <v>10173</v>
      </c>
      <c r="E269" s="27" t="s">
        <v>10169</v>
      </c>
      <c r="F269" s="27"/>
      <c r="G269" s="27" t="s">
        <v>10708</v>
      </c>
      <c r="H269" s="27"/>
      <c r="I269" s="27" t="s">
        <v>9180</v>
      </c>
      <c r="J269" s="27" t="s">
        <v>10709</v>
      </c>
      <c r="K269" s="27" t="s">
        <v>9182</v>
      </c>
      <c r="L269" s="27" t="s">
        <v>9196</v>
      </c>
    </row>
    <row r="270" spans="1:12">
      <c r="A270" s="27">
        <v>269</v>
      </c>
      <c r="B270" s="27" t="s">
        <v>590</v>
      </c>
      <c r="C270" s="27" t="s">
        <v>10710</v>
      </c>
      <c r="D270" s="27" t="s">
        <v>10173</v>
      </c>
      <c r="E270" s="27" t="s">
        <v>10169</v>
      </c>
      <c r="F270" s="27"/>
      <c r="G270" s="27" t="s">
        <v>10711</v>
      </c>
      <c r="H270" s="27"/>
      <c r="I270" s="27" t="s">
        <v>9180</v>
      </c>
      <c r="J270" s="27" t="s">
        <v>10712</v>
      </c>
      <c r="K270" s="27" t="s">
        <v>9182</v>
      </c>
      <c r="L270" s="27" t="s">
        <v>9196</v>
      </c>
    </row>
    <row r="271" spans="1:12">
      <c r="A271" s="27">
        <v>270</v>
      </c>
      <c r="B271" s="27" t="s">
        <v>4864</v>
      </c>
      <c r="C271" s="27" t="s">
        <v>4865</v>
      </c>
      <c r="D271" s="27" t="s">
        <v>10173</v>
      </c>
      <c r="E271" s="27" t="s">
        <v>10169</v>
      </c>
      <c r="F271" s="27"/>
      <c r="G271" s="27" t="s">
        <v>10713</v>
      </c>
      <c r="H271" s="27"/>
      <c r="I271" s="27" t="s">
        <v>9180</v>
      </c>
      <c r="J271" s="27" t="s">
        <v>10714</v>
      </c>
      <c r="K271" s="27" t="s">
        <v>9182</v>
      </c>
      <c r="L271" s="27" t="s">
        <v>9183</v>
      </c>
    </row>
    <row r="272" spans="1:12">
      <c r="A272" s="27">
        <v>271</v>
      </c>
      <c r="B272" s="27" t="s">
        <v>8872</v>
      </c>
      <c r="C272" s="27" t="s">
        <v>8873</v>
      </c>
      <c r="D272" s="27" t="s">
        <v>10173</v>
      </c>
      <c r="E272" s="27" t="s">
        <v>10169</v>
      </c>
      <c r="F272" s="27"/>
      <c r="G272" s="27" t="s">
        <v>10715</v>
      </c>
      <c r="H272" s="27"/>
      <c r="I272" s="27" t="s">
        <v>9180</v>
      </c>
      <c r="J272" s="27" t="s">
        <v>9239</v>
      </c>
      <c r="K272" s="27" t="s">
        <v>9182</v>
      </c>
      <c r="L272" s="27" t="s">
        <v>9183</v>
      </c>
    </row>
    <row r="273" spans="1:12">
      <c r="A273" s="27">
        <v>272</v>
      </c>
      <c r="B273" s="27" t="s">
        <v>8620</v>
      </c>
      <c r="C273" s="27" t="s">
        <v>10716</v>
      </c>
      <c r="D273" s="27" t="s">
        <v>10173</v>
      </c>
      <c r="E273" s="27" t="s">
        <v>10169</v>
      </c>
      <c r="F273" s="27"/>
      <c r="G273" s="27" t="s">
        <v>10717</v>
      </c>
      <c r="H273" s="27"/>
      <c r="I273" s="27" t="s">
        <v>9180</v>
      </c>
      <c r="J273" s="27" t="s">
        <v>9221</v>
      </c>
      <c r="K273" s="27" t="s">
        <v>9182</v>
      </c>
      <c r="L273" s="27" t="s">
        <v>9196</v>
      </c>
    </row>
    <row r="274" spans="1:12">
      <c r="A274" s="27">
        <v>273</v>
      </c>
      <c r="B274" s="27" t="s">
        <v>10718</v>
      </c>
      <c r="C274" s="27" t="s">
        <v>10719</v>
      </c>
      <c r="D274" s="27" t="s">
        <v>10173</v>
      </c>
      <c r="E274" s="27" t="s">
        <v>10169</v>
      </c>
      <c r="F274" s="27"/>
      <c r="G274" s="27" t="s">
        <v>10720</v>
      </c>
      <c r="H274" s="27"/>
      <c r="I274" s="27" t="s">
        <v>9180</v>
      </c>
      <c r="J274" s="27" t="s">
        <v>9210</v>
      </c>
      <c r="K274" s="27" t="s">
        <v>9182</v>
      </c>
      <c r="L274" s="27" t="s">
        <v>9196</v>
      </c>
    </row>
    <row r="275" spans="1:12">
      <c r="A275" s="27">
        <v>274</v>
      </c>
      <c r="B275" s="27" t="s">
        <v>8877</v>
      </c>
      <c r="C275" s="27" t="s">
        <v>543</v>
      </c>
      <c r="D275" s="27" t="s">
        <v>10173</v>
      </c>
      <c r="E275" s="27" t="s">
        <v>10169</v>
      </c>
      <c r="F275" s="27"/>
      <c r="G275" s="27" t="s">
        <v>10721</v>
      </c>
      <c r="H275" s="27"/>
      <c r="I275" s="27" t="s">
        <v>9180</v>
      </c>
      <c r="J275" s="27" t="s">
        <v>9705</v>
      </c>
      <c r="K275" s="27" t="s">
        <v>9188</v>
      </c>
      <c r="L275" s="27" t="s">
        <v>9183</v>
      </c>
    </row>
    <row r="276" spans="1:12">
      <c r="A276" s="27">
        <v>275</v>
      </c>
      <c r="B276" s="27" t="s">
        <v>149</v>
      </c>
      <c r="C276" s="27" t="s">
        <v>150</v>
      </c>
      <c r="D276" s="27" t="s">
        <v>10173</v>
      </c>
      <c r="E276" s="27" t="s">
        <v>10169</v>
      </c>
      <c r="F276" s="27"/>
      <c r="G276" s="27" t="s">
        <v>10722</v>
      </c>
      <c r="H276" s="27"/>
      <c r="I276" s="27" t="s">
        <v>9180</v>
      </c>
      <c r="J276" s="27" t="s">
        <v>12281</v>
      </c>
      <c r="K276" s="27" t="s">
        <v>9188</v>
      </c>
      <c r="L276" s="27" t="s">
        <v>9183</v>
      </c>
    </row>
    <row r="277" spans="1:12">
      <c r="A277" s="27">
        <v>276</v>
      </c>
      <c r="B277" s="27" t="s">
        <v>8889</v>
      </c>
      <c r="C277" s="27"/>
      <c r="D277" s="27" t="s">
        <v>10173</v>
      </c>
      <c r="E277" s="27" t="s">
        <v>10169</v>
      </c>
      <c r="F277" s="27"/>
      <c r="G277" s="27" t="s">
        <v>10723</v>
      </c>
      <c r="H277" s="27"/>
      <c r="I277" s="27" t="s">
        <v>9180</v>
      </c>
      <c r="J277" s="27" t="s">
        <v>9309</v>
      </c>
      <c r="K277" s="27" t="s">
        <v>9188</v>
      </c>
      <c r="L277" s="27" t="s">
        <v>9183</v>
      </c>
    </row>
    <row r="278" spans="1:12">
      <c r="A278" s="27">
        <v>277</v>
      </c>
      <c r="B278" s="27" t="s">
        <v>9067</v>
      </c>
      <c r="C278" s="27" t="s">
        <v>10724</v>
      </c>
      <c r="D278" s="27" t="s">
        <v>10173</v>
      </c>
      <c r="E278" s="27" t="s">
        <v>10169</v>
      </c>
      <c r="F278" s="27"/>
      <c r="G278" s="27" t="s">
        <v>10725</v>
      </c>
      <c r="H278" s="27"/>
      <c r="I278" s="27" t="s">
        <v>9180</v>
      </c>
      <c r="J278" s="27" t="s">
        <v>9217</v>
      </c>
      <c r="K278" s="27" t="s">
        <v>9188</v>
      </c>
      <c r="L278" s="27" t="s">
        <v>9196</v>
      </c>
    </row>
    <row r="279" spans="1:12">
      <c r="A279" s="28">
        <v>278</v>
      </c>
      <c r="B279" s="28" t="s">
        <v>3931</v>
      </c>
      <c r="C279" s="28" t="s">
        <v>10726</v>
      </c>
      <c r="D279" s="28" t="s">
        <v>10168</v>
      </c>
      <c r="E279" s="28" t="s">
        <v>10169</v>
      </c>
      <c r="F279" s="28"/>
      <c r="G279" s="28" t="s">
        <v>10727</v>
      </c>
      <c r="H279" s="28"/>
      <c r="I279" s="28" t="s">
        <v>9180</v>
      </c>
      <c r="J279" s="28" t="s">
        <v>10728</v>
      </c>
      <c r="K279" s="28" t="s">
        <v>9188</v>
      </c>
      <c r="L279" s="28" t="s">
        <v>9223</v>
      </c>
    </row>
    <row r="280" spans="1:12">
      <c r="A280" s="29">
        <v>279</v>
      </c>
      <c r="B280" s="29" t="s">
        <v>6314</v>
      </c>
      <c r="C280" s="29" t="s">
        <v>6315</v>
      </c>
      <c r="D280" s="29" t="s">
        <v>10168</v>
      </c>
      <c r="E280" s="29" t="s">
        <v>9208</v>
      </c>
      <c r="F280" s="29"/>
      <c r="G280" s="29" t="s">
        <v>10729</v>
      </c>
      <c r="H280" s="29"/>
      <c r="I280" s="29" t="s">
        <v>9180</v>
      </c>
      <c r="J280" s="29" t="s">
        <v>9222</v>
      </c>
      <c r="K280" s="29" t="s">
        <v>9188</v>
      </c>
      <c r="L280" s="29" t="s">
        <v>9212</v>
      </c>
    </row>
    <row r="281" spans="1:12">
      <c r="A281" s="28">
        <v>280</v>
      </c>
      <c r="B281" s="28" t="s">
        <v>8911</v>
      </c>
      <c r="C281" s="28" t="s">
        <v>8912</v>
      </c>
      <c r="D281" s="28" t="s">
        <v>10168</v>
      </c>
      <c r="E281" s="28" t="s">
        <v>10169</v>
      </c>
      <c r="F281" s="28"/>
      <c r="G281" s="28" t="s">
        <v>10730</v>
      </c>
      <c r="H281" s="28"/>
      <c r="I281" s="28" t="s">
        <v>9180</v>
      </c>
      <c r="J281" s="28" t="s">
        <v>9222</v>
      </c>
      <c r="K281" s="28" t="s">
        <v>9188</v>
      </c>
      <c r="L281" s="28" t="s">
        <v>9223</v>
      </c>
    </row>
    <row r="282" spans="1:12">
      <c r="A282" s="29">
        <v>281</v>
      </c>
      <c r="B282" s="29" t="s">
        <v>5066</v>
      </c>
      <c r="C282" s="29" t="s">
        <v>10731</v>
      </c>
      <c r="D282" s="29" t="s">
        <v>10168</v>
      </c>
      <c r="E282" s="29" t="s">
        <v>10169</v>
      </c>
      <c r="F282" s="29"/>
      <c r="G282" s="29" t="s">
        <v>10732</v>
      </c>
      <c r="H282" s="29"/>
      <c r="I282" s="29" t="s">
        <v>9180</v>
      </c>
      <c r="J282" s="29" t="s">
        <v>10733</v>
      </c>
      <c r="K282" s="29" t="s">
        <v>9188</v>
      </c>
      <c r="L282" s="29" t="s">
        <v>9189</v>
      </c>
    </row>
    <row r="283" spans="1:12">
      <c r="A283" s="28">
        <v>282</v>
      </c>
      <c r="B283" s="28" t="s">
        <v>671</v>
      </c>
      <c r="C283" s="28" t="s">
        <v>672</v>
      </c>
      <c r="D283" s="28" t="s">
        <v>10168</v>
      </c>
      <c r="E283" s="28" t="s">
        <v>10169</v>
      </c>
      <c r="F283" s="28"/>
      <c r="G283" s="28" t="s">
        <v>10734</v>
      </c>
      <c r="H283" s="28"/>
      <c r="I283" s="28" t="s">
        <v>9180</v>
      </c>
      <c r="J283" s="28" t="s">
        <v>10735</v>
      </c>
      <c r="K283" s="28" t="s">
        <v>9188</v>
      </c>
      <c r="L283" s="28" t="s">
        <v>9223</v>
      </c>
    </row>
    <row r="284" spans="1:12">
      <c r="A284" s="29">
        <v>283</v>
      </c>
      <c r="B284" s="29" t="s">
        <v>8937</v>
      </c>
      <c r="C284" s="29" t="s">
        <v>10736</v>
      </c>
      <c r="D284" s="29" t="s">
        <v>10168</v>
      </c>
      <c r="E284" s="29" t="s">
        <v>10169</v>
      </c>
      <c r="F284" s="29"/>
      <c r="G284" s="29" t="s">
        <v>10737</v>
      </c>
      <c r="H284" s="29"/>
      <c r="I284" s="29" t="s">
        <v>9180</v>
      </c>
      <c r="J284" s="29" t="s">
        <v>9705</v>
      </c>
      <c r="K284" s="29" t="s">
        <v>9188</v>
      </c>
      <c r="L284" s="29" t="s">
        <v>9189</v>
      </c>
    </row>
    <row r="285" spans="1:12">
      <c r="A285" s="28">
        <v>284</v>
      </c>
      <c r="B285" s="28" t="s">
        <v>10738</v>
      </c>
      <c r="C285" s="28" t="s">
        <v>668</v>
      </c>
      <c r="D285" s="28" t="s">
        <v>10168</v>
      </c>
      <c r="E285" s="28" t="s">
        <v>10169</v>
      </c>
      <c r="F285" s="28"/>
      <c r="G285" s="28" t="s">
        <v>10739</v>
      </c>
      <c r="H285" s="28"/>
      <c r="I285" s="28" t="s">
        <v>9180</v>
      </c>
      <c r="J285" s="28" t="s">
        <v>9210</v>
      </c>
      <c r="K285" s="28" t="s">
        <v>9188</v>
      </c>
      <c r="L285" s="28" t="s">
        <v>9223</v>
      </c>
    </row>
    <row r="286" spans="1:12">
      <c r="A286" s="27">
        <v>285</v>
      </c>
      <c r="B286" s="27" t="s">
        <v>8762</v>
      </c>
      <c r="C286" s="27" t="s">
        <v>8763</v>
      </c>
      <c r="D286" s="27" t="s">
        <v>10173</v>
      </c>
      <c r="E286" s="27" t="s">
        <v>10169</v>
      </c>
      <c r="F286" s="27"/>
      <c r="G286" s="27" t="s">
        <v>10740</v>
      </c>
      <c r="H286" s="27"/>
      <c r="I286" s="27" t="s">
        <v>9180</v>
      </c>
      <c r="J286" s="27" t="s">
        <v>10556</v>
      </c>
      <c r="K286" s="27" t="s">
        <v>9188</v>
      </c>
      <c r="L286" s="27" t="s">
        <v>9183</v>
      </c>
    </row>
    <row r="287" spans="1:12">
      <c r="A287" s="28">
        <v>286</v>
      </c>
      <c r="B287" s="28" t="s">
        <v>6646</v>
      </c>
      <c r="C287" s="28" t="s">
        <v>6647</v>
      </c>
      <c r="D287" s="28" t="s">
        <v>10168</v>
      </c>
      <c r="E287" s="28" t="s">
        <v>10169</v>
      </c>
      <c r="F287" s="28"/>
      <c r="G287" s="28" t="s">
        <v>10741</v>
      </c>
      <c r="H287" s="28"/>
      <c r="I287" s="28" t="s">
        <v>9180</v>
      </c>
      <c r="J287" s="28" t="s">
        <v>10742</v>
      </c>
      <c r="K287" s="28" t="s">
        <v>9188</v>
      </c>
      <c r="L287" s="28" t="s">
        <v>9223</v>
      </c>
    </row>
    <row r="288" spans="1:12">
      <c r="A288" s="29">
        <v>287</v>
      </c>
      <c r="B288" s="29" t="s">
        <v>542</v>
      </c>
      <c r="C288" s="29" t="s">
        <v>543</v>
      </c>
      <c r="D288" s="29" t="s">
        <v>10168</v>
      </c>
      <c r="E288" s="29" t="s">
        <v>10169</v>
      </c>
      <c r="F288" s="29"/>
      <c r="G288" s="29" t="s">
        <v>10743</v>
      </c>
      <c r="H288" s="29"/>
      <c r="I288" s="29" t="s">
        <v>9180</v>
      </c>
      <c r="J288" s="29" t="s">
        <v>10744</v>
      </c>
      <c r="K288" s="29" t="s">
        <v>9188</v>
      </c>
      <c r="L288" s="29" t="s">
        <v>9223</v>
      </c>
    </row>
    <row r="289" spans="1:12">
      <c r="A289" s="28">
        <v>288</v>
      </c>
      <c r="B289" s="28" t="s">
        <v>7125</v>
      </c>
      <c r="C289" s="28" t="s">
        <v>7126</v>
      </c>
      <c r="D289" s="28" t="s">
        <v>10168</v>
      </c>
      <c r="E289" s="28" t="s">
        <v>10169</v>
      </c>
      <c r="F289" s="28"/>
      <c r="G289" s="28" t="s">
        <v>10745</v>
      </c>
      <c r="H289" s="28"/>
      <c r="I289" s="28" t="s">
        <v>9180</v>
      </c>
      <c r="J289" s="28" t="s">
        <v>10746</v>
      </c>
      <c r="K289" s="28" t="s">
        <v>9188</v>
      </c>
      <c r="L289" s="28" t="s">
        <v>9223</v>
      </c>
    </row>
    <row r="290" spans="1:12">
      <c r="A290" s="29">
        <v>289</v>
      </c>
      <c r="B290" s="29" t="s">
        <v>4952</v>
      </c>
      <c r="C290" s="29" t="s">
        <v>4953</v>
      </c>
      <c r="D290" s="29" t="s">
        <v>10168</v>
      </c>
      <c r="E290" s="29" t="s">
        <v>10169</v>
      </c>
      <c r="F290" s="29"/>
      <c r="G290" s="29" t="s">
        <v>10747</v>
      </c>
      <c r="H290" s="29"/>
      <c r="I290" s="29" t="s">
        <v>9180</v>
      </c>
      <c r="J290" s="29" t="s">
        <v>10748</v>
      </c>
      <c r="K290" s="29" t="s">
        <v>9188</v>
      </c>
      <c r="L290" s="29" t="s">
        <v>9189</v>
      </c>
    </row>
    <row r="291" spans="1:12">
      <c r="A291" s="28">
        <v>290</v>
      </c>
      <c r="B291" s="28" t="s">
        <v>3359</v>
      </c>
      <c r="C291" s="28" t="s">
        <v>10749</v>
      </c>
      <c r="D291" s="28" t="s">
        <v>10168</v>
      </c>
      <c r="E291" s="28" t="s">
        <v>10169</v>
      </c>
      <c r="F291" s="28"/>
      <c r="G291" s="28" t="s">
        <v>10750</v>
      </c>
      <c r="H291" s="28"/>
      <c r="I291" s="28" t="s">
        <v>9180</v>
      </c>
      <c r="J291" s="28" t="s">
        <v>10751</v>
      </c>
      <c r="K291" s="28" t="s">
        <v>9188</v>
      </c>
      <c r="L291" s="28" t="s">
        <v>9189</v>
      </c>
    </row>
    <row r="292" spans="1:12">
      <c r="A292" s="29">
        <v>291</v>
      </c>
      <c r="B292" s="29" t="s">
        <v>8986</v>
      </c>
      <c r="C292" s="29" t="s">
        <v>10752</v>
      </c>
      <c r="D292" s="29" t="s">
        <v>10168</v>
      </c>
      <c r="E292" s="29" t="s">
        <v>10169</v>
      </c>
      <c r="F292" s="29"/>
      <c r="G292" s="29" t="s">
        <v>10753</v>
      </c>
      <c r="H292" s="29"/>
      <c r="I292" s="29" t="s">
        <v>9180</v>
      </c>
      <c r="J292" s="29" t="s">
        <v>9221</v>
      </c>
      <c r="K292" s="29" t="s">
        <v>9188</v>
      </c>
      <c r="L292" s="29" t="s">
        <v>9189</v>
      </c>
    </row>
    <row r="293" spans="1:12">
      <c r="A293" s="28">
        <v>292</v>
      </c>
      <c r="B293" s="28" t="s">
        <v>7891</v>
      </c>
      <c r="C293" s="28" t="s">
        <v>7892</v>
      </c>
      <c r="D293" s="28" t="s">
        <v>10168</v>
      </c>
      <c r="E293" s="28" t="s">
        <v>9208</v>
      </c>
      <c r="F293" s="28"/>
      <c r="G293" s="28" t="s">
        <v>10754</v>
      </c>
      <c r="H293" s="28"/>
      <c r="I293" s="28" t="s">
        <v>9180</v>
      </c>
      <c r="J293" s="28" t="s">
        <v>10755</v>
      </c>
      <c r="K293" s="28" t="s">
        <v>9188</v>
      </c>
      <c r="L293" s="28" t="s">
        <v>9212</v>
      </c>
    </row>
    <row r="294" spans="1:12">
      <c r="A294" s="29">
        <v>293</v>
      </c>
      <c r="B294" s="29" t="s">
        <v>7686</v>
      </c>
      <c r="C294" s="29" t="s">
        <v>7687</v>
      </c>
      <c r="D294" s="29" t="s">
        <v>10168</v>
      </c>
      <c r="E294" s="29" t="s">
        <v>9208</v>
      </c>
      <c r="F294" s="29"/>
      <c r="G294" s="29" t="s">
        <v>10756</v>
      </c>
      <c r="H294" s="29"/>
      <c r="I294" s="29" t="s">
        <v>9180</v>
      </c>
      <c r="J294" s="29" t="s">
        <v>9222</v>
      </c>
      <c r="K294" s="29" t="s">
        <v>9188</v>
      </c>
      <c r="L294" s="29" t="s">
        <v>9212</v>
      </c>
    </row>
    <row r="295" spans="1:12">
      <c r="A295" s="28">
        <v>294</v>
      </c>
      <c r="B295" s="28" t="s">
        <v>8192</v>
      </c>
      <c r="C295" s="28" t="s">
        <v>8193</v>
      </c>
      <c r="D295" s="28" t="s">
        <v>10168</v>
      </c>
      <c r="E295" s="28" t="s">
        <v>10169</v>
      </c>
      <c r="F295" s="28"/>
      <c r="G295" s="28" t="s">
        <v>10757</v>
      </c>
      <c r="H295" s="28"/>
      <c r="I295" s="28" t="s">
        <v>9180</v>
      </c>
      <c r="J295" s="28" t="s">
        <v>9606</v>
      </c>
      <c r="K295" s="28" t="s">
        <v>9188</v>
      </c>
      <c r="L295" s="28" t="s">
        <v>9189</v>
      </c>
    </row>
    <row r="296" spans="1:12">
      <c r="A296" s="29">
        <v>295</v>
      </c>
      <c r="B296" s="29" t="s">
        <v>10758</v>
      </c>
      <c r="C296" s="29" t="s">
        <v>10759</v>
      </c>
      <c r="D296" s="29" t="s">
        <v>10168</v>
      </c>
      <c r="E296" s="29" t="s">
        <v>10169</v>
      </c>
      <c r="F296" s="29"/>
      <c r="G296" s="29" t="s">
        <v>10760</v>
      </c>
      <c r="H296" s="29"/>
      <c r="I296" s="29" t="s">
        <v>9180</v>
      </c>
      <c r="J296" s="29" t="s">
        <v>9210</v>
      </c>
      <c r="K296" s="29" t="s">
        <v>9188</v>
      </c>
      <c r="L296" s="29" t="s">
        <v>9189</v>
      </c>
    </row>
    <row r="297" spans="1:12">
      <c r="A297" s="27">
        <v>296</v>
      </c>
      <c r="B297" s="27" t="s">
        <v>2502</v>
      </c>
      <c r="C297" s="27" t="s">
        <v>2503</v>
      </c>
      <c r="D297" s="27" t="s">
        <v>10173</v>
      </c>
      <c r="E297" s="27" t="s">
        <v>10169</v>
      </c>
      <c r="F297" s="27"/>
      <c r="G297" s="27" t="s">
        <v>10761</v>
      </c>
      <c r="H297" s="27"/>
      <c r="I297" s="27" t="s">
        <v>9180</v>
      </c>
      <c r="J297" s="27" t="s">
        <v>9353</v>
      </c>
      <c r="K297" s="27" t="s">
        <v>9188</v>
      </c>
      <c r="L297" s="27" t="s">
        <v>9196</v>
      </c>
    </row>
    <row r="298" spans="1:12">
      <c r="A298" s="27">
        <v>297</v>
      </c>
      <c r="B298" s="27" t="s">
        <v>5261</v>
      </c>
      <c r="C298" s="27" t="s">
        <v>10762</v>
      </c>
      <c r="D298" s="27" t="s">
        <v>10173</v>
      </c>
      <c r="E298" s="27" t="s">
        <v>10169</v>
      </c>
      <c r="F298" s="27"/>
      <c r="G298" s="27" t="s">
        <v>10763</v>
      </c>
      <c r="H298" s="27"/>
      <c r="I298" s="27" t="s">
        <v>9180</v>
      </c>
      <c r="J298" s="27" t="s">
        <v>10511</v>
      </c>
      <c r="K298" s="27" t="s">
        <v>9188</v>
      </c>
      <c r="L298" s="27" t="s">
        <v>9196</v>
      </c>
    </row>
    <row r="299" spans="1:12">
      <c r="A299" s="28">
        <v>298</v>
      </c>
      <c r="B299" s="28" t="s">
        <v>681</v>
      </c>
      <c r="C299" s="28" t="s">
        <v>10764</v>
      </c>
      <c r="D299" s="28" t="s">
        <v>10168</v>
      </c>
      <c r="E299" s="28" t="s">
        <v>10169</v>
      </c>
      <c r="F299" s="28"/>
      <c r="G299" s="28" t="s">
        <v>10765</v>
      </c>
      <c r="H299" s="28"/>
      <c r="I299" s="28" t="s">
        <v>9180</v>
      </c>
      <c r="J299" s="28" t="s">
        <v>10766</v>
      </c>
      <c r="K299" s="28" t="s">
        <v>9188</v>
      </c>
      <c r="L299" s="28" t="s">
        <v>9223</v>
      </c>
    </row>
    <row r="300" spans="1:12">
      <c r="A300" s="27">
        <v>299</v>
      </c>
      <c r="B300" s="27" t="s">
        <v>7179</v>
      </c>
      <c r="C300" s="27" t="s">
        <v>10767</v>
      </c>
      <c r="D300" s="27" t="s">
        <v>10173</v>
      </c>
      <c r="E300" s="27" t="s">
        <v>10169</v>
      </c>
      <c r="F300" s="27"/>
      <c r="G300" s="27" t="s">
        <v>10768</v>
      </c>
      <c r="H300" s="27"/>
      <c r="I300" s="27" t="s">
        <v>9180</v>
      </c>
      <c r="J300" s="27" t="s">
        <v>9309</v>
      </c>
      <c r="K300" s="27" t="s">
        <v>9188</v>
      </c>
      <c r="L300" s="27" t="s">
        <v>9183</v>
      </c>
    </row>
    <row r="301" spans="1:12">
      <c r="A301" s="28">
        <v>300</v>
      </c>
      <c r="B301" s="28" t="s">
        <v>4288</v>
      </c>
      <c r="C301" s="28" t="s">
        <v>10769</v>
      </c>
      <c r="D301" s="28" t="s">
        <v>10168</v>
      </c>
      <c r="E301" s="28" t="s">
        <v>10169</v>
      </c>
      <c r="F301" s="28"/>
      <c r="G301" s="28" t="s">
        <v>10770</v>
      </c>
      <c r="H301" s="28"/>
      <c r="I301" s="28" t="s">
        <v>9180</v>
      </c>
      <c r="J301" s="28" t="s">
        <v>10771</v>
      </c>
      <c r="K301" s="28" t="s">
        <v>9188</v>
      </c>
      <c r="L301" s="28" t="s">
        <v>9189</v>
      </c>
    </row>
    <row r="302" spans="1:12">
      <c r="A302" s="29">
        <v>301</v>
      </c>
      <c r="B302" s="29" t="s">
        <v>8885</v>
      </c>
      <c r="C302" s="29" t="s">
        <v>8886</v>
      </c>
      <c r="D302" s="29" t="s">
        <v>10168</v>
      </c>
      <c r="E302" s="29" t="s">
        <v>10169</v>
      </c>
      <c r="F302" s="29"/>
      <c r="G302" s="29" t="s">
        <v>10772</v>
      </c>
      <c r="H302" s="29"/>
      <c r="I302" s="29" t="s">
        <v>9180</v>
      </c>
      <c r="J302" s="29" t="s">
        <v>9222</v>
      </c>
      <c r="K302" s="29" t="s">
        <v>9188</v>
      </c>
      <c r="L302" s="29" t="s">
        <v>9223</v>
      </c>
    </row>
    <row r="303" spans="1:12">
      <c r="A303" s="28">
        <v>302</v>
      </c>
      <c r="B303" s="28" t="s">
        <v>8929</v>
      </c>
      <c r="C303" s="28"/>
      <c r="D303" s="28" t="s">
        <v>10168</v>
      </c>
      <c r="E303" s="28" t="s">
        <v>10169</v>
      </c>
      <c r="F303" s="28"/>
      <c r="G303" s="28" t="s">
        <v>10773</v>
      </c>
      <c r="H303" s="28"/>
      <c r="I303" s="28" t="s">
        <v>9180</v>
      </c>
      <c r="J303" s="28" t="s">
        <v>10648</v>
      </c>
      <c r="K303" s="28" t="s">
        <v>9188</v>
      </c>
      <c r="L303" s="28" t="s">
        <v>9223</v>
      </c>
    </row>
    <row r="304" spans="1:12">
      <c r="A304" s="29">
        <v>303</v>
      </c>
      <c r="B304" s="29" t="s">
        <v>5037</v>
      </c>
      <c r="C304" s="29" t="s">
        <v>10774</v>
      </c>
      <c r="D304" s="29" t="s">
        <v>10168</v>
      </c>
      <c r="E304" s="29" t="s">
        <v>10169</v>
      </c>
      <c r="F304" s="29"/>
      <c r="G304" s="29" t="s">
        <v>10775</v>
      </c>
      <c r="H304" s="29"/>
      <c r="I304" s="29" t="s">
        <v>9180</v>
      </c>
      <c r="J304" s="29" t="s">
        <v>10776</v>
      </c>
      <c r="K304" s="29" t="s">
        <v>9188</v>
      </c>
      <c r="L304" s="29" t="s">
        <v>9189</v>
      </c>
    </row>
    <row r="305" spans="1:12">
      <c r="A305" s="28">
        <v>304</v>
      </c>
      <c r="B305" s="28" t="s">
        <v>8953</v>
      </c>
      <c r="C305" s="28" t="s">
        <v>8954</v>
      </c>
      <c r="D305" s="28" t="s">
        <v>10168</v>
      </c>
      <c r="E305" s="28" t="s">
        <v>10169</v>
      </c>
      <c r="F305" s="28"/>
      <c r="G305" s="28" t="s">
        <v>10777</v>
      </c>
      <c r="H305" s="28"/>
      <c r="I305" s="28" t="s">
        <v>9180</v>
      </c>
      <c r="J305" s="28" t="s">
        <v>10683</v>
      </c>
      <c r="K305" s="28" t="s">
        <v>9188</v>
      </c>
      <c r="L305" s="28" t="s">
        <v>9223</v>
      </c>
    </row>
    <row r="306" spans="1:12">
      <c r="A306" s="27">
        <v>305</v>
      </c>
      <c r="B306" s="27" t="s">
        <v>2026</v>
      </c>
      <c r="C306" s="27" t="s">
        <v>2027</v>
      </c>
      <c r="D306" s="27" t="s">
        <v>10173</v>
      </c>
      <c r="E306" s="27" t="s">
        <v>10169</v>
      </c>
      <c r="F306" s="27"/>
      <c r="G306" s="27" t="s">
        <v>10778</v>
      </c>
      <c r="H306" s="27"/>
      <c r="I306" s="27" t="s">
        <v>9180</v>
      </c>
      <c r="J306" s="27" t="s">
        <v>10779</v>
      </c>
      <c r="K306" s="27" t="s">
        <v>9188</v>
      </c>
      <c r="L306" s="27" t="s">
        <v>9196</v>
      </c>
    </row>
    <row r="307" spans="1:12">
      <c r="A307" s="28">
        <v>306</v>
      </c>
      <c r="B307" s="28" t="s">
        <v>8564</v>
      </c>
      <c r="C307" s="28" t="s">
        <v>10780</v>
      </c>
      <c r="D307" s="28" t="s">
        <v>10168</v>
      </c>
      <c r="E307" s="28" t="s">
        <v>10169</v>
      </c>
      <c r="F307" s="28"/>
      <c r="G307" s="28" t="s">
        <v>10781</v>
      </c>
      <c r="H307" s="28"/>
      <c r="I307" s="28" t="s">
        <v>9180</v>
      </c>
      <c r="J307" s="28" t="s">
        <v>9224</v>
      </c>
      <c r="K307" s="28" t="s">
        <v>9188</v>
      </c>
      <c r="L307" s="28" t="s">
        <v>9223</v>
      </c>
    </row>
    <row r="308" spans="1:12">
      <c r="A308" s="27">
        <v>307</v>
      </c>
      <c r="B308" s="27" t="s">
        <v>8960</v>
      </c>
      <c r="C308" s="27" t="s">
        <v>8961</v>
      </c>
      <c r="D308" s="27" t="s">
        <v>10173</v>
      </c>
      <c r="E308" s="27" t="s">
        <v>10169</v>
      </c>
      <c r="F308" s="27"/>
      <c r="G308" s="27" t="s">
        <v>10782</v>
      </c>
      <c r="H308" s="27"/>
      <c r="I308" s="27" t="s">
        <v>9180</v>
      </c>
      <c r="J308" s="27" t="s">
        <v>9222</v>
      </c>
      <c r="K308" s="27" t="s">
        <v>9188</v>
      </c>
      <c r="L308" s="27" t="s">
        <v>9183</v>
      </c>
    </row>
    <row r="309" spans="1:12">
      <c r="A309" s="28">
        <v>308</v>
      </c>
      <c r="B309" s="28" t="s">
        <v>6697</v>
      </c>
      <c r="C309" s="28" t="s">
        <v>6698</v>
      </c>
      <c r="D309" s="28" t="s">
        <v>10168</v>
      </c>
      <c r="E309" s="28" t="s">
        <v>10169</v>
      </c>
      <c r="F309" s="28"/>
      <c r="G309" s="28" t="s">
        <v>10783</v>
      </c>
      <c r="H309" s="28"/>
      <c r="I309" s="28" t="s">
        <v>9180</v>
      </c>
      <c r="J309" s="28" t="s">
        <v>9372</v>
      </c>
      <c r="K309" s="28" t="s">
        <v>9188</v>
      </c>
      <c r="L309" s="28" t="s">
        <v>9189</v>
      </c>
    </row>
    <row r="310" spans="1:12">
      <c r="A310" s="29">
        <v>309</v>
      </c>
      <c r="B310" s="29" t="s">
        <v>7596</v>
      </c>
      <c r="C310" s="29" t="s">
        <v>10784</v>
      </c>
      <c r="D310" s="29" t="s">
        <v>10168</v>
      </c>
      <c r="E310" s="29" t="s">
        <v>10169</v>
      </c>
      <c r="F310" s="29"/>
      <c r="G310" s="29" t="s">
        <v>10785</v>
      </c>
      <c r="H310" s="29"/>
      <c r="I310" s="29" t="s">
        <v>9180</v>
      </c>
      <c r="J310" s="29" t="s">
        <v>10786</v>
      </c>
      <c r="K310" s="29" t="s">
        <v>9188</v>
      </c>
      <c r="L310" s="29" t="s">
        <v>9223</v>
      </c>
    </row>
    <row r="311" spans="1:12">
      <c r="A311" s="27">
        <v>310</v>
      </c>
      <c r="B311" s="27" t="s">
        <v>8500</v>
      </c>
      <c r="C311" s="27" t="s">
        <v>10787</v>
      </c>
      <c r="D311" s="27" t="s">
        <v>10173</v>
      </c>
      <c r="E311" s="27" t="s">
        <v>10169</v>
      </c>
      <c r="F311" s="27"/>
      <c r="G311" s="27" t="s">
        <v>10788</v>
      </c>
      <c r="H311" s="27"/>
      <c r="I311" s="27" t="s">
        <v>9180</v>
      </c>
      <c r="J311" s="27" t="s">
        <v>9217</v>
      </c>
      <c r="K311" s="27" t="s">
        <v>9188</v>
      </c>
      <c r="L311" s="27" t="s">
        <v>9183</v>
      </c>
    </row>
    <row r="312" spans="1:12">
      <c r="A312" s="29">
        <v>311</v>
      </c>
      <c r="B312" s="29" t="s">
        <v>8400</v>
      </c>
      <c r="C312" s="29" t="s">
        <v>10789</v>
      </c>
      <c r="D312" s="29" t="s">
        <v>10168</v>
      </c>
      <c r="E312" s="29" t="s">
        <v>10169</v>
      </c>
      <c r="F312" s="29"/>
      <c r="G312" s="29" t="s">
        <v>10790</v>
      </c>
      <c r="H312" s="29"/>
      <c r="I312" s="29" t="s">
        <v>9180</v>
      </c>
      <c r="J312" s="29" t="s">
        <v>9221</v>
      </c>
      <c r="K312" s="29" t="s">
        <v>9188</v>
      </c>
      <c r="L312" s="29" t="s">
        <v>9189</v>
      </c>
    </row>
    <row r="313" spans="1:12">
      <c r="A313" s="27">
        <v>312</v>
      </c>
      <c r="B313" s="27" t="s">
        <v>815</v>
      </c>
      <c r="C313" s="27" t="s">
        <v>10791</v>
      </c>
      <c r="D313" s="27" t="s">
        <v>10173</v>
      </c>
      <c r="E313" s="27" t="s">
        <v>10169</v>
      </c>
      <c r="F313" s="27"/>
      <c r="G313" s="27" t="s">
        <v>10792</v>
      </c>
      <c r="H313" s="27"/>
      <c r="I313" s="27" t="s">
        <v>9180</v>
      </c>
      <c r="J313" s="27" t="s">
        <v>10793</v>
      </c>
      <c r="K313" s="27" t="s">
        <v>9188</v>
      </c>
      <c r="L313" s="27" t="s">
        <v>9196</v>
      </c>
    </row>
    <row r="314" spans="1:12">
      <c r="A314" s="27">
        <v>313</v>
      </c>
      <c r="B314" s="27" t="s">
        <v>1357</v>
      </c>
      <c r="C314" s="27" t="s">
        <v>10347</v>
      </c>
      <c r="D314" s="27" t="s">
        <v>10173</v>
      </c>
      <c r="E314" s="27" t="s">
        <v>10169</v>
      </c>
      <c r="F314" s="27"/>
      <c r="G314" s="27" t="s">
        <v>10794</v>
      </c>
      <c r="H314" s="27"/>
      <c r="I314" s="27" t="s">
        <v>9180</v>
      </c>
      <c r="J314" s="27" t="s">
        <v>10795</v>
      </c>
      <c r="K314" s="27" t="s">
        <v>9188</v>
      </c>
      <c r="L314" s="27" t="s">
        <v>9196</v>
      </c>
    </row>
    <row r="315" spans="1:12">
      <c r="A315" s="28">
        <v>314</v>
      </c>
      <c r="B315" s="28" t="s">
        <v>4300</v>
      </c>
      <c r="C315" s="28" t="s">
        <v>4301</v>
      </c>
      <c r="D315" s="28" t="s">
        <v>10168</v>
      </c>
      <c r="E315" s="28" t="s">
        <v>10169</v>
      </c>
      <c r="F315" s="28"/>
      <c r="G315" s="28" t="s">
        <v>10796</v>
      </c>
      <c r="H315" s="28"/>
      <c r="I315" s="28" t="s">
        <v>9180</v>
      </c>
      <c r="J315" s="28" t="s">
        <v>10797</v>
      </c>
      <c r="K315" s="28" t="s">
        <v>9188</v>
      </c>
      <c r="L315" s="28" t="s">
        <v>9223</v>
      </c>
    </row>
    <row r="316" spans="1:12">
      <c r="A316" s="29">
        <v>315</v>
      </c>
      <c r="B316" s="29" t="s">
        <v>2317</v>
      </c>
      <c r="C316" s="29" t="s">
        <v>10798</v>
      </c>
      <c r="D316" s="29" t="s">
        <v>10168</v>
      </c>
      <c r="E316" s="29" t="s">
        <v>10169</v>
      </c>
      <c r="F316" s="29"/>
      <c r="G316" s="29" t="s">
        <v>10799</v>
      </c>
      <c r="H316" s="29"/>
      <c r="I316" s="29" t="s">
        <v>9180</v>
      </c>
      <c r="J316" s="29" t="s">
        <v>10800</v>
      </c>
      <c r="K316" s="29" t="s">
        <v>9188</v>
      </c>
      <c r="L316" s="29" t="s">
        <v>9189</v>
      </c>
    </row>
    <row r="317" spans="1:12">
      <c r="A317" s="28">
        <v>316</v>
      </c>
      <c r="B317" s="28" t="s">
        <v>2957</v>
      </c>
      <c r="C317" s="28" t="s">
        <v>10801</v>
      </c>
      <c r="D317" s="28" t="s">
        <v>10168</v>
      </c>
      <c r="E317" s="28" t="s">
        <v>10169</v>
      </c>
      <c r="F317" s="28"/>
      <c r="G317" s="28" t="s">
        <v>10802</v>
      </c>
      <c r="H317" s="28"/>
      <c r="I317" s="28" t="s">
        <v>9180</v>
      </c>
      <c r="J317" s="28" t="s">
        <v>10511</v>
      </c>
      <c r="K317" s="28" t="s">
        <v>9188</v>
      </c>
      <c r="L317" s="28" t="s">
        <v>9189</v>
      </c>
    </row>
    <row r="318" spans="1:12">
      <c r="A318" s="29">
        <v>317</v>
      </c>
      <c r="B318" s="29" t="s">
        <v>667</v>
      </c>
      <c r="C318" s="29" t="s">
        <v>668</v>
      </c>
      <c r="D318" s="29" t="s">
        <v>10168</v>
      </c>
      <c r="E318" s="29" t="s">
        <v>10169</v>
      </c>
      <c r="F318" s="29"/>
      <c r="G318" s="29" t="s">
        <v>10803</v>
      </c>
      <c r="H318" s="29"/>
      <c r="I318" s="29" t="s">
        <v>9180</v>
      </c>
      <c r="J318" s="29" t="s">
        <v>10804</v>
      </c>
      <c r="K318" s="29" t="s">
        <v>9188</v>
      </c>
      <c r="L318" s="29" t="s">
        <v>9223</v>
      </c>
    </row>
    <row r="319" spans="1:12">
      <c r="A319" s="28">
        <v>318</v>
      </c>
      <c r="B319" s="28" t="s">
        <v>446</v>
      </c>
      <c r="C319" s="28" t="s">
        <v>447</v>
      </c>
      <c r="D319" s="28" t="s">
        <v>10168</v>
      </c>
      <c r="E319" s="28" t="s">
        <v>10169</v>
      </c>
      <c r="F319" s="28"/>
      <c r="G319" s="28" t="s">
        <v>10805</v>
      </c>
      <c r="H319" s="28"/>
      <c r="I319" s="28" t="s">
        <v>9180</v>
      </c>
      <c r="J319" s="28" t="s">
        <v>10806</v>
      </c>
      <c r="K319" s="28" t="s">
        <v>9188</v>
      </c>
      <c r="L319" s="28" t="s">
        <v>9223</v>
      </c>
    </row>
    <row r="320" spans="1:12">
      <c r="A320" s="27">
        <v>319</v>
      </c>
      <c r="B320" s="27" t="s">
        <v>1065</v>
      </c>
      <c r="C320" s="27" t="s">
        <v>10807</v>
      </c>
      <c r="D320" s="27" t="s">
        <v>10173</v>
      </c>
      <c r="E320" s="27" t="s">
        <v>10169</v>
      </c>
      <c r="F320" s="27"/>
      <c r="G320" s="27" t="s">
        <v>10808</v>
      </c>
      <c r="H320" s="27"/>
      <c r="I320" s="27" t="s">
        <v>9180</v>
      </c>
      <c r="J320" s="27" t="s">
        <v>9777</v>
      </c>
      <c r="K320" s="27" t="s">
        <v>9188</v>
      </c>
      <c r="L320" s="27" t="s">
        <v>9196</v>
      </c>
    </row>
    <row r="321" spans="1:12">
      <c r="A321" s="28">
        <v>320</v>
      </c>
      <c r="B321" s="28" t="s">
        <v>5304</v>
      </c>
      <c r="C321" s="28" t="s">
        <v>10809</v>
      </c>
      <c r="D321" s="28" t="s">
        <v>10168</v>
      </c>
      <c r="E321" s="28" t="s">
        <v>10169</v>
      </c>
      <c r="F321" s="28"/>
      <c r="G321" s="28" t="s">
        <v>10810</v>
      </c>
      <c r="H321" s="28"/>
      <c r="I321" s="28" t="s">
        <v>9180</v>
      </c>
      <c r="J321" s="28" t="s">
        <v>9256</v>
      </c>
      <c r="K321" s="28" t="s">
        <v>9188</v>
      </c>
      <c r="L321" s="28" t="s">
        <v>9189</v>
      </c>
    </row>
    <row r="322" spans="1:12">
      <c r="A322" s="29">
        <v>321</v>
      </c>
      <c r="B322" s="29" t="s">
        <v>7918</v>
      </c>
      <c r="C322" s="29" t="s">
        <v>7919</v>
      </c>
      <c r="D322" s="29" t="s">
        <v>10168</v>
      </c>
      <c r="E322" s="29" t="s">
        <v>10169</v>
      </c>
      <c r="F322" s="29"/>
      <c r="G322" s="29" t="s">
        <v>10811</v>
      </c>
      <c r="H322" s="29"/>
      <c r="I322" s="29" t="s">
        <v>9180</v>
      </c>
      <c r="J322" s="29" t="s">
        <v>9343</v>
      </c>
      <c r="K322" s="29" t="s">
        <v>9188</v>
      </c>
      <c r="L322" s="29" t="s">
        <v>9189</v>
      </c>
    </row>
    <row r="323" spans="1:12">
      <c r="A323" s="28">
        <v>322</v>
      </c>
      <c r="B323" s="28" t="s">
        <v>1836</v>
      </c>
      <c r="C323" s="28" t="s">
        <v>10812</v>
      </c>
      <c r="D323" s="28" t="s">
        <v>10168</v>
      </c>
      <c r="E323" s="28" t="s">
        <v>10169</v>
      </c>
      <c r="F323" s="28"/>
      <c r="G323" s="28" t="s">
        <v>10813</v>
      </c>
      <c r="H323" s="28"/>
      <c r="I323" s="28" t="s">
        <v>9180</v>
      </c>
      <c r="J323" s="28" t="s">
        <v>10814</v>
      </c>
      <c r="K323" s="28" t="s">
        <v>9188</v>
      </c>
      <c r="L323" s="28" t="s">
        <v>9189</v>
      </c>
    </row>
    <row r="324" spans="1:12">
      <c r="A324" s="29">
        <v>323</v>
      </c>
      <c r="B324" s="29" t="s">
        <v>7912</v>
      </c>
      <c r="C324" s="29" t="s">
        <v>7913</v>
      </c>
      <c r="D324" s="29" t="s">
        <v>10168</v>
      </c>
      <c r="E324" s="29" t="s">
        <v>10169</v>
      </c>
      <c r="F324" s="29"/>
      <c r="G324" s="29" t="s">
        <v>10815</v>
      </c>
      <c r="H324" s="29"/>
      <c r="I324" s="29" t="s">
        <v>9180</v>
      </c>
      <c r="J324" s="29" t="s">
        <v>9343</v>
      </c>
      <c r="K324" s="29" t="s">
        <v>9188</v>
      </c>
      <c r="L324" s="29" t="s">
        <v>9189</v>
      </c>
    </row>
    <row r="325" spans="1:12">
      <c r="A325" s="28">
        <v>324</v>
      </c>
      <c r="B325" s="28" t="s">
        <v>6171</v>
      </c>
      <c r="C325" s="28" t="s">
        <v>6172</v>
      </c>
      <c r="D325" s="28" t="s">
        <v>10168</v>
      </c>
      <c r="E325" s="28" t="s">
        <v>10169</v>
      </c>
      <c r="F325" s="28"/>
      <c r="G325" s="28" t="s">
        <v>10816</v>
      </c>
      <c r="H325" s="28"/>
      <c r="I325" s="28" t="s">
        <v>9180</v>
      </c>
      <c r="J325" s="28" t="s">
        <v>9268</v>
      </c>
      <c r="K325" s="28" t="s">
        <v>9188</v>
      </c>
      <c r="L325" s="28" t="s">
        <v>9223</v>
      </c>
    </row>
    <row r="326" spans="1:12">
      <c r="A326" s="29">
        <v>325</v>
      </c>
      <c r="B326" s="29" t="s">
        <v>7212</v>
      </c>
      <c r="C326" s="29" t="s">
        <v>10817</v>
      </c>
      <c r="D326" s="29" t="s">
        <v>10168</v>
      </c>
      <c r="E326" s="29" t="s">
        <v>10169</v>
      </c>
      <c r="F326" s="29"/>
      <c r="G326" s="29" t="s">
        <v>10818</v>
      </c>
      <c r="H326" s="29"/>
      <c r="I326" s="29" t="s">
        <v>9180</v>
      </c>
      <c r="J326" s="29" t="s">
        <v>9606</v>
      </c>
      <c r="K326" s="29" t="s">
        <v>9188</v>
      </c>
      <c r="L326" s="29" t="s">
        <v>9189</v>
      </c>
    </row>
    <row r="327" spans="1:12">
      <c r="A327" s="27">
        <v>326</v>
      </c>
      <c r="B327" s="27" t="s">
        <v>1098</v>
      </c>
      <c r="C327" s="27" t="s">
        <v>1099</v>
      </c>
      <c r="D327" s="27" t="s">
        <v>10173</v>
      </c>
      <c r="E327" s="27" t="s">
        <v>10169</v>
      </c>
      <c r="F327" s="27"/>
      <c r="G327" s="27" t="s">
        <v>10819</v>
      </c>
      <c r="H327" s="27" t="s">
        <v>10819</v>
      </c>
      <c r="I327" s="27" t="s">
        <v>9180</v>
      </c>
      <c r="J327" s="27" t="s">
        <v>10233</v>
      </c>
      <c r="K327" s="27" t="s">
        <v>9188</v>
      </c>
      <c r="L327" s="27" t="s">
        <v>9196</v>
      </c>
    </row>
    <row r="328" spans="1:12">
      <c r="A328" s="29">
        <v>327</v>
      </c>
      <c r="B328" s="29" t="s">
        <v>7760</v>
      </c>
      <c r="C328" s="29" t="s">
        <v>10820</v>
      </c>
      <c r="D328" s="29" t="s">
        <v>10168</v>
      </c>
      <c r="E328" s="29" t="s">
        <v>10169</v>
      </c>
      <c r="F328" s="29"/>
      <c r="G328" s="29" t="s">
        <v>10821</v>
      </c>
      <c r="H328" s="29"/>
      <c r="I328" s="29" t="s">
        <v>9180</v>
      </c>
      <c r="J328" s="29" t="s">
        <v>9274</v>
      </c>
      <c r="K328" s="29" t="s">
        <v>9188</v>
      </c>
      <c r="L328" s="29" t="s">
        <v>9189</v>
      </c>
    </row>
    <row r="329" spans="1:12">
      <c r="A329" s="28">
        <v>328</v>
      </c>
      <c r="B329" s="28" t="s">
        <v>1847</v>
      </c>
      <c r="C329" s="28" t="s">
        <v>1848</v>
      </c>
      <c r="D329" s="28" t="s">
        <v>10168</v>
      </c>
      <c r="E329" s="28" t="s">
        <v>10169</v>
      </c>
      <c r="F329" s="28"/>
      <c r="G329" s="28" t="s">
        <v>10822</v>
      </c>
      <c r="H329" s="28"/>
      <c r="I329" s="28" t="s">
        <v>9180</v>
      </c>
      <c r="J329" s="28" t="s">
        <v>10823</v>
      </c>
      <c r="K329" s="28" t="s">
        <v>9188</v>
      </c>
      <c r="L329" s="28" t="s">
        <v>9223</v>
      </c>
    </row>
    <row r="330" spans="1:12">
      <c r="A330" s="30">
        <v>329</v>
      </c>
      <c r="B330" s="30" t="s">
        <v>5257</v>
      </c>
      <c r="C330" s="30" t="s">
        <v>10824</v>
      </c>
      <c r="D330" s="30" t="s">
        <v>10173</v>
      </c>
      <c r="E330" s="30" t="s">
        <v>9208</v>
      </c>
      <c r="F330" s="30"/>
      <c r="G330" s="30" t="s">
        <v>10825</v>
      </c>
      <c r="H330" s="30"/>
      <c r="I330" s="30" t="s">
        <v>9180</v>
      </c>
      <c r="J330" s="30" t="s">
        <v>10826</v>
      </c>
      <c r="K330" s="30" t="s">
        <v>9188</v>
      </c>
      <c r="L330" s="30" t="s">
        <v>9350</v>
      </c>
    </row>
    <row r="331" spans="1:12">
      <c r="A331" s="28">
        <v>330</v>
      </c>
      <c r="B331" s="28" t="s">
        <v>7474</v>
      </c>
      <c r="C331" s="28" t="s">
        <v>10827</v>
      </c>
      <c r="D331" s="28" t="s">
        <v>10168</v>
      </c>
      <c r="E331" s="28" t="s">
        <v>10169</v>
      </c>
      <c r="F331" s="28"/>
      <c r="G331" s="28" t="s">
        <v>10828</v>
      </c>
      <c r="H331" s="28"/>
      <c r="I331" s="28" t="s">
        <v>9180</v>
      </c>
      <c r="J331" s="28" t="s">
        <v>9312</v>
      </c>
      <c r="K331" s="28" t="s">
        <v>9188</v>
      </c>
      <c r="L331" s="28" t="s">
        <v>9189</v>
      </c>
    </row>
    <row r="332" spans="1:12">
      <c r="A332" s="29">
        <v>331</v>
      </c>
      <c r="B332" s="29" t="s">
        <v>403</v>
      </c>
      <c r="C332" s="29" t="s">
        <v>10829</v>
      </c>
      <c r="D332" s="29" t="s">
        <v>10168</v>
      </c>
      <c r="E332" s="29" t="s">
        <v>10169</v>
      </c>
      <c r="F332" s="29"/>
      <c r="G332" s="29" t="s">
        <v>10830</v>
      </c>
      <c r="H332" s="29"/>
      <c r="I332" s="29" t="s">
        <v>9180</v>
      </c>
      <c r="J332" s="29" t="s">
        <v>10831</v>
      </c>
      <c r="K332" s="29" t="s">
        <v>9188</v>
      </c>
      <c r="L332" s="29" t="s">
        <v>9189</v>
      </c>
    </row>
    <row r="333" spans="1:12">
      <c r="A333" s="28">
        <v>332</v>
      </c>
      <c r="B333" s="28" t="s">
        <v>4942</v>
      </c>
      <c r="C333" s="28" t="s">
        <v>10832</v>
      </c>
      <c r="D333" s="28" t="s">
        <v>10168</v>
      </c>
      <c r="E333" s="28" t="s">
        <v>10169</v>
      </c>
      <c r="F333" s="28"/>
      <c r="G333" s="28" t="s">
        <v>10833</v>
      </c>
      <c r="H333" s="28"/>
      <c r="I333" s="28" t="s">
        <v>9180</v>
      </c>
      <c r="J333" s="28" t="s">
        <v>9434</v>
      </c>
      <c r="K333" s="28" t="s">
        <v>9188</v>
      </c>
      <c r="L333" s="28" t="s">
        <v>9189</v>
      </c>
    </row>
    <row r="334" spans="1:12">
      <c r="A334" s="29">
        <v>333</v>
      </c>
      <c r="B334" s="29" t="s">
        <v>4843</v>
      </c>
      <c r="C334" s="29"/>
      <c r="D334" s="29" t="s">
        <v>10168</v>
      </c>
      <c r="E334" s="29" t="s">
        <v>10169</v>
      </c>
      <c r="F334" s="29"/>
      <c r="G334" s="29" t="s">
        <v>10834</v>
      </c>
      <c r="H334" s="29"/>
      <c r="I334" s="29" t="s">
        <v>9180</v>
      </c>
      <c r="J334" s="29" t="s">
        <v>10835</v>
      </c>
      <c r="K334" s="29" t="s">
        <v>9188</v>
      </c>
      <c r="L334" s="29" t="s">
        <v>9223</v>
      </c>
    </row>
    <row r="335" spans="1:12">
      <c r="A335" s="27">
        <v>334</v>
      </c>
      <c r="B335" s="27" t="s">
        <v>1740</v>
      </c>
      <c r="C335" s="27" t="s">
        <v>10836</v>
      </c>
      <c r="D335" s="27" t="s">
        <v>10173</v>
      </c>
      <c r="E335" s="27" t="s">
        <v>10169</v>
      </c>
      <c r="F335" s="27"/>
      <c r="G335" s="27" t="s">
        <v>10837</v>
      </c>
      <c r="H335" s="27"/>
      <c r="I335" s="27" t="s">
        <v>9180</v>
      </c>
      <c r="J335" s="27" t="s">
        <v>10838</v>
      </c>
      <c r="K335" s="27" t="s">
        <v>9188</v>
      </c>
      <c r="L335" s="27" t="s">
        <v>9196</v>
      </c>
    </row>
    <row r="336" spans="1:12">
      <c r="A336" s="29">
        <v>335</v>
      </c>
      <c r="B336" s="29" t="s">
        <v>4797</v>
      </c>
      <c r="C336" s="29" t="s">
        <v>10839</v>
      </c>
      <c r="D336" s="29" t="s">
        <v>10168</v>
      </c>
      <c r="E336" s="29" t="s">
        <v>10169</v>
      </c>
      <c r="F336" s="29"/>
      <c r="G336" s="29" t="s">
        <v>10840</v>
      </c>
      <c r="H336" s="29"/>
      <c r="I336" s="29" t="s">
        <v>9180</v>
      </c>
      <c r="J336" s="29" t="s">
        <v>10841</v>
      </c>
      <c r="K336" s="29" t="s">
        <v>9188</v>
      </c>
      <c r="L336" s="29" t="s">
        <v>9189</v>
      </c>
    </row>
    <row r="337" spans="1:12">
      <c r="A337" s="28">
        <v>336</v>
      </c>
      <c r="B337" s="28" t="s">
        <v>7107</v>
      </c>
      <c r="C337" s="28" t="s">
        <v>10842</v>
      </c>
      <c r="D337" s="28" t="s">
        <v>10168</v>
      </c>
      <c r="E337" s="28" t="s">
        <v>10169</v>
      </c>
      <c r="F337" s="28"/>
      <c r="G337" s="28" t="s">
        <v>10843</v>
      </c>
      <c r="H337" s="28"/>
      <c r="I337" s="28" t="s">
        <v>9180</v>
      </c>
      <c r="J337" s="28" t="s">
        <v>9274</v>
      </c>
      <c r="K337" s="28" t="s">
        <v>9188</v>
      </c>
      <c r="L337" s="28" t="s">
        <v>9189</v>
      </c>
    </row>
    <row r="338" spans="1:12">
      <c r="A338" s="29">
        <v>337</v>
      </c>
      <c r="B338" s="29" t="s">
        <v>7064</v>
      </c>
      <c r="C338" s="29" t="s">
        <v>10844</v>
      </c>
      <c r="D338" s="29" t="s">
        <v>10168</v>
      </c>
      <c r="E338" s="29" t="s">
        <v>10169</v>
      </c>
      <c r="F338" s="29"/>
      <c r="G338" s="29" t="s">
        <v>10845</v>
      </c>
      <c r="H338" s="29"/>
      <c r="I338" s="29" t="s">
        <v>9180</v>
      </c>
      <c r="J338" s="29" t="s">
        <v>9274</v>
      </c>
      <c r="K338" s="29" t="s">
        <v>9188</v>
      </c>
      <c r="L338" s="29" t="s">
        <v>9189</v>
      </c>
    </row>
    <row r="339" spans="1:12">
      <c r="A339" s="27">
        <v>338</v>
      </c>
      <c r="B339" s="27" t="s">
        <v>6957</v>
      </c>
      <c r="C339" s="27" t="s">
        <v>6958</v>
      </c>
      <c r="D339" s="27" t="s">
        <v>10173</v>
      </c>
      <c r="E339" s="27" t="s">
        <v>10169</v>
      </c>
      <c r="F339" s="27"/>
      <c r="G339" s="27" t="s">
        <v>10846</v>
      </c>
      <c r="H339" s="27"/>
      <c r="I339" s="27" t="s">
        <v>9180</v>
      </c>
      <c r="J339" s="27" t="s">
        <v>9312</v>
      </c>
      <c r="K339" s="27" t="s">
        <v>9188</v>
      </c>
      <c r="L339" s="27" t="s">
        <v>9196</v>
      </c>
    </row>
    <row r="340" spans="1:12">
      <c r="A340" s="29">
        <v>339</v>
      </c>
      <c r="B340" s="29" t="s">
        <v>6953</v>
      </c>
      <c r="C340" s="29" t="s">
        <v>10847</v>
      </c>
      <c r="D340" s="29" t="s">
        <v>10168</v>
      </c>
      <c r="E340" s="29" t="s">
        <v>10169</v>
      </c>
      <c r="F340" s="29"/>
      <c r="G340" s="29" t="s">
        <v>10848</v>
      </c>
      <c r="H340" s="29"/>
      <c r="I340" s="29" t="s">
        <v>9180</v>
      </c>
      <c r="J340" s="29" t="s">
        <v>9274</v>
      </c>
      <c r="K340" s="29" t="s">
        <v>9188</v>
      </c>
      <c r="L340" s="29" t="s">
        <v>9189</v>
      </c>
    </row>
    <row r="341" spans="1:12">
      <c r="A341" s="28">
        <v>340</v>
      </c>
      <c r="B341" s="28" t="s">
        <v>6941</v>
      </c>
      <c r="C341" s="28" t="s">
        <v>10849</v>
      </c>
      <c r="D341" s="28" t="s">
        <v>10168</v>
      </c>
      <c r="E341" s="28" t="s">
        <v>10169</v>
      </c>
      <c r="F341" s="28"/>
      <c r="G341" s="28" t="s">
        <v>10850</v>
      </c>
      <c r="H341" s="28"/>
      <c r="I341" s="28" t="s">
        <v>9180</v>
      </c>
      <c r="J341" s="28" t="s">
        <v>9192</v>
      </c>
      <c r="K341" s="28" t="s">
        <v>9188</v>
      </c>
      <c r="L341" s="28" t="s">
        <v>9189</v>
      </c>
    </row>
    <row r="342" spans="1:12">
      <c r="A342" s="29">
        <v>341</v>
      </c>
      <c r="B342" s="29" t="s">
        <v>6971</v>
      </c>
      <c r="C342" s="29" t="s">
        <v>6972</v>
      </c>
      <c r="D342" s="29" t="s">
        <v>10168</v>
      </c>
      <c r="E342" s="29" t="s">
        <v>10169</v>
      </c>
      <c r="F342" s="29"/>
      <c r="G342" s="29" t="s">
        <v>10851</v>
      </c>
      <c r="H342" s="29"/>
      <c r="I342" s="29" t="s">
        <v>9180</v>
      </c>
      <c r="J342" s="29" t="s">
        <v>9280</v>
      </c>
      <c r="K342" s="29" t="s">
        <v>9188</v>
      </c>
      <c r="L342" s="29" t="s">
        <v>9223</v>
      </c>
    </row>
    <row r="343" spans="1:12">
      <c r="A343" s="27">
        <v>342</v>
      </c>
      <c r="B343" s="27" t="s">
        <v>6286</v>
      </c>
      <c r="C343" s="27" t="s">
        <v>6287</v>
      </c>
      <c r="D343" s="27" t="s">
        <v>10173</v>
      </c>
      <c r="E343" s="27" t="s">
        <v>10169</v>
      </c>
      <c r="F343" s="27"/>
      <c r="G343" s="27" t="s">
        <v>10852</v>
      </c>
      <c r="H343" s="27"/>
      <c r="I343" s="27" t="s">
        <v>9180</v>
      </c>
      <c r="J343" s="27" t="s">
        <v>9322</v>
      </c>
      <c r="K343" s="27" t="s">
        <v>9188</v>
      </c>
      <c r="L343" s="27" t="s">
        <v>9196</v>
      </c>
    </row>
    <row r="344" spans="1:12">
      <c r="A344" s="29">
        <v>343</v>
      </c>
      <c r="B344" s="29" t="s">
        <v>6963</v>
      </c>
      <c r="C344" s="29" t="s">
        <v>10853</v>
      </c>
      <c r="D344" s="29" t="s">
        <v>10168</v>
      </c>
      <c r="E344" s="29" t="s">
        <v>10169</v>
      </c>
      <c r="F344" s="29"/>
      <c r="G344" s="29" t="s">
        <v>10854</v>
      </c>
      <c r="H344" s="29"/>
      <c r="I344" s="29" t="s">
        <v>9180</v>
      </c>
      <c r="J344" s="29" t="s">
        <v>9274</v>
      </c>
      <c r="K344" s="29" t="s">
        <v>9188</v>
      </c>
      <c r="L344" s="29" t="s">
        <v>9189</v>
      </c>
    </row>
    <row r="345" spans="1:12">
      <c r="A345" s="28">
        <v>344</v>
      </c>
      <c r="B345" s="28" t="s">
        <v>5392</v>
      </c>
      <c r="C345" s="28" t="s">
        <v>5393</v>
      </c>
      <c r="D345" s="28" t="s">
        <v>10168</v>
      </c>
      <c r="E345" s="28" t="s">
        <v>10169</v>
      </c>
      <c r="F345" s="28"/>
      <c r="G345" s="28" t="s">
        <v>10855</v>
      </c>
      <c r="H345" s="28"/>
      <c r="I345" s="28" t="s">
        <v>9180</v>
      </c>
      <c r="J345" s="28" t="s">
        <v>10856</v>
      </c>
      <c r="K345" s="28" t="s">
        <v>9188</v>
      </c>
      <c r="L345" s="28" t="s">
        <v>9223</v>
      </c>
    </row>
    <row r="346" spans="1:12">
      <c r="A346" s="27">
        <v>345</v>
      </c>
      <c r="B346" s="27" t="s">
        <v>4699</v>
      </c>
      <c r="C346" s="27" t="s">
        <v>4700</v>
      </c>
      <c r="D346" s="27" t="s">
        <v>10173</v>
      </c>
      <c r="E346" s="27" t="s">
        <v>10169</v>
      </c>
      <c r="F346" s="27"/>
      <c r="G346" s="27" t="s">
        <v>10857</v>
      </c>
      <c r="H346" s="27"/>
      <c r="I346" s="27" t="s">
        <v>9180</v>
      </c>
      <c r="J346" s="27" t="s">
        <v>10858</v>
      </c>
      <c r="K346" s="27" t="s">
        <v>9188</v>
      </c>
      <c r="L346" s="27" t="s">
        <v>9183</v>
      </c>
    </row>
    <row r="347" spans="1:12">
      <c r="A347" s="28">
        <v>346</v>
      </c>
      <c r="B347" s="28" t="s">
        <v>5497</v>
      </c>
      <c r="C347" s="28" t="s">
        <v>10859</v>
      </c>
      <c r="D347" s="28" t="s">
        <v>10168</v>
      </c>
      <c r="E347" s="28" t="s">
        <v>10169</v>
      </c>
      <c r="F347" s="28"/>
      <c r="G347" s="28" t="s">
        <v>10860</v>
      </c>
      <c r="H347" s="28"/>
      <c r="I347" s="28" t="s">
        <v>9180</v>
      </c>
      <c r="J347" s="28" t="s">
        <v>9372</v>
      </c>
      <c r="K347" s="28" t="s">
        <v>9188</v>
      </c>
      <c r="L347" s="28" t="s">
        <v>9189</v>
      </c>
    </row>
    <row r="348" spans="1:12">
      <c r="A348" s="27">
        <v>347</v>
      </c>
      <c r="B348" s="27" t="s">
        <v>6727</v>
      </c>
      <c r="C348" s="27" t="s">
        <v>6728</v>
      </c>
      <c r="D348" s="27" t="s">
        <v>10173</v>
      </c>
      <c r="E348" s="27" t="s">
        <v>10169</v>
      </c>
      <c r="F348" s="27"/>
      <c r="G348" s="27" t="s">
        <v>10861</v>
      </c>
      <c r="H348" s="27"/>
      <c r="I348" s="27" t="s">
        <v>9180</v>
      </c>
      <c r="J348" s="27" t="s">
        <v>9280</v>
      </c>
      <c r="K348" s="27" t="s">
        <v>9188</v>
      </c>
      <c r="L348" s="27" t="s">
        <v>9183</v>
      </c>
    </row>
    <row r="349" spans="1:12">
      <c r="A349" s="28">
        <v>348</v>
      </c>
      <c r="B349" s="28" t="s">
        <v>4606</v>
      </c>
      <c r="C349" s="28" t="s">
        <v>10862</v>
      </c>
      <c r="D349" s="28" t="s">
        <v>10168</v>
      </c>
      <c r="E349" s="28" t="s">
        <v>10169</v>
      </c>
      <c r="F349" s="28"/>
      <c r="G349" s="28" t="s">
        <v>10863</v>
      </c>
      <c r="H349" s="28"/>
      <c r="I349" s="28" t="s">
        <v>9180</v>
      </c>
      <c r="J349" s="28" t="s">
        <v>9962</v>
      </c>
      <c r="K349" s="28" t="s">
        <v>9188</v>
      </c>
      <c r="L349" s="28" t="s">
        <v>9189</v>
      </c>
    </row>
    <row r="350" spans="1:12">
      <c r="A350" s="29">
        <v>349</v>
      </c>
      <c r="B350" s="29" t="s">
        <v>6565</v>
      </c>
      <c r="C350" s="29" t="s">
        <v>10864</v>
      </c>
      <c r="D350" s="29" t="s">
        <v>10168</v>
      </c>
      <c r="E350" s="29" t="s">
        <v>10169</v>
      </c>
      <c r="F350" s="29"/>
      <c r="G350" s="29" t="s">
        <v>10865</v>
      </c>
      <c r="H350" s="29"/>
      <c r="I350" s="29" t="s">
        <v>9180</v>
      </c>
      <c r="J350" s="29" t="s">
        <v>9343</v>
      </c>
      <c r="K350" s="29" t="s">
        <v>9188</v>
      </c>
      <c r="L350" s="29" t="s">
        <v>9189</v>
      </c>
    </row>
    <row r="351" spans="1:12">
      <c r="A351" s="27">
        <v>350</v>
      </c>
      <c r="B351" s="27" t="s">
        <v>6550</v>
      </c>
      <c r="C351" s="27"/>
      <c r="D351" s="27" t="s">
        <v>10173</v>
      </c>
      <c r="E351" s="27" t="s">
        <v>10169</v>
      </c>
      <c r="F351" s="27"/>
      <c r="G351" s="27" t="s">
        <v>10866</v>
      </c>
      <c r="H351" s="27"/>
      <c r="I351" s="27" t="s">
        <v>9180</v>
      </c>
      <c r="J351" s="27" t="s">
        <v>9343</v>
      </c>
      <c r="K351" s="27" t="s">
        <v>9188</v>
      </c>
      <c r="L351" s="27" t="s">
        <v>9183</v>
      </c>
    </row>
    <row r="352" spans="1:12">
      <c r="A352" s="27">
        <v>351</v>
      </c>
      <c r="B352" s="27" t="s">
        <v>6521</v>
      </c>
      <c r="C352" s="27" t="s">
        <v>10867</v>
      </c>
      <c r="D352" s="27" t="s">
        <v>10173</v>
      </c>
      <c r="E352" s="27" t="s">
        <v>10169</v>
      </c>
      <c r="F352" s="27"/>
      <c r="G352" s="27" t="s">
        <v>10868</v>
      </c>
      <c r="H352" s="27"/>
      <c r="I352" s="27" t="s">
        <v>9180</v>
      </c>
      <c r="J352" s="27" t="s">
        <v>9309</v>
      </c>
      <c r="K352" s="27" t="s">
        <v>9188</v>
      </c>
      <c r="L352" s="27" t="s">
        <v>9196</v>
      </c>
    </row>
    <row r="353" spans="1:12">
      <c r="A353" s="30">
        <v>352</v>
      </c>
      <c r="B353" s="30" t="s">
        <v>2321</v>
      </c>
      <c r="C353" s="30" t="s">
        <v>10869</v>
      </c>
      <c r="D353" s="30" t="s">
        <v>10173</v>
      </c>
      <c r="E353" s="30" t="s">
        <v>9208</v>
      </c>
      <c r="F353" s="30"/>
      <c r="G353" s="30" t="s">
        <v>10870</v>
      </c>
      <c r="H353" s="30"/>
      <c r="I353" s="30" t="s">
        <v>9180</v>
      </c>
      <c r="J353" s="30" t="s">
        <v>9530</v>
      </c>
      <c r="K353" s="30" t="s">
        <v>9188</v>
      </c>
      <c r="L353" s="30" t="s">
        <v>9350</v>
      </c>
    </row>
    <row r="354" spans="1:12">
      <c r="A354" s="29">
        <v>353</v>
      </c>
      <c r="B354" s="29" t="s">
        <v>6185</v>
      </c>
      <c r="C354" s="29" t="s">
        <v>10871</v>
      </c>
      <c r="D354" s="29" t="s">
        <v>10168</v>
      </c>
      <c r="E354" s="29" t="s">
        <v>10169</v>
      </c>
      <c r="F354" s="29"/>
      <c r="G354" s="29" t="s">
        <v>10872</v>
      </c>
      <c r="H354" s="29"/>
      <c r="I354" s="29" t="s">
        <v>9180</v>
      </c>
      <c r="J354" s="29" t="s">
        <v>9274</v>
      </c>
      <c r="K354" s="29" t="s">
        <v>9188</v>
      </c>
      <c r="L354" s="29" t="s">
        <v>9189</v>
      </c>
    </row>
    <row r="355" spans="1:12">
      <c r="A355" s="28">
        <v>354</v>
      </c>
      <c r="B355" s="28" t="s">
        <v>6345</v>
      </c>
      <c r="C355" s="28" t="s">
        <v>10873</v>
      </c>
      <c r="D355" s="28" t="s">
        <v>10168</v>
      </c>
      <c r="E355" s="28" t="s">
        <v>10169</v>
      </c>
      <c r="F355" s="28"/>
      <c r="G355" s="28" t="s">
        <v>10874</v>
      </c>
      <c r="H355" s="28"/>
      <c r="I355" s="28" t="s">
        <v>9180</v>
      </c>
      <c r="J355" s="28" t="s">
        <v>9274</v>
      </c>
      <c r="K355" s="28" t="s">
        <v>9188</v>
      </c>
      <c r="L355" s="28" t="s">
        <v>9189</v>
      </c>
    </row>
    <row r="356" spans="1:12">
      <c r="A356" s="29">
        <v>355</v>
      </c>
      <c r="B356" s="29" t="s">
        <v>5637</v>
      </c>
      <c r="C356" s="29" t="s">
        <v>10875</v>
      </c>
      <c r="D356" s="29" t="s">
        <v>10168</v>
      </c>
      <c r="E356" s="29" t="s">
        <v>10169</v>
      </c>
      <c r="F356" s="29"/>
      <c r="G356" s="29" t="s">
        <v>10876</v>
      </c>
      <c r="H356" s="29"/>
      <c r="I356" s="29" t="s">
        <v>9180</v>
      </c>
      <c r="J356" s="29" t="s">
        <v>10877</v>
      </c>
      <c r="K356" s="29" t="s">
        <v>9188</v>
      </c>
      <c r="L356" s="29" t="s">
        <v>9189</v>
      </c>
    </row>
    <row r="357" spans="1:12">
      <c r="A357" s="28">
        <v>356</v>
      </c>
      <c r="B357" s="28" t="s">
        <v>6199</v>
      </c>
      <c r="C357" s="28" t="s">
        <v>10878</v>
      </c>
      <c r="D357" s="28" t="s">
        <v>10168</v>
      </c>
      <c r="E357" s="28" t="s">
        <v>10169</v>
      </c>
      <c r="F357" s="28"/>
      <c r="G357" s="28" t="s">
        <v>10879</v>
      </c>
      <c r="H357" s="28"/>
      <c r="I357" s="28" t="s">
        <v>9180</v>
      </c>
      <c r="J357" s="28" t="s">
        <v>9309</v>
      </c>
      <c r="K357" s="28" t="s">
        <v>9188</v>
      </c>
      <c r="L357" s="28" t="s">
        <v>9189</v>
      </c>
    </row>
    <row r="358" spans="1:12">
      <c r="A358" s="27">
        <v>357</v>
      </c>
      <c r="B358" s="27" t="s">
        <v>3696</v>
      </c>
      <c r="C358" s="27" t="s">
        <v>3697</v>
      </c>
      <c r="D358" s="27" t="s">
        <v>10173</v>
      </c>
      <c r="E358" s="27" t="s">
        <v>10169</v>
      </c>
      <c r="F358" s="27"/>
      <c r="G358" s="27" t="s">
        <v>10880</v>
      </c>
      <c r="H358" s="27"/>
      <c r="I358" s="27" t="s">
        <v>9180</v>
      </c>
      <c r="J358" s="27" t="s">
        <v>10881</v>
      </c>
      <c r="K358" s="27" t="s">
        <v>9188</v>
      </c>
      <c r="L358" s="27" t="s">
        <v>9196</v>
      </c>
    </row>
    <row r="359" spans="1:12">
      <c r="A359" s="27">
        <v>358</v>
      </c>
      <c r="B359" s="27" t="s">
        <v>6273</v>
      </c>
      <c r="C359" s="27" t="s">
        <v>10882</v>
      </c>
      <c r="D359" s="27" t="s">
        <v>10173</v>
      </c>
      <c r="E359" s="27" t="s">
        <v>10169</v>
      </c>
      <c r="F359" s="27"/>
      <c r="G359" s="27" t="s">
        <v>10883</v>
      </c>
      <c r="H359" s="27"/>
      <c r="I359" s="27" t="s">
        <v>9180</v>
      </c>
      <c r="J359" s="27" t="s">
        <v>10171</v>
      </c>
      <c r="K359" s="27" t="s">
        <v>9188</v>
      </c>
      <c r="L359" s="27" t="s">
        <v>9196</v>
      </c>
    </row>
    <row r="360" spans="1:12">
      <c r="A360" s="29">
        <v>359</v>
      </c>
      <c r="B360" s="29" t="s">
        <v>6107</v>
      </c>
      <c r="C360" s="29" t="s">
        <v>6958</v>
      </c>
      <c r="D360" s="29" t="s">
        <v>10168</v>
      </c>
      <c r="E360" s="29" t="s">
        <v>10169</v>
      </c>
      <c r="F360" s="29"/>
      <c r="G360" s="29" t="s">
        <v>10884</v>
      </c>
      <c r="H360" s="29"/>
      <c r="I360" s="29" t="s">
        <v>9180</v>
      </c>
      <c r="J360" s="29" t="s">
        <v>10885</v>
      </c>
      <c r="K360" s="29" t="s">
        <v>9188</v>
      </c>
      <c r="L360" s="29" t="s">
        <v>9189</v>
      </c>
    </row>
    <row r="361" spans="1:12">
      <c r="A361" s="28">
        <v>360</v>
      </c>
      <c r="B361" s="28" t="s">
        <v>8270</v>
      </c>
      <c r="C361" s="28" t="s">
        <v>10847</v>
      </c>
      <c r="D361" s="28" t="s">
        <v>10168</v>
      </c>
      <c r="E361" s="28" t="s">
        <v>10169</v>
      </c>
      <c r="F361" s="28"/>
      <c r="G361" s="28" t="s">
        <v>10886</v>
      </c>
      <c r="H361" s="28"/>
      <c r="I361" s="28" t="s">
        <v>9180</v>
      </c>
      <c r="J361" s="28" t="s">
        <v>9274</v>
      </c>
      <c r="K361" s="28" t="s">
        <v>9188</v>
      </c>
      <c r="L361" s="28" t="s">
        <v>9189</v>
      </c>
    </row>
    <row r="362" spans="1:12">
      <c r="A362" s="29">
        <v>361</v>
      </c>
      <c r="B362" s="29" t="s">
        <v>7384</v>
      </c>
      <c r="C362" s="29" t="s">
        <v>10887</v>
      </c>
      <c r="D362" s="29" t="s">
        <v>10168</v>
      </c>
      <c r="E362" s="29" t="s">
        <v>10169</v>
      </c>
      <c r="F362" s="29"/>
      <c r="G362" s="29" t="s">
        <v>10888</v>
      </c>
      <c r="H362" s="29"/>
      <c r="I362" s="29" t="s">
        <v>9180</v>
      </c>
      <c r="J362" s="29" t="s">
        <v>9650</v>
      </c>
      <c r="K362" s="29" t="s">
        <v>9188</v>
      </c>
      <c r="L362" s="29" t="s">
        <v>9189</v>
      </c>
    </row>
    <row r="363" spans="1:12">
      <c r="A363" s="28">
        <v>362</v>
      </c>
      <c r="B363" s="28" t="s">
        <v>1312</v>
      </c>
      <c r="C363" s="28" t="s">
        <v>10889</v>
      </c>
      <c r="D363" s="28" t="s">
        <v>10168</v>
      </c>
      <c r="E363" s="28" t="s">
        <v>10169</v>
      </c>
      <c r="F363" s="28"/>
      <c r="G363" s="28" t="s">
        <v>10890</v>
      </c>
      <c r="H363" s="28"/>
      <c r="I363" s="28" t="s">
        <v>9180</v>
      </c>
      <c r="J363" s="28" t="s">
        <v>10891</v>
      </c>
      <c r="K363" s="28" t="s">
        <v>9188</v>
      </c>
      <c r="L363" s="28" t="s">
        <v>9189</v>
      </c>
    </row>
    <row r="364" spans="1:12">
      <c r="A364" s="27">
        <v>363</v>
      </c>
      <c r="B364" s="27" t="s">
        <v>6723</v>
      </c>
      <c r="C364" s="27"/>
      <c r="D364" s="27" t="s">
        <v>10173</v>
      </c>
      <c r="E364" s="27" t="s">
        <v>10169</v>
      </c>
      <c r="F364" s="27"/>
      <c r="G364" s="27" t="s">
        <v>10892</v>
      </c>
      <c r="H364" s="27"/>
      <c r="I364" s="27" t="s">
        <v>9180</v>
      </c>
      <c r="J364" s="27" t="s">
        <v>9274</v>
      </c>
      <c r="K364" s="27" t="s">
        <v>9188</v>
      </c>
      <c r="L364" s="27" t="s">
        <v>9183</v>
      </c>
    </row>
    <row r="365" spans="1:12">
      <c r="A365" s="27">
        <v>364</v>
      </c>
      <c r="B365" s="27" t="s">
        <v>5209</v>
      </c>
      <c r="C365" s="27" t="s">
        <v>10893</v>
      </c>
      <c r="D365" s="27" t="s">
        <v>10173</v>
      </c>
      <c r="E365" s="27" t="s">
        <v>10169</v>
      </c>
      <c r="F365" s="27"/>
      <c r="G365" s="27" t="s">
        <v>10894</v>
      </c>
      <c r="H365" s="27"/>
      <c r="I365" s="27" t="s">
        <v>9180</v>
      </c>
      <c r="J365" s="27" t="s">
        <v>9309</v>
      </c>
      <c r="K365" s="27" t="s">
        <v>9188</v>
      </c>
      <c r="L365" s="27" t="s">
        <v>9196</v>
      </c>
    </row>
    <row r="366" spans="1:12">
      <c r="A366" s="29">
        <v>365</v>
      </c>
      <c r="B366" s="29" t="s">
        <v>5524</v>
      </c>
      <c r="C366" s="29" t="s">
        <v>5525</v>
      </c>
      <c r="D366" s="29" t="s">
        <v>10168</v>
      </c>
      <c r="E366" s="29" t="s">
        <v>10169</v>
      </c>
      <c r="F366" s="29"/>
      <c r="G366" s="29" t="s">
        <v>10895</v>
      </c>
      <c r="H366" s="29"/>
      <c r="I366" s="29" t="s">
        <v>9180</v>
      </c>
      <c r="J366" s="29" t="s">
        <v>10896</v>
      </c>
      <c r="K366" s="29" t="s">
        <v>9188</v>
      </c>
      <c r="L366" s="29" t="s">
        <v>9223</v>
      </c>
    </row>
    <row r="367" spans="1:12">
      <c r="A367" s="30">
        <v>366</v>
      </c>
      <c r="B367" s="30" t="s">
        <v>8259</v>
      </c>
      <c r="C367" s="30" t="s">
        <v>10897</v>
      </c>
      <c r="D367" s="30" t="s">
        <v>10173</v>
      </c>
      <c r="E367" s="30" t="s">
        <v>9208</v>
      </c>
      <c r="F367" s="30"/>
      <c r="G367" s="30" t="s">
        <v>10898</v>
      </c>
      <c r="H367" s="30"/>
      <c r="I367" s="30" t="s">
        <v>9180</v>
      </c>
      <c r="J367" s="30" t="s">
        <v>10899</v>
      </c>
      <c r="K367" s="30" t="s">
        <v>9188</v>
      </c>
      <c r="L367" s="30" t="s">
        <v>9350</v>
      </c>
    </row>
    <row r="368" spans="1:12">
      <c r="A368" s="29">
        <v>367</v>
      </c>
      <c r="B368" s="29" t="s">
        <v>5351</v>
      </c>
      <c r="C368" s="29" t="s">
        <v>10900</v>
      </c>
      <c r="D368" s="29" t="s">
        <v>10168</v>
      </c>
      <c r="E368" s="29" t="s">
        <v>10169</v>
      </c>
      <c r="F368" s="29"/>
      <c r="G368" s="29" t="s">
        <v>10901</v>
      </c>
      <c r="H368" s="29"/>
      <c r="I368" s="29" t="s">
        <v>9180</v>
      </c>
      <c r="J368" s="29" t="s">
        <v>9195</v>
      </c>
      <c r="K368" s="29" t="s">
        <v>9188</v>
      </c>
      <c r="L368" s="29" t="s">
        <v>9189</v>
      </c>
    </row>
    <row r="369" spans="1:12">
      <c r="A369" s="30">
        <v>368</v>
      </c>
      <c r="B369" s="30" t="s">
        <v>3337</v>
      </c>
      <c r="C369" s="30" t="s">
        <v>10902</v>
      </c>
      <c r="D369" s="30" t="s">
        <v>10173</v>
      </c>
      <c r="E369" s="30" t="s">
        <v>9208</v>
      </c>
      <c r="F369" s="30"/>
      <c r="G369" s="30" t="s">
        <v>10903</v>
      </c>
      <c r="H369" s="30" t="s">
        <v>10903</v>
      </c>
      <c r="I369" s="30" t="s">
        <v>9180</v>
      </c>
      <c r="J369" s="30" t="s">
        <v>9202</v>
      </c>
      <c r="K369" s="30" t="s">
        <v>9188</v>
      </c>
      <c r="L369" s="30" t="s">
        <v>9350</v>
      </c>
    </row>
    <row r="370" spans="1:12">
      <c r="A370" s="29">
        <v>369</v>
      </c>
      <c r="B370" s="29" t="s">
        <v>10904</v>
      </c>
      <c r="C370" s="29" t="s">
        <v>10905</v>
      </c>
      <c r="D370" s="29" t="s">
        <v>10168</v>
      </c>
      <c r="E370" s="29" t="s">
        <v>9208</v>
      </c>
      <c r="F370" s="29"/>
      <c r="G370" s="29" t="s">
        <v>10906</v>
      </c>
      <c r="H370" s="29"/>
      <c r="I370" s="29" t="s">
        <v>9180</v>
      </c>
      <c r="J370" s="29" t="s">
        <v>9210</v>
      </c>
      <c r="K370" s="29" t="s">
        <v>9188</v>
      </c>
      <c r="L370" s="29" t="s">
        <v>9522</v>
      </c>
    </row>
    <row r="371" spans="1:12">
      <c r="A371" s="28">
        <v>370</v>
      </c>
      <c r="B371" s="28" t="s">
        <v>6296</v>
      </c>
      <c r="C371" s="28" t="s">
        <v>10736</v>
      </c>
      <c r="D371" s="28" t="s">
        <v>10168</v>
      </c>
      <c r="E371" s="28" t="s">
        <v>10169</v>
      </c>
      <c r="F371" s="28"/>
      <c r="G371" s="28" t="s">
        <v>10907</v>
      </c>
      <c r="H371" s="28"/>
      <c r="I371" s="28" t="s">
        <v>9180</v>
      </c>
      <c r="J371" s="28" t="s">
        <v>9322</v>
      </c>
      <c r="K371" s="28" t="s">
        <v>9188</v>
      </c>
      <c r="L371" s="28" t="s">
        <v>9189</v>
      </c>
    </row>
    <row r="372" spans="1:12">
      <c r="A372" s="29">
        <v>371</v>
      </c>
      <c r="B372" s="29" t="s">
        <v>6153</v>
      </c>
      <c r="C372" s="29" t="s">
        <v>10908</v>
      </c>
      <c r="D372" s="29" t="s">
        <v>10168</v>
      </c>
      <c r="E372" s="29" t="s">
        <v>10169</v>
      </c>
      <c r="F372" s="29"/>
      <c r="G372" s="29" t="s">
        <v>10909</v>
      </c>
      <c r="H372" s="29"/>
      <c r="I372" s="29" t="s">
        <v>9180</v>
      </c>
      <c r="J372" s="29" t="s">
        <v>9312</v>
      </c>
      <c r="K372" s="29" t="s">
        <v>9188</v>
      </c>
      <c r="L372" s="29" t="s">
        <v>9189</v>
      </c>
    </row>
    <row r="373" spans="1:12">
      <c r="A373" s="28">
        <v>372</v>
      </c>
      <c r="B373" s="28" t="s">
        <v>6157</v>
      </c>
      <c r="C373" s="28" t="s">
        <v>10910</v>
      </c>
      <c r="D373" s="28" t="s">
        <v>10168</v>
      </c>
      <c r="E373" s="28" t="s">
        <v>10169</v>
      </c>
      <c r="F373" s="28"/>
      <c r="G373" s="28" t="s">
        <v>10911</v>
      </c>
      <c r="H373" s="28"/>
      <c r="I373" s="28" t="s">
        <v>9180</v>
      </c>
      <c r="J373" s="28" t="s">
        <v>9274</v>
      </c>
      <c r="K373" s="28" t="s">
        <v>9188</v>
      </c>
      <c r="L373" s="28" t="s">
        <v>9189</v>
      </c>
    </row>
    <row r="374" spans="1:12">
      <c r="A374" s="29">
        <v>373</v>
      </c>
      <c r="B374" s="29" t="s">
        <v>5619</v>
      </c>
      <c r="C374" s="29" t="s">
        <v>10912</v>
      </c>
      <c r="D374" s="29" t="s">
        <v>10168</v>
      </c>
      <c r="E374" s="29" t="s">
        <v>10169</v>
      </c>
      <c r="F374" s="29"/>
      <c r="G374" s="29" t="s">
        <v>10913</v>
      </c>
      <c r="H374" s="29"/>
      <c r="I374" s="29" t="s">
        <v>9180</v>
      </c>
      <c r="J374" s="29" t="s">
        <v>9221</v>
      </c>
      <c r="K374" s="29" t="s">
        <v>9188</v>
      </c>
      <c r="L374" s="29" t="s">
        <v>9189</v>
      </c>
    </row>
    <row r="375" spans="1:12">
      <c r="A375" s="28">
        <v>374</v>
      </c>
      <c r="B375" s="28" t="s">
        <v>6161</v>
      </c>
      <c r="C375" s="28" t="s">
        <v>10914</v>
      </c>
      <c r="D375" s="28" t="s">
        <v>10168</v>
      </c>
      <c r="E375" s="28" t="s">
        <v>10169</v>
      </c>
      <c r="F375" s="28"/>
      <c r="G375" s="28" t="s">
        <v>10915</v>
      </c>
      <c r="H375" s="28"/>
      <c r="I375" s="28" t="s">
        <v>9180</v>
      </c>
      <c r="J375" s="28" t="s">
        <v>9374</v>
      </c>
      <c r="K375" s="28" t="s">
        <v>9188</v>
      </c>
      <c r="L375" s="28" t="s">
        <v>9189</v>
      </c>
    </row>
    <row r="376" spans="1:12">
      <c r="A376" s="29">
        <v>375</v>
      </c>
      <c r="B376" s="29" t="s">
        <v>6066</v>
      </c>
      <c r="C376" s="29" t="s">
        <v>10916</v>
      </c>
      <c r="D376" s="29" t="s">
        <v>10168</v>
      </c>
      <c r="E376" s="29" t="s">
        <v>10169</v>
      </c>
      <c r="F376" s="29"/>
      <c r="G376" s="29" t="s">
        <v>10917</v>
      </c>
      <c r="H376" s="29" t="s">
        <v>10917</v>
      </c>
      <c r="I376" s="29" t="s">
        <v>9180</v>
      </c>
      <c r="J376" s="29" t="s">
        <v>9221</v>
      </c>
      <c r="K376" s="29" t="s">
        <v>9188</v>
      </c>
      <c r="L376" s="29" t="s">
        <v>9189</v>
      </c>
    </row>
    <row r="377" spans="1:12">
      <c r="A377" s="28">
        <v>376</v>
      </c>
      <c r="B377" s="28" t="s">
        <v>2881</v>
      </c>
      <c r="C377" s="28" t="s">
        <v>10918</v>
      </c>
      <c r="D377" s="28" t="s">
        <v>10168</v>
      </c>
      <c r="E377" s="28" t="s">
        <v>10169</v>
      </c>
      <c r="F377" s="28"/>
      <c r="G377" s="28" t="s">
        <v>10919</v>
      </c>
      <c r="H377" s="28"/>
      <c r="I377" s="28" t="s">
        <v>9180</v>
      </c>
      <c r="J377" s="28" t="s">
        <v>10920</v>
      </c>
      <c r="K377" s="28" t="s">
        <v>9188</v>
      </c>
      <c r="L377" s="28" t="s">
        <v>9189</v>
      </c>
    </row>
    <row r="378" spans="1:12">
      <c r="A378" s="29">
        <v>377</v>
      </c>
      <c r="B378" s="29" t="s">
        <v>5919</v>
      </c>
      <c r="C378" s="29"/>
      <c r="D378" s="29" t="s">
        <v>10168</v>
      </c>
      <c r="E378" s="29" t="s">
        <v>10169</v>
      </c>
      <c r="F378" s="29"/>
      <c r="G378" s="29" t="s">
        <v>10921</v>
      </c>
      <c r="H378" s="29"/>
      <c r="I378" s="29" t="s">
        <v>9180</v>
      </c>
      <c r="J378" s="29" t="s">
        <v>9322</v>
      </c>
      <c r="K378" s="29" t="s">
        <v>9188</v>
      </c>
      <c r="L378" s="29" t="s">
        <v>9223</v>
      </c>
    </row>
    <row r="379" spans="1:12">
      <c r="A379" s="28">
        <v>378</v>
      </c>
      <c r="B379" s="28" t="s">
        <v>6177</v>
      </c>
      <c r="C379" s="28" t="s">
        <v>10922</v>
      </c>
      <c r="D379" s="28" t="s">
        <v>10168</v>
      </c>
      <c r="E379" s="28" t="s">
        <v>10169</v>
      </c>
      <c r="F379" s="28"/>
      <c r="G379" s="28" t="s">
        <v>10923</v>
      </c>
      <c r="H379" s="28"/>
      <c r="I379" s="28" t="s">
        <v>9180</v>
      </c>
      <c r="J379" s="28" t="s">
        <v>9315</v>
      </c>
      <c r="K379" s="28" t="s">
        <v>9188</v>
      </c>
      <c r="L379" s="28" t="s">
        <v>9189</v>
      </c>
    </row>
    <row r="380" spans="1:12">
      <c r="A380" s="27">
        <v>379</v>
      </c>
      <c r="B380" s="27" t="s">
        <v>1339</v>
      </c>
      <c r="C380" s="27" t="s">
        <v>10924</v>
      </c>
      <c r="D380" s="27" t="s">
        <v>10173</v>
      </c>
      <c r="E380" s="27" t="s">
        <v>10169</v>
      </c>
      <c r="F380" s="27"/>
      <c r="G380" s="27" t="s">
        <v>10925</v>
      </c>
      <c r="H380" s="27"/>
      <c r="I380" s="27" t="s">
        <v>9180</v>
      </c>
      <c r="J380" s="27" t="s">
        <v>10926</v>
      </c>
      <c r="K380" s="27" t="s">
        <v>9188</v>
      </c>
      <c r="L380" s="27" t="s">
        <v>9196</v>
      </c>
    </row>
    <row r="381" spans="1:12">
      <c r="A381" s="28">
        <v>380</v>
      </c>
      <c r="B381" s="28" t="s">
        <v>6040</v>
      </c>
      <c r="C381" s="28" t="s">
        <v>6041</v>
      </c>
      <c r="D381" s="28" t="s">
        <v>10168</v>
      </c>
      <c r="E381" s="28" t="s">
        <v>10169</v>
      </c>
      <c r="F381" s="28"/>
      <c r="G381" s="28" t="s">
        <v>10927</v>
      </c>
      <c r="H381" s="28"/>
      <c r="I381" s="28" t="s">
        <v>9180</v>
      </c>
      <c r="J381" s="28" t="s">
        <v>9512</v>
      </c>
      <c r="K381" s="28" t="s">
        <v>9188</v>
      </c>
      <c r="L381" s="28" t="s">
        <v>9223</v>
      </c>
    </row>
    <row r="382" spans="1:12">
      <c r="A382" s="29">
        <v>381</v>
      </c>
      <c r="B382" s="29" t="s">
        <v>6328</v>
      </c>
      <c r="C382" s="29" t="s">
        <v>10928</v>
      </c>
      <c r="D382" s="29" t="s">
        <v>10168</v>
      </c>
      <c r="E382" s="29" t="s">
        <v>10169</v>
      </c>
      <c r="F382" s="29"/>
      <c r="G382" s="29" t="s">
        <v>10929</v>
      </c>
      <c r="H382" s="29"/>
      <c r="I382" s="29" t="s">
        <v>9180</v>
      </c>
      <c r="J382" s="29" t="s">
        <v>9606</v>
      </c>
      <c r="K382" s="29" t="s">
        <v>9188</v>
      </c>
      <c r="L382" s="29" t="s">
        <v>9189</v>
      </c>
    </row>
    <row r="383" spans="1:12">
      <c r="A383" s="28">
        <v>382</v>
      </c>
      <c r="B383" s="28" t="s">
        <v>3905</v>
      </c>
      <c r="C383" s="28" t="s">
        <v>10930</v>
      </c>
      <c r="D383" s="28" t="s">
        <v>10168</v>
      </c>
      <c r="E383" s="28" t="s">
        <v>10169</v>
      </c>
      <c r="F383" s="28"/>
      <c r="G383" s="28" t="s">
        <v>10931</v>
      </c>
      <c r="H383" s="28" t="s">
        <v>10931</v>
      </c>
      <c r="I383" s="28" t="s">
        <v>9180</v>
      </c>
      <c r="J383" s="28" t="s">
        <v>9251</v>
      </c>
      <c r="K383" s="28" t="s">
        <v>9188</v>
      </c>
      <c r="L383" s="28" t="s">
        <v>9189</v>
      </c>
    </row>
    <row r="384" spans="1:12">
      <c r="A384" s="29">
        <v>383</v>
      </c>
      <c r="B384" s="29" t="s">
        <v>4703</v>
      </c>
      <c r="C384" s="29" t="s">
        <v>10932</v>
      </c>
      <c r="D384" s="29" t="s">
        <v>10168</v>
      </c>
      <c r="E384" s="29" t="s">
        <v>10169</v>
      </c>
      <c r="F384" s="29"/>
      <c r="G384" s="29" t="s">
        <v>10933</v>
      </c>
      <c r="H384" s="29" t="s">
        <v>10933</v>
      </c>
      <c r="I384" s="29" t="s">
        <v>9180</v>
      </c>
      <c r="J384" s="29" t="s">
        <v>9965</v>
      </c>
      <c r="K384" s="29" t="s">
        <v>9188</v>
      </c>
      <c r="L384" s="29" t="s">
        <v>9189</v>
      </c>
    </row>
    <row r="385" spans="1:12">
      <c r="A385" s="28">
        <v>384</v>
      </c>
      <c r="B385" s="28" t="s">
        <v>2961</v>
      </c>
      <c r="C385" s="28" t="s">
        <v>10934</v>
      </c>
      <c r="D385" s="28" t="s">
        <v>10168</v>
      </c>
      <c r="E385" s="28" t="s">
        <v>10169</v>
      </c>
      <c r="F385" s="28"/>
      <c r="G385" s="28" t="s">
        <v>10935</v>
      </c>
      <c r="H385" s="28" t="s">
        <v>10935</v>
      </c>
      <c r="I385" s="28" t="s">
        <v>9180</v>
      </c>
      <c r="J385" s="28" t="s">
        <v>9788</v>
      </c>
      <c r="K385" s="28" t="s">
        <v>9188</v>
      </c>
      <c r="L385" s="28" t="s">
        <v>9189</v>
      </c>
    </row>
    <row r="386" spans="1:12">
      <c r="A386" s="30">
        <v>385</v>
      </c>
      <c r="B386" s="30" t="s">
        <v>2831</v>
      </c>
      <c r="C386" s="30" t="s">
        <v>2832</v>
      </c>
      <c r="D386" s="30" t="s">
        <v>10173</v>
      </c>
      <c r="E386" s="30" t="s">
        <v>9208</v>
      </c>
      <c r="F386" s="30"/>
      <c r="G386" s="30" t="s">
        <v>10936</v>
      </c>
      <c r="H386" s="30"/>
      <c r="I386" s="30" t="s">
        <v>9180</v>
      </c>
      <c r="J386" s="30" t="s">
        <v>9380</v>
      </c>
      <c r="K386" s="30" t="s">
        <v>9188</v>
      </c>
      <c r="L386" s="30" t="s">
        <v>9350</v>
      </c>
    </row>
    <row r="387" spans="1:12">
      <c r="A387" s="28">
        <v>386</v>
      </c>
      <c r="B387" s="28" t="s">
        <v>2643</v>
      </c>
      <c r="C387" s="28" t="s">
        <v>10937</v>
      </c>
      <c r="D387" s="28" t="s">
        <v>10168</v>
      </c>
      <c r="E387" s="28" t="s">
        <v>10169</v>
      </c>
      <c r="F387" s="28"/>
      <c r="G387" s="28" t="s">
        <v>10938</v>
      </c>
      <c r="H387" s="28" t="s">
        <v>10938</v>
      </c>
      <c r="I387" s="28" t="s">
        <v>9180</v>
      </c>
      <c r="J387" s="28" t="s">
        <v>10462</v>
      </c>
      <c r="K387" s="28" t="s">
        <v>9188</v>
      </c>
      <c r="L387" s="28" t="s">
        <v>9189</v>
      </c>
    </row>
    <row r="388" spans="1:12">
      <c r="A388" s="27">
        <v>387</v>
      </c>
      <c r="B388" s="27" t="s">
        <v>4379</v>
      </c>
      <c r="C388" s="27" t="s">
        <v>10939</v>
      </c>
      <c r="D388" s="27" t="s">
        <v>10173</v>
      </c>
      <c r="E388" s="27" t="s">
        <v>10169</v>
      </c>
      <c r="F388" s="27"/>
      <c r="G388" s="27" t="s">
        <v>10940</v>
      </c>
      <c r="H388" s="27" t="s">
        <v>10940</v>
      </c>
      <c r="I388" s="27" t="s">
        <v>9180</v>
      </c>
      <c r="J388" s="27" t="s">
        <v>10941</v>
      </c>
      <c r="K388" s="27" t="s">
        <v>9188</v>
      </c>
      <c r="L388" s="27" t="s">
        <v>9183</v>
      </c>
    </row>
    <row r="389" spans="1:12">
      <c r="A389" s="27">
        <v>388</v>
      </c>
      <c r="B389" s="27" t="s">
        <v>462</v>
      </c>
      <c r="C389" s="27" t="s">
        <v>10942</v>
      </c>
      <c r="D389" s="27" t="s">
        <v>10173</v>
      </c>
      <c r="E389" s="27" t="s">
        <v>10169</v>
      </c>
      <c r="F389" s="27"/>
      <c r="G389" s="27" t="s">
        <v>10943</v>
      </c>
      <c r="H389" s="27" t="s">
        <v>10943</v>
      </c>
      <c r="I389" s="27" t="s">
        <v>9180</v>
      </c>
      <c r="J389" s="27" t="s">
        <v>10944</v>
      </c>
      <c r="K389" s="27" t="s">
        <v>9188</v>
      </c>
      <c r="L389" s="27" t="s">
        <v>9196</v>
      </c>
    </row>
    <row r="390" spans="1:12">
      <c r="A390" s="29">
        <v>389</v>
      </c>
      <c r="B390" s="29" t="s">
        <v>4854</v>
      </c>
      <c r="C390" s="29"/>
      <c r="D390" s="29" t="s">
        <v>10168</v>
      </c>
      <c r="E390" s="29" t="s">
        <v>10169</v>
      </c>
      <c r="F390" s="29"/>
      <c r="G390" s="29" t="s">
        <v>10945</v>
      </c>
      <c r="H390" s="29"/>
      <c r="I390" s="29" t="s">
        <v>9180</v>
      </c>
      <c r="J390" s="29" t="s">
        <v>9306</v>
      </c>
      <c r="K390" s="29" t="s">
        <v>9188</v>
      </c>
      <c r="L390" s="29" t="s">
        <v>9223</v>
      </c>
    </row>
    <row r="391" spans="1:12">
      <c r="A391" s="27">
        <v>390</v>
      </c>
      <c r="B391" s="27" t="s">
        <v>4207</v>
      </c>
      <c r="C391" s="27" t="s">
        <v>10946</v>
      </c>
      <c r="D391" s="27" t="s">
        <v>10173</v>
      </c>
      <c r="E391" s="27" t="s">
        <v>10169</v>
      </c>
      <c r="F391" s="27"/>
      <c r="G391" s="27" t="s">
        <v>10947</v>
      </c>
      <c r="H391" s="27"/>
      <c r="I391" s="27" t="s">
        <v>9180</v>
      </c>
      <c r="J391" s="27" t="s">
        <v>10948</v>
      </c>
      <c r="K391" s="27" t="s">
        <v>9188</v>
      </c>
      <c r="L391" s="27" t="s">
        <v>9196</v>
      </c>
    </row>
    <row r="392" spans="1:12">
      <c r="A392" s="27">
        <v>391</v>
      </c>
      <c r="B392" s="27" t="s">
        <v>4612</v>
      </c>
      <c r="C392" s="27" t="s">
        <v>10949</v>
      </c>
      <c r="D392" s="27" t="s">
        <v>10173</v>
      </c>
      <c r="E392" s="27" t="s">
        <v>10169</v>
      </c>
      <c r="F392" s="27"/>
      <c r="G392" s="27" t="s">
        <v>10950</v>
      </c>
      <c r="H392" s="27"/>
      <c r="I392" s="27" t="s">
        <v>9180</v>
      </c>
      <c r="J392" s="27" t="s">
        <v>9800</v>
      </c>
      <c r="K392" s="27" t="s">
        <v>9188</v>
      </c>
      <c r="L392" s="27" t="s">
        <v>9196</v>
      </c>
    </row>
    <row r="393" spans="1:12">
      <c r="A393" s="27">
        <v>392</v>
      </c>
      <c r="B393" s="27" t="s">
        <v>1664</v>
      </c>
      <c r="C393" s="27" t="s">
        <v>1665</v>
      </c>
      <c r="D393" s="27" t="s">
        <v>10173</v>
      </c>
      <c r="E393" s="27" t="s">
        <v>10169</v>
      </c>
      <c r="F393" s="27"/>
      <c r="G393" s="27" t="s">
        <v>10951</v>
      </c>
      <c r="H393" s="27"/>
      <c r="I393" s="27" t="s">
        <v>9180</v>
      </c>
      <c r="J393" s="27" t="s">
        <v>10952</v>
      </c>
      <c r="K393" s="27" t="s">
        <v>9188</v>
      </c>
      <c r="L393" s="27" t="s">
        <v>9183</v>
      </c>
    </row>
    <row r="394" spans="1:12">
      <c r="A394" s="29">
        <v>393</v>
      </c>
      <c r="B394" s="29" t="s">
        <v>10953</v>
      </c>
      <c r="C394" s="29" t="s">
        <v>10954</v>
      </c>
      <c r="D394" s="29" t="s">
        <v>10168</v>
      </c>
      <c r="E394" s="29" t="s">
        <v>10169</v>
      </c>
      <c r="F394" s="29"/>
      <c r="G394" s="29" t="s">
        <v>10955</v>
      </c>
      <c r="H394" s="29"/>
      <c r="I394" s="29" t="s">
        <v>9180</v>
      </c>
      <c r="J394" s="29" t="s">
        <v>9210</v>
      </c>
      <c r="K394" s="29" t="s">
        <v>9188</v>
      </c>
      <c r="L394" s="29" t="s">
        <v>9189</v>
      </c>
    </row>
    <row r="395" spans="1:12">
      <c r="A395" s="27">
        <v>394</v>
      </c>
      <c r="B395" s="27" t="s">
        <v>1426</v>
      </c>
      <c r="C395" s="27" t="s">
        <v>10956</v>
      </c>
      <c r="D395" s="27" t="s">
        <v>10173</v>
      </c>
      <c r="E395" s="27" t="s">
        <v>9178</v>
      </c>
      <c r="F395" s="27"/>
      <c r="G395" s="27" t="s">
        <v>10957</v>
      </c>
      <c r="H395" s="27"/>
      <c r="I395" s="27" t="s">
        <v>9180</v>
      </c>
      <c r="J395" s="27" t="s">
        <v>10958</v>
      </c>
      <c r="K395" s="27" t="s">
        <v>9188</v>
      </c>
      <c r="L395" s="27" t="s">
        <v>9196</v>
      </c>
    </row>
    <row r="396" spans="1:12">
      <c r="A396" s="29">
        <v>395</v>
      </c>
      <c r="B396" s="29" t="s">
        <v>358</v>
      </c>
      <c r="C396" s="29" t="s">
        <v>359</v>
      </c>
      <c r="D396" s="29" t="s">
        <v>10168</v>
      </c>
      <c r="E396" s="29" t="s">
        <v>10169</v>
      </c>
      <c r="F396" s="29"/>
      <c r="G396" s="29" t="s">
        <v>10959</v>
      </c>
      <c r="H396" s="29"/>
      <c r="I396" s="29" t="s">
        <v>9180</v>
      </c>
      <c r="J396" s="29" t="s">
        <v>10960</v>
      </c>
      <c r="K396" s="29" t="s">
        <v>9188</v>
      </c>
      <c r="L396" s="29" t="s">
        <v>9223</v>
      </c>
    </row>
    <row r="397" spans="1:12">
      <c r="A397" s="30">
        <v>396</v>
      </c>
      <c r="B397" s="30" t="s">
        <v>162</v>
      </c>
      <c r="C397" s="30" t="s">
        <v>10961</v>
      </c>
      <c r="D397" s="30" t="s">
        <v>10173</v>
      </c>
      <c r="E397" s="30" t="s">
        <v>9208</v>
      </c>
      <c r="F397" s="30"/>
      <c r="G397" s="30" t="s">
        <v>10962</v>
      </c>
      <c r="H397" s="30" t="s">
        <v>10962</v>
      </c>
      <c r="I397" s="30" t="s">
        <v>9180</v>
      </c>
      <c r="J397" s="30" t="s">
        <v>12282</v>
      </c>
      <c r="K397" s="30" t="s">
        <v>9188</v>
      </c>
      <c r="L397" s="30" t="s">
        <v>9350</v>
      </c>
    </row>
    <row r="398" spans="1:12">
      <c r="A398" s="27">
        <v>397</v>
      </c>
      <c r="B398" s="27" t="s">
        <v>4318</v>
      </c>
      <c r="C398" s="27" t="s">
        <v>10963</v>
      </c>
      <c r="D398" s="27" t="s">
        <v>10173</v>
      </c>
      <c r="E398" s="27" t="s">
        <v>10169</v>
      </c>
      <c r="F398" s="27"/>
      <c r="G398" s="27" t="s">
        <v>10964</v>
      </c>
      <c r="H398" s="27" t="s">
        <v>10964</v>
      </c>
      <c r="I398" s="27" t="s">
        <v>9180</v>
      </c>
      <c r="J398" s="27" t="s">
        <v>9955</v>
      </c>
      <c r="K398" s="27" t="s">
        <v>9188</v>
      </c>
      <c r="L398" s="27" t="s">
        <v>9196</v>
      </c>
    </row>
    <row r="399" spans="1:12">
      <c r="A399" s="27">
        <v>398</v>
      </c>
      <c r="B399" s="27" t="s">
        <v>4292</v>
      </c>
      <c r="C399" s="27" t="s">
        <v>10965</v>
      </c>
      <c r="D399" s="27" t="s">
        <v>10173</v>
      </c>
      <c r="E399" s="27" t="s">
        <v>10169</v>
      </c>
      <c r="F399" s="27"/>
      <c r="G399" s="27" t="s">
        <v>10966</v>
      </c>
      <c r="H399" s="27" t="s">
        <v>10966</v>
      </c>
      <c r="I399" s="27" t="s">
        <v>9180</v>
      </c>
      <c r="J399" s="27" t="s">
        <v>9380</v>
      </c>
      <c r="K399" s="27" t="s">
        <v>9188</v>
      </c>
      <c r="L399" s="27" t="s">
        <v>9196</v>
      </c>
    </row>
    <row r="400" spans="1:12">
      <c r="A400" s="27">
        <v>399</v>
      </c>
      <c r="B400" s="27" t="s">
        <v>4284</v>
      </c>
      <c r="C400" s="27" t="s">
        <v>10967</v>
      </c>
      <c r="D400" s="27" t="s">
        <v>10173</v>
      </c>
      <c r="E400" s="27" t="s">
        <v>10169</v>
      </c>
      <c r="F400" s="27"/>
      <c r="G400" s="27" t="s">
        <v>10968</v>
      </c>
      <c r="H400" s="27" t="s">
        <v>10968</v>
      </c>
      <c r="I400" s="27" t="s">
        <v>9180</v>
      </c>
      <c r="J400" s="27" t="s">
        <v>9380</v>
      </c>
      <c r="K400" s="27" t="s">
        <v>9188</v>
      </c>
      <c r="L400" s="27" t="s">
        <v>9196</v>
      </c>
    </row>
    <row r="401" spans="1:12">
      <c r="A401" s="30">
        <v>400</v>
      </c>
      <c r="B401" s="30" t="s">
        <v>4412</v>
      </c>
      <c r="C401" s="30" t="s">
        <v>10905</v>
      </c>
      <c r="D401" s="30" t="s">
        <v>10173</v>
      </c>
      <c r="E401" s="30" t="s">
        <v>9208</v>
      </c>
      <c r="F401" s="30"/>
      <c r="G401" s="30" t="s">
        <v>10969</v>
      </c>
      <c r="H401" s="30"/>
      <c r="I401" s="30" t="s">
        <v>9180</v>
      </c>
      <c r="J401" s="30" t="s">
        <v>9766</v>
      </c>
      <c r="K401" s="30" t="s">
        <v>9188</v>
      </c>
      <c r="L401" s="30" t="s">
        <v>9350</v>
      </c>
    </row>
    <row r="402" spans="1:12">
      <c r="A402" s="27">
        <v>401</v>
      </c>
      <c r="B402" s="27" t="s">
        <v>3598</v>
      </c>
      <c r="C402" s="27" t="s">
        <v>10970</v>
      </c>
      <c r="D402" s="27" t="s">
        <v>10173</v>
      </c>
      <c r="E402" s="27" t="s">
        <v>10169</v>
      </c>
      <c r="F402" s="27"/>
      <c r="G402" s="27" t="s">
        <v>10971</v>
      </c>
      <c r="H402" s="27"/>
      <c r="I402" s="27" t="s">
        <v>9180</v>
      </c>
      <c r="J402" s="27" t="s">
        <v>10238</v>
      </c>
      <c r="K402" s="27" t="s">
        <v>9188</v>
      </c>
      <c r="L402" s="27" t="s">
        <v>9183</v>
      </c>
    </row>
    <row r="403" spans="1:12">
      <c r="A403" s="30">
        <v>402</v>
      </c>
      <c r="B403" s="30" t="s">
        <v>747</v>
      </c>
      <c r="C403" s="30" t="s">
        <v>10657</v>
      </c>
      <c r="D403" s="30" t="s">
        <v>10173</v>
      </c>
      <c r="E403" s="30" t="s">
        <v>9208</v>
      </c>
      <c r="F403" s="30"/>
      <c r="G403" s="30" t="s">
        <v>10972</v>
      </c>
      <c r="H403" s="30"/>
      <c r="I403" s="30" t="s">
        <v>9180</v>
      </c>
      <c r="J403" s="30" t="s">
        <v>9277</v>
      </c>
      <c r="K403" s="30" t="s">
        <v>9188</v>
      </c>
      <c r="L403" s="30" t="s">
        <v>9350</v>
      </c>
    </row>
    <row r="404" spans="1:12">
      <c r="A404" s="30">
        <v>403</v>
      </c>
      <c r="B404" s="30" t="s">
        <v>4590</v>
      </c>
      <c r="C404" s="30" t="s">
        <v>10973</v>
      </c>
      <c r="D404" s="30" t="s">
        <v>10173</v>
      </c>
      <c r="E404" s="30" t="s">
        <v>9208</v>
      </c>
      <c r="F404" s="30"/>
      <c r="G404" s="30" t="s">
        <v>10974</v>
      </c>
      <c r="H404" s="30"/>
      <c r="I404" s="30" t="s">
        <v>9180</v>
      </c>
      <c r="J404" s="30" t="s">
        <v>9334</v>
      </c>
      <c r="K404" s="30" t="s">
        <v>9188</v>
      </c>
      <c r="L404" s="30" t="s">
        <v>9350</v>
      </c>
    </row>
    <row r="405" spans="1:12">
      <c r="A405" s="27">
        <v>404</v>
      </c>
      <c r="B405" s="27" t="s">
        <v>3856</v>
      </c>
      <c r="C405" s="27" t="s">
        <v>10975</v>
      </c>
      <c r="D405" s="27" t="s">
        <v>10173</v>
      </c>
      <c r="E405" s="27" t="s">
        <v>10169</v>
      </c>
      <c r="F405" s="27"/>
      <c r="G405" s="27" t="s">
        <v>10976</v>
      </c>
      <c r="H405" s="27"/>
      <c r="I405" s="27" t="s">
        <v>9180</v>
      </c>
      <c r="J405" s="27" t="s">
        <v>10977</v>
      </c>
      <c r="K405" s="27" t="s">
        <v>9188</v>
      </c>
      <c r="L405" s="27" t="s">
        <v>9196</v>
      </c>
    </row>
    <row r="406" spans="1:12">
      <c r="A406" s="29">
        <v>405</v>
      </c>
      <c r="B406" s="29" t="s">
        <v>251</v>
      </c>
      <c r="C406" s="29" t="s">
        <v>10978</v>
      </c>
      <c r="D406" s="29" t="s">
        <v>10168</v>
      </c>
      <c r="E406" s="29" t="s">
        <v>10169</v>
      </c>
      <c r="F406" s="29"/>
      <c r="G406" s="29" t="s">
        <v>10979</v>
      </c>
      <c r="H406" s="29"/>
      <c r="I406" s="29" t="s">
        <v>9180</v>
      </c>
      <c r="J406" s="29" t="s">
        <v>10980</v>
      </c>
      <c r="K406" s="29" t="s">
        <v>9188</v>
      </c>
      <c r="L406" s="29" t="s">
        <v>9189</v>
      </c>
    </row>
    <row r="407" spans="1:12">
      <c r="A407" s="30">
        <v>406</v>
      </c>
      <c r="B407" s="30" t="s">
        <v>4515</v>
      </c>
      <c r="C407" s="30" t="s">
        <v>10981</v>
      </c>
      <c r="D407" s="30" t="s">
        <v>10173</v>
      </c>
      <c r="E407" s="30" t="s">
        <v>9208</v>
      </c>
      <c r="F407" s="30"/>
      <c r="G407" s="30" t="s">
        <v>10982</v>
      </c>
      <c r="H407" s="30"/>
      <c r="I407" s="30" t="s">
        <v>9180</v>
      </c>
      <c r="J407" s="30" t="s">
        <v>9334</v>
      </c>
      <c r="K407" s="30" t="s">
        <v>9188</v>
      </c>
      <c r="L407" s="30" t="s">
        <v>9350</v>
      </c>
    </row>
    <row r="408" spans="1:12">
      <c r="A408" s="29">
        <v>407</v>
      </c>
      <c r="B408" s="29" t="s">
        <v>1508</v>
      </c>
      <c r="C408" s="29" t="s">
        <v>10983</v>
      </c>
      <c r="D408" s="29" t="s">
        <v>10168</v>
      </c>
      <c r="E408" s="29" t="s">
        <v>10169</v>
      </c>
      <c r="F408" s="29"/>
      <c r="G408" s="29" t="s">
        <v>10984</v>
      </c>
      <c r="H408" s="29"/>
      <c r="I408" s="29" t="s">
        <v>9180</v>
      </c>
      <c r="J408" s="29" t="s">
        <v>9584</v>
      </c>
      <c r="K408" s="29" t="s">
        <v>9188</v>
      </c>
      <c r="L408" s="29" t="s">
        <v>9189</v>
      </c>
    </row>
    <row r="409" spans="1:12">
      <c r="A409" s="27">
        <v>408</v>
      </c>
      <c r="B409" s="27" t="s">
        <v>2410</v>
      </c>
      <c r="C409" s="27" t="s">
        <v>10985</v>
      </c>
      <c r="D409" s="27" t="s">
        <v>10173</v>
      </c>
      <c r="E409" s="27" t="s">
        <v>10169</v>
      </c>
      <c r="F409" s="27"/>
      <c r="G409" s="27" t="s">
        <v>10986</v>
      </c>
      <c r="H409" s="27"/>
      <c r="I409" s="27" t="s">
        <v>9180</v>
      </c>
      <c r="J409" s="27" t="s">
        <v>9268</v>
      </c>
      <c r="K409" s="27" t="s">
        <v>9188</v>
      </c>
      <c r="L409" s="27" t="s">
        <v>9196</v>
      </c>
    </row>
    <row r="410" spans="1:12">
      <c r="A410" s="29">
        <v>409</v>
      </c>
      <c r="B410" s="29" t="s">
        <v>3069</v>
      </c>
      <c r="C410" s="29" t="s">
        <v>2832</v>
      </c>
      <c r="D410" s="29" t="s">
        <v>10168</v>
      </c>
      <c r="E410" s="29" t="s">
        <v>10169</v>
      </c>
      <c r="F410" s="29"/>
      <c r="G410" s="29" t="s">
        <v>10987</v>
      </c>
      <c r="H410" s="29" t="s">
        <v>10987</v>
      </c>
      <c r="I410" s="29" t="s">
        <v>9180</v>
      </c>
      <c r="J410" s="29" t="s">
        <v>9380</v>
      </c>
      <c r="K410" s="29" t="s">
        <v>9188</v>
      </c>
      <c r="L410" s="29" t="s">
        <v>9189</v>
      </c>
    </row>
    <row r="411" spans="1:12">
      <c r="A411" s="27">
        <v>410</v>
      </c>
      <c r="B411" s="27" t="s">
        <v>10988</v>
      </c>
      <c r="C411" s="27" t="s">
        <v>10989</v>
      </c>
      <c r="D411" s="27" t="s">
        <v>10173</v>
      </c>
      <c r="E411" s="27" t="s">
        <v>10169</v>
      </c>
      <c r="F411" s="27"/>
      <c r="G411" s="27" t="s">
        <v>10990</v>
      </c>
      <c r="H411" s="27" t="s">
        <v>10990</v>
      </c>
      <c r="I411" s="27" t="s">
        <v>9180</v>
      </c>
      <c r="J411" s="27" t="s">
        <v>9210</v>
      </c>
      <c r="K411" s="27" t="s">
        <v>9188</v>
      </c>
      <c r="L411" s="27" t="s">
        <v>9196</v>
      </c>
    </row>
    <row r="412" spans="1:12">
      <c r="A412" s="27">
        <v>411</v>
      </c>
      <c r="B412" s="27" t="s">
        <v>4310</v>
      </c>
      <c r="C412" s="27" t="s">
        <v>10991</v>
      </c>
      <c r="D412" s="27" t="s">
        <v>10173</v>
      </c>
      <c r="E412" s="27" t="s">
        <v>10169</v>
      </c>
      <c r="F412" s="27"/>
      <c r="G412" s="27" t="s">
        <v>10992</v>
      </c>
      <c r="H412" s="27" t="s">
        <v>10992</v>
      </c>
      <c r="I412" s="27" t="s">
        <v>9180</v>
      </c>
      <c r="J412" s="27" t="s">
        <v>10993</v>
      </c>
      <c r="K412" s="27" t="s">
        <v>9188</v>
      </c>
      <c r="L412" s="27" t="s">
        <v>9196</v>
      </c>
    </row>
    <row r="413" spans="1:12">
      <c r="A413" s="27">
        <v>412</v>
      </c>
      <c r="B413" s="27" t="s">
        <v>778</v>
      </c>
      <c r="C413" s="27" t="s">
        <v>10994</v>
      </c>
      <c r="D413" s="27" t="s">
        <v>10173</v>
      </c>
      <c r="E413" s="27" t="s">
        <v>10169</v>
      </c>
      <c r="F413" s="27"/>
      <c r="G413" s="27" t="s">
        <v>10995</v>
      </c>
      <c r="H413" s="27" t="s">
        <v>10995</v>
      </c>
      <c r="I413" s="27" t="s">
        <v>9180</v>
      </c>
      <c r="J413" s="27" t="s">
        <v>10996</v>
      </c>
      <c r="K413" s="27" t="s">
        <v>9188</v>
      </c>
      <c r="L413" s="27" t="s">
        <v>9196</v>
      </c>
    </row>
    <row r="414" spans="1:12">
      <c r="A414" s="27">
        <v>413</v>
      </c>
      <c r="B414" s="27" t="s">
        <v>3410</v>
      </c>
      <c r="C414" s="27" t="s">
        <v>10997</v>
      </c>
      <c r="D414" s="27" t="s">
        <v>10173</v>
      </c>
      <c r="E414" s="27" t="s">
        <v>10169</v>
      </c>
      <c r="F414" s="27"/>
      <c r="G414" s="27" t="s">
        <v>10998</v>
      </c>
      <c r="H414" s="27"/>
      <c r="I414" s="27" t="s">
        <v>9180</v>
      </c>
      <c r="J414" s="27" t="s">
        <v>10999</v>
      </c>
      <c r="K414" s="27" t="s">
        <v>9188</v>
      </c>
      <c r="L414" s="27" t="s">
        <v>9196</v>
      </c>
    </row>
    <row r="415" spans="1:12">
      <c r="A415" s="27">
        <v>414</v>
      </c>
      <c r="B415" s="27" t="s">
        <v>4463</v>
      </c>
      <c r="C415" s="27" t="s">
        <v>11000</v>
      </c>
      <c r="D415" s="27" t="s">
        <v>10173</v>
      </c>
      <c r="E415" s="27" t="s">
        <v>10169</v>
      </c>
      <c r="F415" s="27"/>
      <c r="G415" s="27" t="s">
        <v>11001</v>
      </c>
      <c r="H415" s="27"/>
      <c r="I415" s="27" t="s">
        <v>9180</v>
      </c>
      <c r="J415" s="27" t="s">
        <v>9800</v>
      </c>
      <c r="K415" s="27" t="s">
        <v>9188</v>
      </c>
      <c r="L415" s="27" t="s">
        <v>9196</v>
      </c>
    </row>
    <row r="416" spans="1:12">
      <c r="A416" s="30">
        <v>415</v>
      </c>
      <c r="B416" s="30" t="s">
        <v>222</v>
      </c>
      <c r="C416" s="30" t="s">
        <v>11002</v>
      </c>
      <c r="D416" s="30" t="s">
        <v>10173</v>
      </c>
      <c r="E416" s="30" t="s">
        <v>9208</v>
      </c>
      <c r="F416" s="30"/>
      <c r="G416" s="30" t="s">
        <v>11003</v>
      </c>
      <c r="H416" s="30"/>
      <c r="I416" s="30" t="s">
        <v>9180</v>
      </c>
      <c r="J416" s="30" t="s">
        <v>9334</v>
      </c>
      <c r="K416" s="30" t="s">
        <v>9188</v>
      </c>
      <c r="L416" s="30" t="s">
        <v>9350</v>
      </c>
    </row>
    <row r="417" spans="1:12">
      <c r="A417" s="30">
        <v>416</v>
      </c>
      <c r="B417" s="30" t="s">
        <v>187</v>
      </c>
      <c r="C417" s="30" t="s">
        <v>188</v>
      </c>
      <c r="D417" s="30" t="s">
        <v>10173</v>
      </c>
      <c r="E417" s="30" t="s">
        <v>9208</v>
      </c>
      <c r="F417" s="30"/>
      <c r="G417" s="30" t="s">
        <v>11004</v>
      </c>
      <c r="H417" s="30"/>
      <c r="I417" s="30" t="s">
        <v>9180</v>
      </c>
      <c r="J417" s="30" t="s">
        <v>9334</v>
      </c>
      <c r="K417" s="30" t="s">
        <v>9188</v>
      </c>
      <c r="L417" s="30" t="s">
        <v>9350</v>
      </c>
    </row>
    <row r="418" spans="1:12">
      <c r="A418" s="29">
        <v>417</v>
      </c>
      <c r="B418" s="29" t="s">
        <v>3286</v>
      </c>
      <c r="C418" s="29" t="s">
        <v>11005</v>
      </c>
      <c r="D418" s="29" t="s">
        <v>10168</v>
      </c>
      <c r="E418" s="29" t="s">
        <v>9208</v>
      </c>
      <c r="F418" s="29"/>
      <c r="G418" s="29" t="s">
        <v>11006</v>
      </c>
      <c r="H418" s="29"/>
      <c r="I418" s="29" t="s">
        <v>9180</v>
      </c>
      <c r="J418" s="29" t="s">
        <v>11007</v>
      </c>
      <c r="K418" s="29" t="s">
        <v>9188</v>
      </c>
      <c r="L418" s="29" t="s">
        <v>9522</v>
      </c>
    </row>
    <row r="419" spans="1:12">
      <c r="A419" s="27">
        <v>418</v>
      </c>
      <c r="B419" s="27" t="s">
        <v>852</v>
      </c>
      <c r="C419" s="27" t="s">
        <v>11008</v>
      </c>
      <c r="D419" s="27" t="s">
        <v>10173</v>
      </c>
      <c r="E419" s="27" t="s">
        <v>10169</v>
      </c>
      <c r="F419" s="27"/>
      <c r="G419" s="27" t="s">
        <v>11009</v>
      </c>
      <c r="H419" s="27" t="s">
        <v>11009</v>
      </c>
      <c r="I419" s="27" t="s">
        <v>9180</v>
      </c>
      <c r="J419" s="27" t="s">
        <v>11010</v>
      </c>
      <c r="K419" s="27" t="s">
        <v>9188</v>
      </c>
      <c r="L419" s="27" t="s">
        <v>9196</v>
      </c>
    </row>
    <row r="420" spans="1:12">
      <c r="A420" s="27">
        <v>419</v>
      </c>
      <c r="B420" s="27" t="s">
        <v>3963</v>
      </c>
      <c r="C420" s="27" t="s">
        <v>11011</v>
      </c>
      <c r="D420" s="27" t="s">
        <v>10173</v>
      </c>
      <c r="E420" s="27" t="s">
        <v>10169</v>
      </c>
      <c r="F420" s="27"/>
      <c r="G420" s="27" t="s">
        <v>11012</v>
      </c>
      <c r="H420" s="27" t="s">
        <v>11012</v>
      </c>
      <c r="I420" s="27" t="s">
        <v>9180</v>
      </c>
      <c r="J420" s="27" t="s">
        <v>11013</v>
      </c>
      <c r="K420" s="27" t="s">
        <v>9188</v>
      </c>
      <c r="L420" s="27" t="s">
        <v>9196</v>
      </c>
    </row>
    <row r="421" spans="1:12">
      <c r="A421" s="28">
        <v>420</v>
      </c>
      <c r="B421" s="28" t="s">
        <v>179</v>
      </c>
      <c r="C421" s="28" t="s">
        <v>11014</v>
      </c>
      <c r="D421" s="28" t="s">
        <v>10168</v>
      </c>
      <c r="E421" s="28" t="s">
        <v>10169</v>
      </c>
      <c r="F421" s="28"/>
      <c r="G421" s="28" t="s">
        <v>11015</v>
      </c>
      <c r="H421" s="28"/>
      <c r="I421" s="28" t="s">
        <v>9180</v>
      </c>
      <c r="J421" s="28" t="s">
        <v>12283</v>
      </c>
      <c r="K421" s="28" t="s">
        <v>9188</v>
      </c>
      <c r="L421" s="28" t="s">
        <v>9189</v>
      </c>
    </row>
    <row r="422" spans="1:12">
      <c r="A422" s="29">
        <v>421</v>
      </c>
      <c r="B422" s="29" t="s">
        <v>2764</v>
      </c>
      <c r="C422" s="29"/>
      <c r="D422" s="29" t="s">
        <v>10168</v>
      </c>
      <c r="E422" s="29" t="s">
        <v>10169</v>
      </c>
      <c r="F422" s="29"/>
      <c r="G422" s="29" t="s">
        <v>11016</v>
      </c>
      <c r="H422" s="29"/>
      <c r="I422" s="29" t="s">
        <v>9180</v>
      </c>
      <c r="J422" s="29" t="s">
        <v>9991</v>
      </c>
      <c r="K422" s="29" t="s">
        <v>9188</v>
      </c>
      <c r="L422" s="29" t="s">
        <v>9223</v>
      </c>
    </row>
    <row r="423" spans="1:12">
      <c r="A423" s="27">
        <v>422</v>
      </c>
      <c r="B423" s="27" t="s">
        <v>874</v>
      </c>
      <c r="C423" s="27" t="s">
        <v>11017</v>
      </c>
      <c r="D423" s="27" t="s">
        <v>10173</v>
      </c>
      <c r="E423" s="27" t="s">
        <v>10169</v>
      </c>
      <c r="F423" s="27"/>
      <c r="G423" s="27" t="s">
        <v>11018</v>
      </c>
      <c r="H423" s="27"/>
      <c r="I423" s="27" t="s">
        <v>9180</v>
      </c>
      <c r="J423" s="27" t="s">
        <v>9955</v>
      </c>
      <c r="K423" s="27" t="s">
        <v>9188</v>
      </c>
      <c r="L423" s="27" t="s">
        <v>9196</v>
      </c>
    </row>
    <row r="424" spans="1:12">
      <c r="A424" s="27">
        <v>423</v>
      </c>
      <c r="B424" s="27" t="s">
        <v>3512</v>
      </c>
      <c r="C424" s="27" t="s">
        <v>11019</v>
      </c>
      <c r="D424" s="27" t="s">
        <v>10173</v>
      </c>
      <c r="E424" s="27" t="s">
        <v>10169</v>
      </c>
      <c r="F424" s="27"/>
      <c r="G424" s="27" t="s">
        <v>11020</v>
      </c>
      <c r="H424" s="27"/>
      <c r="I424" s="27" t="s">
        <v>9180</v>
      </c>
      <c r="J424" s="27" t="s">
        <v>11021</v>
      </c>
      <c r="K424" s="27" t="s">
        <v>9188</v>
      </c>
      <c r="L424" s="27" t="s">
        <v>9196</v>
      </c>
    </row>
    <row r="425" spans="1:12">
      <c r="A425" s="28">
        <v>424</v>
      </c>
      <c r="B425" s="28" t="s">
        <v>2171</v>
      </c>
      <c r="C425" s="28" t="s">
        <v>11022</v>
      </c>
      <c r="D425" s="28" t="s">
        <v>10168</v>
      </c>
      <c r="E425" s="28" t="s">
        <v>10169</v>
      </c>
      <c r="F425" s="28"/>
      <c r="G425" s="28" t="s">
        <v>11023</v>
      </c>
      <c r="H425" s="28"/>
      <c r="I425" s="28" t="s">
        <v>9180</v>
      </c>
      <c r="J425" s="28" t="s">
        <v>11024</v>
      </c>
      <c r="K425" s="28" t="s">
        <v>9188</v>
      </c>
      <c r="L425" s="28" t="s">
        <v>9189</v>
      </c>
    </row>
    <row r="426" spans="1:12">
      <c r="A426" s="27">
        <v>425</v>
      </c>
      <c r="B426" s="27" t="s">
        <v>3521</v>
      </c>
      <c r="C426" s="27" t="s">
        <v>11025</v>
      </c>
      <c r="D426" s="27" t="s">
        <v>10173</v>
      </c>
      <c r="E426" s="27" t="s">
        <v>10169</v>
      </c>
      <c r="F426" s="27"/>
      <c r="G426" s="27" t="s">
        <v>11026</v>
      </c>
      <c r="H426" s="27"/>
      <c r="I426" s="27" t="s">
        <v>9180</v>
      </c>
      <c r="J426" s="27" t="s">
        <v>9309</v>
      </c>
      <c r="K426" s="27" t="s">
        <v>9188</v>
      </c>
      <c r="L426" s="27" t="s">
        <v>9196</v>
      </c>
    </row>
    <row r="427" spans="1:12">
      <c r="A427" s="27">
        <v>426</v>
      </c>
      <c r="B427" s="27" t="s">
        <v>577</v>
      </c>
      <c r="C427" s="27"/>
      <c r="D427" s="27" t="s">
        <v>10173</v>
      </c>
      <c r="E427" s="27" t="s">
        <v>10169</v>
      </c>
      <c r="F427" s="27"/>
      <c r="G427" s="27" t="s">
        <v>11027</v>
      </c>
      <c r="H427" s="27"/>
      <c r="I427" s="27" t="s">
        <v>9180</v>
      </c>
      <c r="J427" s="27" t="s">
        <v>10219</v>
      </c>
      <c r="K427" s="27" t="s">
        <v>9188</v>
      </c>
      <c r="L427" s="27" t="s">
        <v>9183</v>
      </c>
    </row>
    <row r="428" spans="1:12">
      <c r="A428" s="27">
        <v>427</v>
      </c>
      <c r="B428" s="27" t="s">
        <v>4347</v>
      </c>
      <c r="C428" s="27" t="s">
        <v>4348</v>
      </c>
      <c r="D428" s="27" t="s">
        <v>10173</v>
      </c>
      <c r="E428" s="27" t="s">
        <v>10169</v>
      </c>
      <c r="F428" s="27"/>
      <c r="G428" s="27" t="s">
        <v>11028</v>
      </c>
      <c r="H428" s="27" t="s">
        <v>11028</v>
      </c>
      <c r="I428" s="27" t="s">
        <v>9180</v>
      </c>
      <c r="J428" s="27" t="s">
        <v>9306</v>
      </c>
      <c r="K428" s="27" t="s">
        <v>9188</v>
      </c>
      <c r="L428" s="27" t="s">
        <v>9183</v>
      </c>
    </row>
    <row r="429" spans="1:12">
      <c r="A429" s="30">
        <v>428</v>
      </c>
      <c r="B429" s="30" t="s">
        <v>3979</v>
      </c>
      <c r="C429" s="30" t="s">
        <v>11029</v>
      </c>
      <c r="D429" s="30" t="s">
        <v>10173</v>
      </c>
      <c r="E429" s="30" t="s">
        <v>9208</v>
      </c>
      <c r="F429" s="30"/>
      <c r="G429" s="30" t="s">
        <v>11030</v>
      </c>
      <c r="H429" s="30" t="s">
        <v>11030</v>
      </c>
      <c r="I429" s="30" t="s">
        <v>9180</v>
      </c>
      <c r="J429" s="30" t="s">
        <v>9334</v>
      </c>
      <c r="K429" s="30" t="s">
        <v>9188</v>
      </c>
      <c r="L429" s="30" t="s">
        <v>9350</v>
      </c>
    </row>
    <row r="430" spans="1:12">
      <c r="A430" s="27">
        <v>429</v>
      </c>
      <c r="B430" s="27" t="s">
        <v>318</v>
      </c>
      <c r="C430" s="27" t="s">
        <v>10918</v>
      </c>
      <c r="D430" s="27" t="s">
        <v>10173</v>
      </c>
      <c r="E430" s="27" t="s">
        <v>10169</v>
      </c>
      <c r="F430" s="27"/>
      <c r="G430" s="27" t="s">
        <v>11031</v>
      </c>
      <c r="H430" s="27"/>
      <c r="I430" s="27" t="s">
        <v>9180</v>
      </c>
      <c r="J430" s="27" t="s">
        <v>10980</v>
      </c>
      <c r="K430" s="27" t="s">
        <v>9188</v>
      </c>
      <c r="L430" s="27" t="s">
        <v>9196</v>
      </c>
    </row>
    <row r="431" spans="1:12">
      <c r="A431" s="28">
        <v>430</v>
      </c>
      <c r="B431" s="28" t="s">
        <v>3764</v>
      </c>
      <c r="C431" s="28" t="s">
        <v>11032</v>
      </c>
      <c r="D431" s="28" t="s">
        <v>10168</v>
      </c>
      <c r="E431" s="28" t="s">
        <v>10169</v>
      </c>
      <c r="F431" s="28"/>
      <c r="G431" s="28" t="s">
        <v>11033</v>
      </c>
      <c r="H431" s="28"/>
      <c r="I431" s="28" t="s">
        <v>9180</v>
      </c>
      <c r="J431" s="28" t="s">
        <v>9800</v>
      </c>
      <c r="K431" s="28" t="s">
        <v>9188</v>
      </c>
      <c r="L431" s="28" t="s">
        <v>9223</v>
      </c>
    </row>
    <row r="432" spans="1:12">
      <c r="A432" s="30">
        <v>431</v>
      </c>
      <c r="B432" s="30" t="s">
        <v>11034</v>
      </c>
      <c r="C432" s="30" t="s">
        <v>11035</v>
      </c>
      <c r="D432" s="30" t="s">
        <v>10173</v>
      </c>
      <c r="E432" s="30" t="s">
        <v>9208</v>
      </c>
      <c r="F432" s="30"/>
      <c r="G432" s="30" t="s">
        <v>11036</v>
      </c>
      <c r="H432" s="30"/>
      <c r="I432" s="30" t="s">
        <v>9180</v>
      </c>
      <c r="J432" s="30" t="s">
        <v>9210</v>
      </c>
      <c r="K432" s="30" t="s">
        <v>9188</v>
      </c>
      <c r="L432" s="30" t="s">
        <v>9350</v>
      </c>
    </row>
    <row r="433" spans="1:12">
      <c r="A433" s="28">
        <v>432</v>
      </c>
      <c r="B433" s="28" t="s">
        <v>1983</v>
      </c>
      <c r="C433" s="28" t="s">
        <v>11037</v>
      </c>
      <c r="D433" s="28" t="s">
        <v>10168</v>
      </c>
      <c r="E433" s="28" t="s">
        <v>10169</v>
      </c>
      <c r="F433" s="28"/>
      <c r="G433" s="28" t="s">
        <v>11038</v>
      </c>
      <c r="H433" s="28"/>
      <c r="I433" s="28" t="s">
        <v>9180</v>
      </c>
      <c r="J433" s="28" t="s">
        <v>9978</v>
      </c>
      <c r="K433" s="28" t="s">
        <v>9188</v>
      </c>
      <c r="L433" s="28" t="s">
        <v>9223</v>
      </c>
    </row>
    <row r="434" spans="1:12">
      <c r="A434" s="29">
        <v>433</v>
      </c>
      <c r="B434" s="29" t="s">
        <v>3301</v>
      </c>
      <c r="C434" s="29" t="s">
        <v>11039</v>
      </c>
      <c r="D434" s="29" t="s">
        <v>10168</v>
      </c>
      <c r="E434" s="29" t="s">
        <v>10169</v>
      </c>
      <c r="F434" s="29"/>
      <c r="G434" s="29" t="s">
        <v>11040</v>
      </c>
      <c r="H434" s="29"/>
      <c r="I434" s="29" t="s">
        <v>9180</v>
      </c>
      <c r="J434" s="29" t="s">
        <v>9334</v>
      </c>
      <c r="K434" s="29" t="s">
        <v>9188</v>
      </c>
      <c r="L434" s="29" t="s">
        <v>9189</v>
      </c>
    </row>
    <row r="435" spans="1:12">
      <c r="A435" s="28">
        <v>434</v>
      </c>
      <c r="B435" s="28" t="s">
        <v>3259</v>
      </c>
      <c r="C435" s="28" t="s">
        <v>3260</v>
      </c>
      <c r="D435" s="28" t="s">
        <v>10168</v>
      </c>
      <c r="E435" s="28" t="s">
        <v>10169</v>
      </c>
      <c r="F435" s="28"/>
      <c r="G435" s="28" t="s">
        <v>11041</v>
      </c>
      <c r="H435" s="28"/>
      <c r="I435" s="28" t="s">
        <v>9180</v>
      </c>
      <c r="J435" s="28" t="s">
        <v>9361</v>
      </c>
      <c r="K435" s="28" t="s">
        <v>9188</v>
      </c>
      <c r="L435" s="28" t="s">
        <v>9223</v>
      </c>
    </row>
    <row r="436" spans="1:12">
      <c r="A436" s="29">
        <v>435</v>
      </c>
      <c r="B436" s="29" t="s">
        <v>1724</v>
      </c>
      <c r="C436" s="29" t="s">
        <v>11042</v>
      </c>
      <c r="D436" s="29" t="s">
        <v>10168</v>
      </c>
      <c r="E436" s="29" t="s">
        <v>9208</v>
      </c>
      <c r="F436" s="29"/>
      <c r="G436" s="29" t="s">
        <v>11043</v>
      </c>
      <c r="H436" s="29"/>
      <c r="I436" s="29" t="s">
        <v>9180</v>
      </c>
      <c r="J436" s="29" t="s">
        <v>11044</v>
      </c>
      <c r="K436" s="29" t="s">
        <v>9188</v>
      </c>
      <c r="L436" s="29" t="s">
        <v>9522</v>
      </c>
    </row>
    <row r="437" spans="1:12">
      <c r="A437" s="28">
        <v>436</v>
      </c>
      <c r="B437" s="28" t="s">
        <v>4478</v>
      </c>
      <c r="C437" s="28" t="s">
        <v>11045</v>
      </c>
      <c r="D437" s="28" t="s">
        <v>10168</v>
      </c>
      <c r="E437" s="28" t="s">
        <v>10169</v>
      </c>
      <c r="F437" s="28"/>
      <c r="G437" s="28" t="s">
        <v>11046</v>
      </c>
      <c r="H437" s="28"/>
      <c r="I437" s="28" t="s">
        <v>9180</v>
      </c>
      <c r="J437" s="28" t="s">
        <v>9334</v>
      </c>
      <c r="K437" s="28" t="s">
        <v>9188</v>
      </c>
      <c r="L437" s="28" t="s">
        <v>9189</v>
      </c>
    </row>
    <row r="438" spans="1:12">
      <c r="A438" s="27">
        <v>437</v>
      </c>
      <c r="B438" s="27" t="s">
        <v>2070</v>
      </c>
      <c r="C438" s="27" t="s">
        <v>11047</v>
      </c>
      <c r="D438" s="27" t="s">
        <v>10173</v>
      </c>
      <c r="E438" s="27" t="s">
        <v>10169</v>
      </c>
      <c r="F438" s="27"/>
      <c r="G438" s="27" t="s">
        <v>11048</v>
      </c>
      <c r="H438" s="27"/>
      <c r="I438" s="27" t="s">
        <v>9180</v>
      </c>
      <c r="J438" s="27" t="s">
        <v>9795</v>
      </c>
      <c r="K438" s="27" t="s">
        <v>9188</v>
      </c>
      <c r="L438" s="27" t="s">
        <v>9196</v>
      </c>
    </row>
    <row r="439" spans="1:12">
      <c r="A439" s="27">
        <v>438</v>
      </c>
      <c r="B439" s="27" t="s">
        <v>3547</v>
      </c>
      <c r="C439" s="27" t="s">
        <v>11049</v>
      </c>
      <c r="D439" s="27" t="s">
        <v>10173</v>
      </c>
      <c r="E439" s="27" t="s">
        <v>10169</v>
      </c>
      <c r="F439" s="27"/>
      <c r="G439" s="27" t="s">
        <v>11050</v>
      </c>
      <c r="H439" s="27" t="s">
        <v>11050</v>
      </c>
      <c r="I439" s="27" t="s">
        <v>9180</v>
      </c>
      <c r="J439" s="27" t="s">
        <v>9251</v>
      </c>
      <c r="K439" s="27" t="s">
        <v>9188</v>
      </c>
      <c r="L439" s="27" t="s">
        <v>9196</v>
      </c>
    </row>
    <row r="440" spans="1:12">
      <c r="A440" s="27">
        <v>439</v>
      </c>
      <c r="B440" s="27" t="s">
        <v>2064</v>
      </c>
      <c r="C440" s="27" t="s">
        <v>11051</v>
      </c>
      <c r="D440" s="27" t="s">
        <v>10173</v>
      </c>
      <c r="E440" s="27" t="s">
        <v>10169</v>
      </c>
      <c r="F440" s="27"/>
      <c r="G440" s="27" t="s">
        <v>11052</v>
      </c>
      <c r="H440" s="27" t="s">
        <v>11052</v>
      </c>
      <c r="I440" s="27" t="s">
        <v>9180</v>
      </c>
      <c r="J440" s="27" t="s">
        <v>9795</v>
      </c>
      <c r="K440" s="27" t="s">
        <v>9188</v>
      </c>
      <c r="L440" s="27" t="s">
        <v>9196</v>
      </c>
    </row>
    <row r="441" spans="1:12">
      <c r="A441" s="27">
        <v>440</v>
      </c>
      <c r="B441" s="27" t="s">
        <v>2573</v>
      </c>
      <c r="C441" s="27" t="s">
        <v>2574</v>
      </c>
      <c r="D441" s="27" t="s">
        <v>10173</v>
      </c>
      <c r="E441" s="27" t="s">
        <v>10169</v>
      </c>
      <c r="F441" s="27"/>
      <c r="G441" s="27" t="s">
        <v>11053</v>
      </c>
      <c r="H441" s="27" t="s">
        <v>11053</v>
      </c>
      <c r="I441" s="27" t="s">
        <v>9180</v>
      </c>
      <c r="J441" s="27" t="s">
        <v>9832</v>
      </c>
      <c r="K441" s="27" t="s">
        <v>9188</v>
      </c>
      <c r="L441" s="27" t="s">
        <v>9183</v>
      </c>
    </row>
    <row r="442" spans="1:12">
      <c r="A442" s="27">
        <v>441</v>
      </c>
      <c r="B442" s="27" t="s">
        <v>3840</v>
      </c>
      <c r="C442" s="27" t="s">
        <v>11054</v>
      </c>
      <c r="D442" s="27" t="s">
        <v>10173</v>
      </c>
      <c r="E442" s="27" t="s">
        <v>10169</v>
      </c>
      <c r="F442" s="27"/>
      <c r="G442" s="27" t="s">
        <v>11055</v>
      </c>
      <c r="H442" s="27"/>
      <c r="I442" s="27" t="s">
        <v>9180</v>
      </c>
      <c r="J442" s="27" t="s">
        <v>9262</v>
      </c>
      <c r="K442" s="27" t="s">
        <v>9188</v>
      </c>
      <c r="L442" s="27" t="s">
        <v>9196</v>
      </c>
    </row>
    <row r="443" spans="1:12">
      <c r="A443" s="28">
        <v>442</v>
      </c>
      <c r="B443" s="28" t="s">
        <v>2256</v>
      </c>
      <c r="C443" s="28" t="s">
        <v>2257</v>
      </c>
      <c r="D443" s="28" t="s">
        <v>10168</v>
      </c>
      <c r="E443" s="28" t="s">
        <v>10169</v>
      </c>
      <c r="F443" s="28"/>
      <c r="G443" s="28" t="s">
        <v>11056</v>
      </c>
      <c r="H443" s="28"/>
      <c r="I443" s="28" t="s">
        <v>9180</v>
      </c>
      <c r="J443" s="28" t="s">
        <v>10076</v>
      </c>
      <c r="K443" s="28" t="s">
        <v>9188</v>
      </c>
      <c r="L443" s="28" t="s">
        <v>9223</v>
      </c>
    </row>
    <row r="444" spans="1:12">
      <c r="A444" s="29">
        <v>443</v>
      </c>
      <c r="B444" s="29" t="s">
        <v>3958</v>
      </c>
      <c r="C444" s="29" t="s">
        <v>3959</v>
      </c>
      <c r="D444" s="29" t="s">
        <v>10168</v>
      </c>
      <c r="E444" s="29" t="s">
        <v>10169</v>
      </c>
      <c r="F444" s="29"/>
      <c r="G444" s="29" t="s">
        <v>11057</v>
      </c>
      <c r="H444" s="29"/>
      <c r="I444" s="29" t="s">
        <v>9180</v>
      </c>
      <c r="J444" s="29" t="s">
        <v>9626</v>
      </c>
      <c r="K444" s="29" t="s">
        <v>9188</v>
      </c>
      <c r="L444" s="29" t="s">
        <v>9223</v>
      </c>
    </row>
    <row r="445" spans="1:12">
      <c r="A445" s="28">
        <v>444</v>
      </c>
      <c r="B445" s="28" t="s">
        <v>2185</v>
      </c>
      <c r="C445" s="28" t="s">
        <v>11058</v>
      </c>
      <c r="D445" s="28" t="s">
        <v>10168</v>
      </c>
      <c r="E445" s="28" t="s">
        <v>10169</v>
      </c>
      <c r="F445" s="28"/>
      <c r="G445" s="28" t="s">
        <v>11059</v>
      </c>
      <c r="H445" s="28"/>
      <c r="I445" s="28" t="s">
        <v>9180</v>
      </c>
      <c r="J445" s="28" t="s">
        <v>9309</v>
      </c>
      <c r="K445" s="28" t="s">
        <v>9188</v>
      </c>
      <c r="L445" s="28" t="s">
        <v>9189</v>
      </c>
    </row>
    <row r="446" spans="1:12">
      <c r="A446" s="29">
        <v>445</v>
      </c>
      <c r="B446" s="29" t="s">
        <v>1308</v>
      </c>
      <c r="C446" s="29" t="s">
        <v>1309</v>
      </c>
      <c r="D446" s="29" t="s">
        <v>10168</v>
      </c>
      <c r="E446" s="29" t="s">
        <v>10169</v>
      </c>
      <c r="F446" s="29"/>
      <c r="G446" s="29" t="s">
        <v>11060</v>
      </c>
      <c r="H446" s="29"/>
      <c r="I446" s="29" t="s">
        <v>9180</v>
      </c>
      <c r="J446" s="29" t="s">
        <v>10117</v>
      </c>
      <c r="K446" s="29" t="s">
        <v>9188</v>
      </c>
      <c r="L446" s="29" t="s">
        <v>9223</v>
      </c>
    </row>
    <row r="447" spans="1:12">
      <c r="A447" s="27">
        <v>446</v>
      </c>
      <c r="B447" s="27" t="s">
        <v>2040</v>
      </c>
      <c r="C447" s="27" t="s">
        <v>2041</v>
      </c>
      <c r="D447" s="27" t="s">
        <v>10173</v>
      </c>
      <c r="E447" s="27" t="s">
        <v>10169</v>
      </c>
      <c r="F447" s="27"/>
      <c r="G447" s="27" t="s">
        <v>11061</v>
      </c>
      <c r="H447" s="27"/>
      <c r="I447" s="27" t="s">
        <v>9180</v>
      </c>
      <c r="J447" s="27" t="s">
        <v>10063</v>
      </c>
      <c r="K447" s="27" t="s">
        <v>9188</v>
      </c>
      <c r="L447" s="27" t="s">
        <v>9183</v>
      </c>
    </row>
    <row r="448" spans="1:12">
      <c r="A448" s="29">
        <v>447</v>
      </c>
      <c r="B448" s="29" t="s">
        <v>64</v>
      </c>
      <c r="C448" s="29" t="s">
        <v>65</v>
      </c>
      <c r="D448" s="29" t="s">
        <v>10168</v>
      </c>
      <c r="E448" s="29" t="s">
        <v>9208</v>
      </c>
      <c r="F448" s="29"/>
      <c r="G448" s="29" t="s">
        <v>11062</v>
      </c>
      <c r="H448" s="29"/>
      <c r="I448" s="29" t="s">
        <v>9180</v>
      </c>
      <c r="J448" s="29" t="s">
        <v>12258</v>
      </c>
      <c r="K448" s="29" t="s">
        <v>9188</v>
      </c>
      <c r="L448" s="29" t="s">
        <v>9212</v>
      </c>
    </row>
    <row r="449" spans="1:12">
      <c r="A449" s="27">
        <v>448</v>
      </c>
      <c r="B449" s="27" t="s">
        <v>1486</v>
      </c>
      <c r="C449" s="27" t="s">
        <v>1487</v>
      </c>
      <c r="D449" s="27" t="s">
        <v>10173</v>
      </c>
      <c r="E449" s="27" t="s">
        <v>10169</v>
      </c>
      <c r="F449" s="27"/>
      <c r="G449" s="27" t="s">
        <v>11063</v>
      </c>
      <c r="H449" s="27"/>
      <c r="I449" s="27" t="s">
        <v>9180</v>
      </c>
      <c r="J449" s="27" t="s">
        <v>10117</v>
      </c>
      <c r="K449" s="27" t="s">
        <v>9188</v>
      </c>
      <c r="L449" s="27" t="s">
        <v>9183</v>
      </c>
    </row>
    <row r="450" spans="1:12">
      <c r="A450" s="27">
        <v>449</v>
      </c>
      <c r="B450" s="27" t="s">
        <v>11064</v>
      </c>
      <c r="C450" s="27" t="s">
        <v>968</v>
      </c>
      <c r="D450" s="27" t="s">
        <v>10173</v>
      </c>
      <c r="E450" s="27" t="s">
        <v>9336</v>
      </c>
      <c r="F450" s="27"/>
      <c r="G450" s="27" t="s">
        <v>11065</v>
      </c>
      <c r="H450" s="27"/>
      <c r="I450" s="27" t="s">
        <v>9180</v>
      </c>
      <c r="J450" s="27" t="s">
        <v>9210</v>
      </c>
      <c r="K450" s="27" t="s">
        <v>9188</v>
      </c>
      <c r="L450" s="27" t="s">
        <v>9183</v>
      </c>
    </row>
    <row r="451" spans="1:12">
      <c r="A451" s="27">
        <v>450</v>
      </c>
      <c r="B451" s="27" t="s">
        <v>3434</v>
      </c>
      <c r="C451" s="27" t="s">
        <v>11066</v>
      </c>
      <c r="D451" s="27" t="s">
        <v>10173</v>
      </c>
      <c r="E451" s="27" t="s">
        <v>10169</v>
      </c>
      <c r="F451" s="27"/>
      <c r="G451" s="27" t="s">
        <v>11067</v>
      </c>
      <c r="H451" s="27"/>
      <c r="I451" s="27" t="s">
        <v>9180</v>
      </c>
      <c r="J451" s="27" t="s">
        <v>9334</v>
      </c>
      <c r="K451" s="27" t="s">
        <v>9188</v>
      </c>
      <c r="L451" s="27" t="s">
        <v>9196</v>
      </c>
    </row>
    <row r="452" spans="1:12">
      <c r="A452" s="30">
        <v>451</v>
      </c>
      <c r="B452" s="30" t="s">
        <v>157</v>
      </c>
      <c r="C452" s="30" t="s">
        <v>11068</v>
      </c>
      <c r="D452" s="30" t="s">
        <v>10173</v>
      </c>
      <c r="E452" s="30" t="s">
        <v>9208</v>
      </c>
      <c r="F452" s="30"/>
      <c r="G452" s="30" t="s">
        <v>11069</v>
      </c>
      <c r="H452" s="30"/>
      <c r="I452" s="30" t="s">
        <v>9180</v>
      </c>
      <c r="J452" s="30" t="s">
        <v>12284</v>
      </c>
      <c r="K452" s="30" t="s">
        <v>9188</v>
      </c>
      <c r="L452" s="30" t="s">
        <v>9350</v>
      </c>
    </row>
    <row r="453" spans="1:12">
      <c r="A453" s="27">
        <v>452</v>
      </c>
      <c r="B453" s="27" t="s">
        <v>3416</v>
      </c>
      <c r="C453" s="27" t="s">
        <v>11070</v>
      </c>
      <c r="D453" s="27" t="s">
        <v>10173</v>
      </c>
      <c r="E453" s="27" t="s">
        <v>10169</v>
      </c>
      <c r="F453" s="27"/>
      <c r="G453" s="27" t="s">
        <v>11071</v>
      </c>
      <c r="H453" s="27"/>
      <c r="I453" s="27" t="s">
        <v>9180</v>
      </c>
      <c r="J453" s="27" t="s">
        <v>9334</v>
      </c>
      <c r="K453" s="27" t="s">
        <v>9188</v>
      </c>
      <c r="L453" s="27" t="s">
        <v>9196</v>
      </c>
    </row>
    <row r="454" spans="1:12">
      <c r="A454" s="30">
        <v>453</v>
      </c>
      <c r="B454" s="30" t="s">
        <v>11072</v>
      </c>
      <c r="C454" s="30" t="s">
        <v>10997</v>
      </c>
      <c r="D454" s="30" t="s">
        <v>10173</v>
      </c>
      <c r="E454" s="30" t="s">
        <v>9208</v>
      </c>
      <c r="F454" s="30"/>
      <c r="G454" s="30" t="s">
        <v>11073</v>
      </c>
      <c r="H454" s="30"/>
      <c r="I454" s="30" t="s">
        <v>9180</v>
      </c>
      <c r="J454" s="30" t="s">
        <v>9210</v>
      </c>
      <c r="K454" s="30" t="s">
        <v>9188</v>
      </c>
      <c r="L454" s="30" t="s">
        <v>9350</v>
      </c>
    </row>
    <row r="455" spans="1:12">
      <c r="A455" s="28">
        <v>454</v>
      </c>
      <c r="B455" s="28" t="s">
        <v>3217</v>
      </c>
      <c r="C455" s="28" t="s">
        <v>11074</v>
      </c>
      <c r="D455" s="28" t="s">
        <v>10168</v>
      </c>
      <c r="E455" s="28" t="s">
        <v>10169</v>
      </c>
      <c r="F455" s="28"/>
      <c r="G455" s="28" t="s">
        <v>11075</v>
      </c>
      <c r="H455" s="28"/>
      <c r="I455" s="28" t="s">
        <v>9180</v>
      </c>
      <c r="J455" s="28" t="s">
        <v>11076</v>
      </c>
      <c r="K455" s="28" t="s">
        <v>9188</v>
      </c>
      <c r="L455" s="28" t="s">
        <v>9223</v>
      </c>
    </row>
    <row r="456" spans="1:12">
      <c r="A456" s="29">
        <v>455</v>
      </c>
      <c r="B456" s="29" t="s">
        <v>11077</v>
      </c>
      <c r="C456" s="29"/>
      <c r="D456" s="29" t="s">
        <v>10168</v>
      </c>
      <c r="E456" s="29" t="s">
        <v>10169</v>
      </c>
      <c r="F456" s="29"/>
      <c r="G456" s="29" t="s">
        <v>11078</v>
      </c>
      <c r="H456" s="29"/>
      <c r="I456" s="29" t="s">
        <v>9180</v>
      </c>
      <c r="J456" s="29" t="s">
        <v>9210</v>
      </c>
      <c r="K456" s="29" t="s">
        <v>9188</v>
      </c>
      <c r="L456" s="29" t="s">
        <v>9223</v>
      </c>
    </row>
    <row r="457" spans="1:12">
      <c r="A457" s="28">
        <v>456</v>
      </c>
      <c r="B457" s="28" t="s">
        <v>3179</v>
      </c>
      <c r="C457" s="28" t="s">
        <v>11079</v>
      </c>
      <c r="D457" s="28" t="s">
        <v>10168</v>
      </c>
      <c r="E457" s="28" t="s">
        <v>10169</v>
      </c>
      <c r="F457" s="28"/>
      <c r="G457" s="28" t="s">
        <v>11080</v>
      </c>
      <c r="H457" s="28"/>
      <c r="I457" s="28" t="s">
        <v>9180</v>
      </c>
      <c r="J457" s="28" t="s">
        <v>9968</v>
      </c>
      <c r="K457" s="28" t="s">
        <v>9188</v>
      </c>
      <c r="L457" s="28" t="s">
        <v>9189</v>
      </c>
    </row>
    <row r="458" spans="1:12">
      <c r="A458" s="27">
        <v>457</v>
      </c>
      <c r="B458" s="27" t="s">
        <v>2992</v>
      </c>
      <c r="C458" s="27" t="s">
        <v>11081</v>
      </c>
      <c r="D458" s="27" t="s">
        <v>10173</v>
      </c>
      <c r="E458" s="27" t="s">
        <v>10169</v>
      </c>
      <c r="F458" s="27"/>
      <c r="G458" s="27" t="s">
        <v>11082</v>
      </c>
      <c r="H458" s="27"/>
      <c r="I458" s="27" t="s">
        <v>9180</v>
      </c>
      <c r="J458" s="27" t="s">
        <v>9380</v>
      </c>
      <c r="K458" s="27" t="s">
        <v>9188</v>
      </c>
      <c r="L458" s="27" t="s">
        <v>9196</v>
      </c>
    </row>
    <row r="459" spans="1:12">
      <c r="A459" s="27">
        <v>458</v>
      </c>
      <c r="B459" s="27" t="s">
        <v>2996</v>
      </c>
      <c r="C459" s="27" t="s">
        <v>11083</v>
      </c>
      <c r="D459" s="27" t="s">
        <v>10173</v>
      </c>
      <c r="E459" s="27" t="s">
        <v>10169</v>
      </c>
      <c r="F459" s="27"/>
      <c r="G459" s="27" t="s">
        <v>11084</v>
      </c>
      <c r="H459" s="27"/>
      <c r="I459" s="27" t="s">
        <v>9180</v>
      </c>
      <c r="J459" s="27" t="s">
        <v>11085</v>
      </c>
      <c r="K459" s="27" t="s">
        <v>9188</v>
      </c>
      <c r="L459" s="27" t="s">
        <v>9196</v>
      </c>
    </row>
    <row r="460" spans="1:12">
      <c r="A460" s="27">
        <v>459</v>
      </c>
      <c r="B460" s="27" t="s">
        <v>2726</v>
      </c>
      <c r="C460" s="27" t="s">
        <v>11086</v>
      </c>
      <c r="D460" s="27" t="s">
        <v>10173</v>
      </c>
      <c r="E460" s="27" t="s">
        <v>10169</v>
      </c>
      <c r="F460" s="27"/>
      <c r="G460" s="27" t="s">
        <v>11087</v>
      </c>
      <c r="H460" s="27"/>
      <c r="I460" s="27" t="s">
        <v>9180</v>
      </c>
      <c r="J460" s="27" t="s">
        <v>9968</v>
      </c>
      <c r="K460" s="27" t="s">
        <v>9188</v>
      </c>
      <c r="L460" s="27" t="s">
        <v>9196</v>
      </c>
    </row>
    <row r="461" spans="1:12">
      <c r="A461" s="27">
        <v>460</v>
      </c>
      <c r="B461" s="27" t="s">
        <v>2349</v>
      </c>
      <c r="C461" s="27" t="s">
        <v>2350</v>
      </c>
      <c r="D461" s="27" t="s">
        <v>10173</v>
      </c>
      <c r="E461" s="27" t="s">
        <v>10169</v>
      </c>
      <c r="F461" s="27"/>
      <c r="G461" s="27" t="s">
        <v>11088</v>
      </c>
      <c r="H461" s="27"/>
      <c r="I461" s="27" t="s">
        <v>9180</v>
      </c>
      <c r="J461" s="27" t="s">
        <v>10117</v>
      </c>
      <c r="K461" s="27" t="s">
        <v>9188</v>
      </c>
      <c r="L461" s="27" t="s">
        <v>9183</v>
      </c>
    </row>
    <row r="462" spans="1:12">
      <c r="A462" s="30">
        <v>461</v>
      </c>
      <c r="B462" s="30" t="s">
        <v>11089</v>
      </c>
      <c r="C462" s="30" t="s">
        <v>11090</v>
      </c>
      <c r="D462" s="30" t="s">
        <v>10173</v>
      </c>
      <c r="E462" s="30" t="s">
        <v>9208</v>
      </c>
      <c r="F462" s="30"/>
      <c r="G462" s="30" t="s">
        <v>11091</v>
      </c>
      <c r="H462" s="30" t="s">
        <v>11091</v>
      </c>
      <c r="I462" s="30" t="s">
        <v>9180</v>
      </c>
      <c r="J462" s="30" t="s">
        <v>9210</v>
      </c>
      <c r="K462" s="30" t="s">
        <v>9188</v>
      </c>
      <c r="L462" s="30" t="s">
        <v>9350</v>
      </c>
    </row>
    <row r="463" spans="1:12">
      <c r="A463" s="28">
        <v>462</v>
      </c>
      <c r="B463" s="28" t="s">
        <v>3062</v>
      </c>
      <c r="C463" s="28" t="s">
        <v>11092</v>
      </c>
      <c r="D463" s="28" t="s">
        <v>10168</v>
      </c>
      <c r="E463" s="28" t="s">
        <v>10169</v>
      </c>
      <c r="F463" s="28"/>
      <c r="G463" s="28" t="s">
        <v>11093</v>
      </c>
      <c r="H463" s="28" t="s">
        <v>11093</v>
      </c>
      <c r="I463" s="28" t="s">
        <v>9180</v>
      </c>
      <c r="J463" s="28" t="s">
        <v>9380</v>
      </c>
      <c r="K463" s="28" t="s">
        <v>9188</v>
      </c>
      <c r="L463" s="28" t="s">
        <v>9189</v>
      </c>
    </row>
    <row r="464" spans="1:12">
      <c r="A464" s="27">
        <v>463</v>
      </c>
      <c r="B464" s="27" t="s">
        <v>4467</v>
      </c>
      <c r="C464" s="27" t="s">
        <v>11094</v>
      </c>
      <c r="D464" s="27" t="s">
        <v>10173</v>
      </c>
      <c r="E464" s="27" t="s">
        <v>10169</v>
      </c>
      <c r="F464" s="27"/>
      <c r="G464" s="27" t="s">
        <v>11095</v>
      </c>
      <c r="H464" s="27"/>
      <c r="I464" s="27" t="s">
        <v>9180</v>
      </c>
      <c r="J464" s="27" t="s">
        <v>10899</v>
      </c>
      <c r="K464" s="27" t="s">
        <v>9188</v>
      </c>
      <c r="L464" s="27" t="s">
        <v>9196</v>
      </c>
    </row>
    <row r="465" spans="1:12">
      <c r="A465" s="28">
        <v>464</v>
      </c>
      <c r="B465" s="28" t="s">
        <v>1325</v>
      </c>
      <c r="C465" s="28" t="s">
        <v>11096</v>
      </c>
      <c r="D465" s="28" t="s">
        <v>10168</v>
      </c>
      <c r="E465" s="28" t="s">
        <v>10169</v>
      </c>
      <c r="F465" s="28"/>
      <c r="G465" s="28" t="s">
        <v>11097</v>
      </c>
      <c r="H465" s="28"/>
      <c r="I465" s="28" t="s">
        <v>9180</v>
      </c>
      <c r="J465" s="28" t="s">
        <v>11098</v>
      </c>
      <c r="K465" s="28" t="s">
        <v>9188</v>
      </c>
      <c r="L465" s="28" t="s">
        <v>9189</v>
      </c>
    </row>
    <row r="466" spans="1:12">
      <c r="A466" s="29">
        <v>465</v>
      </c>
      <c r="B466" s="29" t="s">
        <v>975</v>
      </c>
      <c r="C466" s="29" t="s">
        <v>976</v>
      </c>
      <c r="D466" s="29" t="s">
        <v>10168</v>
      </c>
      <c r="E466" s="29" t="s">
        <v>10169</v>
      </c>
      <c r="F466" s="29"/>
      <c r="G466" s="29" t="s">
        <v>11099</v>
      </c>
      <c r="H466" s="29" t="s">
        <v>11099</v>
      </c>
      <c r="I466" s="29" t="s">
        <v>9180</v>
      </c>
      <c r="J466" s="29" t="s">
        <v>11100</v>
      </c>
      <c r="K466" s="29" t="s">
        <v>9188</v>
      </c>
      <c r="L466" s="29" t="s">
        <v>9223</v>
      </c>
    </row>
    <row r="467" spans="1:12">
      <c r="A467" s="30">
        <v>466</v>
      </c>
      <c r="B467" s="30" t="s">
        <v>11101</v>
      </c>
      <c r="C467" s="30" t="s">
        <v>10961</v>
      </c>
      <c r="D467" s="30" t="s">
        <v>10173</v>
      </c>
      <c r="E467" s="30" t="s">
        <v>9208</v>
      </c>
      <c r="F467" s="30"/>
      <c r="G467" s="30" t="s">
        <v>11102</v>
      </c>
      <c r="H467" s="30"/>
      <c r="I467" s="30" t="s">
        <v>9180</v>
      </c>
      <c r="J467" s="30" t="s">
        <v>9210</v>
      </c>
      <c r="K467" s="30" t="s">
        <v>9188</v>
      </c>
      <c r="L467" s="30" t="s">
        <v>9350</v>
      </c>
    </row>
    <row r="468" spans="1:12">
      <c r="A468" s="27">
        <v>467</v>
      </c>
      <c r="B468" s="27" t="s">
        <v>3690</v>
      </c>
      <c r="C468" s="27" t="s">
        <v>11103</v>
      </c>
      <c r="D468" s="27" t="s">
        <v>10173</v>
      </c>
      <c r="E468" s="27" t="s">
        <v>10169</v>
      </c>
      <c r="F468" s="27"/>
      <c r="G468" s="27" t="s">
        <v>11104</v>
      </c>
      <c r="H468" s="27"/>
      <c r="I468" s="27" t="s">
        <v>9180</v>
      </c>
      <c r="J468" s="27" t="s">
        <v>9334</v>
      </c>
      <c r="K468" s="27" t="s">
        <v>9188</v>
      </c>
      <c r="L468" s="27" t="s">
        <v>9196</v>
      </c>
    </row>
    <row r="469" spans="1:12">
      <c r="A469" s="28">
        <v>468</v>
      </c>
      <c r="B469" s="28" t="s">
        <v>3541</v>
      </c>
      <c r="C469" s="28" t="s">
        <v>11105</v>
      </c>
      <c r="D469" s="28" t="s">
        <v>10168</v>
      </c>
      <c r="E469" s="28" t="s">
        <v>10169</v>
      </c>
      <c r="F469" s="28"/>
      <c r="G469" s="28" t="s">
        <v>11106</v>
      </c>
      <c r="H469" s="28"/>
      <c r="I469" s="28" t="s">
        <v>9180</v>
      </c>
      <c r="J469" s="28" t="s">
        <v>9334</v>
      </c>
      <c r="K469" s="28" t="s">
        <v>9188</v>
      </c>
      <c r="L469" s="28" t="s">
        <v>9189</v>
      </c>
    </row>
    <row r="470" spans="1:12">
      <c r="A470" s="27">
        <v>469</v>
      </c>
      <c r="B470" s="27" t="s">
        <v>3504</v>
      </c>
      <c r="C470" s="27" t="s">
        <v>11107</v>
      </c>
      <c r="D470" s="27" t="s">
        <v>10173</v>
      </c>
      <c r="E470" s="27" t="s">
        <v>10169</v>
      </c>
      <c r="F470" s="27"/>
      <c r="G470" s="27" t="s">
        <v>11108</v>
      </c>
      <c r="H470" s="27"/>
      <c r="I470" s="27" t="s">
        <v>9180</v>
      </c>
      <c r="J470" s="27" t="s">
        <v>9334</v>
      </c>
      <c r="K470" s="27" t="s">
        <v>9188</v>
      </c>
      <c r="L470" s="27" t="s">
        <v>9196</v>
      </c>
    </row>
    <row r="471" spans="1:12">
      <c r="A471" s="27">
        <v>470</v>
      </c>
      <c r="B471" s="27" t="s">
        <v>635</v>
      </c>
      <c r="C471" s="27" t="s">
        <v>636</v>
      </c>
      <c r="D471" s="27" t="s">
        <v>10173</v>
      </c>
      <c r="E471" s="27" t="s">
        <v>10169</v>
      </c>
      <c r="F471" s="27"/>
      <c r="G471" s="27" t="s">
        <v>11109</v>
      </c>
      <c r="H471" s="27"/>
      <c r="I471" s="27" t="s">
        <v>9180</v>
      </c>
      <c r="J471" s="27" t="s">
        <v>11110</v>
      </c>
      <c r="K471" s="27" t="s">
        <v>9188</v>
      </c>
      <c r="L471" s="27" t="s">
        <v>9183</v>
      </c>
    </row>
    <row r="472" spans="1:12">
      <c r="A472" s="30">
        <v>471</v>
      </c>
      <c r="B472" s="30" t="s">
        <v>3732</v>
      </c>
      <c r="C472" s="30" t="s">
        <v>11111</v>
      </c>
      <c r="D472" s="30" t="s">
        <v>10173</v>
      </c>
      <c r="E472" s="30" t="s">
        <v>9208</v>
      </c>
      <c r="F472" s="30"/>
      <c r="G472" s="30" t="s">
        <v>11112</v>
      </c>
      <c r="H472" s="30"/>
      <c r="I472" s="30" t="s">
        <v>9180</v>
      </c>
      <c r="J472" s="30" t="s">
        <v>9892</v>
      </c>
      <c r="K472" s="30" t="s">
        <v>9188</v>
      </c>
      <c r="L472" s="30" t="s">
        <v>9350</v>
      </c>
    </row>
    <row r="473" spans="1:12">
      <c r="A473" s="30">
        <v>472</v>
      </c>
      <c r="B473" s="30" t="s">
        <v>950</v>
      </c>
      <c r="C473" s="30" t="s">
        <v>11113</v>
      </c>
      <c r="D473" s="30" t="s">
        <v>10173</v>
      </c>
      <c r="E473" s="30" t="s">
        <v>9208</v>
      </c>
      <c r="F473" s="30"/>
      <c r="G473" s="30" t="s">
        <v>11114</v>
      </c>
      <c r="H473" s="30" t="s">
        <v>11114</v>
      </c>
      <c r="I473" s="30" t="s">
        <v>9180</v>
      </c>
      <c r="J473" s="30" t="s">
        <v>11115</v>
      </c>
      <c r="K473" s="30" t="s">
        <v>9188</v>
      </c>
      <c r="L473" s="30" t="s">
        <v>9350</v>
      </c>
    </row>
    <row r="474" spans="1:12">
      <c r="A474" s="27">
        <v>473</v>
      </c>
      <c r="B474" s="27" t="s">
        <v>1504</v>
      </c>
      <c r="C474" s="27" t="s">
        <v>1505</v>
      </c>
      <c r="D474" s="27" t="s">
        <v>10173</v>
      </c>
      <c r="E474" s="27" t="s">
        <v>10169</v>
      </c>
      <c r="F474" s="27"/>
      <c r="G474" s="27" t="s">
        <v>11116</v>
      </c>
      <c r="H474" s="27"/>
      <c r="I474" s="27" t="s">
        <v>9180</v>
      </c>
      <c r="J474" s="27" t="s">
        <v>11117</v>
      </c>
      <c r="K474" s="27" t="s">
        <v>9188</v>
      </c>
      <c r="L474" s="27" t="s">
        <v>9183</v>
      </c>
    </row>
    <row r="475" spans="1:12">
      <c r="A475" s="27">
        <v>474</v>
      </c>
      <c r="B475" s="27" t="s">
        <v>11118</v>
      </c>
      <c r="C475" s="27" t="s">
        <v>11119</v>
      </c>
      <c r="D475" s="27" t="s">
        <v>10173</v>
      </c>
      <c r="E475" s="27" t="s">
        <v>10169</v>
      </c>
      <c r="F475" s="27"/>
      <c r="G475" s="27" t="s">
        <v>11120</v>
      </c>
      <c r="H475" s="27" t="s">
        <v>11120</v>
      </c>
      <c r="I475" s="27" t="s">
        <v>9180</v>
      </c>
      <c r="J475" s="27" t="s">
        <v>9210</v>
      </c>
      <c r="K475" s="27" t="s">
        <v>9188</v>
      </c>
      <c r="L475" s="27" t="s">
        <v>9196</v>
      </c>
    </row>
    <row r="476" spans="1:12">
      <c r="A476" s="27">
        <v>475</v>
      </c>
      <c r="B476" s="27" t="s">
        <v>1732</v>
      </c>
      <c r="C476" s="27" t="s">
        <v>11121</v>
      </c>
      <c r="D476" s="27" t="s">
        <v>10173</v>
      </c>
      <c r="E476" s="27" t="s">
        <v>10169</v>
      </c>
      <c r="F476" s="27"/>
      <c r="G476" s="27" t="s">
        <v>11122</v>
      </c>
      <c r="H476" s="27"/>
      <c r="I476" s="27" t="s">
        <v>9180</v>
      </c>
      <c r="J476" s="27" t="s">
        <v>9217</v>
      </c>
      <c r="K476" s="27" t="s">
        <v>9188</v>
      </c>
      <c r="L476" s="27" t="s">
        <v>9183</v>
      </c>
    </row>
    <row r="477" spans="1:12">
      <c r="A477" s="28">
        <v>476</v>
      </c>
      <c r="B477" s="28" t="s">
        <v>1761</v>
      </c>
      <c r="C477" s="28" t="s">
        <v>11123</v>
      </c>
      <c r="D477" s="28" t="s">
        <v>10168</v>
      </c>
      <c r="E477" s="28" t="s">
        <v>10169</v>
      </c>
      <c r="F477" s="28"/>
      <c r="G477" s="28" t="s">
        <v>11124</v>
      </c>
      <c r="H477" s="28"/>
      <c r="I477" s="28" t="s">
        <v>9180</v>
      </c>
      <c r="J477" s="28" t="s">
        <v>9205</v>
      </c>
      <c r="K477" s="28" t="s">
        <v>9188</v>
      </c>
      <c r="L477" s="28" t="s">
        <v>9189</v>
      </c>
    </row>
    <row r="478" spans="1:12">
      <c r="A478" s="27">
        <v>477</v>
      </c>
      <c r="B478" s="27" t="s">
        <v>1111</v>
      </c>
      <c r="C478" s="27" t="s">
        <v>1112</v>
      </c>
      <c r="D478" s="27" t="s">
        <v>10173</v>
      </c>
      <c r="E478" s="27" t="s">
        <v>10169</v>
      </c>
      <c r="F478" s="27"/>
      <c r="G478" s="27" t="s">
        <v>11125</v>
      </c>
      <c r="H478" s="27"/>
      <c r="I478" s="27" t="s">
        <v>9180</v>
      </c>
      <c r="J478" s="27" t="s">
        <v>11126</v>
      </c>
      <c r="K478" s="27" t="s">
        <v>9188</v>
      </c>
      <c r="L478" s="27" t="s">
        <v>9183</v>
      </c>
    </row>
    <row r="479" spans="1:12">
      <c r="A479" s="27">
        <v>478</v>
      </c>
      <c r="B479" s="27" t="s">
        <v>1107</v>
      </c>
      <c r="C479" s="27" t="s">
        <v>11127</v>
      </c>
      <c r="D479" s="27" t="s">
        <v>10173</v>
      </c>
      <c r="E479" s="27" t="s">
        <v>10169</v>
      </c>
      <c r="F479" s="27"/>
      <c r="G479" s="27" t="s">
        <v>11128</v>
      </c>
      <c r="H479" s="27" t="s">
        <v>11128</v>
      </c>
      <c r="I479" s="27" t="s">
        <v>9180</v>
      </c>
      <c r="J479" s="27" t="s">
        <v>11129</v>
      </c>
      <c r="K479" s="27" t="s">
        <v>9188</v>
      </c>
      <c r="L479" s="27" t="s">
        <v>9196</v>
      </c>
    </row>
    <row r="480" spans="1:12">
      <c r="A480" s="27">
        <v>479</v>
      </c>
      <c r="B480" s="27" t="s">
        <v>1053</v>
      </c>
      <c r="C480" s="27" t="s">
        <v>1054</v>
      </c>
      <c r="D480" s="27" t="s">
        <v>10173</v>
      </c>
      <c r="E480" s="27" t="s">
        <v>10169</v>
      </c>
      <c r="F480" s="27"/>
      <c r="G480" s="27" t="s">
        <v>11130</v>
      </c>
      <c r="H480" s="27"/>
      <c r="I480" s="27" t="s">
        <v>9180</v>
      </c>
      <c r="J480" s="27" t="s">
        <v>9515</v>
      </c>
      <c r="K480" s="27" t="s">
        <v>9188</v>
      </c>
      <c r="L480" s="27" t="s">
        <v>9183</v>
      </c>
    </row>
    <row r="481" spans="1:12">
      <c r="A481" s="27">
        <v>480</v>
      </c>
      <c r="B481" s="27" t="s">
        <v>819</v>
      </c>
      <c r="C481" s="27" t="s">
        <v>820</v>
      </c>
      <c r="D481" s="27" t="s">
        <v>10173</v>
      </c>
      <c r="E481" s="27" t="s">
        <v>10169</v>
      </c>
      <c r="F481" s="27"/>
      <c r="G481" s="27" t="s">
        <v>11131</v>
      </c>
      <c r="H481" s="27"/>
      <c r="I481" s="27" t="s">
        <v>9180</v>
      </c>
      <c r="J481" s="27" t="s">
        <v>9606</v>
      </c>
      <c r="K481" s="27" t="s">
        <v>9188</v>
      </c>
      <c r="L481" s="27" t="s">
        <v>9196</v>
      </c>
    </row>
    <row r="482" spans="1:12">
      <c r="A482" s="27">
        <v>481</v>
      </c>
      <c r="B482" s="27" t="s">
        <v>751</v>
      </c>
      <c r="C482" s="27" t="s">
        <v>752</v>
      </c>
      <c r="D482" s="27" t="s">
        <v>10173</v>
      </c>
      <c r="E482" s="27" t="s">
        <v>10169</v>
      </c>
      <c r="F482" s="27"/>
      <c r="G482" s="27" t="s">
        <v>11132</v>
      </c>
      <c r="H482" s="27"/>
      <c r="I482" s="27" t="s">
        <v>9180</v>
      </c>
      <c r="J482" s="27" t="s">
        <v>9626</v>
      </c>
      <c r="K482" s="27" t="s">
        <v>9188</v>
      </c>
      <c r="L482" s="27" t="s">
        <v>9183</v>
      </c>
    </row>
    <row r="483" spans="1:12">
      <c r="A483" s="27">
        <v>482</v>
      </c>
      <c r="B483" s="27" t="s">
        <v>712</v>
      </c>
      <c r="C483" s="27" t="s">
        <v>11133</v>
      </c>
      <c r="D483" s="27" t="s">
        <v>10173</v>
      </c>
      <c r="E483" s="27" t="s">
        <v>10169</v>
      </c>
      <c r="F483" s="27"/>
      <c r="G483" s="27" t="s">
        <v>11134</v>
      </c>
      <c r="H483" s="27"/>
      <c r="I483" s="27" t="s">
        <v>9180</v>
      </c>
      <c r="J483" s="27" t="s">
        <v>9968</v>
      </c>
      <c r="K483" s="27" t="s">
        <v>9188</v>
      </c>
      <c r="L483" s="27" t="s">
        <v>9196</v>
      </c>
    </row>
    <row r="484" spans="1:12">
      <c r="A484" s="30">
        <v>483</v>
      </c>
      <c r="B484" s="30" t="s">
        <v>686</v>
      </c>
      <c r="C484" s="30" t="s">
        <v>11135</v>
      </c>
      <c r="D484" s="30" t="s">
        <v>10173</v>
      </c>
      <c r="E484" s="30" t="s">
        <v>9208</v>
      </c>
      <c r="F484" s="30"/>
      <c r="G484" s="30" t="s">
        <v>11136</v>
      </c>
      <c r="H484" s="30"/>
      <c r="I484" s="30" t="s">
        <v>9180</v>
      </c>
      <c r="J484" s="30" t="s">
        <v>9965</v>
      </c>
      <c r="K484" s="30" t="s">
        <v>9188</v>
      </c>
      <c r="L484" s="30" t="s">
        <v>9350</v>
      </c>
    </row>
    <row r="485" spans="1:12">
      <c r="A485" s="27">
        <v>484</v>
      </c>
      <c r="B485" s="27" t="s">
        <v>617</v>
      </c>
      <c r="C485" s="27" t="s">
        <v>11137</v>
      </c>
      <c r="D485" s="27" t="s">
        <v>10173</v>
      </c>
      <c r="E485" s="27" t="s">
        <v>10169</v>
      </c>
      <c r="F485" s="27"/>
      <c r="G485" s="27" t="s">
        <v>11138</v>
      </c>
      <c r="H485" s="27"/>
      <c r="I485" s="27" t="s">
        <v>9180</v>
      </c>
      <c r="J485" s="27" t="s">
        <v>11139</v>
      </c>
      <c r="K485" s="27" t="s">
        <v>9188</v>
      </c>
      <c r="L485" s="27" t="s">
        <v>9196</v>
      </c>
    </row>
    <row r="486" spans="1:12">
      <c r="A486" s="30">
        <v>485</v>
      </c>
      <c r="B486" s="30" t="s">
        <v>454</v>
      </c>
      <c r="C486" s="30" t="s">
        <v>11140</v>
      </c>
      <c r="D486" s="30" t="s">
        <v>10173</v>
      </c>
      <c r="E486" s="30" t="s">
        <v>9208</v>
      </c>
      <c r="F486" s="30"/>
      <c r="G486" s="30" t="s">
        <v>11141</v>
      </c>
      <c r="H486" s="30"/>
      <c r="I486" s="30" t="s">
        <v>9180</v>
      </c>
      <c r="J486" s="30" t="s">
        <v>10156</v>
      </c>
      <c r="K486" s="30" t="s">
        <v>9188</v>
      </c>
      <c r="L486" s="30" t="s">
        <v>9350</v>
      </c>
    </row>
    <row r="487" spans="1:12">
      <c r="A487" s="27">
        <v>486</v>
      </c>
      <c r="B487" s="27" t="s">
        <v>755</v>
      </c>
      <c r="C487" s="27" t="s">
        <v>756</v>
      </c>
      <c r="D487" s="27" t="s">
        <v>10173</v>
      </c>
      <c r="E487" s="27" t="s">
        <v>10169</v>
      </c>
      <c r="F487" s="27"/>
      <c r="G487" s="27" t="s">
        <v>11142</v>
      </c>
      <c r="H487" s="27"/>
      <c r="I487" s="27" t="s">
        <v>9180</v>
      </c>
      <c r="J487" s="27" t="s">
        <v>10063</v>
      </c>
      <c r="K487" s="27" t="s">
        <v>9188</v>
      </c>
      <c r="L487" s="27" t="s">
        <v>9183</v>
      </c>
    </row>
    <row r="488" spans="1:12">
      <c r="A488" s="30">
        <v>487</v>
      </c>
      <c r="B488" s="30" t="s">
        <v>733</v>
      </c>
      <c r="C488" s="30" t="s">
        <v>11143</v>
      </c>
      <c r="D488" s="30" t="s">
        <v>10173</v>
      </c>
      <c r="E488" s="30" t="s">
        <v>9208</v>
      </c>
      <c r="F488" s="30"/>
      <c r="G488" s="30" t="s">
        <v>11144</v>
      </c>
      <c r="H488" s="30" t="s">
        <v>11144</v>
      </c>
      <c r="I488" s="30" t="s">
        <v>9180</v>
      </c>
      <c r="J488" s="30" t="s">
        <v>9251</v>
      </c>
      <c r="K488" s="30" t="s">
        <v>9188</v>
      </c>
      <c r="L488" s="30" t="s">
        <v>9350</v>
      </c>
    </row>
    <row r="489" spans="1:12">
      <c r="A489" s="27">
        <v>488</v>
      </c>
      <c r="B489" s="27" t="s">
        <v>690</v>
      </c>
      <c r="C489" s="27" t="s">
        <v>691</v>
      </c>
      <c r="D489" s="27" t="s">
        <v>10173</v>
      </c>
      <c r="E489" s="27" t="s">
        <v>10169</v>
      </c>
      <c r="F489" s="27"/>
      <c r="G489" s="27" t="s">
        <v>11145</v>
      </c>
      <c r="H489" s="27"/>
      <c r="I489" s="27" t="s">
        <v>9180</v>
      </c>
      <c r="J489" s="27" t="s">
        <v>9626</v>
      </c>
      <c r="K489" s="27" t="s">
        <v>9188</v>
      </c>
      <c r="L489" s="27" t="s">
        <v>9183</v>
      </c>
    </row>
    <row r="490" spans="1:12">
      <c r="A490" s="27">
        <v>489</v>
      </c>
      <c r="B490" s="27" t="s">
        <v>255</v>
      </c>
      <c r="C490" s="27" t="s">
        <v>11146</v>
      </c>
      <c r="D490" s="27" t="s">
        <v>10173</v>
      </c>
      <c r="E490" s="27" t="s">
        <v>10169</v>
      </c>
      <c r="F490" s="27"/>
      <c r="G490" s="27" t="s">
        <v>11147</v>
      </c>
      <c r="H490" s="27"/>
      <c r="I490" s="27" t="s">
        <v>9180</v>
      </c>
      <c r="J490" s="27" t="s">
        <v>9251</v>
      </c>
      <c r="K490" s="27" t="s">
        <v>9188</v>
      </c>
      <c r="L490" s="27" t="s">
        <v>9196</v>
      </c>
    </row>
    <row r="491" spans="1:12">
      <c r="A491" s="28">
        <v>490</v>
      </c>
      <c r="B491" s="28" t="s">
        <v>226</v>
      </c>
      <c r="C491" s="28" t="s">
        <v>11148</v>
      </c>
      <c r="D491" s="28" t="s">
        <v>10168</v>
      </c>
      <c r="E491" s="28" t="s">
        <v>9208</v>
      </c>
      <c r="F491" s="28"/>
      <c r="G491" s="28" t="s">
        <v>11149</v>
      </c>
      <c r="H491" s="28"/>
      <c r="I491" s="28" t="s">
        <v>9180</v>
      </c>
      <c r="J491" s="28" t="s">
        <v>9626</v>
      </c>
      <c r="K491" s="28" t="s">
        <v>9188</v>
      </c>
      <c r="L491" s="28" t="s">
        <v>9212</v>
      </c>
    </row>
    <row r="492" spans="1:12">
      <c r="A492" s="27">
        <v>491</v>
      </c>
      <c r="B492" s="27" t="s">
        <v>282</v>
      </c>
      <c r="C492" s="27" t="s">
        <v>11150</v>
      </c>
      <c r="D492" s="27" t="s">
        <v>10173</v>
      </c>
      <c r="E492" s="27" t="s">
        <v>10169</v>
      </c>
      <c r="F492" s="27"/>
      <c r="G492" s="27" t="s">
        <v>11151</v>
      </c>
      <c r="H492" s="27"/>
      <c r="I492" s="27" t="s">
        <v>9180</v>
      </c>
      <c r="J492" s="27" t="s">
        <v>11152</v>
      </c>
      <c r="K492" s="27" t="s">
        <v>9188</v>
      </c>
      <c r="L492" s="27" t="s">
        <v>9196</v>
      </c>
    </row>
    <row r="493" spans="1:12">
      <c r="A493" s="30">
        <v>492</v>
      </c>
      <c r="B493" s="30" t="s">
        <v>4191</v>
      </c>
      <c r="C493" s="30" t="s">
        <v>11153</v>
      </c>
      <c r="D493" s="30" t="s">
        <v>10173</v>
      </c>
      <c r="E493" s="30" t="s">
        <v>9208</v>
      </c>
      <c r="F493" s="30"/>
      <c r="G493" s="30" t="s">
        <v>11154</v>
      </c>
      <c r="H493" s="30" t="s">
        <v>11154</v>
      </c>
      <c r="I493" s="30" t="s">
        <v>9180</v>
      </c>
      <c r="J493" s="30" t="s">
        <v>9334</v>
      </c>
      <c r="K493" s="30" t="s">
        <v>9188</v>
      </c>
      <c r="L493" s="30" t="s">
        <v>9350</v>
      </c>
    </row>
    <row r="494" spans="1:12">
      <c r="A494" s="30">
        <v>493</v>
      </c>
      <c r="B494" s="30" t="s">
        <v>788</v>
      </c>
      <c r="C494" s="30" t="s">
        <v>11155</v>
      </c>
      <c r="D494" s="30" t="s">
        <v>10173</v>
      </c>
      <c r="E494" s="30" t="s">
        <v>9208</v>
      </c>
      <c r="F494" s="30"/>
      <c r="G494" s="30" t="s">
        <v>11156</v>
      </c>
      <c r="H494" s="30" t="s">
        <v>11156</v>
      </c>
      <c r="I494" s="30" t="s">
        <v>9180</v>
      </c>
      <c r="J494" s="30" t="s">
        <v>10462</v>
      </c>
      <c r="K494" s="30" t="s">
        <v>9188</v>
      </c>
      <c r="L494" s="30" t="s">
        <v>9350</v>
      </c>
    </row>
    <row r="495" spans="1:12">
      <c r="A495" s="27">
        <v>494</v>
      </c>
      <c r="B495" s="27" t="s">
        <v>663</v>
      </c>
      <c r="C495" s="27" t="s">
        <v>664</v>
      </c>
      <c r="D495" s="27" t="s">
        <v>10173</v>
      </c>
      <c r="E495" s="27" t="s">
        <v>10169</v>
      </c>
      <c r="F495" s="27"/>
      <c r="G495" s="27" t="s">
        <v>11157</v>
      </c>
      <c r="H495" s="27"/>
      <c r="I495" s="27" t="s">
        <v>9180</v>
      </c>
      <c r="J495" s="27" t="s">
        <v>9626</v>
      </c>
      <c r="K495" s="27" t="s">
        <v>9188</v>
      </c>
      <c r="L495" s="27" t="s">
        <v>9183</v>
      </c>
    </row>
    <row r="496" spans="1:12">
      <c r="A496" s="27">
        <v>495</v>
      </c>
      <c r="B496" s="27" t="s">
        <v>563</v>
      </c>
      <c r="C496" s="27" t="s">
        <v>11158</v>
      </c>
      <c r="D496" s="27" t="s">
        <v>10173</v>
      </c>
      <c r="E496" s="27" t="s">
        <v>10169</v>
      </c>
      <c r="F496" s="27"/>
      <c r="G496" s="27" t="s">
        <v>11159</v>
      </c>
      <c r="H496" s="27"/>
      <c r="I496" s="27" t="s">
        <v>9180</v>
      </c>
      <c r="J496" s="27" t="s">
        <v>9298</v>
      </c>
      <c r="K496" s="27" t="s">
        <v>9188</v>
      </c>
      <c r="L496" s="27" t="s">
        <v>9196</v>
      </c>
    </row>
    <row r="497" spans="1:12">
      <c r="A497" s="27">
        <v>496</v>
      </c>
      <c r="B497" s="27" t="s">
        <v>11160</v>
      </c>
      <c r="C497" s="27" t="s">
        <v>11161</v>
      </c>
      <c r="D497" s="27" t="s">
        <v>10173</v>
      </c>
      <c r="E497" s="27" t="s">
        <v>10169</v>
      </c>
      <c r="F497" s="27"/>
      <c r="G497" s="27" t="s">
        <v>11162</v>
      </c>
      <c r="H497" s="27"/>
      <c r="I497" s="27" t="s">
        <v>9180</v>
      </c>
      <c r="J497" s="27" t="s">
        <v>9210</v>
      </c>
      <c r="K497" s="27" t="s">
        <v>9188</v>
      </c>
      <c r="L497" s="27" t="s">
        <v>9196</v>
      </c>
    </row>
    <row r="498" spans="1:12">
      <c r="A498" s="30">
        <v>497</v>
      </c>
      <c r="B498" s="30" t="s">
        <v>312</v>
      </c>
      <c r="C498" s="30" t="s">
        <v>11163</v>
      </c>
      <c r="D498" s="30" t="s">
        <v>10173</v>
      </c>
      <c r="E498" s="30" t="s">
        <v>9208</v>
      </c>
      <c r="F498" s="30"/>
      <c r="G498" s="30" t="s">
        <v>11164</v>
      </c>
      <c r="H498" s="30"/>
      <c r="I498" s="30" t="s">
        <v>9180</v>
      </c>
      <c r="J498" s="30" t="s">
        <v>9892</v>
      </c>
      <c r="K498" s="30" t="s">
        <v>9188</v>
      </c>
      <c r="L498" s="30" t="s">
        <v>9350</v>
      </c>
    </row>
    <row r="499" spans="1:12">
      <c r="A499" s="28">
        <v>498</v>
      </c>
      <c r="B499" s="28" t="s">
        <v>259</v>
      </c>
      <c r="C499" s="28" t="s">
        <v>260</v>
      </c>
      <c r="D499" s="28" t="s">
        <v>10168</v>
      </c>
      <c r="E499" s="28" t="s">
        <v>10169</v>
      </c>
      <c r="F499" s="28"/>
      <c r="G499" s="28" t="s">
        <v>11165</v>
      </c>
      <c r="H499" s="28"/>
      <c r="I499" s="28" t="s">
        <v>9180</v>
      </c>
      <c r="J499" s="28" t="s">
        <v>11166</v>
      </c>
      <c r="K499" s="28" t="s">
        <v>9188</v>
      </c>
      <c r="L499" s="28" t="s">
        <v>9223</v>
      </c>
    </row>
    <row r="500" spans="1:12">
      <c r="A500" s="29">
        <v>499</v>
      </c>
      <c r="B500" s="29" t="s">
        <v>3659</v>
      </c>
      <c r="C500" s="29" t="s">
        <v>3660</v>
      </c>
      <c r="D500" s="29" t="s">
        <v>10168</v>
      </c>
      <c r="E500" s="29" t="s">
        <v>10169</v>
      </c>
      <c r="F500" s="29"/>
      <c r="G500" s="29" t="s">
        <v>11167</v>
      </c>
      <c r="H500" s="29" t="s">
        <v>11167</v>
      </c>
      <c r="I500" s="29" t="s">
        <v>9180</v>
      </c>
      <c r="J500" s="29" t="s">
        <v>11168</v>
      </c>
      <c r="K500" s="29" t="s">
        <v>9188</v>
      </c>
      <c r="L500" s="29" t="s">
        <v>9223</v>
      </c>
    </row>
    <row r="501" spans="1:12">
      <c r="A501" s="28">
        <v>500</v>
      </c>
      <c r="B501" s="28" t="s">
        <v>4960</v>
      </c>
      <c r="C501" s="28" t="s">
        <v>11169</v>
      </c>
      <c r="D501" s="28" t="s">
        <v>10168</v>
      </c>
      <c r="E501" s="28" t="s">
        <v>10169</v>
      </c>
      <c r="F501" s="28"/>
      <c r="G501" s="28" t="s">
        <v>11170</v>
      </c>
      <c r="H501" s="28"/>
      <c r="I501" s="28" t="s">
        <v>9180</v>
      </c>
      <c r="J501" s="28" t="s">
        <v>11171</v>
      </c>
      <c r="K501" s="28" t="s">
        <v>9188</v>
      </c>
      <c r="L501" s="28" t="s">
        <v>9189</v>
      </c>
    </row>
    <row r="502" spans="1:12">
      <c r="A502" s="30">
        <v>501</v>
      </c>
      <c r="B502" s="30" t="s">
        <v>11172</v>
      </c>
      <c r="C502" s="30" t="s">
        <v>11173</v>
      </c>
      <c r="D502" s="30" t="s">
        <v>10173</v>
      </c>
      <c r="E502" s="30" t="s">
        <v>9208</v>
      </c>
      <c r="F502" s="30"/>
      <c r="G502" s="30" t="s">
        <v>11174</v>
      </c>
      <c r="H502" s="30"/>
      <c r="I502" s="30" t="s">
        <v>9180</v>
      </c>
      <c r="J502" s="30" t="s">
        <v>9210</v>
      </c>
      <c r="K502" s="30" t="s">
        <v>9211</v>
      </c>
      <c r="L502" s="30" t="s">
        <v>9350</v>
      </c>
    </row>
    <row r="503" spans="1:12">
      <c r="A503" s="28">
        <v>502</v>
      </c>
      <c r="B503" s="28" t="s">
        <v>11175</v>
      </c>
      <c r="C503" s="28" t="s">
        <v>11176</v>
      </c>
      <c r="D503" s="28" t="s">
        <v>10168</v>
      </c>
      <c r="E503" s="28" t="s">
        <v>10169</v>
      </c>
      <c r="F503" s="28"/>
      <c r="G503" s="28" t="s">
        <v>11177</v>
      </c>
      <c r="H503" s="28"/>
      <c r="I503" s="28" t="s">
        <v>9180</v>
      </c>
      <c r="J503" s="28" t="s">
        <v>9210</v>
      </c>
      <c r="K503" s="28" t="s">
        <v>9211</v>
      </c>
      <c r="L503" s="28" t="s">
        <v>9223</v>
      </c>
    </row>
    <row r="504" spans="1:12">
      <c r="A504" s="27">
        <v>503</v>
      </c>
      <c r="B504" s="27" t="s">
        <v>7468</v>
      </c>
      <c r="C504" s="27" t="s">
        <v>11178</v>
      </c>
      <c r="D504" s="27" t="s">
        <v>10173</v>
      </c>
      <c r="E504" s="27" t="s">
        <v>9336</v>
      </c>
      <c r="F504" s="27"/>
      <c r="G504" s="27" t="s">
        <v>11179</v>
      </c>
      <c r="H504" s="27"/>
      <c r="I504" s="27" t="s">
        <v>9180</v>
      </c>
      <c r="J504" s="27" t="s">
        <v>9221</v>
      </c>
      <c r="K504" s="27" t="s">
        <v>9211</v>
      </c>
      <c r="L504" s="27" t="s">
        <v>9196</v>
      </c>
    </row>
    <row r="505" spans="1:12">
      <c r="A505" s="27">
        <v>504</v>
      </c>
      <c r="B505" s="27" t="s">
        <v>6642</v>
      </c>
      <c r="C505" s="27" t="s">
        <v>11180</v>
      </c>
      <c r="D505" s="27" t="s">
        <v>10173</v>
      </c>
      <c r="E505" s="27" t="s">
        <v>9336</v>
      </c>
      <c r="F505" s="27"/>
      <c r="G505" s="27" t="s">
        <v>11181</v>
      </c>
      <c r="H505" s="27"/>
      <c r="I505" s="27" t="s">
        <v>9180</v>
      </c>
      <c r="J505" s="27" t="s">
        <v>9221</v>
      </c>
      <c r="K505" s="27" t="s">
        <v>9211</v>
      </c>
      <c r="L505" s="27" t="s">
        <v>9196</v>
      </c>
    </row>
    <row r="506" spans="1:12">
      <c r="A506" s="27">
        <v>505</v>
      </c>
      <c r="B506" s="27" t="s">
        <v>11182</v>
      </c>
      <c r="C506" s="27" t="s">
        <v>11183</v>
      </c>
      <c r="D506" s="27" t="s">
        <v>10173</v>
      </c>
      <c r="E506" s="27" t="s">
        <v>9336</v>
      </c>
      <c r="F506" s="27"/>
      <c r="G506" s="27" t="s">
        <v>11184</v>
      </c>
      <c r="H506" s="27"/>
      <c r="I506" s="27" t="s">
        <v>9180</v>
      </c>
      <c r="J506" s="27" t="s">
        <v>9210</v>
      </c>
      <c r="K506" s="27" t="s">
        <v>9211</v>
      </c>
      <c r="L506" s="27" t="s">
        <v>9196</v>
      </c>
    </row>
    <row r="507" spans="1:12">
      <c r="A507" s="27">
        <v>506</v>
      </c>
      <c r="B507" s="27" t="s">
        <v>6595</v>
      </c>
      <c r="C507" s="27" t="s">
        <v>11185</v>
      </c>
      <c r="D507" s="27" t="s">
        <v>10173</v>
      </c>
      <c r="E507" s="27" t="s">
        <v>9336</v>
      </c>
      <c r="F507" s="27"/>
      <c r="G507" s="27" t="s">
        <v>11186</v>
      </c>
      <c r="H507" s="27"/>
      <c r="I507" s="27" t="s">
        <v>9180</v>
      </c>
      <c r="J507" s="27" t="s">
        <v>9221</v>
      </c>
      <c r="K507" s="27" t="s">
        <v>9211</v>
      </c>
      <c r="L507" s="27" t="s">
        <v>9196</v>
      </c>
    </row>
    <row r="508" spans="1:12">
      <c r="A508" s="27">
        <v>507</v>
      </c>
      <c r="B508" s="27" t="s">
        <v>5623</v>
      </c>
      <c r="C508" s="27" t="s">
        <v>11187</v>
      </c>
      <c r="D508" s="27" t="s">
        <v>10173</v>
      </c>
      <c r="E508" s="27" t="s">
        <v>10169</v>
      </c>
      <c r="F508" s="27"/>
      <c r="G508" s="27" t="s">
        <v>11188</v>
      </c>
      <c r="H508" s="27"/>
      <c r="I508" s="27" t="s">
        <v>9180</v>
      </c>
      <c r="J508" s="27" t="s">
        <v>9221</v>
      </c>
      <c r="K508" s="27" t="s">
        <v>9211</v>
      </c>
      <c r="L508" s="27" t="s">
        <v>9196</v>
      </c>
    </row>
    <row r="509" spans="1:12">
      <c r="A509" s="27">
        <v>508</v>
      </c>
      <c r="B509" s="27" t="s">
        <v>11189</v>
      </c>
      <c r="C509" s="27" t="s">
        <v>7720</v>
      </c>
      <c r="D509" s="27" t="s">
        <v>10173</v>
      </c>
      <c r="E509" s="27" t="s">
        <v>10169</v>
      </c>
      <c r="F509" s="27"/>
      <c r="G509" s="27" t="s">
        <v>11190</v>
      </c>
      <c r="H509" s="27"/>
      <c r="I509" s="27" t="s">
        <v>9180</v>
      </c>
      <c r="J509" s="27" t="s">
        <v>9210</v>
      </c>
      <c r="K509" s="27" t="s">
        <v>9211</v>
      </c>
      <c r="L509" s="27" t="s">
        <v>9183</v>
      </c>
    </row>
    <row r="510" spans="1:12">
      <c r="A510" s="27">
        <v>509</v>
      </c>
      <c r="B510" s="27" t="s">
        <v>6531</v>
      </c>
      <c r="C510" s="27" t="s">
        <v>6532</v>
      </c>
      <c r="D510" s="27" t="s">
        <v>10173</v>
      </c>
      <c r="E510" s="27" t="s">
        <v>9336</v>
      </c>
      <c r="F510" s="27"/>
      <c r="G510" s="27" t="s">
        <v>11191</v>
      </c>
      <c r="H510" s="27"/>
      <c r="I510" s="27" t="s">
        <v>9180</v>
      </c>
      <c r="J510" s="27" t="s">
        <v>9322</v>
      </c>
      <c r="K510" s="27" t="s">
        <v>9211</v>
      </c>
      <c r="L510" s="27" t="s">
        <v>9196</v>
      </c>
    </row>
    <row r="511" spans="1:12">
      <c r="A511" s="30">
        <v>510</v>
      </c>
      <c r="B511" s="30" t="s">
        <v>8038</v>
      </c>
      <c r="C511" s="30" t="s">
        <v>11192</v>
      </c>
      <c r="D511" s="30" t="s">
        <v>10173</v>
      </c>
      <c r="E511" s="30" t="s">
        <v>9208</v>
      </c>
      <c r="F511" s="30"/>
      <c r="G511" s="30" t="s">
        <v>11193</v>
      </c>
      <c r="H511" s="30"/>
      <c r="I511" s="30" t="s">
        <v>9180</v>
      </c>
      <c r="J511" s="30" t="s">
        <v>11194</v>
      </c>
      <c r="K511" s="30" t="s">
        <v>9211</v>
      </c>
      <c r="L511" s="30" t="s">
        <v>9350</v>
      </c>
    </row>
    <row r="512" spans="1:12">
      <c r="A512" s="30">
        <v>511</v>
      </c>
      <c r="B512" s="30" t="s">
        <v>6525</v>
      </c>
      <c r="C512" s="30" t="s">
        <v>11195</v>
      </c>
      <c r="D512" s="30" t="s">
        <v>10173</v>
      </c>
      <c r="E512" s="30" t="s">
        <v>9208</v>
      </c>
      <c r="F512" s="30"/>
      <c r="G512" s="30" t="s">
        <v>11196</v>
      </c>
      <c r="H512" s="30"/>
      <c r="I512" s="30" t="s">
        <v>9180</v>
      </c>
      <c r="J512" s="30" t="s">
        <v>9221</v>
      </c>
      <c r="K512" s="30" t="s">
        <v>9211</v>
      </c>
      <c r="L512" s="30" t="s">
        <v>9350</v>
      </c>
    </row>
    <row r="513" spans="1:12">
      <c r="A513" s="30">
        <v>512</v>
      </c>
      <c r="B513" s="30" t="s">
        <v>6511</v>
      </c>
      <c r="C513" s="30" t="s">
        <v>6512</v>
      </c>
      <c r="D513" s="30" t="s">
        <v>10173</v>
      </c>
      <c r="E513" s="30" t="s">
        <v>9208</v>
      </c>
      <c r="F513" s="30"/>
      <c r="G513" s="30" t="s">
        <v>11197</v>
      </c>
      <c r="H513" s="30"/>
      <c r="I513" s="30" t="s">
        <v>9180</v>
      </c>
      <c r="J513" s="30" t="s">
        <v>9353</v>
      </c>
      <c r="K513" s="30" t="s">
        <v>9211</v>
      </c>
      <c r="L513" s="30" t="s">
        <v>9350</v>
      </c>
    </row>
    <row r="514" spans="1:12">
      <c r="A514" s="27">
        <v>513</v>
      </c>
      <c r="B514" s="27" t="s">
        <v>1859</v>
      </c>
      <c r="C514" s="27" t="s">
        <v>1860</v>
      </c>
      <c r="D514" s="27" t="s">
        <v>10173</v>
      </c>
      <c r="E514" s="27" t="s">
        <v>9336</v>
      </c>
      <c r="F514" s="27"/>
      <c r="G514" s="27" t="s">
        <v>11198</v>
      </c>
      <c r="H514" s="27"/>
      <c r="I514" s="27" t="s">
        <v>9180</v>
      </c>
      <c r="J514" s="27" t="s">
        <v>11199</v>
      </c>
      <c r="K514" s="27" t="s">
        <v>9211</v>
      </c>
      <c r="L514" s="27" t="s">
        <v>9196</v>
      </c>
    </row>
    <row r="515" spans="1:12">
      <c r="A515" s="27">
        <v>514</v>
      </c>
      <c r="B515" s="27" t="s">
        <v>6676</v>
      </c>
      <c r="C515" s="27" t="s">
        <v>11200</v>
      </c>
      <c r="D515" s="27" t="s">
        <v>10173</v>
      </c>
      <c r="E515" s="27" t="s">
        <v>9336</v>
      </c>
      <c r="F515" s="27"/>
      <c r="G515" s="27" t="s">
        <v>11201</v>
      </c>
      <c r="H515" s="27"/>
      <c r="I515" s="27" t="s">
        <v>9180</v>
      </c>
      <c r="J515" s="27" t="s">
        <v>11202</v>
      </c>
      <c r="K515" s="27" t="s">
        <v>9211</v>
      </c>
      <c r="L515" s="27" t="s">
        <v>9183</v>
      </c>
    </row>
    <row r="516" spans="1:12">
      <c r="A516" s="27">
        <v>515</v>
      </c>
      <c r="B516" s="27" t="s">
        <v>5232</v>
      </c>
      <c r="C516" s="27" t="s">
        <v>11203</v>
      </c>
      <c r="D516" s="27" t="s">
        <v>10173</v>
      </c>
      <c r="E516" s="27" t="s">
        <v>9336</v>
      </c>
      <c r="F516" s="27"/>
      <c r="G516" s="27" t="s">
        <v>11204</v>
      </c>
      <c r="H516" s="27"/>
      <c r="I516" s="27" t="s">
        <v>9180</v>
      </c>
      <c r="J516" s="27" t="s">
        <v>9477</v>
      </c>
      <c r="K516" s="27" t="s">
        <v>9211</v>
      </c>
      <c r="L516" s="27" t="s">
        <v>9196</v>
      </c>
    </row>
    <row r="517" spans="1:12">
      <c r="A517" s="27">
        <v>516</v>
      </c>
      <c r="B517" s="27" t="s">
        <v>3377</v>
      </c>
      <c r="C517" s="27" t="s">
        <v>11205</v>
      </c>
      <c r="D517" s="27" t="s">
        <v>10173</v>
      </c>
      <c r="E517" s="27" t="s">
        <v>9336</v>
      </c>
      <c r="F517" s="27"/>
      <c r="G517" s="27" t="s">
        <v>11206</v>
      </c>
      <c r="H517" s="27"/>
      <c r="I517" s="27" t="s">
        <v>9180</v>
      </c>
      <c r="J517" s="27" t="s">
        <v>9202</v>
      </c>
      <c r="K517" s="27" t="s">
        <v>9211</v>
      </c>
      <c r="L517" s="27" t="s">
        <v>9196</v>
      </c>
    </row>
    <row r="518" spans="1:12">
      <c r="A518" s="30">
        <v>517</v>
      </c>
      <c r="B518" s="30" t="s">
        <v>3708</v>
      </c>
      <c r="C518" s="30" t="s">
        <v>11207</v>
      </c>
      <c r="D518" s="30" t="s">
        <v>10173</v>
      </c>
      <c r="E518" s="30" t="s">
        <v>9208</v>
      </c>
      <c r="F518" s="30"/>
      <c r="G518" s="30" t="s">
        <v>11208</v>
      </c>
      <c r="H518" s="30"/>
      <c r="I518" s="30" t="s">
        <v>9180</v>
      </c>
      <c r="J518" s="30" t="s">
        <v>9334</v>
      </c>
      <c r="K518" s="30" t="s">
        <v>9211</v>
      </c>
      <c r="L518" s="30" t="s">
        <v>9350</v>
      </c>
    </row>
    <row r="519" spans="1:12">
      <c r="A519" s="27">
        <v>518</v>
      </c>
      <c r="B519" s="27" t="s">
        <v>2487</v>
      </c>
      <c r="C519" s="27" t="s">
        <v>2488</v>
      </c>
      <c r="D519" s="27" t="s">
        <v>10173</v>
      </c>
      <c r="E519" s="27" t="s">
        <v>9336</v>
      </c>
      <c r="F519" s="27"/>
      <c r="G519" s="27" t="s">
        <v>11209</v>
      </c>
      <c r="H519" s="27"/>
      <c r="I519" s="27" t="s">
        <v>9180</v>
      </c>
      <c r="J519" s="27" t="s">
        <v>9626</v>
      </c>
      <c r="K519" s="27" t="s">
        <v>9211</v>
      </c>
      <c r="L519" s="27" t="s">
        <v>9183</v>
      </c>
    </row>
    <row r="520" spans="1:12">
      <c r="A520" s="27">
        <v>519</v>
      </c>
      <c r="B520" s="27" t="s">
        <v>702</v>
      </c>
      <c r="C520" s="27" t="s">
        <v>11210</v>
      </c>
      <c r="D520" s="27" t="s">
        <v>10173</v>
      </c>
      <c r="E520" s="27" t="s">
        <v>9336</v>
      </c>
      <c r="F520" s="27"/>
      <c r="G520" s="27" t="s">
        <v>11211</v>
      </c>
      <c r="H520" s="27"/>
      <c r="I520" s="27" t="s">
        <v>9180</v>
      </c>
      <c r="J520" s="27" t="s">
        <v>10462</v>
      </c>
      <c r="K520" s="27" t="s">
        <v>9211</v>
      </c>
      <c r="L520" s="27" t="s">
        <v>9196</v>
      </c>
    </row>
    <row r="521" spans="1:12">
      <c r="A521" s="30">
        <v>520</v>
      </c>
      <c r="B521" s="30" t="s">
        <v>56</v>
      </c>
      <c r="C521" s="30" t="s">
        <v>12285</v>
      </c>
      <c r="D521" s="30" t="s">
        <v>10173</v>
      </c>
      <c r="E521" s="30" t="s">
        <v>9208</v>
      </c>
      <c r="F521" s="30"/>
      <c r="G521" s="30" t="s">
        <v>12286</v>
      </c>
      <c r="H521" s="30"/>
      <c r="I521" s="30" t="s">
        <v>9180</v>
      </c>
      <c r="J521" s="30" t="s">
        <v>9217</v>
      </c>
      <c r="K521" s="30" t="s">
        <v>9211</v>
      </c>
      <c r="L521" s="30" t="s">
        <v>9350</v>
      </c>
    </row>
    <row r="522" spans="1:12">
      <c r="A522" s="30">
        <v>521</v>
      </c>
      <c r="B522" s="30" t="s">
        <v>729</v>
      </c>
      <c r="C522" s="30" t="s">
        <v>11212</v>
      </c>
      <c r="D522" s="30" t="s">
        <v>10173</v>
      </c>
      <c r="E522" s="30" t="s">
        <v>9208</v>
      </c>
      <c r="F522" s="30"/>
      <c r="G522" s="30" t="s">
        <v>11213</v>
      </c>
      <c r="H522" s="30"/>
      <c r="I522" s="30" t="s">
        <v>9180</v>
      </c>
      <c r="J522" s="30" t="s">
        <v>11214</v>
      </c>
      <c r="K522" s="30" t="s">
        <v>9211</v>
      </c>
      <c r="L522" s="30" t="s">
        <v>9350</v>
      </c>
    </row>
    <row r="523" spans="1:12">
      <c r="A523" s="27">
        <v>522</v>
      </c>
      <c r="B523" s="27" t="s">
        <v>585</v>
      </c>
      <c r="C523" s="27" t="s">
        <v>11215</v>
      </c>
      <c r="D523" s="27" t="s">
        <v>10173</v>
      </c>
      <c r="E523" s="27" t="s">
        <v>9336</v>
      </c>
      <c r="F523" s="27"/>
      <c r="G523" s="27" t="s">
        <v>11216</v>
      </c>
      <c r="H523" s="27"/>
      <c r="I523" s="27" t="s">
        <v>9180</v>
      </c>
      <c r="J523" s="27" t="s">
        <v>11217</v>
      </c>
      <c r="K523" s="27" t="s">
        <v>9211</v>
      </c>
      <c r="L523" s="27" t="s">
        <v>9196</v>
      </c>
    </row>
    <row r="524" spans="1:12">
      <c r="A524" s="29">
        <v>523</v>
      </c>
      <c r="B524" s="29" t="s">
        <v>11218</v>
      </c>
      <c r="C524" s="29" t="s">
        <v>11219</v>
      </c>
      <c r="D524" s="29" t="s">
        <v>10168</v>
      </c>
      <c r="E524" s="29" t="s">
        <v>10169</v>
      </c>
      <c r="F524" s="29"/>
      <c r="G524" s="29" t="s">
        <v>11220</v>
      </c>
      <c r="H524" s="29"/>
      <c r="I524" s="29" t="s">
        <v>9180</v>
      </c>
      <c r="J524" s="29" t="s">
        <v>9280</v>
      </c>
      <c r="K524" s="29" t="s">
        <v>9218</v>
      </c>
      <c r="L524" s="29" t="s">
        <v>9223</v>
      </c>
    </row>
    <row r="525" spans="1:12">
      <c r="A525" s="28">
        <v>524</v>
      </c>
      <c r="B525" s="28" t="s">
        <v>6949</v>
      </c>
      <c r="C525" s="28" t="s">
        <v>11221</v>
      </c>
      <c r="D525" s="28" t="s">
        <v>10168</v>
      </c>
      <c r="E525" s="28" t="s">
        <v>10169</v>
      </c>
      <c r="F525" s="28"/>
      <c r="G525" s="28" t="s">
        <v>11222</v>
      </c>
      <c r="H525" s="28"/>
      <c r="I525" s="28" t="s">
        <v>9180</v>
      </c>
      <c r="J525" s="28" t="s">
        <v>10288</v>
      </c>
      <c r="K525" s="28" t="s">
        <v>9218</v>
      </c>
      <c r="L525" s="28" t="s">
        <v>9189</v>
      </c>
    </row>
    <row r="526" spans="1:12">
      <c r="A526" s="29">
        <v>525</v>
      </c>
      <c r="B526" s="29" t="s">
        <v>2813</v>
      </c>
      <c r="C526" s="29" t="s">
        <v>11223</v>
      </c>
      <c r="D526" s="29" t="s">
        <v>10168</v>
      </c>
      <c r="E526" s="29" t="s">
        <v>9208</v>
      </c>
      <c r="F526" s="29"/>
      <c r="G526" s="29" t="s">
        <v>11224</v>
      </c>
      <c r="H526" s="29"/>
      <c r="I526" s="29" t="s">
        <v>9180</v>
      </c>
      <c r="J526" s="29" t="s">
        <v>11225</v>
      </c>
      <c r="K526" s="29" t="s">
        <v>9218</v>
      </c>
      <c r="L526" s="29" t="s">
        <v>9522</v>
      </c>
    </row>
    <row r="527" spans="1:12">
      <c r="A527" s="27">
        <v>526</v>
      </c>
      <c r="B527" s="27" t="s">
        <v>4653</v>
      </c>
      <c r="C527" s="27" t="s">
        <v>4654</v>
      </c>
      <c r="D527" s="27" t="s">
        <v>10173</v>
      </c>
      <c r="E527" s="27" t="s">
        <v>10169</v>
      </c>
      <c r="F527" s="27" t="s">
        <v>11226</v>
      </c>
      <c r="G527" s="27" t="s">
        <v>11227</v>
      </c>
      <c r="H527" s="27" t="s">
        <v>11227</v>
      </c>
      <c r="I527" s="27" t="s">
        <v>9180</v>
      </c>
      <c r="J527" s="27" t="s">
        <v>9217</v>
      </c>
      <c r="K527" s="27" t="s">
        <v>9218</v>
      </c>
      <c r="L527" s="27" t="s">
        <v>9183</v>
      </c>
    </row>
    <row r="528" spans="1:12">
      <c r="A528" s="27">
        <v>527</v>
      </c>
      <c r="B528" s="27" t="s">
        <v>2875</v>
      </c>
      <c r="C528" s="27" t="s">
        <v>11228</v>
      </c>
      <c r="D528" s="27" t="s">
        <v>10173</v>
      </c>
      <c r="E528" s="27" t="s">
        <v>9178</v>
      </c>
      <c r="F528" s="27"/>
      <c r="G528" s="27" t="s">
        <v>11229</v>
      </c>
      <c r="H528" s="27" t="s">
        <v>11229</v>
      </c>
      <c r="I528" s="27" t="s">
        <v>9180</v>
      </c>
      <c r="J528" s="27" t="s">
        <v>9636</v>
      </c>
      <c r="K528" s="27" t="s">
        <v>9218</v>
      </c>
      <c r="L528" s="27" t="s">
        <v>9196</v>
      </c>
    </row>
    <row r="529" spans="1:12">
      <c r="A529" s="27">
        <v>528</v>
      </c>
      <c r="B529" s="27" t="s">
        <v>5576</v>
      </c>
      <c r="C529" s="27" t="s">
        <v>5577</v>
      </c>
      <c r="D529" s="27" t="s">
        <v>10173</v>
      </c>
      <c r="E529" s="27" t="s">
        <v>9178</v>
      </c>
      <c r="F529" s="27"/>
      <c r="G529" s="27" t="s">
        <v>11230</v>
      </c>
      <c r="H529" s="27"/>
      <c r="I529" s="27" t="s">
        <v>9180</v>
      </c>
      <c r="J529" s="27" t="s">
        <v>9315</v>
      </c>
      <c r="K529" s="27" t="s">
        <v>9218</v>
      </c>
      <c r="L529" s="27" t="s">
        <v>9196</v>
      </c>
    </row>
    <row r="530" spans="1:12">
      <c r="A530" s="27">
        <v>529</v>
      </c>
      <c r="B530" s="27" t="s">
        <v>5514</v>
      </c>
      <c r="C530" s="27" t="s">
        <v>5515</v>
      </c>
      <c r="D530" s="27" t="s">
        <v>10173</v>
      </c>
      <c r="E530" s="27" t="s">
        <v>9178</v>
      </c>
      <c r="F530" s="27"/>
      <c r="G530" s="27" t="s">
        <v>11231</v>
      </c>
      <c r="H530" s="27" t="s">
        <v>11231</v>
      </c>
      <c r="I530" s="27" t="s">
        <v>9180</v>
      </c>
      <c r="J530" s="27" t="s">
        <v>9239</v>
      </c>
      <c r="K530" s="27" t="s">
        <v>9218</v>
      </c>
      <c r="L530" s="27" t="s">
        <v>9183</v>
      </c>
    </row>
    <row r="531" spans="1:12">
      <c r="A531" s="27">
        <v>530</v>
      </c>
      <c r="B531" s="27" t="s">
        <v>5518</v>
      </c>
      <c r="C531" s="27" t="s">
        <v>11232</v>
      </c>
      <c r="D531" s="27" t="s">
        <v>10173</v>
      </c>
      <c r="E531" s="27" t="s">
        <v>9178</v>
      </c>
      <c r="F531" s="27"/>
      <c r="G531" s="27" t="s">
        <v>11233</v>
      </c>
      <c r="H531" s="27" t="s">
        <v>11233</v>
      </c>
      <c r="I531" s="27" t="s">
        <v>9180</v>
      </c>
      <c r="J531" s="27" t="s">
        <v>9708</v>
      </c>
      <c r="K531" s="27" t="s">
        <v>9218</v>
      </c>
      <c r="L531" s="27" t="s">
        <v>9196</v>
      </c>
    </row>
    <row r="532" spans="1:12">
      <c r="A532" s="27">
        <v>531</v>
      </c>
      <c r="B532" s="27" t="s">
        <v>5455</v>
      </c>
      <c r="C532" s="27" t="s">
        <v>11234</v>
      </c>
      <c r="D532" s="27" t="s">
        <v>10173</v>
      </c>
      <c r="E532" s="27" t="s">
        <v>9178</v>
      </c>
      <c r="F532" s="27"/>
      <c r="G532" s="27" t="s">
        <v>11235</v>
      </c>
      <c r="H532" s="27"/>
      <c r="I532" s="27" t="s">
        <v>9180</v>
      </c>
      <c r="J532" s="27" t="s">
        <v>10171</v>
      </c>
      <c r="K532" s="27" t="s">
        <v>9218</v>
      </c>
      <c r="L532" s="27" t="s">
        <v>9196</v>
      </c>
    </row>
    <row r="533" spans="1:12">
      <c r="A533" s="27">
        <v>532</v>
      </c>
      <c r="B533" s="27" t="s">
        <v>5314</v>
      </c>
      <c r="C533" s="27" t="s">
        <v>5315</v>
      </c>
      <c r="D533" s="27" t="s">
        <v>10173</v>
      </c>
      <c r="E533" s="27" t="s">
        <v>9178</v>
      </c>
      <c r="F533" s="27"/>
      <c r="G533" s="27" t="s">
        <v>11236</v>
      </c>
      <c r="H533" s="27"/>
      <c r="I533" s="27" t="s">
        <v>9180</v>
      </c>
      <c r="J533" s="27" t="s">
        <v>9356</v>
      </c>
      <c r="K533" s="27" t="s">
        <v>9218</v>
      </c>
      <c r="L533" s="27" t="s">
        <v>9183</v>
      </c>
    </row>
    <row r="534" spans="1:12">
      <c r="A534" s="27">
        <v>533</v>
      </c>
      <c r="B534" s="27" t="s">
        <v>5440</v>
      </c>
      <c r="C534" s="27" t="s">
        <v>11237</v>
      </c>
      <c r="D534" s="27" t="s">
        <v>10173</v>
      </c>
      <c r="E534" s="27" t="s">
        <v>9178</v>
      </c>
      <c r="F534" s="27"/>
      <c r="G534" s="27" t="s">
        <v>11238</v>
      </c>
      <c r="H534" s="27"/>
      <c r="I534" s="27" t="s">
        <v>9180</v>
      </c>
      <c r="J534" s="27" t="s">
        <v>9295</v>
      </c>
      <c r="K534" s="27" t="s">
        <v>9218</v>
      </c>
      <c r="L534" s="27" t="s">
        <v>9196</v>
      </c>
    </row>
    <row r="535" spans="1:12">
      <c r="A535" s="27">
        <v>534</v>
      </c>
      <c r="B535" s="27" t="s">
        <v>5489</v>
      </c>
      <c r="C535" s="27" t="s">
        <v>11239</v>
      </c>
      <c r="D535" s="27" t="s">
        <v>10173</v>
      </c>
      <c r="E535" s="27" t="s">
        <v>9178</v>
      </c>
      <c r="F535" s="27"/>
      <c r="G535" s="27" t="s">
        <v>11240</v>
      </c>
      <c r="H535" s="27" t="s">
        <v>11240</v>
      </c>
      <c r="I535" s="27" t="s">
        <v>9180</v>
      </c>
      <c r="J535" s="27" t="s">
        <v>9343</v>
      </c>
      <c r="K535" s="27" t="s">
        <v>9218</v>
      </c>
      <c r="L535" s="27" t="s">
        <v>9196</v>
      </c>
    </row>
    <row r="536" spans="1:12">
      <c r="A536" s="30">
        <v>535</v>
      </c>
      <c r="B536" s="30" t="s">
        <v>3245</v>
      </c>
      <c r="C536" s="30" t="s">
        <v>11241</v>
      </c>
      <c r="D536" s="30" t="s">
        <v>10173</v>
      </c>
      <c r="E536" s="30" t="s">
        <v>9208</v>
      </c>
      <c r="F536" s="30"/>
      <c r="G536" s="30" t="s">
        <v>11242</v>
      </c>
      <c r="H536" s="30" t="s">
        <v>11242</v>
      </c>
      <c r="I536" s="30" t="s">
        <v>9180</v>
      </c>
      <c r="J536" s="30" t="s">
        <v>9892</v>
      </c>
      <c r="K536" s="30" t="s">
        <v>9218</v>
      </c>
      <c r="L536" s="30" t="s">
        <v>9350</v>
      </c>
    </row>
    <row r="537" spans="1:12">
      <c r="A537" s="27">
        <v>536</v>
      </c>
      <c r="B537" s="27" t="s">
        <v>8093</v>
      </c>
      <c r="C537" s="27" t="s">
        <v>8094</v>
      </c>
      <c r="D537" s="27" t="s">
        <v>10173</v>
      </c>
      <c r="E537" s="27" t="s">
        <v>9178</v>
      </c>
      <c r="F537" s="27"/>
      <c r="G537" s="27" t="s">
        <v>11243</v>
      </c>
      <c r="H537" s="27"/>
      <c r="I537" s="27" t="s">
        <v>9180</v>
      </c>
      <c r="J537" s="27" t="s">
        <v>9965</v>
      </c>
      <c r="K537" s="27" t="s">
        <v>9218</v>
      </c>
      <c r="L537" s="27" t="s">
        <v>9183</v>
      </c>
    </row>
    <row r="538" spans="1:12">
      <c r="A538" s="30">
        <v>537</v>
      </c>
      <c r="B538" s="30" t="s">
        <v>7600</v>
      </c>
      <c r="C538" s="30" t="s">
        <v>9550</v>
      </c>
      <c r="D538" s="30" t="s">
        <v>10173</v>
      </c>
      <c r="E538" s="30" t="s">
        <v>9208</v>
      </c>
      <c r="F538" s="30"/>
      <c r="G538" s="30" t="s">
        <v>11244</v>
      </c>
      <c r="H538" s="30"/>
      <c r="I538" s="30" t="s">
        <v>9180</v>
      </c>
      <c r="J538" s="30" t="s">
        <v>9552</v>
      </c>
      <c r="K538" s="30" t="s">
        <v>9218</v>
      </c>
      <c r="L538" s="30" t="s">
        <v>9350</v>
      </c>
    </row>
    <row r="539" spans="1:12">
      <c r="A539" s="27">
        <v>538</v>
      </c>
      <c r="B539" s="27" t="s">
        <v>3488</v>
      </c>
      <c r="C539" s="27" t="s">
        <v>3489</v>
      </c>
      <c r="D539" s="27" t="s">
        <v>10173</v>
      </c>
      <c r="E539" s="27" t="s">
        <v>10169</v>
      </c>
      <c r="F539" s="27"/>
      <c r="G539" s="27" t="s">
        <v>11245</v>
      </c>
      <c r="H539" s="27"/>
      <c r="I539" s="27" t="s">
        <v>9180</v>
      </c>
      <c r="J539" s="27" t="s">
        <v>11246</v>
      </c>
      <c r="K539" s="27" t="s">
        <v>9218</v>
      </c>
      <c r="L539" s="27" t="s">
        <v>9196</v>
      </c>
    </row>
    <row r="540" spans="1:12">
      <c r="A540" s="30">
        <v>539</v>
      </c>
      <c r="B540" s="30" t="s">
        <v>11247</v>
      </c>
      <c r="C540" s="30" t="s">
        <v>11248</v>
      </c>
      <c r="D540" s="30" t="s">
        <v>10173</v>
      </c>
      <c r="E540" s="30" t="s">
        <v>9208</v>
      </c>
      <c r="F540" s="30"/>
      <c r="G540" s="30" t="s">
        <v>11249</v>
      </c>
      <c r="H540" s="30"/>
      <c r="I540" s="30" t="s">
        <v>9180</v>
      </c>
      <c r="J540" s="30" t="s">
        <v>9210</v>
      </c>
      <c r="K540" s="30" t="s">
        <v>9218</v>
      </c>
      <c r="L540" s="30" t="s">
        <v>9350</v>
      </c>
    </row>
    <row r="541" spans="1:12">
      <c r="A541" s="27">
        <v>540</v>
      </c>
      <c r="B541" s="27" t="s">
        <v>6433</v>
      </c>
      <c r="C541" s="27" t="s">
        <v>11250</v>
      </c>
      <c r="D541" s="27" t="s">
        <v>10173</v>
      </c>
      <c r="E541" s="27" t="s">
        <v>9178</v>
      </c>
      <c r="F541" s="27"/>
      <c r="G541" s="27" t="s">
        <v>11251</v>
      </c>
      <c r="H541" s="27"/>
      <c r="I541" s="27" t="s">
        <v>9180</v>
      </c>
      <c r="J541" s="27" t="s">
        <v>9312</v>
      </c>
      <c r="K541" s="27" t="s">
        <v>9218</v>
      </c>
      <c r="L541" s="27" t="s">
        <v>9196</v>
      </c>
    </row>
    <row r="542" spans="1:12">
      <c r="A542" s="27">
        <v>541</v>
      </c>
      <c r="B542" s="27" t="s">
        <v>6437</v>
      </c>
      <c r="C542" s="27" t="s">
        <v>11252</v>
      </c>
      <c r="D542" s="27" t="s">
        <v>10173</v>
      </c>
      <c r="E542" s="27" t="s">
        <v>9178</v>
      </c>
      <c r="F542" s="27"/>
      <c r="G542" s="27" t="s">
        <v>11253</v>
      </c>
      <c r="H542" s="27"/>
      <c r="I542" s="27" t="s">
        <v>9180</v>
      </c>
      <c r="J542" s="27" t="s">
        <v>9268</v>
      </c>
      <c r="K542" s="27" t="s">
        <v>9218</v>
      </c>
      <c r="L542" s="27" t="s">
        <v>9196</v>
      </c>
    </row>
    <row r="543" spans="1:12">
      <c r="A543" s="27">
        <v>542</v>
      </c>
      <c r="B543" s="27" t="s">
        <v>6370</v>
      </c>
      <c r="C543" s="27" t="s">
        <v>11254</v>
      </c>
      <c r="D543" s="27" t="s">
        <v>10173</v>
      </c>
      <c r="E543" s="27" t="s">
        <v>9178</v>
      </c>
      <c r="F543" s="27"/>
      <c r="G543" s="27" t="s">
        <v>11255</v>
      </c>
      <c r="H543" s="27"/>
      <c r="I543" s="27" t="s">
        <v>9180</v>
      </c>
      <c r="J543" s="27" t="s">
        <v>9312</v>
      </c>
      <c r="K543" s="27" t="s">
        <v>9218</v>
      </c>
      <c r="L543" s="27" t="s">
        <v>9196</v>
      </c>
    </row>
    <row r="544" spans="1:12">
      <c r="A544" s="29">
        <v>543</v>
      </c>
      <c r="B544" s="29" t="s">
        <v>4890</v>
      </c>
      <c r="C544" s="29" t="s">
        <v>11256</v>
      </c>
      <c r="D544" s="29" t="s">
        <v>10168</v>
      </c>
      <c r="E544" s="29" t="s">
        <v>9178</v>
      </c>
      <c r="F544" s="29"/>
      <c r="G544" s="29" t="s">
        <v>11257</v>
      </c>
      <c r="H544" s="29" t="s">
        <v>11257</v>
      </c>
      <c r="I544" s="29" t="s">
        <v>9180</v>
      </c>
      <c r="J544" s="29" t="s">
        <v>11258</v>
      </c>
      <c r="K544" s="29" t="s">
        <v>9218</v>
      </c>
      <c r="L544" s="29" t="s">
        <v>9189</v>
      </c>
    </row>
    <row r="545" spans="1:12">
      <c r="A545" s="27">
        <v>544</v>
      </c>
      <c r="B545" s="27" t="s">
        <v>5174</v>
      </c>
      <c r="C545" s="27" t="s">
        <v>5175</v>
      </c>
      <c r="D545" s="27" t="s">
        <v>10173</v>
      </c>
      <c r="E545" s="27" t="s">
        <v>9178</v>
      </c>
      <c r="F545" s="27"/>
      <c r="G545" s="27" t="s">
        <v>11259</v>
      </c>
      <c r="H545" s="27"/>
      <c r="I545" s="27" t="s">
        <v>9180</v>
      </c>
      <c r="J545" s="27" t="s">
        <v>9222</v>
      </c>
      <c r="K545" s="27" t="s">
        <v>9218</v>
      </c>
      <c r="L545" s="27" t="s">
        <v>9183</v>
      </c>
    </row>
    <row r="546" spans="1:12">
      <c r="A546" s="27">
        <v>545</v>
      </c>
      <c r="B546" s="27" t="s">
        <v>2756</v>
      </c>
      <c r="C546" s="27" t="s">
        <v>2757</v>
      </c>
      <c r="D546" s="27" t="s">
        <v>10173</v>
      </c>
      <c r="E546" s="27" t="s">
        <v>9178</v>
      </c>
      <c r="F546" s="27"/>
      <c r="G546" s="27" t="s">
        <v>11260</v>
      </c>
      <c r="H546" s="27" t="s">
        <v>11260</v>
      </c>
      <c r="I546" s="27" t="s">
        <v>9180</v>
      </c>
      <c r="J546" s="27" t="s">
        <v>9673</v>
      </c>
      <c r="K546" s="27" t="s">
        <v>9218</v>
      </c>
      <c r="L546" s="27" t="s">
        <v>9183</v>
      </c>
    </row>
    <row r="547" spans="1:12">
      <c r="A547" s="27">
        <v>546</v>
      </c>
      <c r="B547" s="27" t="s">
        <v>5836</v>
      </c>
      <c r="C547" s="27" t="s">
        <v>11261</v>
      </c>
      <c r="D547" s="27" t="s">
        <v>10173</v>
      </c>
      <c r="E547" s="27" t="s">
        <v>9178</v>
      </c>
      <c r="F547" s="27"/>
      <c r="G547" s="27" t="s">
        <v>11262</v>
      </c>
      <c r="H547" s="27" t="s">
        <v>11262</v>
      </c>
      <c r="I547" s="27" t="s">
        <v>9180</v>
      </c>
      <c r="J547" s="27" t="s">
        <v>9192</v>
      </c>
      <c r="K547" s="27" t="s">
        <v>9218</v>
      </c>
      <c r="L547" s="27" t="s">
        <v>9196</v>
      </c>
    </row>
    <row r="548" spans="1:12">
      <c r="A548" s="27">
        <v>547</v>
      </c>
      <c r="B548" s="27" t="s">
        <v>5651</v>
      </c>
      <c r="C548" s="27" t="s">
        <v>5652</v>
      </c>
      <c r="D548" s="27" t="s">
        <v>10173</v>
      </c>
      <c r="E548" s="27" t="s">
        <v>9178</v>
      </c>
      <c r="F548" s="27"/>
      <c r="G548" s="27" t="s">
        <v>11263</v>
      </c>
      <c r="H548" s="27"/>
      <c r="I548" s="27" t="s">
        <v>9180</v>
      </c>
      <c r="J548" s="27" t="s">
        <v>9312</v>
      </c>
      <c r="K548" s="27" t="s">
        <v>9218</v>
      </c>
      <c r="L548" s="27" t="s">
        <v>9196</v>
      </c>
    </row>
    <row r="549" spans="1:12">
      <c r="A549" s="27">
        <v>548</v>
      </c>
      <c r="B549" s="27" t="s">
        <v>5842</v>
      </c>
      <c r="C549" s="27" t="s">
        <v>11264</v>
      </c>
      <c r="D549" s="27" t="s">
        <v>10173</v>
      </c>
      <c r="E549" s="27" t="s">
        <v>9178</v>
      </c>
      <c r="F549" s="27"/>
      <c r="G549" s="27" t="s">
        <v>11265</v>
      </c>
      <c r="H549" s="27" t="s">
        <v>11265</v>
      </c>
      <c r="I549" s="27" t="s">
        <v>9180</v>
      </c>
      <c r="J549" s="27" t="s">
        <v>9268</v>
      </c>
      <c r="K549" s="27" t="s">
        <v>9218</v>
      </c>
      <c r="L549" s="27" t="s">
        <v>9196</v>
      </c>
    </row>
    <row r="550" spans="1:12">
      <c r="A550" s="27">
        <v>549</v>
      </c>
      <c r="B550" s="27" t="s">
        <v>5817</v>
      </c>
      <c r="C550" s="27" t="s">
        <v>5818</v>
      </c>
      <c r="D550" s="27" t="s">
        <v>10173</v>
      </c>
      <c r="E550" s="27" t="s">
        <v>9178</v>
      </c>
      <c r="F550" s="27"/>
      <c r="G550" s="27" t="s">
        <v>11266</v>
      </c>
      <c r="H550" s="27" t="s">
        <v>11266</v>
      </c>
      <c r="I550" s="27" t="s">
        <v>9180</v>
      </c>
      <c r="J550" s="27" t="s">
        <v>9274</v>
      </c>
      <c r="K550" s="27" t="s">
        <v>9218</v>
      </c>
      <c r="L550" s="27" t="s">
        <v>9196</v>
      </c>
    </row>
    <row r="551" spans="1:12">
      <c r="A551" s="27">
        <v>550</v>
      </c>
      <c r="B551" s="27" t="s">
        <v>5355</v>
      </c>
      <c r="C551" s="27" t="s">
        <v>11267</v>
      </c>
      <c r="D551" s="27" t="s">
        <v>10173</v>
      </c>
      <c r="E551" s="27" t="s">
        <v>9178</v>
      </c>
      <c r="F551" s="27"/>
      <c r="G551" s="27" t="s">
        <v>11268</v>
      </c>
      <c r="H551" s="27"/>
      <c r="I551" s="27" t="s">
        <v>9180</v>
      </c>
      <c r="J551" s="27" t="s">
        <v>11269</v>
      </c>
      <c r="K551" s="27" t="s">
        <v>9218</v>
      </c>
      <c r="L551" s="27" t="s">
        <v>9196</v>
      </c>
    </row>
    <row r="552" spans="1:12">
      <c r="A552" s="27">
        <v>551</v>
      </c>
      <c r="B552" s="27" t="s">
        <v>5997</v>
      </c>
      <c r="C552" s="27" t="s">
        <v>11270</v>
      </c>
      <c r="D552" s="27" t="s">
        <v>10173</v>
      </c>
      <c r="E552" s="27" t="s">
        <v>9178</v>
      </c>
      <c r="F552" s="27"/>
      <c r="G552" s="27" t="s">
        <v>11271</v>
      </c>
      <c r="H552" s="27"/>
      <c r="I552" s="27" t="s">
        <v>9180</v>
      </c>
      <c r="J552" s="27" t="s">
        <v>9322</v>
      </c>
      <c r="K552" s="27" t="s">
        <v>9218</v>
      </c>
      <c r="L552" s="27" t="s">
        <v>9196</v>
      </c>
    </row>
    <row r="553" spans="1:12">
      <c r="A553" s="27">
        <v>552</v>
      </c>
      <c r="B553" s="27" t="s">
        <v>6001</v>
      </c>
      <c r="C553" s="27" t="s">
        <v>11272</v>
      </c>
      <c r="D553" s="27" t="s">
        <v>10173</v>
      </c>
      <c r="E553" s="27" t="s">
        <v>9178</v>
      </c>
      <c r="F553" s="27"/>
      <c r="G553" s="27" t="s">
        <v>11273</v>
      </c>
      <c r="H553" s="27"/>
      <c r="I553" s="27" t="s">
        <v>9180</v>
      </c>
      <c r="J553" s="27" t="s">
        <v>9356</v>
      </c>
      <c r="K553" s="27" t="s">
        <v>9218</v>
      </c>
      <c r="L553" s="27" t="s">
        <v>9196</v>
      </c>
    </row>
    <row r="554" spans="1:12">
      <c r="A554" s="27">
        <v>553</v>
      </c>
      <c r="B554" s="27" t="s">
        <v>6005</v>
      </c>
      <c r="C554" s="27" t="s">
        <v>11274</v>
      </c>
      <c r="D554" s="27" t="s">
        <v>10173</v>
      </c>
      <c r="E554" s="27" t="s">
        <v>9178</v>
      </c>
      <c r="F554" s="27"/>
      <c r="G554" s="27" t="s">
        <v>11275</v>
      </c>
      <c r="H554" s="27"/>
      <c r="I554" s="27" t="s">
        <v>9180</v>
      </c>
      <c r="J554" s="27" t="s">
        <v>9192</v>
      </c>
      <c r="K554" s="27" t="s">
        <v>9218</v>
      </c>
      <c r="L554" s="27" t="s">
        <v>9196</v>
      </c>
    </row>
    <row r="555" spans="1:12">
      <c r="A555" s="27">
        <v>554</v>
      </c>
      <c r="B555" s="27" t="s">
        <v>4422</v>
      </c>
      <c r="C555" s="27" t="s">
        <v>11276</v>
      </c>
      <c r="D555" s="27" t="s">
        <v>10173</v>
      </c>
      <c r="E555" s="27" t="s">
        <v>9178</v>
      </c>
      <c r="F555" s="27"/>
      <c r="G555" s="27" t="s">
        <v>11277</v>
      </c>
      <c r="H555" s="27"/>
      <c r="I555" s="27" t="s">
        <v>9180</v>
      </c>
      <c r="J555" s="27" t="s">
        <v>10117</v>
      </c>
      <c r="K555" s="27" t="s">
        <v>9218</v>
      </c>
      <c r="L555" s="27" t="s">
        <v>9183</v>
      </c>
    </row>
    <row r="556" spans="1:12">
      <c r="A556" s="27">
        <v>555</v>
      </c>
      <c r="B556" s="27" t="s">
        <v>4721</v>
      </c>
      <c r="C556" s="27" t="s">
        <v>11278</v>
      </c>
      <c r="D556" s="27" t="s">
        <v>10173</v>
      </c>
      <c r="E556" s="27" t="s">
        <v>9178</v>
      </c>
      <c r="F556" s="27"/>
      <c r="G556" s="27" t="s">
        <v>11279</v>
      </c>
      <c r="H556" s="27" t="s">
        <v>11279</v>
      </c>
      <c r="I556" s="27" t="s">
        <v>9180</v>
      </c>
      <c r="J556" s="27" t="s">
        <v>9788</v>
      </c>
      <c r="K556" s="27" t="s">
        <v>9218</v>
      </c>
      <c r="L556" s="27" t="s">
        <v>9196</v>
      </c>
    </row>
    <row r="557" spans="1:12">
      <c r="A557" s="30">
        <v>556</v>
      </c>
      <c r="B557" s="30" t="s">
        <v>4117</v>
      </c>
      <c r="C557" s="30" t="s">
        <v>11280</v>
      </c>
      <c r="D557" s="30" t="s">
        <v>10173</v>
      </c>
      <c r="E557" s="30" t="s">
        <v>9208</v>
      </c>
      <c r="F557" s="30"/>
      <c r="G557" s="30" t="s">
        <v>11281</v>
      </c>
      <c r="H557" s="30"/>
      <c r="I557" s="30" t="s">
        <v>9180</v>
      </c>
      <c r="J557" s="30" t="s">
        <v>9380</v>
      </c>
      <c r="K557" s="30" t="s">
        <v>9218</v>
      </c>
      <c r="L557" s="30" t="s">
        <v>9350</v>
      </c>
    </row>
    <row r="558" spans="1:12">
      <c r="A558" s="27">
        <v>557</v>
      </c>
      <c r="B558" s="27" t="s">
        <v>4113</v>
      </c>
      <c r="C558" s="27" t="s">
        <v>11282</v>
      </c>
      <c r="D558" s="27" t="s">
        <v>10173</v>
      </c>
      <c r="E558" s="27" t="s">
        <v>9178</v>
      </c>
      <c r="F558" s="27"/>
      <c r="G558" s="27" t="s">
        <v>11283</v>
      </c>
      <c r="H558" s="27"/>
      <c r="I558" s="27" t="s">
        <v>9180</v>
      </c>
      <c r="J558" s="27" t="s">
        <v>9955</v>
      </c>
      <c r="K558" s="27" t="s">
        <v>9218</v>
      </c>
      <c r="L558" s="27" t="s">
        <v>9196</v>
      </c>
    </row>
    <row r="559" spans="1:12">
      <c r="A559" s="30">
        <v>558</v>
      </c>
      <c r="B559" s="30" t="s">
        <v>4109</v>
      </c>
      <c r="C559" s="30" t="s">
        <v>11284</v>
      </c>
      <c r="D559" s="30" t="s">
        <v>10173</v>
      </c>
      <c r="E559" s="30" t="s">
        <v>9208</v>
      </c>
      <c r="F559" s="30"/>
      <c r="G559" s="30" t="s">
        <v>11285</v>
      </c>
      <c r="H559" s="30"/>
      <c r="I559" s="30" t="s">
        <v>9180</v>
      </c>
      <c r="J559" s="30" t="s">
        <v>11286</v>
      </c>
      <c r="K559" s="30" t="s">
        <v>9218</v>
      </c>
      <c r="L559" s="30" t="s">
        <v>9350</v>
      </c>
    </row>
    <row r="560" spans="1:12">
      <c r="A560" s="30">
        <v>559</v>
      </c>
      <c r="B560" s="30" t="s">
        <v>904</v>
      </c>
      <c r="C560" s="30" t="s">
        <v>11287</v>
      </c>
      <c r="D560" s="30" t="s">
        <v>10173</v>
      </c>
      <c r="E560" s="30" t="s">
        <v>9208</v>
      </c>
      <c r="F560" s="30"/>
      <c r="G560" s="30" t="s">
        <v>11288</v>
      </c>
      <c r="H560" s="30"/>
      <c r="I560" s="30" t="s">
        <v>9180</v>
      </c>
      <c r="J560" s="30" t="s">
        <v>11289</v>
      </c>
      <c r="K560" s="30" t="s">
        <v>9218</v>
      </c>
      <c r="L560" s="30" t="s">
        <v>9350</v>
      </c>
    </row>
    <row r="561" spans="1:12">
      <c r="A561" s="30">
        <v>560</v>
      </c>
      <c r="B561" s="30" t="s">
        <v>3748</v>
      </c>
      <c r="C561" s="30" t="s">
        <v>11290</v>
      </c>
      <c r="D561" s="30" t="s">
        <v>10173</v>
      </c>
      <c r="E561" s="30" t="s">
        <v>9208</v>
      </c>
      <c r="F561" s="30"/>
      <c r="G561" s="30" t="s">
        <v>11291</v>
      </c>
      <c r="H561" s="30"/>
      <c r="I561" s="30" t="s">
        <v>9180</v>
      </c>
      <c r="J561" s="30" t="s">
        <v>9202</v>
      </c>
      <c r="K561" s="30" t="s">
        <v>9218</v>
      </c>
      <c r="L561" s="30" t="s">
        <v>9350</v>
      </c>
    </row>
    <row r="562" spans="1:12">
      <c r="A562" s="27">
        <v>561</v>
      </c>
      <c r="B562" s="27" t="s">
        <v>888</v>
      </c>
      <c r="C562" s="27" t="s">
        <v>889</v>
      </c>
      <c r="D562" s="27" t="s">
        <v>10173</v>
      </c>
      <c r="E562" s="27" t="s">
        <v>9178</v>
      </c>
      <c r="F562" s="27"/>
      <c r="G562" s="27" t="s">
        <v>11292</v>
      </c>
      <c r="H562" s="27" t="s">
        <v>11292</v>
      </c>
      <c r="I562" s="27" t="s">
        <v>9180</v>
      </c>
      <c r="J562" s="27" t="s">
        <v>11293</v>
      </c>
      <c r="K562" s="27" t="s">
        <v>9218</v>
      </c>
      <c r="L562" s="27" t="s">
        <v>9183</v>
      </c>
    </row>
    <row r="563" spans="1:12">
      <c r="A563" s="27">
        <v>562</v>
      </c>
      <c r="B563" s="27" t="s">
        <v>2201</v>
      </c>
      <c r="C563" s="27" t="s">
        <v>11294</v>
      </c>
      <c r="D563" s="27" t="s">
        <v>10173</v>
      </c>
      <c r="E563" s="27" t="s">
        <v>9178</v>
      </c>
      <c r="F563" s="27"/>
      <c r="G563" s="27" t="s">
        <v>11295</v>
      </c>
      <c r="H563" s="27"/>
      <c r="I563" s="27" t="s">
        <v>9180</v>
      </c>
      <c r="J563" s="27" t="s">
        <v>11296</v>
      </c>
      <c r="K563" s="27" t="s">
        <v>9218</v>
      </c>
      <c r="L563" s="27" t="s">
        <v>9196</v>
      </c>
    </row>
    <row r="564" spans="1:12">
      <c r="A564" s="27">
        <v>563</v>
      </c>
      <c r="B564" s="27" t="s">
        <v>11297</v>
      </c>
      <c r="C564" s="27" t="s">
        <v>9906</v>
      </c>
      <c r="D564" s="27" t="s">
        <v>10173</v>
      </c>
      <c r="E564" s="27" t="s">
        <v>9178</v>
      </c>
      <c r="F564" s="27"/>
      <c r="G564" s="27" t="s">
        <v>11298</v>
      </c>
      <c r="H564" s="27"/>
      <c r="I564" s="27" t="s">
        <v>9180</v>
      </c>
      <c r="J564" s="27" t="s">
        <v>9210</v>
      </c>
      <c r="K564" s="27" t="s">
        <v>9218</v>
      </c>
      <c r="L564" s="27" t="s">
        <v>9196</v>
      </c>
    </row>
    <row r="565" spans="1:12">
      <c r="A565" s="27">
        <v>564</v>
      </c>
      <c r="B565" s="27" t="s">
        <v>2859</v>
      </c>
      <c r="C565" s="27" t="s">
        <v>2860</v>
      </c>
      <c r="D565" s="27" t="s">
        <v>10173</v>
      </c>
      <c r="E565" s="27" t="s">
        <v>9178</v>
      </c>
      <c r="F565" s="27"/>
      <c r="G565" s="27" t="s">
        <v>11299</v>
      </c>
      <c r="H565" s="27" t="s">
        <v>11299</v>
      </c>
      <c r="I565" s="27" t="s">
        <v>9180</v>
      </c>
      <c r="J565" s="27" t="s">
        <v>9306</v>
      </c>
      <c r="K565" s="27" t="s">
        <v>9218</v>
      </c>
      <c r="L565" s="27" t="s">
        <v>9183</v>
      </c>
    </row>
    <row r="566" spans="1:12">
      <c r="A566" s="30">
        <v>565</v>
      </c>
      <c r="B566" s="30" t="s">
        <v>2809</v>
      </c>
      <c r="C566" s="30" t="s">
        <v>11300</v>
      </c>
      <c r="D566" s="30" t="s">
        <v>10173</v>
      </c>
      <c r="E566" s="30" t="s">
        <v>9208</v>
      </c>
      <c r="F566" s="30"/>
      <c r="G566" s="30" t="s">
        <v>11301</v>
      </c>
      <c r="H566" s="30"/>
      <c r="I566" s="30" t="s">
        <v>9180</v>
      </c>
      <c r="J566" s="30" t="s">
        <v>9380</v>
      </c>
      <c r="K566" s="30" t="s">
        <v>9218</v>
      </c>
      <c r="L566" s="30" t="s">
        <v>9350</v>
      </c>
    </row>
    <row r="567" spans="1:12">
      <c r="A567" s="27">
        <v>566</v>
      </c>
      <c r="B567" s="27" t="s">
        <v>1937</v>
      </c>
      <c r="C567" s="27" t="s">
        <v>1938</v>
      </c>
      <c r="D567" s="27" t="s">
        <v>10173</v>
      </c>
      <c r="E567" s="27" t="s">
        <v>9178</v>
      </c>
      <c r="F567" s="27"/>
      <c r="G567" s="27" t="s">
        <v>11302</v>
      </c>
      <c r="H567" s="27"/>
      <c r="I567" s="27" t="s">
        <v>9180</v>
      </c>
      <c r="J567" s="27" t="s">
        <v>11303</v>
      </c>
      <c r="K567" s="27" t="s">
        <v>9218</v>
      </c>
      <c r="L567" s="27" t="s">
        <v>9183</v>
      </c>
    </row>
    <row r="568" spans="1:12">
      <c r="A568" s="30">
        <v>567</v>
      </c>
      <c r="B568" s="30" t="s">
        <v>2479</v>
      </c>
      <c r="C568" s="30" t="s">
        <v>11304</v>
      </c>
      <c r="D568" s="30" t="s">
        <v>10173</v>
      </c>
      <c r="E568" s="30" t="s">
        <v>9208</v>
      </c>
      <c r="F568" s="30"/>
      <c r="G568" s="30" t="s">
        <v>11305</v>
      </c>
      <c r="H568" s="30"/>
      <c r="I568" s="30" t="s">
        <v>9180</v>
      </c>
      <c r="J568" s="30" t="s">
        <v>9892</v>
      </c>
      <c r="K568" s="30" t="s">
        <v>9218</v>
      </c>
      <c r="L568" s="30" t="s">
        <v>9350</v>
      </c>
    </row>
    <row r="569" spans="1:12">
      <c r="A569" s="27">
        <v>568</v>
      </c>
      <c r="B569" s="27" t="s">
        <v>1672</v>
      </c>
      <c r="C569" s="27" t="s">
        <v>11306</v>
      </c>
      <c r="D569" s="27" t="s">
        <v>10173</v>
      </c>
      <c r="E569" s="27" t="s">
        <v>9178</v>
      </c>
      <c r="F569" s="27"/>
      <c r="G569" s="27" t="s">
        <v>11307</v>
      </c>
      <c r="H569" s="27" t="s">
        <v>11307</v>
      </c>
      <c r="I569" s="27" t="s">
        <v>9180</v>
      </c>
      <c r="J569" s="27" t="s">
        <v>11296</v>
      </c>
      <c r="K569" s="27" t="s">
        <v>9218</v>
      </c>
      <c r="L569" s="27" t="s">
        <v>9196</v>
      </c>
    </row>
    <row r="570" spans="1:12">
      <c r="A570" s="30">
        <v>569</v>
      </c>
      <c r="B570" s="30" t="s">
        <v>4009</v>
      </c>
      <c r="C570" s="30" t="s">
        <v>11308</v>
      </c>
      <c r="D570" s="30" t="s">
        <v>10173</v>
      </c>
      <c r="E570" s="30" t="s">
        <v>9208</v>
      </c>
      <c r="F570" s="30"/>
      <c r="G570" s="30" t="s">
        <v>11309</v>
      </c>
      <c r="H570" s="30"/>
      <c r="I570" s="30" t="s">
        <v>9180</v>
      </c>
      <c r="J570" s="30" t="s">
        <v>9892</v>
      </c>
      <c r="K570" s="30" t="s">
        <v>9218</v>
      </c>
      <c r="L570" s="30" t="s">
        <v>9350</v>
      </c>
    </row>
    <row r="571" spans="1:12">
      <c r="A571" s="27">
        <v>570</v>
      </c>
      <c r="B571" s="27" t="s">
        <v>1213</v>
      </c>
      <c r="C571" s="27" t="s">
        <v>1214</v>
      </c>
      <c r="D571" s="27" t="s">
        <v>10173</v>
      </c>
      <c r="E571" s="27" t="s">
        <v>9178</v>
      </c>
      <c r="F571" s="27"/>
      <c r="G571" s="27" t="s">
        <v>11310</v>
      </c>
      <c r="H571" s="27" t="s">
        <v>11310</v>
      </c>
      <c r="I571" s="27" t="s">
        <v>9180</v>
      </c>
      <c r="J571" s="27" t="s">
        <v>9626</v>
      </c>
      <c r="K571" s="27" t="s">
        <v>9218</v>
      </c>
      <c r="L571" s="27" t="s">
        <v>9183</v>
      </c>
    </row>
    <row r="572" spans="1:12">
      <c r="A572" s="27">
        <v>571</v>
      </c>
      <c r="B572" s="27" t="s">
        <v>1278</v>
      </c>
      <c r="C572" s="27" t="s">
        <v>1279</v>
      </c>
      <c r="D572" s="27" t="s">
        <v>10173</v>
      </c>
      <c r="E572" s="27" t="s">
        <v>9178</v>
      </c>
      <c r="F572" s="27"/>
      <c r="G572" s="27" t="s">
        <v>11311</v>
      </c>
      <c r="H572" s="27"/>
      <c r="I572" s="27" t="s">
        <v>9180</v>
      </c>
      <c r="J572" s="27" t="s">
        <v>10057</v>
      </c>
      <c r="K572" s="27" t="s">
        <v>9218</v>
      </c>
      <c r="L572" s="27" t="s">
        <v>9196</v>
      </c>
    </row>
    <row r="573" spans="1:12">
      <c r="A573" s="27">
        <v>572</v>
      </c>
      <c r="B573" s="27" t="s">
        <v>1197</v>
      </c>
      <c r="C573" s="27" t="s">
        <v>11312</v>
      </c>
      <c r="D573" s="27" t="s">
        <v>10173</v>
      </c>
      <c r="E573" s="27" t="s">
        <v>9178</v>
      </c>
      <c r="F573" s="27"/>
      <c r="G573" s="27" t="s">
        <v>11313</v>
      </c>
      <c r="H573" s="27"/>
      <c r="I573" s="27" t="s">
        <v>9180</v>
      </c>
      <c r="J573" s="27" t="s">
        <v>9295</v>
      </c>
      <c r="K573" s="27" t="s">
        <v>9218</v>
      </c>
      <c r="L573" s="27" t="s">
        <v>9196</v>
      </c>
    </row>
    <row r="574" spans="1:12">
      <c r="A574" s="27">
        <v>573</v>
      </c>
      <c r="B574" s="27" t="s">
        <v>916</v>
      </c>
      <c r="C574" s="27" t="s">
        <v>11314</v>
      </c>
      <c r="D574" s="27" t="s">
        <v>10173</v>
      </c>
      <c r="E574" s="27" t="s">
        <v>9178</v>
      </c>
      <c r="F574" s="27"/>
      <c r="G574" s="27" t="s">
        <v>11315</v>
      </c>
      <c r="H574" s="27"/>
      <c r="I574" s="27" t="s">
        <v>9180</v>
      </c>
      <c r="J574" s="27" t="s">
        <v>9788</v>
      </c>
      <c r="K574" s="27" t="s">
        <v>10136</v>
      </c>
      <c r="L574" s="27" t="s">
        <v>9196</v>
      </c>
    </row>
    <row r="575" spans="1:12">
      <c r="A575" s="27">
        <v>574</v>
      </c>
      <c r="B575" s="27" t="s">
        <v>724</v>
      </c>
      <c r="C575" s="27" t="s">
        <v>11316</v>
      </c>
      <c r="D575" s="27" t="s">
        <v>10173</v>
      </c>
      <c r="E575" s="27" t="s">
        <v>9178</v>
      </c>
      <c r="F575" s="27"/>
      <c r="G575" s="27" t="s">
        <v>11317</v>
      </c>
      <c r="H575" s="27"/>
      <c r="I575" s="27" t="s">
        <v>9180</v>
      </c>
      <c r="J575" s="27" t="s">
        <v>11318</v>
      </c>
      <c r="K575" s="27" t="s">
        <v>10136</v>
      </c>
      <c r="L575" s="27" t="s">
        <v>9196</v>
      </c>
    </row>
    <row r="576" spans="1:12">
      <c r="A576" s="30">
        <v>575</v>
      </c>
      <c r="B576" s="30" t="s">
        <v>602</v>
      </c>
      <c r="C576" s="30" t="s">
        <v>11319</v>
      </c>
      <c r="D576" s="30" t="s">
        <v>10173</v>
      </c>
      <c r="E576" s="30" t="s">
        <v>9208</v>
      </c>
      <c r="F576" s="30"/>
      <c r="G576" s="30" t="s">
        <v>11320</v>
      </c>
      <c r="H576" s="30" t="s">
        <v>11320</v>
      </c>
      <c r="I576" s="30" t="s">
        <v>9180</v>
      </c>
      <c r="J576" s="30" t="s">
        <v>11321</v>
      </c>
      <c r="K576" s="30" t="s">
        <v>10136</v>
      </c>
      <c r="L576" s="30" t="s">
        <v>9350</v>
      </c>
    </row>
    <row r="577" spans="1:12">
      <c r="A577" s="30">
        <v>576</v>
      </c>
      <c r="B577" s="30" t="s">
        <v>606</v>
      </c>
      <c r="C577" s="30" t="s">
        <v>607</v>
      </c>
      <c r="D577" s="30" t="s">
        <v>10173</v>
      </c>
      <c r="E577" s="30" t="s">
        <v>9208</v>
      </c>
      <c r="F577" s="30"/>
      <c r="G577" s="30" t="s">
        <v>11322</v>
      </c>
      <c r="H577" s="30" t="s">
        <v>11322</v>
      </c>
      <c r="I577" s="30" t="s">
        <v>9180</v>
      </c>
      <c r="J577" s="30" t="s">
        <v>11323</v>
      </c>
      <c r="K577" s="30" t="s">
        <v>10136</v>
      </c>
      <c r="L577" s="30" t="s">
        <v>9350</v>
      </c>
    </row>
    <row r="578" spans="1:12">
      <c r="A578" s="27">
        <v>577</v>
      </c>
      <c r="B578" s="27" t="s">
        <v>342</v>
      </c>
      <c r="C578" s="27" t="s">
        <v>11324</v>
      </c>
      <c r="D578" s="27" t="s">
        <v>10173</v>
      </c>
      <c r="E578" s="27" t="s">
        <v>9178</v>
      </c>
      <c r="F578" s="27"/>
      <c r="G578" s="27" t="s">
        <v>11325</v>
      </c>
      <c r="H578" s="27"/>
      <c r="I578" s="27" t="s">
        <v>9180</v>
      </c>
      <c r="J578" s="27" t="s">
        <v>9334</v>
      </c>
      <c r="K578" s="27" t="s">
        <v>10136</v>
      </c>
      <c r="L578" s="27" t="s">
        <v>9196</v>
      </c>
    </row>
    <row r="579" spans="1:12">
      <c r="A579" s="27">
        <v>578</v>
      </c>
      <c r="B579" s="27" t="s">
        <v>330</v>
      </c>
      <c r="C579" s="27" t="s">
        <v>331</v>
      </c>
      <c r="D579" s="27" t="s">
        <v>10173</v>
      </c>
      <c r="E579" s="27" t="s">
        <v>9178</v>
      </c>
      <c r="F579" s="27"/>
      <c r="G579" s="27" t="s">
        <v>11326</v>
      </c>
      <c r="H579" s="27"/>
      <c r="I579" s="27" t="s">
        <v>9180</v>
      </c>
      <c r="J579" s="27" t="s">
        <v>9626</v>
      </c>
      <c r="K579" s="27" t="s">
        <v>10136</v>
      </c>
      <c r="L579" s="27" t="s">
        <v>9183</v>
      </c>
    </row>
    <row r="580" spans="1:12">
      <c r="A580" s="27">
        <v>579</v>
      </c>
      <c r="B580" s="27" t="s">
        <v>308</v>
      </c>
      <c r="C580" s="27" t="s">
        <v>11327</v>
      </c>
      <c r="D580" s="27" t="s">
        <v>10173</v>
      </c>
      <c r="E580" s="27" t="s">
        <v>9178</v>
      </c>
      <c r="F580" s="27"/>
      <c r="G580" s="27" t="s">
        <v>11328</v>
      </c>
      <c r="H580" s="27"/>
      <c r="I580" s="27" t="s">
        <v>9180</v>
      </c>
      <c r="J580" s="27" t="s">
        <v>9217</v>
      </c>
      <c r="K580" s="27" t="s">
        <v>10136</v>
      </c>
      <c r="L580" s="27" t="s">
        <v>9196</v>
      </c>
    </row>
    <row r="581" spans="1:12">
      <c r="A581" s="27">
        <v>580</v>
      </c>
      <c r="B581" s="27" t="s">
        <v>277</v>
      </c>
      <c r="C581" s="27" t="s">
        <v>11329</v>
      </c>
      <c r="D581" s="27" t="s">
        <v>10173</v>
      </c>
      <c r="E581" s="27" t="s">
        <v>9178</v>
      </c>
      <c r="F581" s="27"/>
      <c r="G581" s="27" t="s">
        <v>11330</v>
      </c>
      <c r="H581" s="27"/>
      <c r="I581" s="27" t="s">
        <v>9180</v>
      </c>
      <c r="J581" s="27" t="s">
        <v>9892</v>
      </c>
      <c r="K581" s="27" t="s">
        <v>10136</v>
      </c>
      <c r="L581" s="27" t="s">
        <v>9196</v>
      </c>
    </row>
    <row r="582" spans="1:12">
      <c r="A582" s="30">
        <v>581</v>
      </c>
      <c r="B582" s="30" t="s">
        <v>264</v>
      </c>
      <c r="C582" s="30" t="s">
        <v>11331</v>
      </c>
      <c r="D582" s="30" t="s">
        <v>10173</v>
      </c>
      <c r="E582" s="30" t="s">
        <v>9208</v>
      </c>
      <c r="F582" s="30"/>
      <c r="G582" s="30" t="s">
        <v>11332</v>
      </c>
      <c r="H582" s="30" t="s">
        <v>11332</v>
      </c>
      <c r="I582" s="30" t="s">
        <v>9180</v>
      </c>
      <c r="J582" s="30" t="s">
        <v>9309</v>
      </c>
      <c r="K582" s="30" t="s">
        <v>10136</v>
      </c>
      <c r="L582" s="30" t="s">
        <v>9350</v>
      </c>
    </row>
    <row r="583" spans="1:12">
      <c r="A583" s="27">
        <v>582</v>
      </c>
      <c r="B583" s="27" t="s">
        <v>824</v>
      </c>
      <c r="C583" s="27" t="s">
        <v>11333</v>
      </c>
      <c r="D583" s="27" t="s">
        <v>10173</v>
      </c>
      <c r="E583" s="27" t="s">
        <v>9178</v>
      </c>
      <c r="F583" s="27"/>
      <c r="G583" s="27" t="s">
        <v>11334</v>
      </c>
      <c r="H583" s="27"/>
      <c r="I583" s="27" t="s">
        <v>9180</v>
      </c>
      <c r="J583" s="27" t="s">
        <v>9251</v>
      </c>
      <c r="K583" s="27" t="s">
        <v>10136</v>
      </c>
      <c r="L583" s="27" t="s">
        <v>9196</v>
      </c>
    </row>
    <row r="584" spans="1:12">
      <c r="A584" s="27">
        <v>583</v>
      </c>
      <c r="B584" s="27" t="s">
        <v>354</v>
      </c>
      <c r="C584" s="27" t="s">
        <v>11335</v>
      </c>
      <c r="D584" s="27" t="s">
        <v>10173</v>
      </c>
      <c r="E584" s="27" t="s">
        <v>9178</v>
      </c>
      <c r="F584" s="27"/>
      <c r="G584" s="27" t="s">
        <v>11336</v>
      </c>
      <c r="H584" s="27"/>
      <c r="I584" s="27" t="s">
        <v>9180</v>
      </c>
      <c r="J584" s="27" t="s">
        <v>9334</v>
      </c>
      <c r="K584" s="27" t="s">
        <v>10136</v>
      </c>
      <c r="L584" s="27" t="s">
        <v>9196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彙總</vt:lpstr>
      <vt:lpstr>家教課程明細</vt:lpstr>
      <vt:lpstr>工作表4</vt:lpstr>
      <vt:lpstr>學員資料-三民高中</vt:lpstr>
      <vt:lpstr>學員資料-三重商工</vt:lpstr>
      <vt:lpstr>學員資料-新北高中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oshuo</cp:lastModifiedBy>
  <cp:revision>0</cp:revision>
  <dcterms:created xsi:type="dcterms:W3CDTF">2026-06-21T18:07:53Z</dcterms:created>
  <dcterms:modified xsi:type="dcterms:W3CDTF">2026-06-26T08:44:32Z</dcterms:modified>
  <dc:language>en-US</dc:language>
</cp:coreProperties>
</file>